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45966</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45966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45966</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45966</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45966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45966</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45966</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45966</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45966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45966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45966</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45966</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45966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45966</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45966</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45966</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45966</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45966</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45966</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45966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45966</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45966</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45966</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45966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45966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45966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45966</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45966</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32913-2023</t>
        </is>
      </c>
      <c r="B39" s="1" t="n">
        <v>45124</v>
      </c>
      <c r="C39" s="1" t="n">
        <v>45966</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22747-2025</t>
        </is>
      </c>
      <c r="B40" s="1" t="n">
        <v>45789.60505787037</v>
      </c>
      <c r="C40" s="1" t="n">
        <v>45966</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45966</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33994-2023</t>
        </is>
      </c>
      <c r="B42" s="1" t="n">
        <v>45134</v>
      </c>
      <c r="C42" s="1" t="n">
        <v>45966</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72477-2021</t>
        </is>
      </c>
      <c r="B43" s="1" t="n">
        <v>44545</v>
      </c>
      <c r="C43" s="1" t="n">
        <v>45966</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45966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33139-2023</t>
        </is>
      </c>
      <c r="B45" s="1" t="n">
        <v>45114</v>
      </c>
      <c r="C45" s="1" t="n">
        <v>45966</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45966</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45966</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15827-2025</t>
        </is>
      </c>
      <c r="B48" s="1" t="n">
        <v>45748</v>
      </c>
      <c r="C48" s="1" t="n">
        <v>45966</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21710-2025</t>
        </is>
      </c>
      <c r="B49" s="1" t="n">
        <v>45783.53160879629</v>
      </c>
      <c r="C49" s="1" t="n">
        <v>45966</v>
      </c>
      <c r="D49" t="inlineStr">
        <is>
          <t>NORRBOTTENS LÄN</t>
        </is>
      </c>
      <c r="E49" t="inlineStr">
        <is>
          <t>JOKKMOKK</t>
        </is>
      </c>
      <c r="F49" t="inlineStr">
        <is>
          <t>SCA</t>
        </is>
      </c>
      <c r="G49" t="n">
        <v>4.3</v>
      </c>
      <c r="H49" t="n">
        <v>2</v>
      </c>
      <c r="I49" t="n">
        <v>0</v>
      </c>
      <c r="J49" t="n">
        <v>1</v>
      </c>
      <c r="K49" t="n">
        <v>0</v>
      </c>
      <c r="L49" t="n">
        <v>0</v>
      </c>
      <c r="M49" t="n">
        <v>0</v>
      </c>
      <c r="N49" t="n">
        <v>0</v>
      </c>
      <c r="O49" t="n">
        <v>1</v>
      </c>
      <c r="P49" t="n">
        <v>0</v>
      </c>
      <c r="Q49" t="n">
        <v>2</v>
      </c>
      <c r="R49" s="2" t="inlineStr">
        <is>
          <t>Talltita
Lavskrika</t>
        </is>
      </c>
      <c r="S49">
        <f>HYPERLINK("https://klasma.github.io/Logging_2510/artfynd/A 21710-2025 artfynd.xlsx", "A 21710-2025")</f>
        <v/>
      </c>
      <c r="T49">
        <f>HYPERLINK("https://klasma.github.io/Logging_2510/kartor/A 21710-2025 karta.png", "A 21710-2025")</f>
        <v/>
      </c>
      <c r="V49">
        <f>HYPERLINK("https://klasma.github.io/Logging_2510/klagomål/A 21710-2025 FSC-klagomål.docx", "A 21710-2025")</f>
        <v/>
      </c>
      <c r="W49">
        <f>HYPERLINK("https://klasma.github.io/Logging_2510/klagomålsmail/A 21710-2025 FSC-klagomål mail.docx", "A 21710-2025")</f>
        <v/>
      </c>
      <c r="X49">
        <f>HYPERLINK("https://klasma.github.io/Logging_2510/tillsyn/A 21710-2025 tillsynsbegäran.docx", "A 21710-2025")</f>
        <v/>
      </c>
      <c r="Y49">
        <f>HYPERLINK("https://klasma.github.io/Logging_2510/tillsynsmail/A 21710-2025 tillsynsbegäran mail.docx", "A 21710-2025")</f>
        <v/>
      </c>
      <c r="Z49">
        <f>HYPERLINK("https://klasma.github.io/Logging_2510/fåglar/A 21710-2025 prioriterade fågelarter.docx", "A 21710-2025")</f>
        <v/>
      </c>
    </row>
    <row r="50" ht="15" customHeight="1">
      <c r="A50" t="inlineStr">
        <is>
          <t>A 29679-2024</t>
        </is>
      </c>
      <c r="B50" s="1" t="n">
        <v>45484</v>
      </c>
      <c r="C50" s="1" t="n">
        <v>45966</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45966</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45966</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45966</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39850-2025</t>
        </is>
      </c>
      <c r="B54" s="1" t="n">
        <v>45891.58591435185</v>
      </c>
      <c r="C54" s="1" t="n">
        <v>45966</v>
      </c>
      <c r="D54" t="inlineStr">
        <is>
          <t>NORRBOTTENS LÄN</t>
        </is>
      </c>
      <c r="E54" t="inlineStr">
        <is>
          <t>JOKKMOKK</t>
        </is>
      </c>
      <c r="F54" t="inlineStr">
        <is>
          <t>Sveaskog</t>
        </is>
      </c>
      <c r="G54" t="n">
        <v>4.5</v>
      </c>
      <c r="H54" t="n">
        <v>0</v>
      </c>
      <c r="I54" t="n">
        <v>0</v>
      </c>
      <c r="J54" t="n">
        <v>1</v>
      </c>
      <c r="K54" t="n">
        <v>0</v>
      </c>
      <c r="L54" t="n">
        <v>0</v>
      </c>
      <c r="M54" t="n">
        <v>0</v>
      </c>
      <c r="N54" t="n">
        <v>0</v>
      </c>
      <c r="O54" t="n">
        <v>1</v>
      </c>
      <c r="P54" t="n">
        <v>0</v>
      </c>
      <c r="Q54" t="n">
        <v>1</v>
      </c>
      <c r="R54" s="2" t="inlineStr">
        <is>
          <t>Blanksvart spiklav</t>
        </is>
      </c>
      <c r="S54">
        <f>HYPERLINK("https://klasma.github.io/Logging_2510/artfynd/A 39850-2025 artfynd.xlsx", "A 39850-2025")</f>
        <v/>
      </c>
      <c r="T54">
        <f>HYPERLINK("https://klasma.github.io/Logging_2510/kartor/A 39850-2025 karta.png", "A 39850-2025")</f>
        <v/>
      </c>
      <c r="U54">
        <f>HYPERLINK("https://klasma.github.io/Logging_2510/knärot/A 39850-2025 karta knärot.png", "A 39850-2025")</f>
        <v/>
      </c>
      <c r="V54">
        <f>HYPERLINK("https://klasma.github.io/Logging_2510/klagomål/A 39850-2025 FSC-klagomål.docx", "A 39850-2025")</f>
        <v/>
      </c>
      <c r="W54">
        <f>HYPERLINK("https://klasma.github.io/Logging_2510/klagomålsmail/A 39850-2025 FSC-klagomål mail.docx", "A 39850-2025")</f>
        <v/>
      </c>
      <c r="X54">
        <f>HYPERLINK("https://klasma.github.io/Logging_2510/tillsyn/A 39850-2025 tillsynsbegäran.docx", "A 39850-2025")</f>
        <v/>
      </c>
      <c r="Y54">
        <f>HYPERLINK("https://klasma.github.io/Logging_2510/tillsynsmail/A 39850-2025 tillsynsbegäran mail.docx", "A 39850-2025")</f>
        <v/>
      </c>
    </row>
    <row r="55" ht="15" customHeight="1">
      <c r="A55" t="inlineStr">
        <is>
          <t>A 32982-2023</t>
        </is>
      </c>
      <c r="B55" s="1" t="n">
        <v>45113</v>
      </c>
      <c r="C55" s="1" t="n">
        <v>45966</v>
      </c>
      <c r="D55" t="inlineStr">
        <is>
          <t>NORRBOTTENS LÄN</t>
        </is>
      </c>
      <c r="E55" t="inlineStr">
        <is>
          <t>JOKKMOKK</t>
        </is>
      </c>
      <c r="F55" t="inlineStr">
        <is>
          <t>Övriga statliga verk och myndigheter</t>
        </is>
      </c>
      <c r="G55" t="n">
        <v>21</v>
      </c>
      <c r="H55" t="n">
        <v>0</v>
      </c>
      <c r="I55" t="n">
        <v>0</v>
      </c>
      <c r="J55" t="n">
        <v>1</v>
      </c>
      <c r="K55" t="n">
        <v>0</v>
      </c>
      <c r="L55" t="n">
        <v>0</v>
      </c>
      <c r="M55" t="n">
        <v>0</v>
      </c>
      <c r="N55" t="n">
        <v>0</v>
      </c>
      <c r="O55" t="n">
        <v>1</v>
      </c>
      <c r="P55" t="n">
        <v>0</v>
      </c>
      <c r="Q55" t="n">
        <v>1</v>
      </c>
      <c r="R55" s="2" t="inlineStr">
        <is>
          <t>Vitplätt</t>
        </is>
      </c>
      <c r="S55">
        <f>HYPERLINK("https://klasma.github.io/Logging_2510/artfynd/A 32982-2023 artfynd.xlsx", "A 32982-2023")</f>
        <v/>
      </c>
      <c r="T55">
        <f>HYPERLINK("https://klasma.github.io/Logging_2510/kartor/A 32982-2023 karta.png", "A 32982-2023")</f>
        <v/>
      </c>
      <c r="V55">
        <f>HYPERLINK("https://klasma.github.io/Logging_2510/klagomål/A 32982-2023 FSC-klagomål.docx", "A 32982-2023")</f>
        <v/>
      </c>
      <c r="W55">
        <f>HYPERLINK("https://klasma.github.io/Logging_2510/klagomålsmail/A 32982-2023 FSC-klagomål mail.docx", "A 32982-2023")</f>
        <v/>
      </c>
      <c r="X55">
        <f>HYPERLINK("https://klasma.github.io/Logging_2510/tillsyn/A 32982-2023 tillsynsbegäran.docx", "A 32982-2023")</f>
        <v/>
      </c>
      <c r="Y55">
        <f>HYPERLINK("https://klasma.github.io/Logging_2510/tillsynsmail/A 32982-2023 tillsynsbegäran mail.docx", "A 32982-2023")</f>
        <v/>
      </c>
    </row>
    <row r="56" ht="15" customHeight="1">
      <c r="A56" t="inlineStr">
        <is>
          <t>A 52537-2023</t>
        </is>
      </c>
      <c r="B56" s="1" t="n">
        <v>45225</v>
      </c>
      <c r="C56" s="1" t="n">
        <v>45966</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2031-2025</t>
        </is>
      </c>
      <c r="B57" s="1" t="n">
        <v>45672</v>
      </c>
      <c r="C57" s="1" t="n">
        <v>45966</v>
      </c>
      <c r="D57" t="inlineStr">
        <is>
          <t>NORRBOTTENS LÄN</t>
        </is>
      </c>
      <c r="E57" t="inlineStr">
        <is>
          <t>JOKKMOKK</t>
        </is>
      </c>
      <c r="F57" t="inlineStr">
        <is>
          <t>Övriga statliga verk och myndigheter</t>
        </is>
      </c>
      <c r="G57" t="n">
        <v>7.5</v>
      </c>
      <c r="H57" t="n">
        <v>0</v>
      </c>
      <c r="I57" t="n">
        <v>0</v>
      </c>
      <c r="J57" t="n">
        <v>1</v>
      </c>
      <c r="K57" t="n">
        <v>0</v>
      </c>
      <c r="L57" t="n">
        <v>0</v>
      </c>
      <c r="M57" t="n">
        <v>0</v>
      </c>
      <c r="N57" t="n">
        <v>0</v>
      </c>
      <c r="O57" t="n">
        <v>1</v>
      </c>
      <c r="P57" t="n">
        <v>0</v>
      </c>
      <c r="Q57" t="n">
        <v>1</v>
      </c>
      <c r="R57" s="2" t="inlineStr">
        <is>
          <t>Vitplätt</t>
        </is>
      </c>
      <c r="S57">
        <f>HYPERLINK("https://klasma.github.io/Logging_2510/artfynd/A 2031-2025 artfynd.xlsx", "A 2031-2025")</f>
        <v/>
      </c>
      <c r="T57">
        <f>HYPERLINK("https://klasma.github.io/Logging_2510/kartor/A 2031-2025 karta.png", "A 2031-2025")</f>
        <v/>
      </c>
      <c r="V57">
        <f>HYPERLINK("https://klasma.github.io/Logging_2510/klagomål/A 2031-2025 FSC-klagomål.docx", "A 2031-2025")</f>
        <v/>
      </c>
      <c r="W57">
        <f>HYPERLINK("https://klasma.github.io/Logging_2510/klagomålsmail/A 2031-2025 FSC-klagomål mail.docx", "A 2031-2025")</f>
        <v/>
      </c>
      <c r="X57">
        <f>HYPERLINK("https://klasma.github.io/Logging_2510/tillsyn/A 2031-2025 tillsynsbegäran.docx", "A 2031-2025")</f>
        <v/>
      </c>
      <c r="Y57">
        <f>HYPERLINK("https://klasma.github.io/Logging_2510/tillsynsmail/A 2031-2025 tillsynsbegäran mail.docx", "A 2031-2025")</f>
        <v/>
      </c>
    </row>
    <row r="58" ht="15" customHeight="1">
      <c r="A58" t="inlineStr">
        <is>
          <t>A 50391-2025</t>
        </is>
      </c>
      <c r="B58" s="1" t="n">
        <v>45944.61743055555</v>
      </c>
      <c r="C58" s="1" t="n">
        <v>45966</v>
      </c>
      <c r="D58" t="inlineStr">
        <is>
          <t>NORRBOTTENS LÄN</t>
        </is>
      </c>
      <c r="E58" t="inlineStr">
        <is>
          <t>JOKKMOKK</t>
        </is>
      </c>
      <c r="F58" t="inlineStr">
        <is>
          <t>Sveaskog</t>
        </is>
      </c>
      <c r="G58" t="n">
        <v>7.6</v>
      </c>
      <c r="H58" t="n">
        <v>1</v>
      </c>
      <c r="I58" t="n">
        <v>1</v>
      </c>
      <c r="J58" t="n">
        <v>0</v>
      </c>
      <c r="K58" t="n">
        <v>0</v>
      </c>
      <c r="L58" t="n">
        <v>0</v>
      </c>
      <c r="M58" t="n">
        <v>0</v>
      </c>
      <c r="N58" t="n">
        <v>0</v>
      </c>
      <c r="O58" t="n">
        <v>0</v>
      </c>
      <c r="P58" t="n">
        <v>0</v>
      </c>
      <c r="Q58" t="n">
        <v>1</v>
      </c>
      <c r="R58" s="2" t="inlineStr">
        <is>
          <t>Plattlummer</t>
        </is>
      </c>
      <c r="S58">
        <f>HYPERLINK("https://klasma.github.io/Logging_2510/artfynd/A 50391-2025 artfynd.xlsx", "A 50391-2025")</f>
        <v/>
      </c>
      <c r="T58">
        <f>HYPERLINK("https://klasma.github.io/Logging_2510/kartor/A 50391-2025 karta.png", "A 50391-2025")</f>
        <v/>
      </c>
      <c r="V58">
        <f>HYPERLINK("https://klasma.github.io/Logging_2510/klagomål/A 50391-2025 FSC-klagomål.docx", "A 50391-2025")</f>
        <v/>
      </c>
      <c r="W58">
        <f>HYPERLINK("https://klasma.github.io/Logging_2510/klagomålsmail/A 50391-2025 FSC-klagomål mail.docx", "A 50391-2025")</f>
        <v/>
      </c>
      <c r="X58">
        <f>HYPERLINK("https://klasma.github.io/Logging_2510/tillsyn/A 50391-2025 tillsynsbegäran.docx", "A 50391-2025")</f>
        <v/>
      </c>
      <c r="Y58">
        <f>HYPERLINK("https://klasma.github.io/Logging_2510/tillsynsmail/A 50391-2025 tillsynsbegäran mail.docx", "A 50391-2025")</f>
        <v/>
      </c>
    </row>
    <row r="59" ht="15" customHeight="1">
      <c r="A59" t="inlineStr">
        <is>
          <t>A 44234-2025</t>
        </is>
      </c>
      <c r="B59" s="1" t="n">
        <v>45915.65525462963</v>
      </c>
      <c r="C59" s="1" t="n">
        <v>45966</v>
      </c>
      <c r="D59" t="inlineStr">
        <is>
          <t>NORRBOTTENS LÄN</t>
        </is>
      </c>
      <c r="E59" t="inlineStr">
        <is>
          <t>JOKKMOKK</t>
        </is>
      </c>
      <c r="F59" t="inlineStr">
        <is>
          <t>Sveaskog</t>
        </is>
      </c>
      <c r="G59" t="n">
        <v>1.6</v>
      </c>
      <c r="H59" t="n">
        <v>0</v>
      </c>
      <c r="I59" t="n">
        <v>0</v>
      </c>
      <c r="J59" t="n">
        <v>1</v>
      </c>
      <c r="K59" t="n">
        <v>0</v>
      </c>
      <c r="L59" t="n">
        <v>0</v>
      </c>
      <c r="M59" t="n">
        <v>0</v>
      </c>
      <c r="N59" t="n">
        <v>0</v>
      </c>
      <c r="O59" t="n">
        <v>1</v>
      </c>
      <c r="P59" t="n">
        <v>0</v>
      </c>
      <c r="Q59" t="n">
        <v>1</v>
      </c>
      <c r="R59" s="2" t="inlineStr">
        <is>
          <t>Vedflamlav</t>
        </is>
      </c>
      <c r="S59">
        <f>HYPERLINK("https://klasma.github.io/Logging_2510/artfynd/A 44234-2025 artfynd.xlsx", "A 44234-2025")</f>
        <v/>
      </c>
      <c r="T59">
        <f>HYPERLINK("https://klasma.github.io/Logging_2510/kartor/A 44234-2025 karta.png", "A 44234-2025")</f>
        <v/>
      </c>
      <c r="V59">
        <f>HYPERLINK("https://klasma.github.io/Logging_2510/klagomål/A 44234-2025 FSC-klagomål.docx", "A 44234-2025")</f>
        <v/>
      </c>
      <c r="W59">
        <f>HYPERLINK("https://klasma.github.io/Logging_2510/klagomålsmail/A 44234-2025 FSC-klagomål mail.docx", "A 44234-2025")</f>
        <v/>
      </c>
      <c r="X59">
        <f>HYPERLINK("https://klasma.github.io/Logging_2510/tillsyn/A 44234-2025 tillsynsbegäran.docx", "A 44234-2025")</f>
        <v/>
      </c>
      <c r="Y59">
        <f>HYPERLINK("https://klasma.github.io/Logging_2510/tillsynsmail/A 44234-2025 tillsynsbegäran mail.docx", "A 44234-2025")</f>
        <v/>
      </c>
    </row>
    <row r="60" ht="15" customHeight="1">
      <c r="A60" t="inlineStr">
        <is>
          <t>A 44828-2025</t>
        </is>
      </c>
      <c r="B60" s="1" t="n">
        <v>45918.38981481481</v>
      </c>
      <c r="C60" s="1" t="n">
        <v>45966</v>
      </c>
      <c r="D60" t="inlineStr">
        <is>
          <t>NORRBOTTENS LÄN</t>
        </is>
      </c>
      <c r="E60" t="inlineStr">
        <is>
          <t>JOKKMOKK</t>
        </is>
      </c>
      <c r="F60" t="inlineStr">
        <is>
          <t>Sveaskog</t>
        </is>
      </c>
      <c r="G60" t="n">
        <v>35.1</v>
      </c>
      <c r="H60" t="n">
        <v>0</v>
      </c>
      <c r="I60" t="n">
        <v>0</v>
      </c>
      <c r="J60" t="n">
        <v>1</v>
      </c>
      <c r="K60" t="n">
        <v>0</v>
      </c>
      <c r="L60" t="n">
        <v>0</v>
      </c>
      <c r="M60" t="n">
        <v>0</v>
      </c>
      <c r="N60" t="n">
        <v>0</v>
      </c>
      <c r="O60" t="n">
        <v>1</v>
      </c>
      <c r="P60" t="n">
        <v>0</v>
      </c>
      <c r="Q60" t="n">
        <v>1</v>
      </c>
      <c r="R60" s="2" t="inlineStr">
        <is>
          <t>Vitplätt</t>
        </is>
      </c>
      <c r="S60">
        <f>HYPERLINK("https://klasma.github.io/Logging_2510/artfynd/A 44828-2025 artfynd.xlsx", "A 44828-2025")</f>
        <v/>
      </c>
      <c r="T60">
        <f>HYPERLINK("https://klasma.github.io/Logging_2510/kartor/A 44828-2025 karta.png", "A 44828-2025")</f>
        <v/>
      </c>
      <c r="V60">
        <f>HYPERLINK("https://klasma.github.io/Logging_2510/klagomål/A 44828-2025 FSC-klagomål.docx", "A 44828-2025")</f>
        <v/>
      </c>
      <c r="W60">
        <f>HYPERLINK("https://klasma.github.io/Logging_2510/klagomålsmail/A 44828-2025 FSC-klagomål mail.docx", "A 44828-2025")</f>
        <v/>
      </c>
      <c r="X60">
        <f>HYPERLINK("https://klasma.github.io/Logging_2510/tillsyn/A 44828-2025 tillsynsbegäran.docx", "A 44828-2025")</f>
        <v/>
      </c>
      <c r="Y60">
        <f>HYPERLINK("https://klasma.github.io/Logging_2510/tillsynsmail/A 44828-2025 tillsynsbegäran mail.docx", "A 44828-2025")</f>
        <v/>
      </c>
    </row>
    <row r="61" ht="15" customHeight="1">
      <c r="A61" t="inlineStr">
        <is>
          <t>A 44147-2024</t>
        </is>
      </c>
      <c r="B61" s="1" t="n">
        <v>45572.67306712963</v>
      </c>
      <c r="C61" s="1" t="n">
        <v>45966</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45201-2025</t>
        </is>
      </c>
      <c r="B62" s="1" t="n">
        <v>45919.56230324074</v>
      </c>
      <c r="C62" s="1" t="n">
        <v>45966</v>
      </c>
      <c r="D62" t="inlineStr">
        <is>
          <t>NORRBOTTENS LÄN</t>
        </is>
      </c>
      <c r="E62" t="inlineStr">
        <is>
          <t>JOKKMOKK</t>
        </is>
      </c>
      <c r="F62" t="inlineStr">
        <is>
          <t>Sveaskog</t>
        </is>
      </c>
      <c r="G62" t="n">
        <v>21.8</v>
      </c>
      <c r="H62" t="n">
        <v>0</v>
      </c>
      <c r="I62" t="n">
        <v>1</v>
      </c>
      <c r="J62" t="n">
        <v>0</v>
      </c>
      <c r="K62" t="n">
        <v>0</v>
      </c>
      <c r="L62" t="n">
        <v>0</v>
      </c>
      <c r="M62" t="n">
        <v>0</v>
      </c>
      <c r="N62" t="n">
        <v>0</v>
      </c>
      <c r="O62" t="n">
        <v>0</v>
      </c>
      <c r="P62" t="n">
        <v>0</v>
      </c>
      <c r="Q62" t="n">
        <v>1</v>
      </c>
      <c r="R62" s="2" t="inlineStr">
        <is>
          <t>Skarp dropptaggsvamp</t>
        </is>
      </c>
      <c r="S62">
        <f>HYPERLINK("https://klasma.github.io/Logging_2510/artfynd/A 45201-2025 artfynd.xlsx", "A 45201-2025")</f>
        <v/>
      </c>
      <c r="T62">
        <f>HYPERLINK("https://klasma.github.io/Logging_2510/kartor/A 45201-2025 karta.png", "A 45201-2025")</f>
        <v/>
      </c>
      <c r="V62">
        <f>HYPERLINK("https://klasma.github.io/Logging_2510/klagomål/A 45201-2025 FSC-klagomål.docx", "A 45201-2025")</f>
        <v/>
      </c>
      <c r="W62">
        <f>HYPERLINK("https://klasma.github.io/Logging_2510/klagomålsmail/A 45201-2025 FSC-klagomål mail.docx", "A 45201-2025")</f>
        <v/>
      </c>
      <c r="X62">
        <f>HYPERLINK("https://klasma.github.io/Logging_2510/tillsyn/A 45201-2025 tillsynsbegäran.docx", "A 45201-2025")</f>
        <v/>
      </c>
      <c r="Y62">
        <f>HYPERLINK("https://klasma.github.io/Logging_2510/tillsynsmail/A 45201-2025 tillsynsbegäran mail.docx", "A 45201-2025")</f>
        <v/>
      </c>
    </row>
    <row r="63" ht="15" customHeight="1">
      <c r="A63" t="inlineStr">
        <is>
          <t>A 42834-2025</t>
        </is>
      </c>
      <c r="B63" s="1" t="n">
        <v>45908</v>
      </c>
      <c r="C63" s="1" t="n">
        <v>45966</v>
      </c>
      <c r="D63" t="inlineStr">
        <is>
          <t>NORRBOTTENS LÄN</t>
        </is>
      </c>
      <c r="E63" t="inlineStr">
        <is>
          <t>JOKKMOKK</t>
        </is>
      </c>
      <c r="F63" t="inlineStr">
        <is>
          <t>Sveaskog</t>
        </is>
      </c>
      <c r="G63" t="n">
        <v>11.2</v>
      </c>
      <c r="H63" t="n">
        <v>1</v>
      </c>
      <c r="I63" t="n">
        <v>0</v>
      </c>
      <c r="J63" t="n">
        <v>0</v>
      </c>
      <c r="K63" t="n">
        <v>1</v>
      </c>
      <c r="L63" t="n">
        <v>0</v>
      </c>
      <c r="M63" t="n">
        <v>0</v>
      </c>
      <c r="N63" t="n">
        <v>0</v>
      </c>
      <c r="O63" t="n">
        <v>1</v>
      </c>
      <c r="P63" t="n">
        <v>1</v>
      </c>
      <c r="Q63" t="n">
        <v>1</v>
      </c>
      <c r="R63" s="2" t="inlineStr">
        <is>
          <t>Knärot</t>
        </is>
      </c>
      <c r="S63">
        <f>HYPERLINK("https://klasma.github.io/Logging_2510/artfynd/A 42834-2025 artfynd.xlsx", "A 42834-2025")</f>
        <v/>
      </c>
      <c r="T63">
        <f>HYPERLINK("https://klasma.github.io/Logging_2510/kartor/A 42834-2025 karta.png", "A 42834-2025")</f>
        <v/>
      </c>
      <c r="U63">
        <f>HYPERLINK("https://klasma.github.io/Logging_2510/knärot/A 42834-2025 karta knärot.png", "A 42834-2025")</f>
        <v/>
      </c>
      <c r="V63">
        <f>HYPERLINK("https://klasma.github.io/Logging_2510/klagomål/A 42834-2025 FSC-klagomål.docx", "A 42834-2025")</f>
        <v/>
      </c>
      <c r="W63">
        <f>HYPERLINK("https://klasma.github.io/Logging_2510/klagomålsmail/A 42834-2025 FSC-klagomål mail.docx", "A 42834-2025")</f>
        <v/>
      </c>
      <c r="X63">
        <f>HYPERLINK("https://klasma.github.io/Logging_2510/tillsyn/A 42834-2025 tillsynsbegäran.docx", "A 42834-2025")</f>
        <v/>
      </c>
      <c r="Y63">
        <f>HYPERLINK("https://klasma.github.io/Logging_2510/tillsynsmail/A 42834-2025 tillsynsbegäran mail.docx", "A 42834-2025")</f>
        <v/>
      </c>
    </row>
    <row r="64" ht="15" customHeight="1">
      <c r="A64" t="inlineStr">
        <is>
          <t>A 53035-2025</t>
        </is>
      </c>
      <c r="B64" s="1" t="n">
        <v>45958.34751157407</v>
      </c>
      <c r="C64" s="1" t="n">
        <v>45966</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29859-2025</t>
        </is>
      </c>
      <c r="B65" s="1" t="n">
        <v>45826.34621527778</v>
      </c>
      <c r="C65" s="1" t="n">
        <v>45966</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45966</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50121-2024</t>
        </is>
      </c>
      <c r="B67" s="1" t="n">
        <v>45600.42096064815</v>
      </c>
      <c r="C67" s="1" t="n">
        <v>45966</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34135-2025</t>
        </is>
      </c>
      <c r="B68" s="1" t="n">
        <v>45845.5409375</v>
      </c>
      <c r="C68" s="1" t="n">
        <v>45966</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43023-2024</t>
        </is>
      </c>
      <c r="B69" s="1" t="n">
        <v>45567</v>
      </c>
      <c r="C69" s="1" t="n">
        <v>45966</v>
      </c>
      <c r="D69" t="inlineStr">
        <is>
          <t>NORRBOTTENS LÄN</t>
        </is>
      </c>
      <c r="E69" t="inlineStr">
        <is>
          <t>JOKKMOKK</t>
        </is>
      </c>
      <c r="F69" t="inlineStr">
        <is>
          <t>Sveaskog</t>
        </is>
      </c>
      <c r="G69" t="n">
        <v>11.1</v>
      </c>
      <c r="H69" t="n">
        <v>0</v>
      </c>
      <c r="I69" t="n">
        <v>1</v>
      </c>
      <c r="J69" t="n">
        <v>0</v>
      </c>
      <c r="K69" t="n">
        <v>0</v>
      </c>
      <c r="L69" t="n">
        <v>0</v>
      </c>
      <c r="M69" t="n">
        <v>0</v>
      </c>
      <c r="N69" t="n">
        <v>0</v>
      </c>
      <c r="O69" t="n">
        <v>0</v>
      </c>
      <c r="P69" t="n">
        <v>0</v>
      </c>
      <c r="Q69" t="n">
        <v>1</v>
      </c>
      <c r="R69" s="2" t="inlineStr">
        <is>
          <t>Skarp dropptaggsvamp</t>
        </is>
      </c>
      <c r="S69">
        <f>HYPERLINK("https://klasma.github.io/Logging_2510/artfynd/A 43023-2024 artfynd.xlsx", "A 43023-2024")</f>
        <v/>
      </c>
      <c r="T69">
        <f>HYPERLINK("https://klasma.github.io/Logging_2510/kartor/A 43023-2024 karta.png", "A 43023-2024")</f>
        <v/>
      </c>
      <c r="V69">
        <f>HYPERLINK("https://klasma.github.io/Logging_2510/klagomål/A 43023-2024 FSC-klagomål.docx", "A 43023-2024")</f>
        <v/>
      </c>
      <c r="W69">
        <f>HYPERLINK("https://klasma.github.io/Logging_2510/klagomålsmail/A 43023-2024 FSC-klagomål mail.docx", "A 43023-2024")</f>
        <v/>
      </c>
      <c r="X69">
        <f>HYPERLINK("https://klasma.github.io/Logging_2510/tillsyn/A 43023-2024 tillsynsbegäran.docx", "A 43023-2024")</f>
        <v/>
      </c>
      <c r="Y69">
        <f>HYPERLINK("https://klasma.github.io/Logging_2510/tillsynsmail/A 43023-2024 tillsynsbegäran mail.docx", "A 43023-2024")</f>
        <v/>
      </c>
    </row>
    <row r="70" ht="15" customHeight="1">
      <c r="A70" t="inlineStr">
        <is>
          <t>A 52260-2024</t>
        </is>
      </c>
      <c r="B70" s="1" t="n">
        <v>45608</v>
      </c>
      <c r="C70" s="1" t="n">
        <v>45966</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45966</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37252-2025</t>
        </is>
      </c>
      <c r="B72" s="1" t="n">
        <v>45876.4228125</v>
      </c>
      <c r="C72" s="1" t="n">
        <v>45966</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43039-2024</t>
        </is>
      </c>
      <c r="B73" s="1" t="n">
        <v>45567</v>
      </c>
      <c r="C73" s="1" t="n">
        <v>45966</v>
      </c>
      <c r="D73" t="inlineStr">
        <is>
          <t>NORRBOTTENS LÄN</t>
        </is>
      </c>
      <c r="E73" t="inlineStr">
        <is>
          <t>JOKKMOKK</t>
        </is>
      </c>
      <c r="F73" t="inlineStr">
        <is>
          <t>Sveaskog</t>
        </is>
      </c>
      <c r="G73" t="n">
        <v>8.199999999999999</v>
      </c>
      <c r="H73" t="n">
        <v>1</v>
      </c>
      <c r="I73" t="n">
        <v>0</v>
      </c>
      <c r="J73" t="n">
        <v>0</v>
      </c>
      <c r="K73" t="n">
        <v>1</v>
      </c>
      <c r="L73" t="n">
        <v>0</v>
      </c>
      <c r="M73" t="n">
        <v>0</v>
      </c>
      <c r="N73" t="n">
        <v>0</v>
      </c>
      <c r="O73" t="n">
        <v>1</v>
      </c>
      <c r="P73" t="n">
        <v>1</v>
      </c>
      <c r="Q73" t="n">
        <v>1</v>
      </c>
      <c r="R73" s="2" t="inlineStr">
        <is>
          <t>Doftticka</t>
        </is>
      </c>
      <c r="S73">
        <f>HYPERLINK("https://klasma.github.io/Logging_2510/artfynd/A 43039-2024 artfynd.xlsx", "A 43039-2024")</f>
        <v/>
      </c>
      <c r="T73">
        <f>HYPERLINK("https://klasma.github.io/Logging_2510/kartor/A 43039-2024 karta.png", "A 43039-2024")</f>
        <v/>
      </c>
      <c r="V73">
        <f>HYPERLINK("https://klasma.github.io/Logging_2510/klagomål/A 43039-2024 FSC-klagomål.docx", "A 43039-2024")</f>
        <v/>
      </c>
      <c r="W73">
        <f>HYPERLINK("https://klasma.github.io/Logging_2510/klagomålsmail/A 43039-2024 FSC-klagomål mail.docx", "A 43039-2024")</f>
        <v/>
      </c>
      <c r="X73">
        <f>HYPERLINK("https://klasma.github.io/Logging_2510/tillsyn/A 43039-2024 tillsynsbegäran.docx", "A 43039-2024")</f>
        <v/>
      </c>
      <c r="Y73">
        <f>HYPERLINK("https://klasma.github.io/Logging_2510/tillsynsmail/A 43039-2024 tillsynsbegäran mail.docx", "A 43039-2024")</f>
        <v/>
      </c>
    </row>
    <row r="74" ht="15" customHeight="1">
      <c r="A74" t="inlineStr">
        <is>
          <t>A 72480-2021</t>
        </is>
      </c>
      <c r="B74" s="1" t="n">
        <v>44545</v>
      </c>
      <c r="C74" s="1" t="n">
        <v>45966</v>
      </c>
      <c r="D74" t="inlineStr">
        <is>
          <t>NORRBOTTENS LÄN</t>
        </is>
      </c>
      <c r="E74" t="inlineStr">
        <is>
          <t>JOKKMOKK</t>
        </is>
      </c>
      <c r="G74" t="n">
        <v>8.800000000000001</v>
      </c>
      <c r="H74" t="n">
        <v>0</v>
      </c>
      <c r="I74" t="n">
        <v>0</v>
      </c>
      <c r="J74" t="n">
        <v>1</v>
      </c>
      <c r="K74" t="n">
        <v>0</v>
      </c>
      <c r="L74" t="n">
        <v>0</v>
      </c>
      <c r="M74" t="n">
        <v>0</v>
      </c>
      <c r="N74" t="n">
        <v>0</v>
      </c>
      <c r="O74" t="n">
        <v>1</v>
      </c>
      <c r="P74" t="n">
        <v>0</v>
      </c>
      <c r="Q74" t="n">
        <v>1</v>
      </c>
      <c r="R74" s="2" t="inlineStr">
        <is>
          <t>Dvärgbägarlav</t>
        </is>
      </c>
      <c r="S74">
        <f>HYPERLINK("https://klasma.github.io/Logging_2510/artfynd/A 72480-2021 artfynd.xlsx", "A 72480-2021")</f>
        <v/>
      </c>
      <c r="T74">
        <f>HYPERLINK("https://klasma.github.io/Logging_2510/kartor/A 72480-2021 karta.png", "A 72480-2021")</f>
        <v/>
      </c>
      <c r="V74">
        <f>HYPERLINK("https://klasma.github.io/Logging_2510/klagomål/A 72480-2021 FSC-klagomål.docx", "A 72480-2021")</f>
        <v/>
      </c>
      <c r="W74">
        <f>HYPERLINK("https://klasma.github.io/Logging_2510/klagomålsmail/A 72480-2021 FSC-klagomål mail.docx", "A 72480-2021")</f>
        <v/>
      </c>
      <c r="X74">
        <f>HYPERLINK("https://klasma.github.io/Logging_2510/tillsyn/A 72480-2021 tillsynsbegäran.docx", "A 72480-2021")</f>
        <v/>
      </c>
      <c r="Y74">
        <f>HYPERLINK("https://klasma.github.io/Logging_2510/tillsynsmail/A 72480-2021 tillsynsbegäran mail.docx", "A 72480-2021")</f>
        <v/>
      </c>
    </row>
    <row r="75" ht="15" customHeight="1">
      <c r="A75" t="inlineStr">
        <is>
          <t>A 40466-2023</t>
        </is>
      </c>
      <c r="B75" s="1" t="n">
        <v>45170</v>
      </c>
      <c r="C75" s="1" t="n">
        <v>45966</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38039-2021</t>
        </is>
      </c>
      <c r="B76" s="1" t="n">
        <v>44404</v>
      </c>
      <c r="C76" s="1" t="n">
        <v>45966</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40248-2022</t>
        </is>
      </c>
      <c r="B77" s="1" t="n">
        <v>44820</v>
      </c>
      <c r="C77" s="1" t="n">
        <v>45966</v>
      </c>
      <c r="D77" t="inlineStr">
        <is>
          <t>NORRBOTTENS LÄN</t>
        </is>
      </c>
      <c r="E77" t="inlineStr">
        <is>
          <t>JOKKMOKK</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17000-2022</t>
        </is>
      </c>
      <c r="B78" s="1" t="n">
        <v>44676</v>
      </c>
      <c r="C78" s="1" t="n">
        <v>45966</v>
      </c>
      <c r="D78" t="inlineStr">
        <is>
          <t>NORRBOTTENS LÄN</t>
        </is>
      </c>
      <c r="E78" t="inlineStr">
        <is>
          <t>JOKKMOKK</t>
        </is>
      </c>
      <c r="G78" t="n">
        <v>36.6</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45966</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45966</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45966</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45966</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45966</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45966</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45966</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45966</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45966</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45966</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45966</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37798-2022</t>
        </is>
      </c>
      <c r="B90" s="1" t="n">
        <v>44810</v>
      </c>
      <c r="C90" s="1" t="n">
        <v>45966</v>
      </c>
      <c r="D90" t="inlineStr">
        <is>
          <t>NORRBOTTENS LÄN</t>
        </is>
      </c>
      <c r="E90" t="inlineStr">
        <is>
          <t>JOKKMOKK</t>
        </is>
      </c>
      <c r="G90" t="n">
        <v>0.3</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45966</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45966</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45966</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29955-2021</t>
        </is>
      </c>
      <c r="B94" s="1" t="n">
        <v>44362</v>
      </c>
      <c r="C94" s="1" t="n">
        <v>45966</v>
      </c>
      <c r="D94" t="inlineStr">
        <is>
          <t>NORRBOTTENS LÄN</t>
        </is>
      </c>
      <c r="E94" t="inlineStr">
        <is>
          <t>JOKKMOKK</t>
        </is>
      </c>
      <c r="G94" t="n">
        <v>14.1</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45966</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45966</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45966</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45966</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45966</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45966</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45966</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45966</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45966</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45966</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45966</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45966</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45966</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3771-2022</t>
        </is>
      </c>
      <c r="B108" s="1" t="n">
        <v>44586</v>
      </c>
      <c r="C108" s="1" t="n">
        <v>45966</v>
      </c>
      <c r="D108" t="inlineStr">
        <is>
          <t>NORRBOTTENS LÄN</t>
        </is>
      </c>
      <c r="E108" t="inlineStr">
        <is>
          <t>JOKKMOKK</t>
        </is>
      </c>
      <c r="F108" t="inlineStr">
        <is>
          <t>SCA</t>
        </is>
      </c>
      <c r="G108" t="n">
        <v>10</v>
      </c>
      <c r="H108" t="n">
        <v>0</v>
      </c>
      <c r="I108" t="n">
        <v>0</v>
      </c>
      <c r="J108" t="n">
        <v>0</v>
      </c>
      <c r="K108" t="n">
        <v>0</v>
      </c>
      <c r="L108" t="n">
        <v>0</v>
      </c>
      <c r="M108" t="n">
        <v>0</v>
      </c>
      <c r="N108" t="n">
        <v>0</v>
      </c>
      <c r="O108" t="n">
        <v>0</v>
      </c>
      <c r="P108" t="n">
        <v>0</v>
      </c>
      <c r="Q108" t="n">
        <v>0</v>
      </c>
      <c r="R108" s="2" t="inlineStr"/>
    </row>
    <row r="109" ht="15" customHeight="1">
      <c r="A109" t="inlineStr">
        <is>
          <t>A 29073-2021</t>
        </is>
      </c>
      <c r="B109" s="1" t="n">
        <v>44358</v>
      </c>
      <c r="C109" s="1" t="n">
        <v>45966</v>
      </c>
      <c r="D109" t="inlineStr">
        <is>
          <t>NORRBOTTENS LÄN</t>
        </is>
      </c>
      <c r="E109" t="inlineStr">
        <is>
          <t>JOKKMOKK</t>
        </is>
      </c>
      <c r="F109" t="inlineStr">
        <is>
          <t>Sveaskog</t>
        </is>
      </c>
      <c r="G109" t="n">
        <v>9.6</v>
      </c>
      <c r="H109" t="n">
        <v>0</v>
      </c>
      <c r="I109" t="n">
        <v>0</v>
      </c>
      <c r="J109" t="n">
        <v>0</v>
      </c>
      <c r="K109" t="n">
        <v>0</v>
      </c>
      <c r="L109" t="n">
        <v>0</v>
      </c>
      <c r="M109" t="n">
        <v>0</v>
      </c>
      <c r="N109" t="n">
        <v>0</v>
      </c>
      <c r="O109" t="n">
        <v>0</v>
      </c>
      <c r="P109" t="n">
        <v>0</v>
      </c>
      <c r="Q109" t="n">
        <v>0</v>
      </c>
      <c r="R109" s="2" t="inlineStr"/>
    </row>
    <row r="110" ht="15" customHeight="1">
      <c r="A110" t="inlineStr">
        <is>
          <t>A 1631-2022</t>
        </is>
      </c>
      <c r="B110" s="1" t="n">
        <v>44573</v>
      </c>
      <c r="C110" s="1" t="n">
        <v>45966</v>
      </c>
      <c r="D110" t="inlineStr">
        <is>
          <t>NORRBOTTENS LÄN</t>
        </is>
      </c>
      <c r="E110" t="inlineStr">
        <is>
          <t>JOKKMOKK</t>
        </is>
      </c>
      <c r="F110" t="inlineStr">
        <is>
          <t>SCA</t>
        </is>
      </c>
      <c r="G110" t="n">
        <v>7.1</v>
      </c>
      <c r="H110" t="n">
        <v>0</v>
      </c>
      <c r="I110" t="n">
        <v>0</v>
      </c>
      <c r="J110" t="n">
        <v>0</v>
      </c>
      <c r="K110" t="n">
        <v>0</v>
      </c>
      <c r="L110" t="n">
        <v>0</v>
      </c>
      <c r="M110" t="n">
        <v>0</v>
      </c>
      <c r="N110" t="n">
        <v>0</v>
      </c>
      <c r="O110" t="n">
        <v>0</v>
      </c>
      <c r="P110" t="n">
        <v>0</v>
      </c>
      <c r="Q110" t="n">
        <v>0</v>
      </c>
      <c r="R110" s="2" t="inlineStr"/>
    </row>
    <row r="111" ht="15" customHeight="1">
      <c r="A111" t="inlineStr">
        <is>
          <t>A 65652-2020</t>
        </is>
      </c>
      <c r="B111" s="1" t="n">
        <v>44172</v>
      </c>
      <c r="C111" s="1" t="n">
        <v>45966</v>
      </c>
      <c r="D111" t="inlineStr">
        <is>
          <t>NORRBOTTENS LÄN</t>
        </is>
      </c>
      <c r="E111" t="inlineStr">
        <is>
          <t>JOKKMOKK</t>
        </is>
      </c>
      <c r="G111" t="n">
        <v>6.2</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45966</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45966</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40129-2022</t>
        </is>
      </c>
      <c r="B114" s="1" t="n">
        <v>44820</v>
      </c>
      <c r="C114" s="1" t="n">
        <v>45966</v>
      </c>
      <c r="D114" t="inlineStr">
        <is>
          <t>NORRBOTTENS LÄN</t>
        </is>
      </c>
      <c r="E114" t="inlineStr">
        <is>
          <t>JOKKMOKK</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39784-2021</t>
        </is>
      </c>
      <c r="B115" s="1" t="n">
        <v>44417</v>
      </c>
      <c r="C115" s="1" t="n">
        <v>45966</v>
      </c>
      <c r="D115" t="inlineStr">
        <is>
          <t>NORRBOTTENS LÄN</t>
        </is>
      </c>
      <c r="E115" t="inlineStr">
        <is>
          <t>JOKKMOKK</t>
        </is>
      </c>
      <c r="F115" t="inlineStr">
        <is>
          <t>Naturvårdsverket</t>
        </is>
      </c>
      <c r="G115" t="n">
        <v>1.2</v>
      </c>
      <c r="H115" t="n">
        <v>0</v>
      </c>
      <c r="I115" t="n">
        <v>0</v>
      </c>
      <c r="J115" t="n">
        <v>0</v>
      </c>
      <c r="K115" t="n">
        <v>0</v>
      </c>
      <c r="L115" t="n">
        <v>0</v>
      </c>
      <c r="M115" t="n">
        <v>0</v>
      </c>
      <c r="N115" t="n">
        <v>0</v>
      </c>
      <c r="O115" t="n">
        <v>0</v>
      </c>
      <c r="P115" t="n">
        <v>0</v>
      </c>
      <c r="Q115" t="n">
        <v>0</v>
      </c>
      <c r="R115" s="2" t="inlineStr"/>
    </row>
    <row r="116" ht="15" customHeight="1">
      <c r="A116" t="inlineStr">
        <is>
          <t>A 62757-2020</t>
        </is>
      </c>
      <c r="B116" s="1" t="n">
        <v>44161</v>
      </c>
      <c r="C116" s="1" t="n">
        <v>45966</v>
      </c>
      <c r="D116" t="inlineStr">
        <is>
          <t>NORRBOTTENS LÄN</t>
        </is>
      </c>
      <c r="E116" t="inlineStr">
        <is>
          <t>JOKKMOKK</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71370-2021</t>
        </is>
      </c>
      <c r="B117" s="1" t="n">
        <v>44539</v>
      </c>
      <c r="C117" s="1" t="n">
        <v>45966</v>
      </c>
      <c r="D117" t="inlineStr">
        <is>
          <t>NORRBOTTENS LÄN</t>
        </is>
      </c>
      <c r="E117" t="inlineStr">
        <is>
          <t>JOKKMOKK</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45966</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65542-2020</t>
        </is>
      </c>
      <c r="B119" s="1" t="n">
        <v>44173</v>
      </c>
      <c r="C119" s="1" t="n">
        <v>45966</v>
      </c>
      <c r="D119" t="inlineStr">
        <is>
          <t>NORRBOTTENS LÄN</t>
        </is>
      </c>
      <c r="E119" t="inlineStr">
        <is>
          <t>JOKKMOKK</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45966</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40771-2023</t>
        </is>
      </c>
      <c r="B121" s="1" t="n">
        <v>45170.95657407407</v>
      </c>
      <c r="C121" s="1" t="n">
        <v>45966</v>
      </c>
      <c r="D121" t="inlineStr">
        <is>
          <t>NORRBOTTENS LÄN</t>
        </is>
      </c>
      <c r="E121" t="inlineStr">
        <is>
          <t>JOKKMOKK</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6778-2023</t>
        </is>
      </c>
      <c r="B122" s="1" t="n">
        <v>44966</v>
      </c>
      <c r="C122" s="1" t="n">
        <v>45966</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9860-2023</t>
        </is>
      </c>
      <c r="B123" s="1" t="n">
        <v>44984</v>
      </c>
      <c r="C123" s="1" t="n">
        <v>45966</v>
      </c>
      <c r="D123" t="inlineStr">
        <is>
          <t>NORRBOTTENS LÄN</t>
        </is>
      </c>
      <c r="E123" t="inlineStr">
        <is>
          <t>JOKKMOKK</t>
        </is>
      </c>
      <c r="F123" t="inlineStr">
        <is>
          <t>SCA</t>
        </is>
      </c>
      <c r="G123" t="n">
        <v>8</v>
      </c>
      <c r="H123" t="n">
        <v>0</v>
      </c>
      <c r="I123" t="n">
        <v>0</v>
      </c>
      <c r="J123" t="n">
        <v>0</v>
      </c>
      <c r="K123" t="n">
        <v>0</v>
      </c>
      <c r="L123" t="n">
        <v>0</v>
      </c>
      <c r="M123" t="n">
        <v>0</v>
      </c>
      <c r="N123" t="n">
        <v>0</v>
      </c>
      <c r="O123" t="n">
        <v>0</v>
      </c>
      <c r="P123" t="n">
        <v>0</v>
      </c>
      <c r="Q123" t="n">
        <v>0</v>
      </c>
      <c r="R123" s="2" t="inlineStr"/>
    </row>
    <row r="124" ht="15" customHeight="1">
      <c r="A124" t="inlineStr">
        <is>
          <t>A 9863-2023</t>
        </is>
      </c>
      <c r="B124" s="1" t="n">
        <v>44984</v>
      </c>
      <c r="C124" s="1" t="n">
        <v>45966</v>
      </c>
      <c r="D124" t="inlineStr">
        <is>
          <t>NORRBOTTENS LÄN</t>
        </is>
      </c>
      <c r="E124" t="inlineStr">
        <is>
          <t>JOKKMOKK</t>
        </is>
      </c>
      <c r="F124" t="inlineStr">
        <is>
          <t>SCA</t>
        </is>
      </c>
      <c r="G124" t="n">
        <v>14.4</v>
      </c>
      <c r="H124" t="n">
        <v>0</v>
      </c>
      <c r="I124" t="n">
        <v>0</v>
      </c>
      <c r="J124" t="n">
        <v>0</v>
      </c>
      <c r="K124" t="n">
        <v>0</v>
      </c>
      <c r="L124" t="n">
        <v>0</v>
      </c>
      <c r="M124" t="n">
        <v>0</v>
      </c>
      <c r="N124" t="n">
        <v>0</v>
      </c>
      <c r="O124" t="n">
        <v>0</v>
      </c>
      <c r="P124" t="n">
        <v>0</v>
      </c>
      <c r="Q124" t="n">
        <v>0</v>
      </c>
      <c r="R124" s="2" t="inlineStr"/>
    </row>
    <row r="125" ht="15" customHeight="1">
      <c r="A125" t="inlineStr">
        <is>
          <t>A 9872-2023</t>
        </is>
      </c>
      <c r="B125" s="1" t="n">
        <v>44984</v>
      </c>
      <c r="C125" s="1" t="n">
        <v>45966</v>
      </c>
      <c r="D125" t="inlineStr">
        <is>
          <t>NORRBOTTENS LÄN</t>
        </is>
      </c>
      <c r="E125" t="inlineStr">
        <is>
          <t>JOKKMOKK</t>
        </is>
      </c>
      <c r="F125" t="inlineStr">
        <is>
          <t>SCA</t>
        </is>
      </c>
      <c r="G125" t="n">
        <v>3</v>
      </c>
      <c r="H125" t="n">
        <v>0</v>
      </c>
      <c r="I125" t="n">
        <v>0</v>
      </c>
      <c r="J125" t="n">
        <v>0</v>
      </c>
      <c r="K125" t="n">
        <v>0</v>
      </c>
      <c r="L125" t="n">
        <v>0</v>
      </c>
      <c r="M125" t="n">
        <v>0</v>
      </c>
      <c r="N125" t="n">
        <v>0</v>
      </c>
      <c r="O125" t="n">
        <v>0</v>
      </c>
      <c r="P125" t="n">
        <v>0</v>
      </c>
      <c r="Q125" t="n">
        <v>0</v>
      </c>
      <c r="R125" s="2" t="inlineStr"/>
    </row>
    <row r="126" ht="15" customHeight="1">
      <c r="A126" t="inlineStr">
        <is>
          <t>A 9873-2023</t>
        </is>
      </c>
      <c r="B126" s="1" t="n">
        <v>44984</v>
      </c>
      <c r="C126" s="1" t="n">
        <v>45966</v>
      </c>
      <c r="D126" t="inlineStr">
        <is>
          <t>NORRBOTTENS LÄN</t>
        </is>
      </c>
      <c r="E126" t="inlineStr">
        <is>
          <t>JOKKMOKK</t>
        </is>
      </c>
      <c r="G126" t="n">
        <v>1.6</v>
      </c>
      <c r="H126" t="n">
        <v>0</v>
      </c>
      <c r="I126" t="n">
        <v>0</v>
      </c>
      <c r="J126" t="n">
        <v>0</v>
      </c>
      <c r="K126" t="n">
        <v>0</v>
      </c>
      <c r="L126" t="n">
        <v>0</v>
      </c>
      <c r="M126" t="n">
        <v>0</v>
      </c>
      <c r="N126" t="n">
        <v>0</v>
      </c>
      <c r="O126" t="n">
        <v>0</v>
      </c>
      <c r="P126" t="n">
        <v>0</v>
      </c>
      <c r="Q126" t="n">
        <v>0</v>
      </c>
      <c r="R126" s="2" t="inlineStr"/>
    </row>
    <row r="127" ht="15" customHeight="1">
      <c r="A127" t="inlineStr">
        <is>
          <t>A 9877-2023</t>
        </is>
      </c>
      <c r="B127" s="1" t="n">
        <v>44984.94033564815</v>
      </c>
      <c r="C127" s="1" t="n">
        <v>45966</v>
      </c>
      <c r="D127" t="inlineStr">
        <is>
          <t>NORRBOTTENS LÄN</t>
        </is>
      </c>
      <c r="E127" t="inlineStr">
        <is>
          <t>JOKKMOKK</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13863-2025</t>
        </is>
      </c>
      <c r="B128" s="1" t="n">
        <v>45737.57435185185</v>
      </c>
      <c r="C128" s="1" t="n">
        <v>45966</v>
      </c>
      <c r="D128" t="inlineStr">
        <is>
          <t>NORRBOTTENS LÄN</t>
        </is>
      </c>
      <c r="E128" t="inlineStr">
        <is>
          <t>JOKKMOKK</t>
        </is>
      </c>
      <c r="G128" t="n">
        <v>0.9</v>
      </c>
      <c r="H128" t="n">
        <v>0</v>
      </c>
      <c r="I128" t="n">
        <v>0</v>
      </c>
      <c r="J128" t="n">
        <v>0</v>
      </c>
      <c r="K128" t="n">
        <v>0</v>
      </c>
      <c r="L128" t="n">
        <v>0</v>
      </c>
      <c r="M128" t="n">
        <v>0</v>
      </c>
      <c r="N128" t="n">
        <v>0</v>
      </c>
      <c r="O128" t="n">
        <v>0</v>
      </c>
      <c r="P128" t="n">
        <v>0</v>
      </c>
      <c r="Q128" t="n">
        <v>0</v>
      </c>
      <c r="R128" s="2" t="inlineStr"/>
    </row>
    <row r="129" ht="15" customHeight="1">
      <c r="A129" t="inlineStr">
        <is>
          <t>A 13864-2025</t>
        </is>
      </c>
      <c r="B129" s="1" t="n">
        <v>45737.57438657407</v>
      </c>
      <c r="C129" s="1" t="n">
        <v>45966</v>
      </c>
      <c r="D129" t="inlineStr">
        <is>
          <t>NORRBOTTENS LÄN</t>
        </is>
      </c>
      <c r="E129" t="inlineStr">
        <is>
          <t>JOKKMOKK</t>
        </is>
      </c>
      <c r="G129" t="n">
        <v>1.7</v>
      </c>
      <c r="H129" t="n">
        <v>0</v>
      </c>
      <c r="I129" t="n">
        <v>0</v>
      </c>
      <c r="J129" t="n">
        <v>0</v>
      </c>
      <c r="K129" t="n">
        <v>0</v>
      </c>
      <c r="L129" t="n">
        <v>0</v>
      </c>
      <c r="M129" t="n">
        <v>0</v>
      </c>
      <c r="N129" t="n">
        <v>0</v>
      </c>
      <c r="O129" t="n">
        <v>0</v>
      </c>
      <c r="P129" t="n">
        <v>0</v>
      </c>
      <c r="Q129" t="n">
        <v>0</v>
      </c>
      <c r="R129" s="2" t="inlineStr"/>
    </row>
    <row r="130" ht="15" customHeight="1">
      <c r="A130" t="inlineStr">
        <is>
          <t>A 71927-2021</t>
        </is>
      </c>
      <c r="B130" s="1" t="n">
        <v>44543.94331018518</v>
      </c>
      <c r="C130" s="1" t="n">
        <v>45966</v>
      </c>
      <c r="D130" t="inlineStr">
        <is>
          <t>NORRBOTTENS LÄN</t>
        </is>
      </c>
      <c r="E130" t="inlineStr">
        <is>
          <t>JOKKMOKK</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71937-2021</t>
        </is>
      </c>
      <c r="B131" s="1" t="n">
        <v>44543.94414351852</v>
      </c>
      <c r="C131" s="1" t="n">
        <v>45966</v>
      </c>
      <c r="D131" t="inlineStr">
        <is>
          <t>NORRBOTTENS LÄN</t>
        </is>
      </c>
      <c r="E131" t="inlineStr">
        <is>
          <t>JOKKMOKK</t>
        </is>
      </c>
      <c r="F131" t="inlineStr">
        <is>
          <t>Naturvårdsverket</t>
        </is>
      </c>
      <c r="G131" t="n">
        <v>11</v>
      </c>
      <c r="H131" t="n">
        <v>0</v>
      </c>
      <c r="I131" t="n">
        <v>0</v>
      </c>
      <c r="J131" t="n">
        <v>0</v>
      </c>
      <c r="K131" t="n">
        <v>0</v>
      </c>
      <c r="L131" t="n">
        <v>0</v>
      </c>
      <c r="M131" t="n">
        <v>0</v>
      </c>
      <c r="N131" t="n">
        <v>0</v>
      </c>
      <c r="O131" t="n">
        <v>0</v>
      </c>
      <c r="P131" t="n">
        <v>0</v>
      </c>
      <c r="Q131" t="n">
        <v>0</v>
      </c>
      <c r="R131" s="2" t="inlineStr"/>
    </row>
    <row r="132" ht="15" customHeight="1">
      <c r="A132" t="inlineStr">
        <is>
          <t>A 30313-2024</t>
        </is>
      </c>
      <c r="B132" s="1" t="n">
        <v>45490</v>
      </c>
      <c r="C132" s="1" t="n">
        <v>45966</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36607-2021</t>
        </is>
      </c>
      <c r="B133" s="1" t="n">
        <v>44391</v>
      </c>
      <c r="C133" s="1" t="n">
        <v>45966</v>
      </c>
      <c r="D133" t="inlineStr">
        <is>
          <t>NORRBOTTENS LÄN</t>
        </is>
      </c>
      <c r="E133" t="inlineStr">
        <is>
          <t>JOKKMOKK</t>
        </is>
      </c>
      <c r="F133" t="inlineStr">
        <is>
          <t>Allmännings- och besparingsskogar</t>
        </is>
      </c>
      <c r="G133" t="n">
        <v>9.5</v>
      </c>
      <c r="H133" t="n">
        <v>0</v>
      </c>
      <c r="I133" t="n">
        <v>0</v>
      </c>
      <c r="J133" t="n">
        <v>0</v>
      </c>
      <c r="K133" t="n">
        <v>0</v>
      </c>
      <c r="L133" t="n">
        <v>0</v>
      </c>
      <c r="M133" t="n">
        <v>0</v>
      </c>
      <c r="N133" t="n">
        <v>0</v>
      </c>
      <c r="O133" t="n">
        <v>0</v>
      </c>
      <c r="P133" t="n">
        <v>0</v>
      </c>
      <c r="Q133" t="n">
        <v>0</v>
      </c>
      <c r="R133" s="2" t="inlineStr"/>
    </row>
    <row r="134" ht="15" customHeight="1">
      <c r="A134" t="inlineStr">
        <is>
          <t>A 18903-2025</t>
        </is>
      </c>
      <c r="B134" s="1" t="n">
        <v>45764.46019675926</v>
      </c>
      <c r="C134" s="1" t="n">
        <v>45966</v>
      </c>
      <c r="D134" t="inlineStr">
        <is>
          <t>NORRBOTTENS LÄN</t>
        </is>
      </c>
      <c r="E134" t="inlineStr">
        <is>
          <t>JOKKMOKK</t>
        </is>
      </c>
      <c r="G134" t="n">
        <v>9.1</v>
      </c>
      <c r="H134" t="n">
        <v>0</v>
      </c>
      <c r="I134" t="n">
        <v>0</v>
      </c>
      <c r="J134" t="n">
        <v>0</v>
      </c>
      <c r="K134" t="n">
        <v>0</v>
      </c>
      <c r="L134" t="n">
        <v>0</v>
      </c>
      <c r="M134" t="n">
        <v>0</v>
      </c>
      <c r="N134" t="n">
        <v>0</v>
      </c>
      <c r="O134" t="n">
        <v>0</v>
      </c>
      <c r="P134" t="n">
        <v>0</v>
      </c>
      <c r="Q134" t="n">
        <v>0</v>
      </c>
      <c r="R134" s="2" t="inlineStr"/>
    </row>
    <row r="135" ht="15" customHeight="1">
      <c r="A135" t="inlineStr">
        <is>
          <t>A 50436-2024</t>
        </is>
      </c>
      <c r="B135" s="1" t="n">
        <v>45601.4096875</v>
      </c>
      <c r="C135" s="1" t="n">
        <v>45966</v>
      </c>
      <c r="D135" t="inlineStr">
        <is>
          <t>NORRBOTTENS LÄN</t>
        </is>
      </c>
      <c r="E135" t="inlineStr">
        <is>
          <t>JOKKMOKK</t>
        </is>
      </c>
      <c r="F135" t="inlineStr">
        <is>
          <t>Allmännings- och besparingsskogar</t>
        </is>
      </c>
      <c r="G135" t="n">
        <v>6.5</v>
      </c>
      <c r="H135" t="n">
        <v>0</v>
      </c>
      <c r="I135" t="n">
        <v>0</v>
      </c>
      <c r="J135" t="n">
        <v>0</v>
      </c>
      <c r="K135" t="n">
        <v>0</v>
      </c>
      <c r="L135" t="n">
        <v>0</v>
      </c>
      <c r="M135" t="n">
        <v>0</v>
      </c>
      <c r="N135" t="n">
        <v>0</v>
      </c>
      <c r="O135" t="n">
        <v>0</v>
      </c>
      <c r="P135" t="n">
        <v>0</v>
      </c>
      <c r="Q135" t="n">
        <v>0</v>
      </c>
      <c r="R135" s="2" t="inlineStr"/>
    </row>
    <row r="136" ht="15" customHeight="1">
      <c r="A136" t="inlineStr">
        <is>
          <t>A 50820-2024</t>
        </is>
      </c>
      <c r="B136" s="1" t="n">
        <v>45602</v>
      </c>
      <c r="C136" s="1" t="n">
        <v>45966</v>
      </c>
      <c r="D136" t="inlineStr">
        <is>
          <t>NORRBOTTENS LÄN</t>
        </is>
      </c>
      <c r="E136" t="inlineStr">
        <is>
          <t>JOKKMOKK</t>
        </is>
      </c>
      <c r="F136" t="inlineStr">
        <is>
          <t>Allmännings- och besparingsskogar</t>
        </is>
      </c>
      <c r="G136" t="n">
        <v>4</v>
      </c>
      <c r="H136" t="n">
        <v>0</v>
      </c>
      <c r="I136" t="n">
        <v>0</v>
      </c>
      <c r="J136" t="n">
        <v>0</v>
      </c>
      <c r="K136" t="n">
        <v>0</v>
      </c>
      <c r="L136" t="n">
        <v>0</v>
      </c>
      <c r="M136" t="n">
        <v>0</v>
      </c>
      <c r="N136" t="n">
        <v>0</v>
      </c>
      <c r="O136" t="n">
        <v>0</v>
      </c>
      <c r="P136" t="n">
        <v>0</v>
      </c>
      <c r="Q136" t="n">
        <v>0</v>
      </c>
      <c r="R136" s="2" t="inlineStr"/>
    </row>
    <row r="137" ht="15" customHeight="1">
      <c r="A137" t="inlineStr">
        <is>
          <t>A 59793-2024</t>
        </is>
      </c>
      <c r="B137" s="1" t="n">
        <v>45639.58967592593</v>
      </c>
      <c r="C137" s="1" t="n">
        <v>45966</v>
      </c>
      <c r="D137" t="inlineStr">
        <is>
          <t>NORRBOTTENS LÄN</t>
        </is>
      </c>
      <c r="E137" t="inlineStr">
        <is>
          <t>JOKKMOKK</t>
        </is>
      </c>
      <c r="F137" t="inlineStr">
        <is>
          <t>Sveaskog</t>
        </is>
      </c>
      <c r="G137" t="n">
        <v>10.8</v>
      </c>
      <c r="H137" t="n">
        <v>0</v>
      </c>
      <c r="I137" t="n">
        <v>0</v>
      </c>
      <c r="J137" t="n">
        <v>0</v>
      </c>
      <c r="K137" t="n">
        <v>0</v>
      </c>
      <c r="L137" t="n">
        <v>0</v>
      </c>
      <c r="M137" t="n">
        <v>0</v>
      </c>
      <c r="N137" t="n">
        <v>0</v>
      </c>
      <c r="O137" t="n">
        <v>0</v>
      </c>
      <c r="P137" t="n">
        <v>0</v>
      </c>
      <c r="Q137" t="n">
        <v>0</v>
      </c>
      <c r="R137" s="2" t="inlineStr"/>
    </row>
    <row r="138" ht="15" customHeight="1">
      <c r="A138" t="inlineStr">
        <is>
          <t>A 38595-2025</t>
        </is>
      </c>
      <c r="B138" s="1" t="n">
        <v>45884.49027777778</v>
      </c>
      <c r="C138" s="1" t="n">
        <v>45966</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46652-2025</t>
        </is>
      </c>
      <c r="B139" s="1" t="n">
        <v>45926.49003472222</v>
      </c>
      <c r="C139" s="1" t="n">
        <v>45966</v>
      </c>
      <c r="D139" t="inlineStr">
        <is>
          <t>NORRBOTTENS LÄN</t>
        </is>
      </c>
      <c r="E139" t="inlineStr">
        <is>
          <t>JOKKMOKK</t>
        </is>
      </c>
      <c r="F139" t="inlineStr">
        <is>
          <t>SCA</t>
        </is>
      </c>
      <c r="G139" t="n">
        <v>5.3</v>
      </c>
      <c r="H139" t="n">
        <v>0</v>
      </c>
      <c r="I139" t="n">
        <v>0</v>
      </c>
      <c r="J139" t="n">
        <v>0</v>
      </c>
      <c r="K139" t="n">
        <v>0</v>
      </c>
      <c r="L139" t="n">
        <v>0</v>
      </c>
      <c r="M139" t="n">
        <v>0</v>
      </c>
      <c r="N139" t="n">
        <v>0</v>
      </c>
      <c r="O139" t="n">
        <v>0</v>
      </c>
      <c r="P139" t="n">
        <v>0</v>
      </c>
      <c r="Q139" t="n">
        <v>0</v>
      </c>
      <c r="R139" s="2" t="inlineStr"/>
    </row>
    <row r="140" ht="15" customHeight="1">
      <c r="A140" t="inlineStr">
        <is>
          <t>A 8360-2021</t>
        </is>
      </c>
      <c r="B140" s="1" t="n">
        <v>44244</v>
      </c>
      <c r="C140" s="1" t="n">
        <v>45966</v>
      </c>
      <c r="D140" t="inlineStr">
        <is>
          <t>NORRBOTTENS LÄN</t>
        </is>
      </c>
      <c r="E140" t="inlineStr">
        <is>
          <t>JOKKMOKK</t>
        </is>
      </c>
      <c r="F140" t="inlineStr">
        <is>
          <t>SCA</t>
        </is>
      </c>
      <c r="G140" t="n">
        <v>5</v>
      </c>
      <c r="H140" t="n">
        <v>0</v>
      </c>
      <c r="I140" t="n">
        <v>0</v>
      </c>
      <c r="J140" t="n">
        <v>0</v>
      </c>
      <c r="K140" t="n">
        <v>0</v>
      </c>
      <c r="L140" t="n">
        <v>0</v>
      </c>
      <c r="M140" t="n">
        <v>0</v>
      </c>
      <c r="N140" t="n">
        <v>0</v>
      </c>
      <c r="O140" t="n">
        <v>0</v>
      </c>
      <c r="P140" t="n">
        <v>0</v>
      </c>
      <c r="Q140" t="n">
        <v>0</v>
      </c>
      <c r="R140" s="2" t="inlineStr"/>
    </row>
    <row r="141" ht="15" customHeight="1">
      <c r="A141" t="inlineStr">
        <is>
          <t>A 50496-2024</t>
        </is>
      </c>
      <c r="B141" s="1" t="n">
        <v>45601.51266203704</v>
      </c>
      <c r="C141" s="1" t="n">
        <v>45966</v>
      </c>
      <c r="D141" t="inlineStr">
        <is>
          <t>NORRBOTTENS LÄN</t>
        </is>
      </c>
      <c r="E141" t="inlineStr">
        <is>
          <t>JOKKMOKK</t>
        </is>
      </c>
      <c r="F141" t="inlineStr">
        <is>
          <t>Allmännings- och besparingsskogar</t>
        </is>
      </c>
      <c r="G141" t="n">
        <v>2.1</v>
      </c>
      <c r="H141" t="n">
        <v>0</v>
      </c>
      <c r="I141" t="n">
        <v>0</v>
      </c>
      <c r="J141" t="n">
        <v>0</v>
      </c>
      <c r="K141" t="n">
        <v>0</v>
      </c>
      <c r="L141" t="n">
        <v>0</v>
      </c>
      <c r="M141" t="n">
        <v>0</v>
      </c>
      <c r="N141" t="n">
        <v>0</v>
      </c>
      <c r="O141" t="n">
        <v>0</v>
      </c>
      <c r="P141" t="n">
        <v>0</v>
      </c>
      <c r="Q141" t="n">
        <v>0</v>
      </c>
      <c r="R141" s="2" t="inlineStr"/>
    </row>
    <row r="142" ht="15" customHeight="1">
      <c r="A142" t="inlineStr">
        <is>
          <t>A 16336-2023</t>
        </is>
      </c>
      <c r="B142" s="1" t="n">
        <v>45022</v>
      </c>
      <c r="C142" s="1" t="n">
        <v>45966</v>
      </c>
      <c r="D142" t="inlineStr">
        <is>
          <t>NORRBOTTENS LÄN</t>
        </is>
      </c>
      <c r="E142" t="inlineStr">
        <is>
          <t>JOKKMOKK</t>
        </is>
      </c>
      <c r="F142" t="inlineStr">
        <is>
          <t>Övriga statliga verk och myndigheter</t>
        </is>
      </c>
      <c r="G142" t="n">
        <v>130.2</v>
      </c>
      <c r="H142" t="n">
        <v>0</v>
      </c>
      <c r="I142" t="n">
        <v>0</v>
      </c>
      <c r="J142" t="n">
        <v>0</v>
      </c>
      <c r="K142" t="n">
        <v>0</v>
      </c>
      <c r="L142" t="n">
        <v>0</v>
      </c>
      <c r="M142" t="n">
        <v>0</v>
      </c>
      <c r="N142" t="n">
        <v>0</v>
      </c>
      <c r="O142" t="n">
        <v>0</v>
      </c>
      <c r="P142" t="n">
        <v>0</v>
      </c>
      <c r="Q142" t="n">
        <v>0</v>
      </c>
      <c r="R142" s="2" t="inlineStr"/>
    </row>
    <row r="143" ht="15" customHeight="1">
      <c r="A143" t="inlineStr">
        <is>
          <t>A 69883-2021</t>
        </is>
      </c>
      <c r="B143" s="1" t="n">
        <v>44532</v>
      </c>
      <c r="C143" s="1" t="n">
        <v>45966</v>
      </c>
      <c r="D143" t="inlineStr">
        <is>
          <t>NORRBOTTENS LÄN</t>
        </is>
      </c>
      <c r="E143" t="inlineStr">
        <is>
          <t>JOKKMOKK</t>
        </is>
      </c>
      <c r="G143" t="n">
        <v>12.5</v>
      </c>
      <c r="H143" t="n">
        <v>0</v>
      </c>
      <c r="I143" t="n">
        <v>0</v>
      </c>
      <c r="J143" t="n">
        <v>0</v>
      </c>
      <c r="K143" t="n">
        <v>0</v>
      </c>
      <c r="L143" t="n">
        <v>0</v>
      </c>
      <c r="M143" t="n">
        <v>0</v>
      </c>
      <c r="N143" t="n">
        <v>0</v>
      </c>
      <c r="O143" t="n">
        <v>0</v>
      </c>
      <c r="P143" t="n">
        <v>0</v>
      </c>
      <c r="Q143" t="n">
        <v>0</v>
      </c>
      <c r="R143" s="2" t="inlineStr"/>
    </row>
    <row r="144" ht="15" customHeight="1">
      <c r="A144" t="inlineStr">
        <is>
          <t>A 27653-2024</t>
        </is>
      </c>
      <c r="B144" s="1" t="n">
        <v>45474.95037037037</v>
      </c>
      <c r="C144" s="1" t="n">
        <v>45966</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27654-2024</t>
        </is>
      </c>
      <c r="B145" s="1" t="n">
        <v>45474</v>
      </c>
      <c r="C145" s="1" t="n">
        <v>45966</v>
      </c>
      <c r="D145" t="inlineStr">
        <is>
          <t>NORRBOTTENS LÄN</t>
        </is>
      </c>
      <c r="E145" t="inlineStr">
        <is>
          <t>JOKKMOKK</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27656-2024</t>
        </is>
      </c>
      <c r="B146" s="1" t="n">
        <v>45474</v>
      </c>
      <c r="C146" s="1" t="n">
        <v>45966</v>
      </c>
      <c r="D146" t="inlineStr">
        <is>
          <t>NORRBOTTENS LÄN</t>
        </is>
      </c>
      <c r="E146" t="inlineStr">
        <is>
          <t>JOKKMOKK</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51261-2024</t>
        </is>
      </c>
      <c r="B147" s="1" t="n">
        <v>45603.69465277778</v>
      </c>
      <c r="C147" s="1" t="n">
        <v>45966</v>
      </c>
      <c r="D147" t="inlineStr">
        <is>
          <t>NORRBOTTENS LÄN</t>
        </is>
      </c>
      <c r="E147" t="inlineStr">
        <is>
          <t>JOKKMOKK</t>
        </is>
      </c>
      <c r="F147" t="inlineStr">
        <is>
          <t>Allmännings- och besparingsskogar</t>
        </is>
      </c>
      <c r="G147" t="n">
        <v>11</v>
      </c>
      <c r="H147" t="n">
        <v>0</v>
      </c>
      <c r="I147" t="n">
        <v>0</v>
      </c>
      <c r="J147" t="n">
        <v>0</v>
      </c>
      <c r="K147" t="n">
        <v>0</v>
      </c>
      <c r="L147" t="n">
        <v>0</v>
      </c>
      <c r="M147" t="n">
        <v>0</v>
      </c>
      <c r="N147" t="n">
        <v>0</v>
      </c>
      <c r="O147" t="n">
        <v>0</v>
      </c>
      <c r="P147" t="n">
        <v>0</v>
      </c>
      <c r="Q147" t="n">
        <v>0</v>
      </c>
      <c r="R147" s="2" t="inlineStr"/>
    </row>
    <row r="148" ht="15" customHeight="1">
      <c r="A148" t="inlineStr">
        <is>
          <t>A 38579-2025</t>
        </is>
      </c>
      <c r="B148" s="1" t="n">
        <v>45884.46925925926</v>
      </c>
      <c r="C148" s="1" t="n">
        <v>45966</v>
      </c>
      <c r="D148" t="inlineStr">
        <is>
          <t>NORRBOTTENS LÄN</t>
        </is>
      </c>
      <c r="E148" t="inlineStr">
        <is>
          <t>JOKKMOKK</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45333-2024</t>
        </is>
      </c>
      <c r="B149" s="1" t="n">
        <v>45576</v>
      </c>
      <c r="C149" s="1" t="n">
        <v>45966</v>
      </c>
      <c r="D149" t="inlineStr">
        <is>
          <t>NORRBOTTENS LÄN</t>
        </is>
      </c>
      <c r="E149" t="inlineStr">
        <is>
          <t>JOKKMOKK</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51220-2022</t>
        </is>
      </c>
      <c r="B150" s="1" t="n">
        <v>44868</v>
      </c>
      <c r="C150" s="1" t="n">
        <v>45966</v>
      </c>
      <c r="D150" t="inlineStr">
        <is>
          <t>NORRBOTTENS LÄN</t>
        </is>
      </c>
      <c r="E150" t="inlineStr">
        <is>
          <t>JOKKMOKK</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52812-2024</t>
        </is>
      </c>
      <c r="B151" s="1" t="n">
        <v>45610.58070601852</v>
      </c>
      <c r="C151" s="1" t="n">
        <v>45966</v>
      </c>
      <c r="D151" t="inlineStr">
        <is>
          <t>NORRBOTTENS LÄN</t>
        </is>
      </c>
      <c r="E151" t="inlineStr">
        <is>
          <t>JOKKMOKK</t>
        </is>
      </c>
      <c r="G151" t="n">
        <v>84</v>
      </c>
      <c r="H151" t="n">
        <v>0</v>
      </c>
      <c r="I151" t="n">
        <v>0</v>
      </c>
      <c r="J151" t="n">
        <v>0</v>
      </c>
      <c r="K151" t="n">
        <v>0</v>
      </c>
      <c r="L151" t="n">
        <v>0</v>
      </c>
      <c r="M151" t="n">
        <v>0</v>
      </c>
      <c r="N151" t="n">
        <v>0</v>
      </c>
      <c r="O151" t="n">
        <v>0</v>
      </c>
      <c r="P151" t="n">
        <v>0</v>
      </c>
      <c r="Q151" t="n">
        <v>0</v>
      </c>
      <c r="R151" s="2" t="inlineStr"/>
    </row>
    <row r="152" ht="15" customHeight="1">
      <c r="A152" t="inlineStr">
        <is>
          <t>A 51269-2024</t>
        </is>
      </c>
      <c r="B152" s="1" t="n">
        <v>45603.71284722222</v>
      </c>
      <c r="C152" s="1" t="n">
        <v>45966</v>
      </c>
      <c r="D152" t="inlineStr">
        <is>
          <t>NORRBOTTENS LÄN</t>
        </is>
      </c>
      <c r="E152" t="inlineStr">
        <is>
          <t>JOKKMOKK</t>
        </is>
      </c>
      <c r="F152" t="inlineStr">
        <is>
          <t>Allmännings- och besparingsskogar</t>
        </is>
      </c>
      <c r="G152" t="n">
        <v>4.4</v>
      </c>
      <c r="H152" t="n">
        <v>0</v>
      </c>
      <c r="I152" t="n">
        <v>0</v>
      </c>
      <c r="J152" t="n">
        <v>0</v>
      </c>
      <c r="K152" t="n">
        <v>0</v>
      </c>
      <c r="L152" t="n">
        <v>0</v>
      </c>
      <c r="M152" t="n">
        <v>0</v>
      </c>
      <c r="N152" t="n">
        <v>0</v>
      </c>
      <c r="O152" t="n">
        <v>0</v>
      </c>
      <c r="P152" t="n">
        <v>0</v>
      </c>
      <c r="Q152" t="n">
        <v>0</v>
      </c>
      <c r="R152" s="2" t="inlineStr"/>
    </row>
    <row r="153" ht="15" customHeight="1">
      <c r="A153" t="inlineStr">
        <is>
          <t>A 30399-2024</t>
        </is>
      </c>
      <c r="B153" s="1" t="n">
        <v>45491</v>
      </c>
      <c r="C153" s="1" t="n">
        <v>45966</v>
      </c>
      <c r="D153" t="inlineStr">
        <is>
          <t>NORRBOTTENS LÄN</t>
        </is>
      </c>
      <c r="E153" t="inlineStr">
        <is>
          <t>JOKKMOKK</t>
        </is>
      </c>
      <c r="G153" t="n">
        <v>4.6</v>
      </c>
      <c r="H153" t="n">
        <v>0</v>
      </c>
      <c r="I153" t="n">
        <v>0</v>
      </c>
      <c r="J153" t="n">
        <v>0</v>
      </c>
      <c r="K153" t="n">
        <v>0</v>
      </c>
      <c r="L153" t="n">
        <v>0</v>
      </c>
      <c r="M153" t="n">
        <v>0</v>
      </c>
      <c r="N153" t="n">
        <v>0</v>
      </c>
      <c r="O153" t="n">
        <v>0</v>
      </c>
      <c r="P153" t="n">
        <v>0</v>
      </c>
      <c r="Q153" t="n">
        <v>0</v>
      </c>
      <c r="R153" s="2" t="inlineStr"/>
    </row>
    <row r="154" ht="15" customHeight="1">
      <c r="A154" t="inlineStr">
        <is>
          <t>A 425-2025</t>
        </is>
      </c>
      <c r="B154" s="1" t="n">
        <v>45664.34549768519</v>
      </c>
      <c r="C154" s="1" t="n">
        <v>45966</v>
      </c>
      <c r="D154" t="inlineStr">
        <is>
          <t>NORRBOTTENS LÄN</t>
        </is>
      </c>
      <c r="E154" t="inlineStr">
        <is>
          <t>JOKKMOKK</t>
        </is>
      </c>
      <c r="F154" t="inlineStr">
        <is>
          <t>Övriga statliga verk och myndigheter</t>
        </is>
      </c>
      <c r="G154" t="n">
        <v>36.5</v>
      </c>
      <c r="H154" t="n">
        <v>0</v>
      </c>
      <c r="I154" t="n">
        <v>0</v>
      </c>
      <c r="J154" t="n">
        <v>0</v>
      </c>
      <c r="K154" t="n">
        <v>0</v>
      </c>
      <c r="L154" t="n">
        <v>0</v>
      </c>
      <c r="M154" t="n">
        <v>0</v>
      </c>
      <c r="N154" t="n">
        <v>0</v>
      </c>
      <c r="O154" t="n">
        <v>0</v>
      </c>
      <c r="P154" t="n">
        <v>0</v>
      </c>
      <c r="Q154" t="n">
        <v>0</v>
      </c>
      <c r="R154" s="2" t="inlineStr"/>
    </row>
    <row r="155" ht="15" customHeight="1">
      <c r="A155" t="inlineStr">
        <is>
          <t>A 47472-2025</t>
        </is>
      </c>
      <c r="B155" s="1" t="n">
        <v>45930.67752314815</v>
      </c>
      <c r="C155" s="1" t="n">
        <v>45966</v>
      </c>
      <c r="D155" t="inlineStr">
        <is>
          <t>NORRBOTTENS LÄN</t>
        </is>
      </c>
      <c r="E155" t="inlineStr">
        <is>
          <t>JOKKMOKK</t>
        </is>
      </c>
      <c r="F155" t="inlineStr">
        <is>
          <t>SCA</t>
        </is>
      </c>
      <c r="G155" t="n">
        <v>4.1</v>
      </c>
      <c r="H155" t="n">
        <v>0</v>
      </c>
      <c r="I155" t="n">
        <v>0</v>
      </c>
      <c r="J155" t="n">
        <v>0</v>
      </c>
      <c r="K155" t="n">
        <v>0</v>
      </c>
      <c r="L155" t="n">
        <v>0</v>
      </c>
      <c r="M155" t="n">
        <v>0</v>
      </c>
      <c r="N155" t="n">
        <v>0</v>
      </c>
      <c r="O155" t="n">
        <v>0</v>
      </c>
      <c r="P155" t="n">
        <v>0</v>
      </c>
      <c r="Q155" t="n">
        <v>0</v>
      </c>
      <c r="R155" s="2" t="inlineStr"/>
    </row>
    <row r="156" ht="15" customHeight="1">
      <c r="A156" t="inlineStr">
        <is>
          <t>A 46458-2025</t>
        </is>
      </c>
      <c r="B156" s="1" t="n">
        <v>45925.66335648148</v>
      </c>
      <c r="C156" s="1" t="n">
        <v>45966</v>
      </c>
      <c r="D156" t="inlineStr">
        <is>
          <t>NORRBOTTENS LÄN</t>
        </is>
      </c>
      <c r="E156" t="inlineStr">
        <is>
          <t>JOKKMOKK</t>
        </is>
      </c>
      <c r="G156" t="n">
        <v>0.9</v>
      </c>
      <c r="H156" t="n">
        <v>0</v>
      </c>
      <c r="I156" t="n">
        <v>0</v>
      </c>
      <c r="J156" t="n">
        <v>0</v>
      </c>
      <c r="K156" t="n">
        <v>0</v>
      </c>
      <c r="L156" t="n">
        <v>0</v>
      </c>
      <c r="M156" t="n">
        <v>0</v>
      </c>
      <c r="N156" t="n">
        <v>0</v>
      </c>
      <c r="O156" t="n">
        <v>0</v>
      </c>
      <c r="P156" t="n">
        <v>0</v>
      </c>
      <c r="Q156" t="n">
        <v>0</v>
      </c>
      <c r="R156" s="2" t="inlineStr"/>
    </row>
    <row r="157" ht="15" customHeight="1">
      <c r="A157" t="inlineStr">
        <is>
          <t>A 46460-2025</t>
        </is>
      </c>
      <c r="B157" s="1" t="n">
        <v>45925.66606481482</v>
      </c>
      <c r="C157" s="1" t="n">
        <v>45966</v>
      </c>
      <c r="D157" t="inlineStr">
        <is>
          <t>NORRBOTTENS LÄN</t>
        </is>
      </c>
      <c r="E157" t="inlineStr">
        <is>
          <t>JOKKMOKK</t>
        </is>
      </c>
      <c r="G157" t="n">
        <v>1.2</v>
      </c>
      <c r="H157" t="n">
        <v>0</v>
      </c>
      <c r="I157" t="n">
        <v>0</v>
      </c>
      <c r="J157" t="n">
        <v>0</v>
      </c>
      <c r="K157" t="n">
        <v>0</v>
      </c>
      <c r="L157" t="n">
        <v>0</v>
      </c>
      <c r="M157" t="n">
        <v>0</v>
      </c>
      <c r="N157" t="n">
        <v>0</v>
      </c>
      <c r="O157" t="n">
        <v>0</v>
      </c>
      <c r="P157" t="n">
        <v>0</v>
      </c>
      <c r="Q157" t="n">
        <v>0</v>
      </c>
      <c r="R157" s="2" t="inlineStr"/>
    </row>
    <row r="158" ht="15" customHeight="1">
      <c r="A158" t="inlineStr">
        <is>
          <t>A 16972-2025</t>
        </is>
      </c>
      <c r="B158" s="1" t="n">
        <v>45755.46942129629</v>
      </c>
      <c r="C158" s="1" t="n">
        <v>45966</v>
      </c>
      <c r="D158" t="inlineStr">
        <is>
          <t>NORRBOTTENS LÄN</t>
        </is>
      </c>
      <c r="E158" t="inlineStr">
        <is>
          <t>JOKKMOKK</t>
        </is>
      </c>
      <c r="F158" t="inlineStr">
        <is>
          <t>SCA</t>
        </is>
      </c>
      <c r="G158" t="n">
        <v>4.5</v>
      </c>
      <c r="H158" t="n">
        <v>0</v>
      </c>
      <c r="I158" t="n">
        <v>0</v>
      </c>
      <c r="J158" t="n">
        <v>0</v>
      </c>
      <c r="K158" t="n">
        <v>0</v>
      </c>
      <c r="L158" t="n">
        <v>0</v>
      </c>
      <c r="M158" t="n">
        <v>0</v>
      </c>
      <c r="N158" t="n">
        <v>0</v>
      </c>
      <c r="O158" t="n">
        <v>0</v>
      </c>
      <c r="P158" t="n">
        <v>0</v>
      </c>
      <c r="Q158" t="n">
        <v>0</v>
      </c>
      <c r="R158" s="2" t="inlineStr"/>
    </row>
    <row r="159" ht="15" customHeight="1">
      <c r="A159" t="inlineStr">
        <is>
          <t>A 46837-2025</t>
        </is>
      </c>
      <c r="B159" s="1" t="n">
        <v>45928.34450231482</v>
      </c>
      <c r="C159" s="1" t="n">
        <v>45966</v>
      </c>
      <c r="D159" t="inlineStr">
        <is>
          <t>NORRBOTTENS LÄN</t>
        </is>
      </c>
      <c r="E159" t="inlineStr">
        <is>
          <t>JOKKMOKK</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14567-2024</t>
        </is>
      </c>
      <c r="B160" s="1" t="n">
        <v>45394</v>
      </c>
      <c r="C160" s="1" t="n">
        <v>45966</v>
      </c>
      <c r="D160" t="inlineStr">
        <is>
          <t>NORRBOTTENS LÄN</t>
        </is>
      </c>
      <c r="E160" t="inlineStr">
        <is>
          <t>JOKKMOKK</t>
        </is>
      </c>
      <c r="G160" t="n">
        <v>24.5</v>
      </c>
      <c r="H160" t="n">
        <v>0</v>
      </c>
      <c r="I160" t="n">
        <v>0</v>
      </c>
      <c r="J160" t="n">
        <v>0</v>
      </c>
      <c r="K160" t="n">
        <v>0</v>
      </c>
      <c r="L160" t="n">
        <v>0</v>
      </c>
      <c r="M160" t="n">
        <v>0</v>
      </c>
      <c r="N160" t="n">
        <v>0</v>
      </c>
      <c r="O160" t="n">
        <v>0</v>
      </c>
      <c r="P160" t="n">
        <v>0</v>
      </c>
      <c r="Q160" t="n">
        <v>0</v>
      </c>
      <c r="R160" s="2" t="inlineStr"/>
    </row>
    <row r="161" ht="15" customHeight="1">
      <c r="A161" t="inlineStr">
        <is>
          <t>A 31902-2021</t>
        </is>
      </c>
      <c r="B161" s="1" t="n">
        <v>44370</v>
      </c>
      <c r="C161" s="1" t="n">
        <v>45966</v>
      </c>
      <c r="D161" t="inlineStr">
        <is>
          <t>NORRBOTTENS LÄN</t>
        </is>
      </c>
      <c r="E161" t="inlineStr">
        <is>
          <t>JOKKMOKK</t>
        </is>
      </c>
      <c r="G161" t="n">
        <v>20</v>
      </c>
      <c r="H161" t="n">
        <v>0</v>
      </c>
      <c r="I161" t="n">
        <v>0</v>
      </c>
      <c r="J161" t="n">
        <v>0</v>
      </c>
      <c r="K161" t="n">
        <v>0</v>
      </c>
      <c r="L161" t="n">
        <v>0</v>
      </c>
      <c r="M161" t="n">
        <v>0</v>
      </c>
      <c r="N161" t="n">
        <v>0</v>
      </c>
      <c r="O161" t="n">
        <v>0</v>
      </c>
      <c r="P161" t="n">
        <v>0</v>
      </c>
      <c r="Q161" t="n">
        <v>0</v>
      </c>
      <c r="R161" s="2" t="inlineStr"/>
    </row>
    <row r="162" ht="15" customHeight="1">
      <c r="A162" t="inlineStr">
        <is>
          <t>A 39846-2025</t>
        </is>
      </c>
      <c r="B162" s="1" t="n">
        <v>45891.58376157407</v>
      </c>
      <c r="C162" s="1" t="n">
        <v>45966</v>
      </c>
      <c r="D162" t="inlineStr">
        <is>
          <t>NORRBOTTENS LÄN</t>
        </is>
      </c>
      <c r="E162" t="inlineStr">
        <is>
          <t>JOKKMOKK</t>
        </is>
      </c>
      <c r="F162" t="inlineStr">
        <is>
          <t>Sveaskog</t>
        </is>
      </c>
      <c r="G162" t="n">
        <v>7.1</v>
      </c>
      <c r="H162" t="n">
        <v>0</v>
      </c>
      <c r="I162" t="n">
        <v>0</v>
      </c>
      <c r="J162" t="n">
        <v>0</v>
      </c>
      <c r="K162" t="n">
        <v>0</v>
      </c>
      <c r="L162" t="n">
        <v>0</v>
      </c>
      <c r="M162" t="n">
        <v>0</v>
      </c>
      <c r="N162" t="n">
        <v>0</v>
      </c>
      <c r="O162" t="n">
        <v>0</v>
      </c>
      <c r="P162" t="n">
        <v>0</v>
      </c>
      <c r="Q162" t="n">
        <v>0</v>
      </c>
      <c r="R162" s="2" t="inlineStr"/>
    </row>
    <row r="163" ht="15" customHeight="1">
      <c r="A163" t="inlineStr">
        <is>
          <t>A 59849-2021</t>
        </is>
      </c>
      <c r="B163" s="1" t="n">
        <v>44493</v>
      </c>
      <c r="C163" s="1" t="n">
        <v>45966</v>
      </c>
      <c r="D163" t="inlineStr">
        <is>
          <t>NORRBOTTENS LÄN</t>
        </is>
      </c>
      <c r="E163" t="inlineStr">
        <is>
          <t>JOKKMOKK</t>
        </is>
      </c>
      <c r="F163" t="inlineStr">
        <is>
          <t>Övriga Aktiebolag</t>
        </is>
      </c>
      <c r="G163" t="n">
        <v>11.7</v>
      </c>
      <c r="H163" t="n">
        <v>0</v>
      </c>
      <c r="I163" t="n">
        <v>0</v>
      </c>
      <c r="J163" t="n">
        <v>0</v>
      </c>
      <c r="K163" t="n">
        <v>0</v>
      </c>
      <c r="L163" t="n">
        <v>0</v>
      </c>
      <c r="M163" t="n">
        <v>0</v>
      </c>
      <c r="N163" t="n">
        <v>0</v>
      </c>
      <c r="O163" t="n">
        <v>0</v>
      </c>
      <c r="P163" t="n">
        <v>0</v>
      </c>
      <c r="Q163" t="n">
        <v>0</v>
      </c>
      <c r="R163" s="2" t="inlineStr"/>
    </row>
    <row r="164" ht="15" customHeight="1">
      <c r="A164" t="inlineStr">
        <is>
          <t>A 7273-2021</t>
        </is>
      </c>
      <c r="B164" s="1" t="n">
        <v>44238</v>
      </c>
      <c r="C164" s="1" t="n">
        <v>45966</v>
      </c>
      <c r="D164" t="inlineStr">
        <is>
          <t>NORRBOTTENS LÄN</t>
        </is>
      </c>
      <c r="E164" t="inlineStr">
        <is>
          <t>JOKKMOKK</t>
        </is>
      </c>
      <c r="F164" t="inlineStr">
        <is>
          <t>Övriga statliga verk och myndigheter</t>
        </is>
      </c>
      <c r="G164" t="n">
        <v>19.8</v>
      </c>
      <c r="H164" t="n">
        <v>0</v>
      </c>
      <c r="I164" t="n">
        <v>0</v>
      </c>
      <c r="J164" t="n">
        <v>0</v>
      </c>
      <c r="K164" t="n">
        <v>0</v>
      </c>
      <c r="L164" t="n">
        <v>0</v>
      </c>
      <c r="M164" t="n">
        <v>0</v>
      </c>
      <c r="N164" t="n">
        <v>0</v>
      </c>
      <c r="O164" t="n">
        <v>0</v>
      </c>
      <c r="P164" t="n">
        <v>0</v>
      </c>
      <c r="Q164" t="n">
        <v>0</v>
      </c>
      <c r="R164" s="2" t="inlineStr"/>
    </row>
    <row r="165" ht="15" customHeight="1">
      <c r="A165" t="inlineStr">
        <is>
          <t>A 36361-2024</t>
        </is>
      </c>
      <c r="B165" s="1" t="n">
        <v>45534.64626157407</v>
      </c>
      <c r="C165" s="1" t="n">
        <v>45966</v>
      </c>
      <c r="D165" t="inlineStr">
        <is>
          <t>NORRBOTTENS LÄN</t>
        </is>
      </c>
      <c r="E165" t="inlineStr">
        <is>
          <t>JOKKMOKK</t>
        </is>
      </c>
      <c r="F165" t="inlineStr">
        <is>
          <t>SCA</t>
        </is>
      </c>
      <c r="G165" t="n">
        <v>2.2</v>
      </c>
      <c r="H165" t="n">
        <v>0</v>
      </c>
      <c r="I165" t="n">
        <v>0</v>
      </c>
      <c r="J165" t="n">
        <v>0</v>
      </c>
      <c r="K165" t="n">
        <v>0</v>
      </c>
      <c r="L165" t="n">
        <v>0</v>
      </c>
      <c r="M165" t="n">
        <v>0</v>
      </c>
      <c r="N165" t="n">
        <v>0</v>
      </c>
      <c r="O165" t="n">
        <v>0</v>
      </c>
      <c r="P165" t="n">
        <v>0</v>
      </c>
      <c r="Q165" t="n">
        <v>0</v>
      </c>
      <c r="R165" s="2" t="inlineStr"/>
    </row>
    <row r="166" ht="15" customHeight="1">
      <c r="A166" t="inlineStr">
        <is>
          <t>A 48166-2025</t>
        </is>
      </c>
      <c r="B166" s="1" t="n">
        <v>45933</v>
      </c>
      <c r="C166" s="1" t="n">
        <v>45966</v>
      </c>
      <c r="D166" t="inlineStr">
        <is>
          <t>NORRBOTTENS LÄN</t>
        </is>
      </c>
      <c r="E166" t="inlineStr">
        <is>
          <t>JOKKMOKK</t>
        </is>
      </c>
      <c r="G166" t="n">
        <v>41.8</v>
      </c>
      <c r="H166" t="n">
        <v>0</v>
      </c>
      <c r="I166" t="n">
        <v>0</v>
      </c>
      <c r="J166" t="n">
        <v>0</v>
      </c>
      <c r="K166" t="n">
        <v>0</v>
      </c>
      <c r="L166" t="n">
        <v>0</v>
      </c>
      <c r="M166" t="n">
        <v>0</v>
      </c>
      <c r="N166" t="n">
        <v>0</v>
      </c>
      <c r="O166" t="n">
        <v>0</v>
      </c>
      <c r="P166" t="n">
        <v>0</v>
      </c>
      <c r="Q166" t="n">
        <v>0</v>
      </c>
      <c r="R166" s="2" t="inlineStr"/>
    </row>
    <row r="167" ht="15" customHeight="1">
      <c r="A167" t="inlineStr">
        <is>
          <t>A 48167-2025</t>
        </is>
      </c>
      <c r="B167" s="1" t="n">
        <v>45933</v>
      </c>
      <c r="C167" s="1" t="n">
        <v>45966</v>
      </c>
      <c r="D167" t="inlineStr">
        <is>
          <t>NORRBOTTENS LÄN</t>
        </is>
      </c>
      <c r="E167" t="inlineStr">
        <is>
          <t>JOKKMOKK</t>
        </is>
      </c>
      <c r="G167" t="n">
        <v>3.4</v>
      </c>
      <c r="H167" t="n">
        <v>0</v>
      </c>
      <c r="I167" t="n">
        <v>0</v>
      </c>
      <c r="J167" t="n">
        <v>0</v>
      </c>
      <c r="K167" t="n">
        <v>0</v>
      </c>
      <c r="L167" t="n">
        <v>0</v>
      </c>
      <c r="M167" t="n">
        <v>0</v>
      </c>
      <c r="N167" t="n">
        <v>0</v>
      </c>
      <c r="O167" t="n">
        <v>0</v>
      </c>
      <c r="P167" t="n">
        <v>0</v>
      </c>
      <c r="Q167" t="n">
        <v>0</v>
      </c>
      <c r="R167" s="2" t="inlineStr"/>
    </row>
    <row r="168" ht="15" customHeight="1">
      <c r="A168" t="inlineStr">
        <is>
          <t>A 40345-2024</t>
        </is>
      </c>
      <c r="B168" s="1" t="n">
        <v>45555.344375</v>
      </c>
      <c r="C168" s="1" t="n">
        <v>45966</v>
      </c>
      <c r="D168" t="inlineStr">
        <is>
          <t>NORRBOTTENS LÄN</t>
        </is>
      </c>
      <c r="E168" t="inlineStr">
        <is>
          <t>JOKKMOKK</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48141-2025</t>
        </is>
      </c>
      <c r="B169" s="1" t="n">
        <v>45933</v>
      </c>
      <c r="C169" s="1" t="n">
        <v>45966</v>
      </c>
      <c r="D169" t="inlineStr">
        <is>
          <t>NORRBOTTENS LÄN</t>
        </is>
      </c>
      <c r="E169" t="inlineStr">
        <is>
          <t>JOKKMOKK</t>
        </is>
      </c>
      <c r="G169" t="n">
        <v>17.7</v>
      </c>
      <c r="H169" t="n">
        <v>0</v>
      </c>
      <c r="I169" t="n">
        <v>0</v>
      </c>
      <c r="J169" t="n">
        <v>0</v>
      </c>
      <c r="K169" t="n">
        <v>0</v>
      </c>
      <c r="L169" t="n">
        <v>0</v>
      </c>
      <c r="M169" t="n">
        <v>0</v>
      </c>
      <c r="N169" t="n">
        <v>0</v>
      </c>
      <c r="O169" t="n">
        <v>0</v>
      </c>
      <c r="P169" t="n">
        <v>0</v>
      </c>
      <c r="Q169" t="n">
        <v>0</v>
      </c>
      <c r="R169" s="2" t="inlineStr"/>
    </row>
    <row r="170" ht="15" customHeight="1">
      <c r="A170" t="inlineStr">
        <is>
          <t>A 34598-2024</t>
        </is>
      </c>
      <c r="B170" s="1" t="n">
        <v>45526.39714120371</v>
      </c>
      <c r="C170" s="1" t="n">
        <v>45966</v>
      </c>
      <c r="D170" t="inlineStr">
        <is>
          <t>NORRBOTTENS LÄN</t>
        </is>
      </c>
      <c r="E170" t="inlineStr">
        <is>
          <t>JOKKMOKK</t>
        </is>
      </c>
      <c r="G170" t="n">
        <v>2.5</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45966</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30291-2023</t>
        </is>
      </c>
      <c r="B172" s="1" t="n">
        <v>45110.92523148148</v>
      </c>
      <c r="C172" s="1" t="n">
        <v>45966</v>
      </c>
      <c r="D172" t="inlineStr">
        <is>
          <t>NORRBOTTENS LÄN</t>
        </is>
      </c>
      <c r="E172" t="inlineStr">
        <is>
          <t>JOKKMOKK</t>
        </is>
      </c>
      <c r="G172" t="n">
        <v>1.6</v>
      </c>
      <c r="H172" t="n">
        <v>0</v>
      </c>
      <c r="I172" t="n">
        <v>0</v>
      </c>
      <c r="J172" t="n">
        <v>0</v>
      </c>
      <c r="K172" t="n">
        <v>0</v>
      </c>
      <c r="L172" t="n">
        <v>0</v>
      </c>
      <c r="M172" t="n">
        <v>0</v>
      </c>
      <c r="N172" t="n">
        <v>0</v>
      </c>
      <c r="O172" t="n">
        <v>0</v>
      </c>
      <c r="P172" t="n">
        <v>0</v>
      </c>
      <c r="Q172" t="n">
        <v>0</v>
      </c>
      <c r="R172" s="2" t="inlineStr"/>
    </row>
    <row r="173" ht="15" customHeight="1">
      <c r="A173" t="inlineStr">
        <is>
          <t>A 48645-2025</t>
        </is>
      </c>
      <c r="B173" s="1" t="n">
        <v>45935</v>
      </c>
      <c r="C173" s="1" t="n">
        <v>45966</v>
      </c>
      <c r="D173" t="inlineStr">
        <is>
          <t>NORRBOTTENS LÄN</t>
        </is>
      </c>
      <c r="E173" t="inlineStr">
        <is>
          <t>JOKKMOKK</t>
        </is>
      </c>
      <c r="F173" t="inlineStr">
        <is>
          <t>SCA</t>
        </is>
      </c>
      <c r="G173" t="n">
        <v>9.1</v>
      </c>
      <c r="H173" t="n">
        <v>0</v>
      </c>
      <c r="I173" t="n">
        <v>0</v>
      </c>
      <c r="J173" t="n">
        <v>0</v>
      </c>
      <c r="K173" t="n">
        <v>0</v>
      </c>
      <c r="L173" t="n">
        <v>0</v>
      </c>
      <c r="M173" t="n">
        <v>0</v>
      </c>
      <c r="N173" t="n">
        <v>0</v>
      </c>
      <c r="O173" t="n">
        <v>0</v>
      </c>
      <c r="P173" t="n">
        <v>0</v>
      </c>
      <c r="Q173" t="n">
        <v>0</v>
      </c>
      <c r="R173" s="2" t="inlineStr"/>
    </row>
    <row r="174" ht="15" customHeight="1">
      <c r="A174" t="inlineStr">
        <is>
          <t>A 34752-2021</t>
        </is>
      </c>
      <c r="B174" s="1" t="n">
        <v>44382</v>
      </c>
      <c r="C174" s="1" t="n">
        <v>45966</v>
      </c>
      <c r="D174" t="inlineStr">
        <is>
          <t>NORRBOTTENS LÄN</t>
        </is>
      </c>
      <c r="E174" t="inlineStr">
        <is>
          <t>JOKKMOKK</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17784-2025</t>
        </is>
      </c>
      <c r="B175" s="1" t="n">
        <v>45758</v>
      </c>
      <c r="C175" s="1" t="n">
        <v>45966</v>
      </c>
      <c r="D175" t="inlineStr">
        <is>
          <t>NORRBOTTENS LÄN</t>
        </is>
      </c>
      <c r="E175" t="inlineStr">
        <is>
          <t>JOKKMOKK</t>
        </is>
      </c>
      <c r="F175" t="inlineStr">
        <is>
          <t>SCA</t>
        </is>
      </c>
      <c r="G175" t="n">
        <v>11.2</v>
      </c>
      <c r="H175" t="n">
        <v>0</v>
      </c>
      <c r="I175" t="n">
        <v>0</v>
      </c>
      <c r="J175" t="n">
        <v>0</v>
      </c>
      <c r="K175" t="n">
        <v>0</v>
      </c>
      <c r="L175" t="n">
        <v>0</v>
      </c>
      <c r="M175" t="n">
        <v>0</v>
      </c>
      <c r="N175" t="n">
        <v>0</v>
      </c>
      <c r="O175" t="n">
        <v>0</v>
      </c>
      <c r="P175" t="n">
        <v>0</v>
      </c>
      <c r="Q175" t="n">
        <v>0</v>
      </c>
      <c r="R175" s="2" t="inlineStr"/>
    </row>
    <row r="176" ht="15" customHeight="1">
      <c r="A176" t="inlineStr">
        <is>
          <t>A 47530-2025</t>
        </is>
      </c>
      <c r="B176" s="1" t="n">
        <v>45931</v>
      </c>
      <c r="C176" s="1" t="n">
        <v>45966</v>
      </c>
      <c r="D176" t="inlineStr">
        <is>
          <t>NORRBOTTENS LÄN</t>
        </is>
      </c>
      <c r="E176" t="inlineStr">
        <is>
          <t>JOKKMOKK</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60142-2020</t>
        </is>
      </c>
      <c r="B177" s="1" t="n">
        <v>44151</v>
      </c>
      <c r="C177" s="1" t="n">
        <v>45966</v>
      </c>
      <c r="D177" t="inlineStr">
        <is>
          <t>NORRBOTTENS LÄN</t>
        </is>
      </c>
      <c r="E177" t="inlineStr">
        <is>
          <t>JOKKMOKK</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50258-2023</t>
        </is>
      </c>
      <c r="B178" s="1" t="n">
        <v>45216</v>
      </c>
      <c r="C178" s="1" t="n">
        <v>45966</v>
      </c>
      <c r="D178" t="inlineStr">
        <is>
          <t>NORRBOTTENS LÄN</t>
        </is>
      </c>
      <c r="E178" t="inlineStr">
        <is>
          <t>JOKKMOKK</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47529-2025</t>
        </is>
      </c>
      <c r="B179" s="1" t="n">
        <v>45931</v>
      </c>
      <c r="C179" s="1" t="n">
        <v>45966</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43886-2025</t>
        </is>
      </c>
      <c r="B180" s="1" t="n">
        <v>45912</v>
      </c>
      <c r="C180" s="1" t="n">
        <v>45966</v>
      </c>
      <c r="D180" t="inlineStr">
        <is>
          <t>NORRBOTTENS LÄN</t>
        </is>
      </c>
      <c r="E180" t="inlineStr">
        <is>
          <t>JOKKMOKK</t>
        </is>
      </c>
      <c r="G180" t="n">
        <v>38.1</v>
      </c>
      <c r="H180" t="n">
        <v>0</v>
      </c>
      <c r="I180" t="n">
        <v>0</v>
      </c>
      <c r="J180" t="n">
        <v>0</v>
      </c>
      <c r="K180" t="n">
        <v>0</v>
      </c>
      <c r="L180" t="n">
        <v>0</v>
      </c>
      <c r="M180" t="n">
        <v>0</v>
      </c>
      <c r="N180" t="n">
        <v>0</v>
      </c>
      <c r="O180" t="n">
        <v>0</v>
      </c>
      <c r="P180" t="n">
        <v>0</v>
      </c>
      <c r="Q180" t="n">
        <v>0</v>
      </c>
      <c r="R180" s="2" t="inlineStr"/>
    </row>
    <row r="181" ht="15" customHeight="1">
      <c r="A181" t="inlineStr">
        <is>
          <t>A 48946-2025</t>
        </is>
      </c>
      <c r="B181" s="1" t="n">
        <v>45937.53831018518</v>
      </c>
      <c r="C181" s="1" t="n">
        <v>45966</v>
      </c>
      <c r="D181" t="inlineStr">
        <is>
          <t>NORRBOTTENS LÄN</t>
        </is>
      </c>
      <c r="E181" t="inlineStr">
        <is>
          <t>JOKKMOKK</t>
        </is>
      </c>
      <c r="G181" t="n">
        <v>57.3</v>
      </c>
      <c r="H181" t="n">
        <v>0</v>
      </c>
      <c r="I181" t="n">
        <v>0</v>
      </c>
      <c r="J181" t="n">
        <v>0</v>
      </c>
      <c r="K181" t="n">
        <v>0</v>
      </c>
      <c r="L181" t="n">
        <v>0</v>
      </c>
      <c r="M181" t="n">
        <v>0</v>
      </c>
      <c r="N181" t="n">
        <v>0</v>
      </c>
      <c r="O181" t="n">
        <v>0</v>
      </c>
      <c r="P181" t="n">
        <v>0</v>
      </c>
      <c r="Q181" t="n">
        <v>0</v>
      </c>
      <c r="R181" s="2" t="inlineStr"/>
    </row>
    <row r="182" ht="15" customHeight="1">
      <c r="A182" t="inlineStr">
        <is>
          <t>A 16847-2023</t>
        </is>
      </c>
      <c r="B182" s="1" t="n">
        <v>45028</v>
      </c>
      <c r="C182" s="1" t="n">
        <v>45966</v>
      </c>
      <c r="D182" t="inlineStr">
        <is>
          <t>NORRBOTTENS LÄN</t>
        </is>
      </c>
      <c r="E182" t="inlineStr">
        <is>
          <t>JOKKMOKK</t>
        </is>
      </c>
      <c r="G182" t="n">
        <v>7.3</v>
      </c>
      <c r="H182" t="n">
        <v>0</v>
      </c>
      <c r="I182" t="n">
        <v>0</v>
      </c>
      <c r="J182" t="n">
        <v>0</v>
      </c>
      <c r="K182" t="n">
        <v>0</v>
      </c>
      <c r="L182" t="n">
        <v>0</v>
      </c>
      <c r="M182" t="n">
        <v>0</v>
      </c>
      <c r="N182" t="n">
        <v>0</v>
      </c>
      <c r="O182" t="n">
        <v>0</v>
      </c>
      <c r="P182" t="n">
        <v>0</v>
      </c>
      <c r="Q182" t="n">
        <v>0</v>
      </c>
      <c r="R182" s="2" t="inlineStr"/>
    </row>
    <row r="183" ht="15" customHeight="1">
      <c r="A183" t="inlineStr">
        <is>
          <t>A 30305-2024</t>
        </is>
      </c>
      <c r="B183" s="1" t="n">
        <v>45490</v>
      </c>
      <c r="C183" s="1" t="n">
        <v>45966</v>
      </c>
      <c r="D183" t="inlineStr">
        <is>
          <t>NORRBOTTENS LÄN</t>
        </is>
      </c>
      <c r="E183" t="inlineStr">
        <is>
          <t>JOKKMOKK</t>
        </is>
      </c>
      <c r="G183" t="n">
        <v>1.5</v>
      </c>
      <c r="H183" t="n">
        <v>0</v>
      </c>
      <c r="I183" t="n">
        <v>0</v>
      </c>
      <c r="J183" t="n">
        <v>0</v>
      </c>
      <c r="K183" t="n">
        <v>0</v>
      </c>
      <c r="L183" t="n">
        <v>0</v>
      </c>
      <c r="M183" t="n">
        <v>0</v>
      </c>
      <c r="N183" t="n">
        <v>0</v>
      </c>
      <c r="O183" t="n">
        <v>0</v>
      </c>
      <c r="P183" t="n">
        <v>0</v>
      </c>
      <c r="Q183" t="n">
        <v>0</v>
      </c>
      <c r="R183" s="2" t="inlineStr"/>
    </row>
    <row r="184" ht="15" customHeight="1">
      <c r="A184" t="inlineStr">
        <is>
          <t>A 30308-2024</t>
        </is>
      </c>
      <c r="B184" s="1" t="n">
        <v>45490</v>
      </c>
      <c r="C184" s="1" t="n">
        <v>45966</v>
      </c>
      <c r="D184" t="inlineStr">
        <is>
          <t>NORRBOTTENS LÄN</t>
        </is>
      </c>
      <c r="E184" t="inlineStr">
        <is>
          <t>JOKKMOKK</t>
        </is>
      </c>
      <c r="G184" t="n">
        <v>2.2</v>
      </c>
      <c r="H184" t="n">
        <v>0</v>
      </c>
      <c r="I184" t="n">
        <v>0</v>
      </c>
      <c r="J184" t="n">
        <v>0</v>
      </c>
      <c r="K184" t="n">
        <v>0</v>
      </c>
      <c r="L184" t="n">
        <v>0</v>
      </c>
      <c r="M184" t="n">
        <v>0</v>
      </c>
      <c r="N184" t="n">
        <v>0</v>
      </c>
      <c r="O184" t="n">
        <v>0</v>
      </c>
      <c r="P184" t="n">
        <v>0</v>
      </c>
      <c r="Q184" t="n">
        <v>0</v>
      </c>
      <c r="R184" s="2" t="inlineStr"/>
    </row>
    <row r="185" ht="15" customHeight="1">
      <c r="A185" t="inlineStr">
        <is>
          <t>A 30310-2024</t>
        </is>
      </c>
      <c r="B185" s="1" t="n">
        <v>45490</v>
      </c>
      <c r="C185" s="1" t="n">
        <v>45966</v>
      </c>
      <c r="D185" t="inlineStr">
        <is>
          <t>NORRBOTTENS LÄN</t>
        </is>
      </c>
      <c r="E185" t="inlineStr">
        <is>
          <t>JOKKMOKK</t>
        </is>
      </c>
      <c r="G185" t="n">
        <v>2.3</v>
      </c>
      <c r="H185" t="n">
        <v>0</v>
      </c>
      <c r="I185" t="n">
        <v>0</v>
      </c>
      <c r="J185" t="n">
        <v>0</v>
      </c>
      <c r="K185" t="n">
        <v>0</v>
      </c>
      <c r="L185" t="n">
        <v>0</v>
      </c>
      <c r="M185" t="n">
        <v>0</v>
      </c>
      <c r="N185" t="n">
        <v>0</v>
      </c>
      <c r="O185" t="n">
        <v>0</v>
      </c>
      <c r="P185" t="n">
        <v>0</v>
      </c>
      <c r="Q185" t="n">
        <v>0</v>
      </c>
      <c r="R185" s="2" t="inlineStr"/>
    </row>
    <row r="186" ht="15" customHeight="1">
      <c r="A186" t="inlineStr">
        <is>
          <t>A 30312-2024</t>
        </is>
      </c>
      <c r="B186" s="1" t="n">
        <v>45490</v>
      </c>
      <c r="C186" s="1" t="n">
        <v>45966</v>
      </c>
      <c r="D186" t="inlineStr">
        <is>
          <t>NORRBOTTENS LÄN</t>
        </is>
      </c>
      <c r="E186" t="inlineStr">
        <is>
          <t>JOKKMOKK</t>
        </is>
      </c>
      <c r="G186" t="n">
        <v>1.6</v>
      </c>
      <c r="H186" t="n">
        <v>0</v>
      </c>
      <c r="I186" t="n">
        <v>0</v>
      </c>
      <c r="J186" t="n">
        <v>0</v>
      </c>
      <c r="K186" t="n">
        <v>0</v>
      </c>
      <c r="L186" t="n">
        <v>0</v>
      </c>
      <c r="M186" t="n">
        <v>0</v>
      </c>
      <c r="N186" t="n">
        <v>0</v>
      </c>
      <c r="O186" t="n">
        <v>0</v>
      </c>
      <c r="P186" t="n">
        <v>0</v>
      </c>
      <c r="Q186" t="n">
        <v>0</v>
      </c>
      <c r="R186" s="2" t="inlineStr"/>
    </row>
    <row r="187" ht="15" customHeight="1">
      <c r="A187" t="inlineStr">
        <is>
          <t>A 68636-2020</t>
        </is>
      </c>
      <c r="B187" s="1" t="n">
        <v>44186</v>
      </c>
      <c r="C187" s="1" t="n">
        <v>45966</v>
      </c>
      <c r="D187" t="inlineStr">
        <is>
          <t>NORRBOTTENS LÄN</t>
        </is>
      </c>
      <c r="E187" t="inlineStr">
        <is>
          <t>JOKKMOKK</t>
        </is>
      </c>
      <c r="F187" t="inlineStr">
        <is>
          <t>SCA</t>
        </is>
      </c>
      <c r="G187" t="n">
        <v>42.3</v>
      </c>
      <c r="H187" t="n">
        <v>0</v>
      </c>
      <c r="I187" t="n">
        <v>0</v>
      </c>
      <c r="J187" t="n">
        <v>0</v>
      </c>
      <c r="K187" t="n">
        <v>0</v>
      </c>
      <c r="L187" t="n">
        <v>0</v>
      </c>
      <c r="M187" t="n">
        <v>0</v>
      </c>
      <c r="N187" t="n">
        <v>0</v>
      </c>
      <c r="O187" t="n">
        <v>0</v>
      </c>
      <c r="P187" t="n">
        <v>0</v>
      </c>
      <c r="Q187" t="n">
        <v>0</v>
      </c>
      <c r="R187" s="2" t="inlineStr"/>
    </row>
    <row r="188" ht="15" customHeight="1">
      <c r="A188" t="inlineStr">
        <is>
          <t>A 40808-2025</t>
        </is>
      </c>
      <c r="B188" s="1" t="n">
        <v>45897.46922453704</v>
      </c>
      <c r="C188" s="1" t="n">
        <v>45966</v>
      </c>
      <c r="D188" t="inlineStr">
        <is>
          <t>NORRBOTTENS LÄN</t>
        </is>
      </c>
      <c r="E188" t="inlineStr">
        <is>
          <t>JOKKMOKK</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40756-2025</t>
        </is>
      </c>
      <c r="B189" s="1" t="n">
        <v>45897.38686342593</v>
      </c>
      <c r="C189" s="1" t="n">
        <v>45966</v>
      </c>
      <c r="D189" t="inlineStr">
        <is>
          <t>NORRBOTTENS LÄN</t>
        </is>
      </c>
      <c r="E189" t="inlineStr">
        <is>
          <t>JOKKMOKK</t>
        </is>
      </c>
      <c r="G189" t="n">
        <v>24.7</v>
      </c>
      <c r="H189" t="n">
        <v>0</v>
      </c>
      <c r="I189" t="n">
        <v>0</v>
      </c>
      <c r="J189" t="n">
        <v>0</v>
      </c>
      <c r="K189" t="n">
        <v>0</v>
      </c>
      <c r="L189" t="n">
        <v>0</v>
      </c>
      <c r="M189" t="n">
        <v>0</v>
      </c>
      <c r="N189" t="n">
        <v>0</v>
      </c>
      <c r="O189" t="n">
        <v>0</v>
      </c>
      <c r="P189" t="n">
        <v>0</v>
      </c>
      <c r="Q189" t="n">
        <v>0</v>
      </c>
      <c r="R189" s="2" t="inlineStr"/>
    </row>
    <row r="190" ht="15" customHeight="1">
      <c r="A190" t="inlineStr">
        <is>
          <t>A 40779-2025</t>
        </is>
      </c>
      <c r="B190" s="1" t="n">
        <v>45897</v>
      </c>
      <c r="C190" s="1" t="n">
        <v>45966</v>
      </c>
      <c r="D190" t="inlineStr">
        <is>
          <t>NORRBOTTENS LÄN</t>
        </is>
      </c>
      <c r="E190" t="inlineStr">
        <is>
          <t>JOKKMOKK</t>
        </is>
      </c>
      <c r="F190" t="inlineStr">
        <is>
          <t>Sveaskog</t>
        </is>
      </c>
      <c r="G190" t="n">
        <v>53.8</v>
      </c>
      <c r="H190" t="n">
        <v>0</v>
      </c>
      <c r="I190" t="n">
        <v>0</v>
      </c>
      <c r="J190" t="n">
        <v>0</v>
      </c>
      <c r="K190" t="n">
        <v>0</v>
      </c>
      <c r="L190" t="n">
        <v>0</v>
      </c>
      <c r="M190" t="n">
        <v>0</v>
      </c>
      <c r="N190" t="n">
        <v>0</v>
      </c>
      <c r="O190" t="n">
        <v>0</v>
      </c>
      <c r="P190" t="n">
        <v>0</v>
      </c>
      <c r="Q190" t="n">
        <v>0</v>
      </c>
      <c r="R190" s="2" t="inlineStr"/>
    </row>
    <row r="191" ht="15" customHeight="1">
      <c r="A191" t="inlineStr">
        <is>
          <t>A 61762-2024</t>
        </is>
      </c>
      <c r="B191" s="1" t="n">
        <v>45649</v>
      </c>
      <c r="C191" s="1" t="n">
        <v>45966</v>
      </c>
      <c r="D191" t="inlineStr">
        <is>
          <t>NORRBOTTENS LÄN</t>
        </is>
      </c>
      <c r="E191" t="inlineStr">
        <is>
          <t>JOKKMOKK</t>
        </is>
      </c>
      <c r="F191" t="inlineStr">
        <is>
          <t>Övriga statliga verk och myndigheter</t>
        </is>
      </c>
      <c r="G191" t="n">
        <v>15.4</v>
      </c>
      <c r="H191" t="n">
        <v>0</v>
      </c>
      <c r="I191" t="n">
        <v>0</v>
      </c>
      <c r="J191" t="n">
        <v>0</v>
      </c>
      <c r="K191" t="n">
        <v>0</v>
      </c>
      <c r="L191" t="n">
        <v>0</v>
      </c>
      <c r="M191" t="n">
        <v>0</v>
      </c>
      <c r="N191" t="n">
        <v>0</v>
      </c>
      <c r="O191" t="n">
        <v>0</v>
      </c>
      <c r="P191" t="n">
        <v>0</v>
      </c>
      <c r="Q191" t="n">
        <v>0</v>
      </c>
      <c r="R191" s="2" t="inlineStr"/>
    </row>
    <row r="192" ht="15" customHeight="1">
      <c r="A192" t="inlineStr">
        <is>
          <t>A 34062-2021</t>
        </is>
      </c>
      <c r="B192" s="1" t="n">
        <v>44378</v>
      </c>
      <c r="C192" s="1" t="n">
        <v>45966</v>
      </c>
      <c r="D192" t="inlineStr">
        <is>
          <t>NORRBOTTENS LÄN</t>
        </is>
      </c>
      <c r="E192" t="inlineStr">
        <is>
          <t>JOKKMOKK</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49475-2025</t>
        </is>
      </c>
      <c r="B193" s="1" t="n">
        <v>45939.34488425926</v>
      </c>
      <c r="C193" s="1" t="n">
        <v>45966</v>
      </c>
      <c r="D193" t="inlineStr">
        <is>
          <t>NORRBOTTENS LÄN</t>
        </is>
      </c>
      <c r="E193" t="inlineStr">
        <is>
          <t>JOKKMOKK</t>
        </is>
      </c>
      <c r="F193" t="inlineStr">
        <is>
          <t>SCA</t>
        </is>
      </c>
      <c r="G193" t="n">
        <v>2.7</v>
      </c>
      <c r="H193" t="n">
        <v>0</v>
      </c>
      <c r="I193" t="n">
        <v>0</v>
      </c>
      <c r="J193" t="n">
        <v>0</v>
      </c>
      <c r="K193" t="n">
        <v>0</v>
      </c>
      <c r="L193" t="n">
        <v>0</v>
      </c>
      <c r="M193" t="n">
        <v>0</v>
      </c>
      <c r="N193" t="n">
        <v>0</v>
      </c>
      <c r="O193" t="n">
        <v>0</v>
      </c>
      <c r="P193" t="n">
        <v>0</v>
      </c>
      <c r="Q193" t="n">
        <v>0</v>
      </c>
      <c r="R193" s="2" t="inlineStr"/>
    </row>
    <row r="194" ht="15" customHeight="1">
      <c r="A194" t="inlineStr">
        <is>
          <t>A 49477-2025</t>
        </is>
      </c>
      <c r="B194" s="1" t="n">
        <v>45939.34547453704</v>
      </c>
      <c r="C194" s="1" t="n">
        <v>45966</v>
      </c>
      <c r="D194" t="inlineStr">
        <is>
          <t>NORRBOTTENS LÄN</t>
        </is>
      </c>
      <c r="E194" t="inlineStr">
        <is>
          <t>JOKKMOKK</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44646-2021</t>
        </is>
      </c>
      <c r="B195" s="1" t="n">
        <v>44437</v>
      </c>
      <c r="C195" s="1" t="n">
        <v>45966</v>
      </c>
      <c r="D195" t="inlineStr">
        <is>
          <t>NORRBOTTENS LÄN</t>
        </is>
      </c>
      <c r="E195" t="inlineStr">
        <is>
          <t>JOKKMOKK</t>
        </is>
      </c>
      <c r="G195" t="n">
        <v>10</v>
      </c>
      <c r="H195" t="n">
        <v>0</v>
      </c>
      <c r="I195" t="n">
        <v>0</v>
      </c>
      <c r="J195" t="n">
        <v>0</v>
      </c>
      <c r="K195" t="n">
        <v>0</v>
      </c>
      <c r="L195" t="n">
        <v>0</v>
      </c>
      <c r="M195" t="n">
        <v>0</v>
      </c>
      <c r="N195" t="n">
        <v>0</v>
      </c>
      <c r="O195" t="n">
        <v>0</v>
      </c>
      <c r="P195" t="n">
        <v>0</v>
      </c>
      <c r="Q195" t="n">
        <v>0</v>
      </c>
      <c r="R195" s="2" t="inlineStr"/>
    </row>
    <row r="196" ht="15" customHeight="1">
      <c r="A196" t="inlineStr">
        <is>
          <t>A 37827-2024</t>
        </is>
      </c>
      <c r="B196" s="1" t="n">
        <v>45544</v>
      </c>
      <c r="C196" s="1" t="n">
        <v>45966</v>
      </c>
      <c r="D196" t="inlineStr">
        <is>
          <t>NORRBOTTENS LÄN</t>
        </is>
      </c>
      <c r="E196" t="inlineStr">
        <is>
          <t>JOKKMOKK</t>
        </is>
      </c>
      <c r="F196" t="inlineStr">
        <is>
          <t>SCA</t>
        </is>
      </c>
      <c r="G196" t="n">
        <v>5</v>
      </c>
      <c r="H196" t="n">
        <v>0</v>
      </c>
      <c r="I196" t="n">
        <v>0</v>
      </c>
      <c r="J196" t="n">
        <v>0</v>
      </c>
      <c r="K196" t="n">
        <v>0</v>
      </c>
      <c r="L196" t="n">
        <v>0</v>
      </c>
      <c r="M196" t="n">
        <v>0</v>
      </c>
      <c r="N196" t="n">
        <v>0</v>
      </c>
      <c r="O196" t="n">
        <v>0</v>
      </c>
      <c r="P196" t="n">
        <v>0</v>
      </c>
      <c r="Q196" t="n">
        <v>0</v>
      </c>
      <c r="R196" s="2" t="inlineStr"/>
    </row>
    <row r="197" ht="15" customHeight="1">
      <c r="A197" t="inlineStr">
        <is>
          <t>A 49896-2025</t>
        </is>
      </c>
      <c r="B197" s="1" t="n">
        <v>45940.58270833334</v>
      </c>
      <c r="C197" s="1" t="n">
        <v>45966</v>
      </c>
      <c r="D197" t="inlineStr">
        <is>
          <t>NORRBOTTENS LÄN</t>
        </is>
      </c>
      <c r="E197" t="inlineStr">
        <is>
          <t>JOKKMOKK</t>
        </is>
      </c>
      <c r="F197" t="inlineStr">
        <is>
          <t>Sveaskog</t>
        </is>
      </c>
      <c r="G197" t="n">
        <v>7.6</v>
      </c>
      <c r="H197" t="n">
        <v>0</v>
      </c>
      <c r="I197" t="n">
        <v>0</v>
      </c>
      <c r="J197" t="n">
        <v>0</v>
      </c>
      <c r="K197" t="n">
        <v>0</v>
      </c>
      <c r="L197" t="n">
        <v>0</v>
      </c>
      <c r="M197" t="n">
        <v>0</v>
      </c>
      <c r="N197" t="n">
        <v>0</v>
      </c>
      <c r="O197" t="n">
        <v>0</v>
      </c>
      <c r="P197" t="n">
        <v>0</v>
      </c>
      <c r="Q197" t="n">
        <v>0</v>
      </c>
      <c r="R197" s="2" t="inlineStr"/>
    </row>
    <row r="198" ht="15" customHeight="1">
      <c r="A198" t="inlineStr">
        <is>
          <t>A 9878-2023</t>
        </is>
      </c>
      <c r="B198" s="1" t="n">
        <v>44984</v>
      </c>
      <c r="C198" s="1" t="n">
        <v>45966</v>
      </c>
      <c r="D198" t="inlineStr">
        <is>
          <t>NORRBOTTENS LÄN</t>
        </is>
      </c>
      <c r="E198" t="inlineStr">
        <is>
          <t>JOKKMOKK</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49978-2025</t>
        </is>
      </c>
      <c r="B199" s="1" t="n">
        <v>45942.61520833334</v>
      </c>
      <c r="C199" s="1" t="n">
        <v>45966</v>
      </c>
      <c r="D199" t="inlineStr">
        <is>
          <t>NORRBOTTENS LÄN</t>
        </is>
      </c>
      <c r="E199" t="inlineStr">
        <is>
          <t>JOKKMOKK</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50185-2025</t>
        </is>
      </c>
      <c r="B200" s="1" t="n">
        <v>45943.62515046296</v>
      </c>
      <c r="C200" s="1" t="n">
        <v>45966</v>
      </c>
      <c r="D200" t="inlineStr">
        <is>
          <t>NORRBOTTENS LÄN</t>
        </is>
      </c>
      <c r="E200" t="inlineStr">
        <is>
          <t>JOKKMOKK</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49856-2025</t>
        </is>
      </c>
      <c r="B201" s="1" t="n">
        <v>45940.50591435185</v>
      </c>
      <c r="C201" s="1" t="n">
        <v>45966</v>
      </c>
      <c r="D201" t="inlineStr">
        <is>
          <t>NORRBOTTENS LÄN</t>
        </is>
      </c>
      <c r="E201" t="inlineStr">
        <is>
          <t>JOKKMOKK</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41403-2025</t>
        </is>
      </c>
      <c r="B202" s="1" t="n">
        <v>45901.344375</v>
      </c>
      <c r="C202" s="1" t="n">
        <v>45966</v>
      </c>
      <c r="D202" t="inlineStr">
        <is>
          <t>NORRBOTTENS LÄN</t>
        </is>
      </c>
      <c r="E202" t="inlineStr">
        <is>
          <t>JOKKMOKK</t>
        </is>
      </c>
      <c r="F202" t="inlineStr">
        <is>
          <t>SCA</t>
        </is>
      </c>
      <c r="G202" t="n">
        <v>2.9</v>
      </c>
      <c r="H202" t="n">
        <v>0</v>
      </c>
      <c r="I202" t="n">
        <v>0</v>
      </c>
      <c r="J202" t="n">
        <v>0</v>
      </c>
      <c r="K202" t="n">
        <v>0</v>
      </c>
      <c r="L202" t="n">
        <v>0</v>
      </c>
      <c r="M202" t="n">
        <v>0</v>
      </c>
      <c r="N202" t="n">
        <v>0</v>
      </c>
      <c r="O202" t="n">
        <v>0</v>
      </c>
      <c r="P202" t="n">
        <v>0</v>
      </c>
      <c r="Q202" t="n">
        <v>0</v>
      </c>
      <c r="R202" s="2" t="inlineStr"/>
    </row>
    <row r="203" ht="15" customHeight="1">
      <c r="A203" t="inlineStr">
        <is>
          <t>A 20593-2023</t>
        </is>
      </c>
      <c r="B203" s="1" t="n">
        <v>45057</v>
      </c>
      <c r="C203" s="1" t="n">
        <v>45966</v>
      </c>
      <c r="D203" t="inlineStr">
        <is>
          <t>NORRBOTTENS LÄN</t>
        </is>
      </c>
      <c r="E203" t="inlineStr">
        <is>
          <t>JOKKMOKK</t>
        </is>
      </c>
      <c r="F203" t="inlineStr">
        <is>
          <t>SCA</t>
        </is>
      </c>
      <c r="G203" t="n">
        <v>0.5</v>
      </c>
      <c r="H203" t="n">
        <v>0</v>
      </c>
      <c r="I203" t="n">
        <v>0</v>
      </c>
      <c r="J203" t="n">
        <v>0</v>
      </c>
      <c r="K203" t="n">
        <v>0</v>
      </c>
      <c r="L203" t="n">
        <v>0</v>
      </c>
      <c r="M203" t="n">
        <v>0</v>
      </c>
      <c r="N203" t="n">
        <v>0</v>
      </c>
      <c r="O203" t="n">
        <v>0</v>
      </c>
      <c r="P203" t="n">
        <v>0</v>
      </c>
      <c r="Q203" t="n">
        <v>0</v>
      </c>
      <c r="R203" s="2" t="inlineStr"/>
    </row>
    <row r="204" ht="15" customHeight="1">
      <c r="A204" t="inlineStr">
        <is>
          <t>A 23023-2023</t>
        </is>
      </c>
      <c r="B204" s="1" t="n">
        <v>45073</v>
      </c>
      <c r="C204" s="1" t="n">
        <v>45966</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55491-2024</t>
        </is>
      </c>
      <c r="B205" s="1" t="n">
        <v>45622</v>
      </c>
      <c r="C205" s="1" t="n">
        <v>45966</v>
      </c>
      <c r="D205" t="inlineStr">
        <is>
          <t>NORRBOTTENS LÄN</t>
        </is>
      </c>
      <c r="E205" t="inlineStr">
        <is>
          <t>JOKKMOKK</t>
        </is>
      </c>
      <c r="F205" t="inlineStr">
        <is>
          <t>Allmännings- och besparingsskogar</t>
        </is>
      </c>
      <c r="G205" t="n">
        <v>25.2</v>
      </c>
      <c r="H205" t="n">
        <v>0</v>
      </c>
      <c r="I205" t="n">
        <v>0</v>
      </c>
      <c r="J205" t="n">
        <v>0</v>
      </c>
      <c r="K205" t="n">
        <v>0</v>
      </c>
      <c r="L205" t="n">
        <v>0</v>
      </c>
      <c r="M205" t="n">
        <v>0</v>
      </c>
      <c r="N205" t="n">
        <v>0</v>
      </c>
      <c r="O205" t="n">
        <v>0</v>
      </c>
      <c r="P205" t="n">
        <v>0</v>
      </c>
      <c r="Q205" t="n">
        <v>0</v>
      </c>
      <c r="R205" s="2" t="inlineStr"/>
    </row>
    <row r="206" ht="15" customHeight="1">
      <c r="A206" t="inlineStr">
        <is>
          <t>A 4661-2022</t>
        </is>
      </c>
      <c r="B206" s="1" t="n">
        <v>44589</v>
      </c>
      <c r="C206" s="1" t="n">
        <v>45966</v>
      </c>
      <c r="D206" t="inlineStr">
        <is>
          <t>NORRBOTTENS LÄN</t>
        </is>
      </c>
      <c r="E206" t="inlineStr">
        <is>
          <t>JOKKMOKK</t>
        </is>
      </c>
      <c r="G206" t="n">
        <v>39.5</v>
      </c>
      <c r="H206" t="n">
        <v>0</v>
      </c>
      <c r="I206" t="n">
        <v>0</v>
      </c>
      <c r="J206" t="n">
        <v>0</v>
      </c>
      <c r="K206" t="n">
        <v>0</v>
      </c>
      <c r="L206" t="n">
        <v>0</v>
      </c>
      <c r="M206" t="n">
        <v>0</v>
      </c>
      <c r="N206" t="n">
        <v>0</v>
      </c>
      <c r="O206" t="n">
        <v>0</v>
      </c>
      <c r="P206" t="n">
        <v>0</v>
      </c>
      <c r="Q206" t="n">
        <v>0</v>
      </c>
      <c r="R206" s="2" t="inlineStr"/>
    </row>
    <row r="207" ht="15" customHeight="1">
      <c r="A207" t="inlineStr">
        <is>
          <t>A 42639-2024</t>
        </is>
      </c>
      <c r="B207" s="1" t="n">
        <v>45565.91135416667</v>
      </c>
      <c r="C207" s="1" t="n">
        <v>45966</v>
      </c>
      <c r="D207" t="inlineStr">
        <is>
          <t>NORRBOTTENS LÄN</t>
        </is>
      </c>
      <c r="E207" t="inlineStr">
        <is>
          <t>JOKKMOKK</t>
        </is>
      </c>
      <c r="G207" t="n">
        <v>34.5</v>
      </c>
      <c r="H207" t="n">
        <v>0</v>
      </c>
      <c r="I207" t="n">
        <v>0</v>
      </c>
      <c r="J207" t="n">
        <v>0</v>
      </c>
      <c r="K207" t="n">
        <v>0</v>
      </c>
      <c r="L207" t="n">
        <v>0</v>
      </c>
      <c r="M207" t="n">
        <v>0</v>
      </c>
      <c r="N207" t="n">
        <v>0</v>
      </c>
      <c r="O207" t="n">
        <v>0</v>
      </c>
      <c r="P207" t="n">
        <v>0</v>
      </c>
      <c r="Q207" t="n">
        <v>0</v>
      </c>
      <c r="R207" s="2" t="inlineStr"/>
    </row>
    <row r="208" ht="15" customHeight="1">
      <c r="A208" t="inlineStr">
        <is>
          <t>A 61500-2024</t>
        </is>
      </c>
      <c r="B208" s="1" t="n">
        <v>45645</v>
      </c>
      <c r="C208" s="1" t="n">
        <v>45966</v>
      </c>
      <c r="D208" t="inlineStr">
        <is>
          <t>NORRBOTTENS LÄN</t>
        </is>
      </c>
      <c r="E208" t="inlineStr">
        <is>
          <t>JOKKMOKK</t>
        </is>
      </c>
      <c r="G208" t="n">
        <v>39.8</v>
      </c>
      <c r="H208" t="n">
        <v>0</v>
      </c>
      <c r="I208" t="n">
        <v>0</v>
      </c>
      <c r="J208" t="n">
        <v>0</v>
      </c>
      <c r="K208" t="n">
        <v>0</v>
      </c>
      <c r="L208" t="n">
        <v>0</v>
      </c>
      <c r="M208" t="n">
        <v>0</v>
      </c>
      <c r="N208" t="n">
        <v>0</v>
      </c>
      <c r="O208" t="n">
        <v>0</v>
      </c>
      <c r="P208" t="n">
        <v>0</v>
      </c>
      <c r="Q208" t="n">
        <v>0</v>
      </c>
      <c r="R208" s="2" t="inlineStr"/>
    </row>
    <row r="209" ht="15" customHeight="1">
      <c r="A209" t="inlineStr">
        <is>
          <t>A 40106-2023</t>
        </is>
      </c>
      <c r="B209" s="1" t="n">
        <v>45168.93785879629</v>
      </c>
      <c r="C209" s="1" t="n">
        <v>45966</v>
      </c>
      <c r="D209" t="inlineStr">
        <is>
          <t>NORRBOTTENS LÄN</t>
        </is>
      </c>
      <c r="E209" t="inlineStr">
        <is>
          <t>JOKKMOKK</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11657-2024</t>
        </is>
      </c>
      <c r="B210" s="1" t="n">
        <v>45373</v>
      </c>
      <c r="C210" s="1" t="n">
        <v>45966</v>
      </c>
      <c r="D210" t="inlineStr">
        <is>
          <t>NORRBOTTENS LÄN</t>
        </is>
      </c>
      <c r="E210" t="inlineStr">
        <is>
          <t>JOKKMOKK</t>
        </is>
      </c>
      <c r="G210" t="n">
        <v>14.3</v>
      </c>
      <c r="H210" t="n">
        <v>0</v>
      </c>
      <c r="I210" t="n">
        <v>0</v>
      </c>
      <c r="J210" t="n">
        <v>0</v>
      </c>
      <c r="K210" t="n">
        <v>0</v>
      </c>
      <c r="L210" t="n">
        <v>0</v>
      </c>
      <c r="M210" t="n">
        <v>0</v>
      </c>
      <c r="N210" t="n">
        <v>0</v>
      </c>
      <c r="O210" t="n">
        <v>0</v>
      </c>
      <c r="P210" t="n">
        <v>0</v>
      </c>
      <c r="Q210" t="n">
        <v>0</v>
      </c>
      <c r="R210" s="2" t="inlineStr"/>
    </row>
    <row r="211" ht="15" customHeight="1">
      <c r="A211" t="inlineStr">
        <is>
          <t>A 46418-2023</t>
        </is>
      </c>
      <c r="B211" s="1" t="n">
        <v>45197</v>
      </c>
      <c r="C211" s="1" t="n">
        <v>45966</v>
      </c>
      <c r="D211" t="inlineStr">
        <is>
          <t>NORRBOTTENS LÄN</t>
        </is>
      </c>
      <c r="E211" t="inlineStr">
        <is>
          <t>JOKKMOKK</t>
        </is>
      </c>
      <c r="G211" t="n">
        <v>7.4</v>
      </c>
      <c r="H211" t="n">
        <v>0</v>
      </c>
      <c r="I211" t="n">
        <v>0</v>
      </c>
      <c r="J211" t="n">
        <v>0</v>
      </c>
      <c r="K211" t="n">
        <v>0</v>
      </c>
      <c r="L211" t="n">
        <v>0</v>
      </c>
      <c r="M211" t="n">
        <v>0</v>
      </c>
      <c r="N211" t="n">
        <v>0</v>
      </c>
      <c r="O211" t="n">
        <v>0</v>
      </c>
      <c r="P211" t="n">
        <v>0</v>
      </c>
      <c r="Q211" t="n">
        <v>0</v>
      </c>
      <c r="R211" s="2" t="inlineStr"/>
    </row>
    <row r="212" ht="15" customHeight="1">
      <c r="A212" t="inlineStr">
        <is>
          <t>A 30511-2023</t>
        </is>
      </c>
      <c r="B212" s="1" t="n">
        <v>45111</v>
      </c>
      <c r="C212" s="1" t="n">
        <v>45966</v>
      </c>
      <c r="D212" t="inlineStr">
        <is>
          <t>NORRBOTTENS LÄN</t>
        </is>
      </c>
      <c r="E212" t="inlineStr">
        <is>
          <t>JOKKMOKK</t>
        </is>
      </c>
      <c r="G212" t="n">
        <v>0.9</v>
      </c>
      <c r="H212" t="n">
        <v>0</v>
      </c>
      <c r="I212" t="n">
        <v>0</v>
      </c>
      <c r="J212" t="n">
        <v>0</v>
      </c>
      <c r="K212" t="n">
        <v>0</v>
      </c>
      <c r="L212" t="n">
        <v>0</v>
      </c>
      <c r="M212" t="n">
        <v>0</v>
      </c>
      <c r="N212" t="n">
        <v>0</v>
      </c>
      <c r="O212" t="n">
        <v>0</v>
      </c>
      <c r="P212" t="n">
        <v>0</v>
      </c>
      <c r="Q212" t="n">
        <v>0</v>
      </c>
      <c r="R212" s="2" t="inlineStr"/>
    </row>
    <row r="213" ht="15" customHeight="1">
      <c r="A213" t="inlineStr">
        <is>
          <t>A 32853-2024</t>
        </is>
      </c>
      <c r="B213" s="1" t="n">
        <v>45516.63964120371</v>
      </c>
      <c r="C213" s="1" t="n">
        <v>45966</v>
      </c>
      <c r="D213" t="inlineStr">
        <is>
          <t>NORRBOTTENS LÄN</t>
        </is>
      </c>
      <c r="E213" t="inlineStr">
        <is>
          <t>JOKKMOKK</t>
        </is>
      </c>
      <c r="F213" t="inlineStr">
        <is>
          <t>Sveaskog</t>
        </is>
      </c>
      <c r="G213" t="n">
        <v>40.4</v>
      </c>
      <c r="H213" t="n">
        <v>0</v>
      </c>
      <c r="I213" t="n">
        <v>0</v>
      </c>
      <c r="J213" t="n">
        <v>0</v>
      </c>
      <c r="K213" t="n">
        <v>0</v>
      </c>
      <c r="L213" t="n">
        <v>0</v>
      </c>
      <c r="M213" t="n">
        <v>0</v>
      </c>
      <c r="N213" t="n">
        <v>0</v>
      </c>
      <c r="O213" t="n">
        <v>0</v>
      </c>
      <c r="P213" t="n">
        <v>0</v>
      </c>
      <c r="Q213" t="n">
        <v>0</v>
      </c>
      <c r="R213" s="2" t="inlineStr"/>
    </row>
    <row r="214" ht="15" customHeight="1">
      <c r="A214" t="inlineStr">
        <is>
          <t>A 39684-2023</t>
        </is>
      </c>
      <c r="B214" s="1" t="n">
        <v>45166</v>
      </c>
      <c r="C214" s="1" t="n">
        <v>45966</v>
      </c>
      <c r="D214" t="inlineStr">
        <is>
          <t>NORRBOTTENS LÄN</t>
        </is>
      </c>
      <c r="E214" t="inlineStr">
        <is>
          <t>JOKKMOKK</t>
        </is>
      </c>
      <c r="G214" t="n">
        <v>6.8</v>
      </c>
      <c r="H214" t="n">
        <v>0</v>
      </c>
      <c r="I214" t="n">
        <v>0</v>
      </c>
      <c r="J214" t="n">
        <v>0</v>
      </c>
      <c r="K214" t="n">
        <v>0</v>
      </c>
      <c r="L214" t="n">
        <v>0</v>
      </c>
      <c r="M214" t="n">
        <v>0</v>
      </c>
      <c r="N214" t="n">
        <v>0</v>
      </c>
      <c r="O214" t="n">
        <v>0</v>
      </c>
      <c r="P214" t="n">
        <v>0</v>
      </c>
      <c r="Q214" t="n">
        <v>0</v>
      </c>
      <c r="R214" s="2" t="inlineStr"/>
    </row>
    <row r="215" ht="15" customHeight="1">
      <c r="A215" t="inlineStr">
        <is>
          <t>A 50986-2025</t>
        </is>
      </c>
      <c r="B215" s="1" t="n">
        <v>45947.3453125</v>
      </c>
      <c r="C215" s="1" t="n">
        <v>45966</v>
      </c>
      <c r="D215" t="inlineStr">
        <is>
          <t>NORRBOTTENS LÄN</t>
        </is>
      </c>
      <c r="E215" t="inlineStr">
        <is>
          <t>JOKKMOKK</t>
        </is>
      </c>
      <c r="F215" t="inlineStr">
        <is>
          <t>SCA</t>
        </is>
      </c>
      <c r="G215" t="n">
        <v>5.9</v>
      </c>
      <c r="H215" t="n">
        <v>0</v>
      </c>
      <c r="I215" t="n">
        <v>0</v>
      </c>
      <c r="J215" t="n">
        <v>0</v>
      </c>
      <c r="K215" t="n">
        <v>0</v>
      </c>
      <c r="L215" t="n">
        <v>0</v>
      </c>
      <c r="M215" t="n">
        <v>0</v>
      </c>
      <c r="N215" t="n">
        <v>0</v>
      </c>
      <c r="O215" t="n">
        <v>0</v>
      </c>
      <c r="P215" t="n">
        <v>0</v>
      </c>
      <c r="Q215" t="n">
        <v>0</v>
      </c>
      <c r="R215" s="2" t="inlineStr"/>
    </row>
    <row r="216" ht="15" customHeight="1">
      <c r="A216" t="inlineStr">
        <is>
          <t>A 56412-2021</t>
        </is>
      </c>
      <c r="B216" s="1" t="n">
        <v>44477</v>
      </c>
      <c r="C216" s="1" t="n">
        <v>45966</v>
      </c>
      <c r="D216" t="inlineStr">
        <is>
          <t>NORRBOTTENS LÄN</t>
        </is>
      </c>
      <c r="E216" t="inlineStr">
        <is>
          <t>JOKKMOKK</t>
        </is>
      </c>
      <c r="G216" t="n">
        <v>2.5</v>
      </c>
      <c r="H216" t="n">
        <v>0</v>
      </c>
      <c r="I216" t="n">
        <v>0</v>
      </c>
      <c r="J216" t="n">
        <v>0</v>
      </c>
      <c r="K216" t="n">
        <v>0</v>
      </c>
      <c r="L216" t="n">
        <v>0</v>
      </c>
      <c r="M216" t="n">
        <v>0</v>
      </c>
      <c r="N216" t="n">
        <v>0</v>
      </c>
      <c r="O216" t="n">
        <v>0</v>
      </c>
      <c r="P216" t="n">
        <v>0</v>
      </c>
      <c r="Q216" t="n">
        <v>0</v>
      </c>
      <c r="R216" s="2" t="inlineStr"/>
    </row>
    <row r="217" ht="15" customHeight="1">
      <c r="A217" t="inlineStr">
        <is>
          <t>A 42322-2025</t>
        </is>
      </c>
      <c r="B217" s="1" t="n">
        <v>45904</v>
      </c>
      <c r="C217" s="1" t="n">
        <v>45966</v>
      </c>
      <c r="D217" t="inlineStr">
        <is>
          <t>NORRBOTTENS LÄN</t>
        </is>
      </c>
      <c r="E217" t="inlineStr">
        <is>
          <t>JOKKMOKK</t>
        </is>
      </c>
      <c r="G217" t="n">
        <v>3.8</v>
      </c>
      <c r="H217" t="n">
        <v>0</v>
      </c>
      <c r="I217" t="n">
        <v>0</v>
      </c>
      <c r="J217" t="n">
        <v>0</v>
      </c>
      <c r="K217" t="n">
        <v>0</v>
      </c>
      <c r="L217" t="n">
        <v>0</v>
      </c>
      <c r="M217" t="n">
        <v>0</v>
      </c>
      <c r="N217" t="n">
        <v>0</v>
      </c>
      <c r="O217" t="n">
        <v>0</v>
      </c>
      <c r="P217" t="n">
        <v>0</v>
      </c>
      <c r="Q217" t="n">
        <v>0</v>
      </c>
      <c r="R217" s="2" t="inlineStr"/>
    </row>
    <row r="218" ht="15" customHeight="1">
      <c r="A218" t="inlineStr">
        <is>
          <t>A 50717-2025</t>
        </is>
      </c>
      <c r="B218" s="1" t="n">
        <v>45946.34598379629</v>
      </c>
      <c r="C218" s="1" t="n">
        <v>45966</v>
      </c>
      <c r="D218" t="inlineStr">
        <is>
          <t>NORRBOTTENS LÄN</t>
        </is>
      </c>
      <c r="E218" t="inlineStr">
        <is>
          <t>JOKKMOKK</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50723-2025</t>
        </is>
      </c>
      <c r="B219" s="1" t="n">
        <v>45946.34690972222</v>
      </c>
      <c r="C219" s="1" t="n">
        <v>45966</v>
      </c>
      <c r="D219" t="inlineStr">
        <is>
          <t>NORRBOTTENS LÄN</t>
        </is>
      </c>
      <c r="E219" t="inlineStr">
        <is>
          <t>JOKKMOKK</t>
        </is>
      </c>
      <c r="F219" t="inlineStr">
        <is>
          <t>SCA</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42575-2025</t>
        </is>
      </c>
      <c r="B220" s="1" t="n">
        <v>45905.61263888889</v>
      </c>
      <c r="C220" s="1" t="n">
        <v>45966</v>
      </c>
      <c r="D220" t="inlineStr">
        <is>
          <t>NORRBOTTENS LÄN</t>
        </is>
      </c>
      <c r="E220" t="inlineStr">
        <is>
          <t>JOKKMOKK</t>
        </is>
      </c>
      <c r="F220" t="inlineStr">
        <is>
          <t>Sveaskog</t>
        </is>
      </c>
      <c r="G220" t="n">
        <v>17.4</v>
      </c>
      <c r="H220" t="n">
        <v>0</v>
      </c>
      <c r="I220" t="n">
        <v>0</v>
      </c>
      <c r="J220" t="n">
        <v>0</v>
      </c>
      <c r="K220" t="n">
        <v>0</v>
      </c>
      <c r="L220" t="n">
        <v>0</v>
      </c>
      <c r="M220" t="n">
        <v>0</v>
      </c>
      <c r="N220" t="n">
        <v>0</v>
      </c>
      <c r="O220" t="n">
        <v>0</v>
      </c>
      <c r="P220" t="n">
        <v>0</v>
      </c>
      <c r="Q220" t="n">
        <v>0</v>
      </c>
      <c r="R220" s="2" t="inlineStr"/>
    </row>
    <row r="221" ht="15" customHeight="1">
      <c r="A221" t="inlineStr">
        <is>
          <t>A 42126-2025</t>
        </is>
      </c>
      <c r="B221" s="1" t="n">
        <v>45904.34486111111</v>
      </c>
      <c r="C221" s="1" t="n">
        <v>45966</v>
      </c>
      <c r="D221" t="inlineStr">
        <is>
          <t>NORRBOTTENS LÄN</t>
        </is>
      </c>
      <c r="E221" t="inlineStr">
        <is>
          <t>JOKKMOKK</t>
        </is>
      </c>
      <c r="F221" t="inlineStr">
        <is>
          <t>SCA</t>
        </is>
      </c>
      <c r="G221" t="n">
        <v>4.9</v>
      </c>
      <c r="H221" t="n">
        <v>0</v>
      </c>
      <c r="I221" t="n">
        <v>0</v>
      </c>
      <c r="J221" t="n">
        <v>0</v>
      </c>
      <c r="K221" t="n">
        <v>0</v>
      </c>
      <c r="L221" t="n">
        <v>0</v>
      </c>
      <c r="M221" t="n">
        <v>0</v>
      </c>
      <c r="N221" t="n">
        <v>0</v>
      </c>
      <c r="O221" t="n">
        <v>0</v>
      </c>
      <c r="P221" t="n">
        <v>0</v>
      </c>
      <c r="Q221" t="n">
        <v>0</v>
      </c>
      <c r="R221" s="2" t="inlineStr"/>
    </row>
    <row r="222" ht="15" customHeight="1">
      <c r="A222" t="inlineStr">
        <is>
          <t>A 30292-2023</t>
        </is>
      </c>
      <c r="B222" s="1" t="n">
        <v>45110</v>
      </c>
      <c r="C222" s="1" t="n">
        <v>45966</v>
      </c>
      <c r="D222" t="inlineStr">
        <is>
          <t>NORRBOTTENS LÄN</t>
        </is>
      </c>
      <c r="E222" t="inlineStr">
        <is>
          <t>JOKKMOKK</t>
        </is>
      </c>
      <c r="G222" t="n">
        <v>1.4</v>
      </c>
      <c r="H222" t="n">
        <v>0</v>
      </c>
      <c r="I222" t="n">
        <v>0</v>
      </c>
      <c r="J222" t="n">
        <v>0</v>
      </c>
      <c r="K222" t="n">
        <v>0</v>
      </c>
      <c r="L222" t="n">
        <v>0</v>
      </c>
      <c r="M222" t="n">
        <v>0</v>
      </c>
      <c r="N222" t="n">
        <v>0</v>
      </c>
      <c r="O222" t="n">
        <v>0</v>
      </c>
      <c r="P222" t="n">
        <v>0</v>
      </c>
      <c r="Q222" t="n">
        <v>0</v>
      </c>
      <c r="R222" s="2" t="inlineStr"/>
    </row>
    <row r="223" ht="15" customHeight="1">
      <c r="A223" t="inlineStr">
        <is>
          <t>A 51679-2025</t>
        </is>
      </c>
      <c r="B223" s="1" t="n">
        <v>45951.51141203703</v>
      </c>
      <c r="C223" s="1" t="n">
        <v>45966</v>
      </c>
      <c r="D223" t="inlineStr">
        <is>
          <t>NORRBOTTENS LÄN</t>
        </is>
      </c>
      <c r="E223" t="inlineStr">
        <is>
          <t>JOKKMOKK</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50397-2025</t>
        </is>
      </c>
      <c r="B224" s="1" t="n">
        <v>45944.62211805556</v>
      </c>
      <c r="C224" s="1" t="n">
        <v>45966</v>
      </c>
      <c r="D224" t="inlineStr">
        <is>
          <t>NORRBOTTENS LÄN</t>
        </is>
      </c>
      <c r="E224" t="inlineStr">
        <is>
          <t>JOKKMOKK</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42944-2025</t>
        </is>
      </c>
      <c r="B225" s="1" t="n">
        <v>45909.34434027778</v>
      </c>
      <c r="C225" s="1" t="n">
        <v>45966</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42959-2025</t>
        </is>
      </c>
      <c r="B226" s="1" t="n">
        <v>45909</v>
      </c>
      <c r="C226" s="1" t="n">
        <v>45966</v>
      </c>
      <c r="D226" t="inlineStr">
        <is>
          <t>NORRBOTTENS LÄN</t>
        </is>
      </c>
      <c r="E226" t="inlineStr">
        <is>
          <t>JOKKMOKK</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50731-2025</t>
        </is>
      </c>
      <c r="B227" s="1" t="n">
        <v>45946.36513888889</v>
      </c>
      <c r="C227" s="1" t="n">
        <v>45966</v>
      </c>
      <c r="D227" t="inlineStr">
        <is>
          <t>NORRBOTTENS LÄN</t>
        </is>
      </c>
      <c r="E227" t="inlineStr">
        <is>
          <t>JOKKMOKK</t>
        </is>
      </c>
      <c r="F227" t="inlineStr">
        <is>
          <t>SCA</t>
        </is>
      </c>
      <c r="G227" t="n">
        <v>4</v>
      </c>
      <c r="H227" t="n">
        <v>0</v>
      </c>
      <c r="I227" t="n">
        <v>0</v>
      </c>
      <c r="J227" t="n">
        <v>0</v>
      </c>
      <c r="K227" t="n">
        <v>0</v>
      </c>
      <c r="L227" t="n">
        <v>0</v>
      </c>
      <c r="M227" t="n">
        <v>0</v>
      </c>
      <c r="N227" t="n">
        <v>0</v>
      </c>
      <c r="O227" t="n">
        <v>0</v>
      </c>
      <c r="P227" t="n">
        <v>0</v>
      </c>
      <c r="Q227" t="n">
        <v>0</v>
      </c>
      <c r="R227" s="2" t="inlineStr"/>
    </row>
    <row r="228" ht="15" customHeight="1">
      <c r="A228" t="inlineStr">
        <is>
          <t>A 51699-2025</t>
        </is>
      </c>
      <c r="B228" s="1" t="n">
        <v>45951.55253472222</v>
      </c>
      <c r="C228" s="1" t="n">
        <v>45966</v>
      </c>
      <c r="D228" t="inlineStr">
        <is>
          <t>NORRBOTTENS LÄN</t>
        </is>
      </c>
      <c r="E228" t="inlineStr">
        <is>
          <t>JOKKMOKK</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51707-2025</t>
        </is>
      </c>
      <c r="B229" s="1" t="n">
        <v>45951.56545138889</v>
      </c>
      <c r="C229" s="1" t="n">
        <v>45966</v>
      </c>
      <c r="D229" t="inlineStr">
        <is>
          <t>NORRBOTTENS LÄN</t>
        </is>
      </c>
      <c r="E229" t="inlineStr">
        <is>
          <t>JOKKMOKK</t>
        </is>
      </c>
      <c r="F229" t="inlineStr">
        <is>
          <t>Övriga statliga verk och myndigheter</t>
        </is>
      </c>
      <c r="G229" t="n">
        <v>7.2</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45966</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16018-2024</t>
        </is>
      </c>
      <c r="B231" s="1" t="n">
        <v>45405.67028935185</v>
      </c>
      <c r="C231" s="1" t="n">
        <v>45966</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42664-2025</t>
        </is>
      </c>
      <c r="B232" s="1" t="n">
        <v>45907</v>
      </c>
      <c r="C232" s="1" t="n">
        <v>45966</v>
      </c>
      <c r="D232" t="inlineStr">
        <is>
          <t>NORRBOTTENS LÄN</t>
        </is>
      </c>
      <c r="E232" t="inlineStr">
        <is>
          <t>JOKKMOKK</t>
        </is>
      </c>
      <c r="G232" t="n">
        <v>1.9</v>
      </c>
      <c r="H232" t="n">
        <v>0</v>
      </c>
      <c r="I232" t="n">
        <v>0</v>
      </c>
      <c r="J232" t="n">
        <v>0</v>
      </c>
      <c r="K232" t="n">
        <v>0</v>
      </c>
      <c r="L232" t="n">
        <v>0</v>
      </c>
      <c r="M232" t="n">
        <v>0</v>
      </c>
      <c r="N232" t="n">
        <v>0</v>
      </c>
      <c r="O232" t="n">
        <v>0</v>
      </c>
      <c r="P232" t="n">
        <v>0</v>
      </c>
      <c r="Q232" t="n">
        <v>0</v>
      </c>
      <c r="R232" s="2" t="inlineStr"/>
    </row>
    <row r="233" ht="15" customHeight="1">
      <c r="A233" t="inlineStr">
        <is>
          <t>A 18537-2023</t>
        </is>
      </c>
      <c r="B233" s="1" t="n">
        <v>45028</v>
      </c>
      <c r="C233" s="1" t="n">
        <v>45966</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51715-2025</t>
        </is>
      </c>
      <c r="B234" s="1" t="n">
        <v>45951.57585648148</v>
      </c>
      <c r="C234" s="1" t="n">
        <v>45966</v>
      </c>
      <c r="D234" t="inlineStr">
        <is>
          <t>NORRBOTTENS LÄN</t>
        </is>
      </c>
      <c r="E234" t="inlineStr">
        <is>
          <t>JOKKMOKK</t>
        </is>
      </c>
      <c r="F234" t="inlineStr">
        <is>
          <t>Övriga statliga verk och myndigheter</t>
        </is>
      </c>
      <c r="G234" t="n">
        <v>4.1</v>
      </c>
      <c r="H234" t="n">
        <v>0</v>
      </c>
      <c r="I234" t="n">
        <v>0</v>
      </c>
      <c r="J234" t="n">
        <v>0</v>
      </c>
      <c r="K234" t="n">
        <v>0</v>
      </c>
      <c r="L234" t="n">
        <v>0</v>
      </c>
      <c r="M234" t="n">
        <v>0</v>
      </c>
      <c r="N234" t="n">
        <v>0</v>
      </c>
      <c r="O234" t="n">
        <v>0</v>
      </c>
      <c r="P234" t="n">
        <v>0</v>
      </c>
      <c r="Q234" t="n">
        <v>0</v>
      </c>
      <c r="R234" s="2" t="inlineStr"/>
    </row>
    <row r="235" ht="15" customHeight="1">
      <c r="A235" t="inlineStr">
        <is>
          <t>A 23204-2024</t>
        </is>
      </c>
      <c r="B235" s="1" t="n">
        <v>45451</v>
      </c>
      <c r="C235" s="1" t="n">
        <v>45966</v>
      </c>
      <c r="D235" t="inlineStr">
        <is>
          <t>NORRBOTTENS LÄN</t>
        </is>
      </c>
      <c r="E235" t="inlineStr">
        <is>
          <t>JOKKMOKK</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51700-2025</t>
        </is>
      </c>
      <c r="B236" s="1" t="n">
        <v>45951.55287037037</v>
      </c>
      <c r="C236" s="1" t="n">
        <v>45966</v>
      </c>
      <c r="D236" t="inlineStr">
        <is>
          <t>NORRBOTTENS LÄN</t>
        </is>
      </c>
      <c r="E236" t="inlineStr">
        <is>
          <t>JOKKMOKK</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51721-2025</t>
        </is>
      </c>
      <c r="B237" s="1" t="n">
        <v>45951.58004629629</v>
      </c>
      <c r="C237" s="1" t="n">
        <v>45966</v>
      </c>
      <c r="D237" t="inlineStr">
        <is>
          <t>NORRBOTTENS LÄN</t>
        </is>
      </c>
      <c r="E237" t="inlineStr">
        <is>
          <t>JOKKMOKK</t>
        </is>
      </c>
      <c r="F237" t="inlineStr">
        <is>
          <t>Övriga statliga verk och myndigheter</t>
        </is>
      </c>
      <c r="G237" t="n">
        <v>16.3</v>
      </c>
      <c r="H237" t="n">
        <v>0</v>
      </c>
      <c r="I237" t="n">
        <v>0</v>
      </c>
      <c r="J237" t="n">
        <v>0</v>
      </c>
      <c r="K237" t="n">
        <v>0</v>
      </c>
      <c r="L237" t="n">
        <v>0</v>
      </c>
      <c r="M237" t="n">
        <v>0</v>
      </c>
      <c r="N237" t="n">
        <v>0</v>
      </c>
      <c r="O237" t="n">
        <v>0</v>
      </c>
      <c r="P237" t="n">
        <v>0</v>
      </c>
      <c r="Q237" t="n">
        <v>0</v>
      </c>
      <c r="R237" s="2" t="inlineStr"/>
    </row>
    <row r="238" ht="15" customHeight="1">
      <c r="A238" t="inlineStr">
        <is>
          <t>A 49976-2025</t>
        </is>
      </c>
      <c r="B238" s="1" t="n">
        <v>45942.61506944444</v>
      </c>
      <c r="C238" s="1" t="n">
        <v>45966</v>
      </c>
      <c r="D238" t="inlineStr">
        <is>
          <t>NORRBOTTENS LÄN</t>
        </is>
      </c>
      <c r="E238" t="inlineStr">
        <is>
          <t>JOKKMOKK</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50732-2025</t>
        </is>
      </c>
      <c r="B239" s="1" t="n">
        <v>45946.36519675926</v>
      </c>
      <c r="C239" s="1" t="n">
        <v>45966</v>
      </c>
      <c r="D239" t="inlineStr">
        <is>
          <t>NORRBOTTENS LÄN</t>
        </is>
      </c>
      <c r="E239" t="inlineStr">
        <is>
          <t>JOKKMOKK</t>
        </is>
      </c>
      <c r="F239" t="inlineStr">
        <is>
          <t>SCA</t>
        </is>
      </c>
      <c r="G239" t="n">
        <v>45.9</v>
      </c>
      <c r="H239" t="n">
        <v>0</v>
      </c>
      <c r="I239" t="n">
        <v>0</v>
      </c>
      <c r="J239" t="n">
        <v>0</v>
      </c>
      <c r="K239" t="n">
        <v>0</v>
      </c>
      <c r="L239" t="n">
        <v>0</v>
      </c>
      <c r="M239" t="n">
        <v>0</v>
      </c>
      <c r="N239" t="n">
        <v>0</v>
      </c>
      <c r="O239" t="n">
        <v>0</v>
      </c>
      <c r="P239" t="n">
        <v>0</v>
      </c>
      <c r="Q239" t="n">
        <v>0</v>
      </c>
      <c r="R239" s="2" t="inlineStr"/>
    </row>
    <row r="240" ht="15" customHeight="1">
      <c r="A240" t="inlineStr">
        <is>
          <t>A 51717-2025</t>
        </is>
      </c>
      <c r="B240" s="1" t="n">
        <v>45951.57743055555</v>
      </c>
      <c r="C240" s="1" t="n">
        <v>45966</v>
      </c>
      <c r="D240" t="inlineStr">
        <is>
          <t>NORRBOTTENS LÄN</t>
        </is>
      </c>
      <c r="E240" t="inlineStr">
        <is>
          <t>JOKKMOKK</t>
        </is>
      </c>
      <c r="F240" t="inlineStr">
        <is>
          <t>Övriga statliga verk och myndigheter</t>
        </is>
      </c>
      <c r="G240" t="n">
        <v>3.4</v>
      </c>
      <c r="H240" t="n">
        <v>0</v>
      </c>
      <c r="I240" t="n">
        <v>0</v>
      </c>
      <c r="J240" t="n">
        <v>0</v>
      </c>
      <c r="K240" t="n">
        <v>0</v>
      </c>
      <c r="L240" t="n">
        <v>0</v>
      </c>
      <c r="M240" t="n">
        <v>0</v>
      </c>
      <c r="N240" t="n">
        <v>0</v>
      </c>
      <c r="O240" t="n">
        <v>0</v>
      </c>
      <c r="P240" t="n">
        <v>0</v>
      </c>
      <c r="Q240" t="n">
        <v>0</v>
      </c>
      <c r="R240" s="2" t="inlineStr"/>
    </row>
    <row r="241" ht="15" customHeight="1">
      <c r="A241" t="inlineStr">
        <is>
          <t>A 51718-2025</t>
        </is>
      </c>
      <c r="B241" s="1" t="n">
        <v>45951.57791666667</v>
      </c>
      <c r="C241" s="1" t="n">
        <v>45966</v>
      </c>
      <c r="D241" t="inlineStr">
        <is>
          <t>NORRBOTTENS LÄN</t>
        </is>
      </c>
      <c r="E241" t="inlineStr">
        <is>
          <t>JOKKMOKK</t>
        </is>
      </c>
      <c r="F241" t="inlineStr">
        <is>
          <t>Övriga statliga verk och myndigheter</t>
        </is>
      </c>
      <c r="G241" t="n">
        <v>31.9</v>
      </c>
      <c r="H241" t="n">
        <v>0</v>
      </c>
      <c r="I241" t="n">
        <v>0</v>
      </c>
      <c r="J241" t="n">
        <v>0</v>
      </c>
      <c r="K241" t="n">
        <v>0</v>
      </c>
      <c r="L241" t="n">
        <v>0</v>
      </c>
      <c r="M241" t="n">
        <v>0</v>
      </c>
      <c r="N241" t="n">
        <v>0</v>
      </c>
      <c r="O241" t="n">
        <v>0</v>
      </c>
      <c r="P241" t="n">
        <v>0</v>
      </c>
      <c r="Q241" t="n">
        <v>0</v>
      </c>
      <c r="R241" s="2" t="inlineStr"/>
    </row>
    <row r="242" ht="15" customHeight="1">
      <c r="A242" t="inlineStr">
        <is>
          <t>A 46465-2025</t>
        </is>
      </c>
      <c r="B242" s="1" t="n">
        <v>45925.67710648148</v>
      </c>
      <c r="C242" s="1" t="n">
        <v>45966</v>
      </c>
      <c r="D242" t="inlineStr">
        <is>
          <t>NORRBOTTENS LÄN</t>
        </is>
      </c>
      <c r="E242" t="inlineStr">
        <is>
          <t>JOKKMOKK</t>
        </is>
      </c>
      <c r="G242" t="n">
        <v>3.6</v>
      </c>
      <c r="H242" t="n">
        <v>0</v>
      </c>
      <c r="I242" t="n">
        <v>0</v>
      </c>
      <c r="J242" t="n">
        <v>0</v>
      </c>
      <c r="K242" t="n">
        <v>0</v>
      </c>
      <c r="L242" t="n">
        <v>0</v>
      </c>
      <c r="M242" t="n">
        <v>0</v>
      </c>
      <c r="N242" t="n">
        <v>0</v>
      </c>
      <c r="O242" t="n">
        <v>0</v>
      </c>
      <c r="P242" t="n">
        <v>0</v>
      </c>
      <c r="Q242" t="n">
        <v>0</v>
      </c>
      <c r="R242" s="2" t="inlineStr"/>
    </row>
    <row r="243" ht="15" customHeight="1">
      <c r="A243" t="inlineStr">
        <is>
          <t>A 14869-2025</t>
        </is>
      </c>
      <c r="B243" s="1" t="n">
        <v>45743.44828703703</v>
      </c>
      <c r="C243" s="1" t="n">
        <v>45966</v>
      </c>
      <c r="D243" t="inlineStr">
        <is>
          <t>NORRBOTTENS LÄN</t>
        </is>
      </c>
      <c r="E243" t="inlineStr">
        <is>
          <t>JOKKMOKK</t>
        </is>
      </c>
      <c r="G243" t="n">
        <v>4.9</v>
      </c>
      <c r="H243" t="n">
        <v>0</v>
      </c>
      <c r="I243" t="n">
        <v>0</v>
      </c>
      <c r="J243" t="n">
        <v>0</v>
      </c>
      <c r="K243" t="n">
        <v>0</v>
      </c>
      <c r="L243" t="n">
        <v>0</v>
      </c>
      <c r="M243" t="n">
        <v>0</v>
      </c>
      <c r="N243" t="n">
        <v>0</v>
      </c>
      <c r="O243" t="n">
        <v>0</v>
      </c>
      <c r="P243" t="n">
        <v>0</v>
      </c>
      <c r="Q243" t="n">
        <v>0</v>
      </c>
      <c r="R243" s="2" t="inlineStr"/>
    </row>
    <row r="244" ht="15" customHeight="1">
      <c r="A244" t="inlineStr">
        <is>
          <t>A 52278-2025</t>
        </is>
      </c>
      <c r="B244" s="1" t="n">
        <v>45953.56256944445</v>
      </c>
      <c r="C244" s="1" t="n">
        <v>45966</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12664-2025</t>
        </is>
      </c>
      <c r="B245" s="1" t="n">
        <v>45733</v>
      </c>
      <c r="C245" s="1" t="n">
        <v>45966</v>
      </c>
      <c r="D245" t="inlineStr">
        <is>
          <t>NORRBOTTENS LÄN</t>
        </is>
      </c>
      <c r="E245" t="inlineStr">
        <is>
          <t>JOKKMOKK</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52291-2025</t>
        </is>
      </c>
      <c r="B246" s="1" t="n">
        <v>45953.59836805556</v>
      </c>
      <c r="C246" s="1" t="n">
        <v>45966</v>
      </c>
      <c r="D246" t="inlineStr">
        <is>
          <t>NORRBOTTENS LÄN</t>
        </is>
      </c>
      <c r="E246" t="inlineStr">
        <is>
          <t>JOKKMOKK</t>
        </is>
      </c>
      <c r="F246" t="inlineStr">
        <is>
          <t>Övriga statliga verk och myndigheter</t>
        </is>
      </c>
      <c r="G246" t="n">
        <v>41.2</v>
      </c>
      <c r="H246" t="n">
        <v>0</v>
      </c>
      <c r="I246" t="n">
        <v>0</v>
      </c>
      <c r="J246" t="n">
        <v>0</v>
      </c>
      <c r="K246" t="n">
        <v>0</v>
      </c>
      <c r="L246" t="n">
        <v>0</v>
      </c>
      <c r="M246" t="n">
        <v>0</v>
      </c>
      <c r="N246" t="n">
        <v>0</v>
      </c>
      <c r="O246" t="n">
        <v>0</v>
      </c>
      <c r="P246" t="n">
        <v>0</v>
      </c>
      <c r="Q246" t="n">
        <v>0</v>
      </c>
      <c r="R246" s="2" t="inlineStr"/>
    </row>
    <row r="247" ht="15" customHeight="1">
      <c r="A247" t="inlineStr">
        <is>
          <t>A 52288-2025</t>
        </is>
      </c>
      <c r="B247" s="1" t="n">
        <v>45953.59483796296</v>
      </c>
      <c r="C247" s="1" t="n">
        <v>45966</v>
      </c>
      <c r="D247" t="inlineStr">
        <is>
          <t>NORRBOTTENS LÄN</t>
        </is>
      </c>
      <c r="E247" t="inlineStr">
        <is>
          <t>JOKKMOKK</t>
        </is>
      </c>
      <c r="F247" t="inlineStr">
        <is>
          <t>Övriga statliga verk och myndigheter</t>
        </is>
      </c>
      <c r="G247" t="n">
        <v>11.4</v>
      </c>
      <c r="H247" t="n">
        <v>0</v>
      </c>
      <c r="I247" t="n">
        <v>0</v>
      </c>
      <c r="J247" t="n">
        <v>0</v>
      </c>
      <c r="K247" t="n">
        <v>0</v>
      </c>
      <c r="L247" t="n">
        <v>0</v>
      </c>
      <c r="M247" t="n">
        <v>0</v>
      </c>
      <c r="N247" t="n">
        <v>0</v>
      </c>
      <c r="O247" t="n">
        <v>0</v>
      </c>
      <c r="P247" t="n">
        <v>0</v>
      </c>
      <c r="Q247" t="n">
        <v>0</v>
      </c>
      <c r="R247" s="2" t="inlineStr"/>
    </row>
    <row r="248" ht="15" customHeight="1">
      <c r="A248" t="inlineStr">
        <is>
          <t>A 52293-2025</t>
        </is>
      </c>
      <c r="B248" s="1" t="n">
        <v>45953.59943287037</v>
      </c>
      <c r="C248" s="1" t="n">
        <v>45966</v>
      </c>
      <c r="D248" t="inlineStr">
        <is>
          <t>NORRBOTTENS LÄN</t>
        </is>
      </c>
      <c r="E248" t="inlineStr">
        <is>
          <t>JOKKMOKK</t>
        </is>
      </c>
      <c r="F248" t="inlineStr">
        <is>
          <t>Övriga statliga verk och myndigheter</t>
        </is>
      </c>
      <c r="G248" t="n">
        <v>65.09999999999999</v>
      </c>
      <c r="H248" t="n">
        <v>0</v>
      </c>
      <c r="I248" t="n">
        <v>0</v>
      </c>
      <c r="J248" t="n">
        <v>0</v>
      </c>
      <c r="K248" t="n">
        <v>0</v>
      </c>
      <c r="L248" t="n">
        <v>0</v>
      </c>
      <c r="M248" t="n">
        <v>0</v>
      </c>
      <c r="N248" t="n">
        <v>0</v>
      </c>
      <c r="O248" t="n">
        <v>0</v>
      </c>
      <c r="P248" t="n">
        <v>0</v>
      </c>
      <c r="Q248" t="n">
        <v>0</v>
      </c>
      <c r="R248" s="2" t="inlineStr"/>
    </row>
    <row r="249" ht="15" customHeight="1">
      <c r="A249" t="inlineStr">
        <is>
          <t>A 52294-2025</t>
        </is>
      </c>
      <c r="B249" s="1" t="n">
        <v>45953.59979166667</v>
      </c>
      <c r="C249" s="1" t="n">
        <v>45966</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23019-2023</t>
        </is>
      </c>
      <c r="B250" s="1" t="n">
        <v>45073</v>
      </c>
      <c r="C250" s="1" t="n">
        <v>45966</v>
      </c>
      <c r="D250" t="inlineStr">
        <is>
          <t>NORRBOTTENS LÄN</t>
        </is>
      </c>
      <c r="E250" t="inlineStr">
        <is>
          <t>JOKKMOKK</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52240-2025</t>
        </is>
      </c>
      <c r="B251" s="1" t="n">
        <v>45953.46320601852</v>
      </c>
      <c r="C251" s="1" t="n">
        <v>45966</v>
      </c>
      <c r="D251" t="inlineStr">
        <is>
          <t>NORRBOTTENS LÄN</t>
        </is>
      </c>
      <c r="E251" t="inlineStr">
        <is>
          <t>JOKKMOKK</t>
        </is>
      </c>
      <c r="F251" t="inlineStr">
        <is>
          <t>Övriga statliga verk och myndigheter</t>
        </is>
      </c>
      <c r="G251" t="n">
        <v>17.6</v>
      </c>
      <c r="H251" t="n">
        <v>0</v>
      </c>
      <c r="I251" t="n">
        <v>0</v>
      </c>
      <c r="J251" t="n">
        <v>0</v>
      </c>
      <c r="K251" t="n">
        <v>0</v>
      </c>
      <c r="L251" t="n">
        <v>0</v>
      </c>
      <c r="M251" t="n">
        <v>0</v>
      </c>
      <c r="N251" t="n">
        <v>0</v>
      </c>
      <c r="O251" t="n">
        <v>0</v>
      </c>
      <c r="P251" t="n">
        <v>0</v>
      </c>
      <c r="Q251" t="n">
        <v>0</v>
      </c>
      <c r="R251" s="2" t="inlineStr"/>
    </row>
    <row r="252" ht="15" customHeight="1">
      <c r="A252" t="inlineStr">
        <is>
          <t>A 52112-2025</t>
        </is>
      </c>
      <c r="B252" s="1" t="n">
        <v>45952.69846064815</v>
      </c>
      <c r="C252" s="1" t="n">
        <v>45966</v>
      </c>
      <c r="D252" t="inlineStr">
        <is>
          <t>NORRBOTTENS LÄN</t>
        </is>
      </c>
      <c r="E252" t="inlineStr">
        <is>
          <t>JOKKMOKK</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52564-2024</t>
        </is>
      </c>
      <c r="B253" s="1" t="n">
        <v>45609</v>
      </c>
      <c r="C253" s="1" t="n">
        <v>45966</v>
      </c>
      <c r="D253" t="inlineStr">
        <is>
          <t>NORRBOTTENS LÄN</t>
        </is>
      </c>
      <c r="E253" t="inlineStr">
        <is>
          <t>JOKKMOKK</t>
        </is>
      </c>
      <c r="F253" t="inlineStr">
        <is>
          <t>Allmännings- och besparingsskogar</t>
        </is>
      </c>
      <c r="G253" t="n">
        <v>16.5</v>
      </c>
      <c r="H253" t="n">
        <v>0</v>
      </c>
      <c r="I253" t="n">
        <v>0</v>
      </c>
      <c r="J253" t="n">
        <v>0</v>
      </c>
      <c r="K253" t="n">
        <v>0</v>
      </c>
      <c r="L253" t="n">
        <v>0</v>
      </c>
      <c r="M253" t="n">
        <v>0</v>
      </c>
      <c r="N253" t="n">
        <v>0</v>
      </c>
      <c r="O253" t="n">
        <v>0</v>
      </c>
      <c r="P253" t="n">
        <v>0</v>
      </c>
      <c r="Q253" t="n">
        <v>0</v>
      </c>
      <c r="R253" s="2" t="inlineStr"/>
    </row>
    <row r="254" ht="15" customHeight="1">
      <c r="A254" t="inlineStr">
        <is>
          <t>A 52877-2025</t>
        </is>
      </c>
      <c r="B254" s="1" t="n">
        <v>45957.53907407408</v>
      </c>
      <c r="C254" s="1" t="n">
        <v>45966</v>
      </c>
      <c r="D254" t="inlineStr">
        <is>
          <t>NORRBOTTENS LÄN</t>
        </is>
      </c>
      <c r="E254" t="inlineStr">
        <is>
          <t>JOKKMOKK</t>
        </is>
      </c>
      <c r="F254" t="inlineStr">
        <is>
          <t>Sveaskog</t>
        </is>
      </c>
      <c r="G254" t="n">
        <v>26.7</v>
      </c>
      <c r="H254" t="n">
        <v>0</v>
      </c>
      <c r="I254" t="n">
        <v>0</v>
      </c>
      <c r="J254" t="n">
        <v>0</v>
      </c>
      <c r="K254" t="n">
        <v>0</v>
      </c>
      <c r="L254" t="n">
        <v>0</v>
      </c>
      <c r="M254" t="n">
        <v>0</v>
      </c>
      <c r="N254" t="n">
        <v>0</v>
      </c>
      <c r="O254" t="n">
        <v>0</v>
      </c>
      <c r="P254" t="n">
        <v>0</v>
      </c>
      <c r="Q254" t="n">
        <v>0</v>
      </c>
      <c r="R254" s="2" t="inlineStr"/>
    </row>
    <row r="255" ht="15" customHeight="1">
      <c r="A255" t="inlineStr">
        <is>
          <t>A 21829-2025</t>
        </is>
      </c>
      <c r="B255" s="1" t="n">
        <v>45783.96920138889</v>
      </c>
      <c r="C255" s="1" t="n">
        <v>45966</v>
      </c>
      <c r="D255" t="inlineStr">
        <is>
          <t>NORRBOTTENS LÄN</t>
        </is>
      </c>
      <c r="E255" t="inlineStr">
        <is>
          <t>JOKKMOKK</t>
        </is>
      </c>
      <c r="G255" t="n">
        <v>7.1</v>
      </c>
      <c r="H255" t="n">
        <v>0</v>
      </c>
      <c r="I255" t="n">
        <v>0</v>
      </c>
      <c r="J255" t="n">
        <v>0</v>
      </c>
      <c r="K255" t="n">
        <v>0</v>
      </c>
      <c r="L255" t="n">
        <v>0</v>
      </c>
      <c r="M255" t="n">
        <v>0</v>
      </c>
      <c r="N255" t="n">
        <v>0</v>
      </c>
      <c r="O255" t="n">
        <v>0</v>
      </c>
      <c r="P255" t="n">
        <v>0</v>
      </c>
      <c r="Q255" t="n">
        <v>0</v>
      </c>
      <c r="R255" s="2" t="inlineStr"/>
    </row>
    <row r="256" ht="15" customHeight="1">
      <c r="A256" t="inlineStr">
        <is>
          <t>A 43997-2025</t>
        </is>
      </c>
      <c r="B256" s="1" t="n">
        <v>45915.44868055556</v>
      </c>
      <c r="C256" s="1" t="n">
        <v>45966</v>
      </c>
      <c r="D256" t="inlineStr">
        <is>
          <t>NORRBOTTENS LÄN</t>
        </is>
      </c>
      <c r="E256" t="inlineStr">
        <is>
          <t>JOKKMOKK</t>
        </is>
      </c>
      <c r="G256" t="n">
        <v>4.5</v>
      </c>
      <c r="H256" t="n">
        <v>0</v>
      </c>
      <c r="I256" t="n">
        <v>0</v>
      </c>
      <c r="J256" t="n">
        <v>0</v>
      </c>
      <c r="K256" t="n">
        <v>0</v>
      </c>
      <c r="L256" t="n">
        <v>0</v>
      </c>
      <c r="M256" t="n">
        <v>0</v>
      </c>
      <c r="N256" t="n">
        <v>0</v>
      </c>
      <c r="O256" t="n">
        <v>0</v>
      </c>
      <c r="P256" t="n">
        <v>0</v>
      </c>
      <c r="Q256" t="n">
        <v>0</v>
      </c>
      <c r="R256" s="2" t="inlineStr"/>
    </row>
    <row r="257" ht="15" customHeight="1">
      <c r="A257" t="inlineStr">
        <is>
          <t>A 31209-2023</t>
        </is>
      </c>
      <c r="B257" s="1" t="n">
        <v>45113.95096064815</v>
      </c>
      <c r="C257" s="1" t="n">
        <v>45966</v>
      </c>
      <c r="D257" t="inlineStr">
        <is>
          <t>NORRBOTTENS LÄN</t>
        </is>
      </c>
      <c r="E257" t="inlineStr">
        <is>
          <t>JOKKMOKK</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43658-2025</t>
        </is>
      </c>
      <c r="B258" s="1" t="n">
        <v>45912.34276620371</v>
      </c>
      <c r="C258" s="1" t="n">
        <v>45966</v>
      </c>
      <c r="D258" t="inlineStr">
        <is>
          <t>NORRBOTTENS LÄN</t>
        </is>
      </c>
      <c r="E258" t="inlineStr">
        <is>
          <t>JOKKMOKK</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43803-2025</t>
        </is>
      </c>
      <c r="B259" s="1" t="n">
        <v>45912</v>
      </c>
      <c r="C259" s="1" t="n">
        <v>45966</v>
      </c>
      <c r="D259" t="inlineStr">
        <is>
          <t>NORRBOTTENS LÄN</t>
        </is>
      </c>
      <c r="E259" t="inlineStr">
        <is>
          <t>JOKKMOKK</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50628-2024</t>
        </is>
      </c>
      <c r="B260" s="1" t="n">
        <v>45601.66423611111</v>
      </c>
      <c r="C260" s="1" t="n">
        <v>45966</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9349-2023</t>
        </is>
      </c>
      <c r="B261" s="1" t="n">
        <v>44980</v>
      </c>
      <c r="C261" s="1" t="n">
        <v>45966</v>
      </c>
      <c r="D261" t="inlineStr">
        <is>
          <t>NORRBOTTENS LÄN</t>
        </is>
      </c>
      <c r="E261" t="inlineStr">
        <is>
          <t>JOKKMOKK</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9351-2023</t>
        </is>
      </c>
      <c r="B262" s="1" t="n">
        <v>44980</v>
      </c>
      <c r="C262" s="1" t="n">
        <v>45966</v>
      </c>
      <c r="D262" t="inlineStr">
        <is>
          <t>NORRBOTTENS LÄN</t>
        </is>
      </c>
      <c r="E262" t="inlineStr">
        <is>
          <t>JOKKMOKK</t>
        </is>
      </c>
      <c r="F262" t="inlineStr">
        <is>
          <t>SCA</t>
        </is>
      </c>
      <c r="G262" t="n">
        <v>2.3</v>
      </c>
      <c r="H262" t="n">
        <v>0</v>
      </c>
      <c r="I262" t="n">
        <v>0</v>
      </c>
      <c r="J262" t="n">
        <v>0</v>
      </c>
      <c r="K262" t="n">
        <v>0</v>
      </c>
      <c r="L262" t="n">
        <v>0</v>
      </c>
      <c r="M262" t="n">
        <v>0</v>
      </c>
      <c r="N262" t="n">
        <v>0</v>
      </c>
      <c r="O262" t="n">
        <v>0</v>
      </c>
      <c r="P262" t="n">
        <v>0</v>
      </c>
      <c r="Q262" t="n">
        <v>0</v>
      </c>
      <c r="R262" s="2" t="inlineStr"/>
    </row>
    <row r="263" ht="15" customHeight="1">
      <c r="A263" t="inlineStr">
        <is>
          <t>A 51336-2024</t>
        </is>
      </c>
      <c r="B263" s="1" t="n">
        <v>45604.34443287037</v>
      </c>
      <c r="C263" s="1" t="n">
        <v>45966</v>
      </c>
      <c r="D263" t="inlineStr">
        <is>
          <t>NORRBOTTENS LÄN</t>
        </is>
      </c>
      <c r="E263" t="inlineStr">
        <is>
          <t>JOKKMOKK</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23203-2024</t>
        </is>
      </c>
      <c r="B264" s="1" t="n">
        <v>45451</v>
      </c>
      <c r="C264" s="1" t="n">
        <v>45966</v>
      </c>
      <c r="D264" t="inlineStr">
        <is>
          <t>NORRBOTTENS LÄN</t>
        </is>
      </c>
      <c r="E264" t="inlineStr">
        <is>
          <t>JOKKMOKK</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51577-2025</t>
        </is>
      </c>
      <c r="B265" s="1" t="n">
        <v>45951</v>
      </c>
      <c r="C265" s="1" t="n">
        <v>45966</v>
      </c>
      <c r="D265" t="inlineStr">
        <is>
          <t>NORRBOTTENS LÄN</t>
        </is>
      </c>
      <c r="E265" t="inlineStr">
        <is>
          <t>JOKKMOKK</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6777-2023</t>
        </is>
      </c>
      <c r="B266" s="1" t="n">
        <v>44966</v>
      </c>
      <c r="C266" s="1" t="n">
        <v>45966</v>
      </c>
      <c r="D266" t="inlineStr">
        <is>
          <t>NORRBOTTENS LÄN</t>
        </is>
      </c>
      <c r="E266" t="inlineStr">
        <is>
          <t>JOKKMOKK</t>
        </is>
      </c>
      <c r="G266" t="n">
        <v>2.2</v>
      </c>
      <c r="H266" t="n">
        <v>0</v>
      </c>
      <c r="I266" t="n">
        <v>0</v>
      </c>
      <c r="J266" t="n">
        <v>0</v>
      </c>
      <c r="K266" t="n">
        <v>0</v>
      </c>
      <c r="L266" t="n">
        <v>0</v>
      </c>
      <c r="M266" t="n">
        <v>0</v>
      </c>
      <c r="N266" t="n">
        <v>0</v>
      </c>
      <c r="O266" t="n">
        <v>0</v>
      </c>
      <c r="P266" t="n">
        <v>0</v>
      </c>
      <c r="Q266" t="n">
        <v>0</v>
      </c>
      <c r="R266" s="2" t="inlineStr"/>
    </row>
    <row r="267" ht="15" customHeight="1">
      <c r="A267" t="inlineStr">
        <is>
          <t>A 53237-2025</t>
        </is>
      </c>
      <c r="B267" s="1" t="n">
        <v>45957</v>
      </c>
      <c r="C267" s="1" t="n">
        <v>45966</v>
      </c>
      <c r="D267" t="inlineStr">
        <is>
          <t>NORRBOTTENS LÄN</t>
        </is>
      </c>
      <c r="E267" t="inlineStr">
        <is>
          <t>JOKKMOKK</t>
        </is>
      </c>
      <c r="F267" t="inlineStr">
        <is>
          <t>Övriga Aktiebolag</t>
        </is>
      </c>
      <c r="G267" t="n">
        <v>28.1</v>
      </c>
      <c r="H267" t="n">
        <v>0</v>
      </c>
      <c r="I267" t="n">
        <v>0</v>
      </c>
      <c r="J267" t="n">
        <v>0</v>
      </c>
      <c r="K267" t="n">
        <v>0</v>
      </c>
      <c r="L267" t="n">
        <v>0</v>
      </c>
      <c r="M267" t="n">
        <v>0</v>
      </c>
      <c r="N267" t="n">
        <v>0</v>
      </c>
      <c r="O267" t="n">
        <v>0</v>
      </c>
      <c r="P267" t="n">
        <v>0</v>
      </c>
      <c r="Q267" t="n">
        <v>0</v>
      </c>
      <c r="R267" s="2" t="inlineStr"/>
    </row>
    <row r="268" ht="15" customHeight="1">
      <c r="A268" t="inlineStr">
        <is>
          <t>A 44691-2025</t>
        </is>
      </c>
      <c r="B268" s="1" t="n">
        <v>45917.59425925926</v>
      </c>
      <c r="C268" s="1" t="n">
        <v>45966</v>
      </c>
      <c r="D268" t="inlineStr">
        <is>
          <t>NORRBOTTENS LÄN</t>
        </is>
      </c>
      <c r="E268" t="inlineStr">
        <is>
          <t>JOKKMOKK</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27657-2024</t>
        </is>
      </c>
      <c r="B269" s="1" t="n">
        <v>45474.95196759259</v>
      </c>
      <c r="C269" s="1" t="n">
        <v>45966</v>
      </c>
      <c r="D269" t="inlineStr">
        <is>
          <t>NORRBOTTENS LÄN</t>
        </is>
      </c>
      <c r="E269" t="inlineStr">
        <is>
          <t>JOKKMOKK</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27658-2024</t>
        </is>
      </c>
      <c r="B270" s="1" t="n">
        <v>45474.95246527778</v>
      </c>
      <c r="C270" s="1" t="n">
        <v>45966</v>
      </c>
      <c r="D270" t="inlineStr">
        <is>
          <t>NORRBOTTENS LÄN</t>
        </is>
      </c>
      <c r="E270" t="inlineStr">
        <is>
          <t>JOKKMOKK</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23317-2025</t>
        </is>
      </c>
      <c r="B271" s="1" t="n">
        <v>45791.61278935185</v>
      </c>
      <c r="C271" s="1" t="n">
        <v>45966</v>
      </c>
      <c r="D271" t="inlineStr">
        <is>
          <t>NORRBOTTENS LÄN</t>
        </is>
      </c>
      <c r="E271" t="inlineStr">
        <is>
          <t>JOKKMOKK</t>
        </is>
      </c>
      <c r="F271" t="inlineStr">
        <is>
          <t>Sveaskog</t>
        </is>
      </c>
      <c r="G271" t="n">
        <v>22.4</v>
      </c>
      <c r="H271" t="n">
        <v>0</v>
      </c>
      <c r="I271" t="n">
        <v>0</v>
      </c>
      <c r="J271" t="n">
        <v>0</v>
      </c>
      <c r="K271" t="n">
        <v>0</v>
      </c>
      <c r="L271" t="n">
        <v>0</v>
      </c>
      <c r="M271" t="n">
        <v>0</v>
      </c>
      <c r="N271" t="n">
        <v>0</v>
      </c>
      <c r="O271" t="n">
        <v>0</v>
      </c>
      <c r="P271" t="n">
        <v>0</v>
      </c>
      <c r="Q271" t="n">
        <v>0</v>
      </c>
      <c r="R271" s="2" t="inlineStr"/>
    </row>
    <row r="272" ht="15" customHeight="1">
      <c r="A272" t="inlineStr">
        <is>
          <t>A 51293-2024</t>
        </is>
      </c>
      <c r="B272" s="1" t="n">
        <v>45603.92878472222</v>
      </c>
      <c r="C272" s="1" t="n">
        <v>45966</v>
      </c>
      <c r="D272" t="inlineStr">
        <is>
          <t>NORRBOTTENS LÄN</t>
        </is>
      </c>
      <c r="E272" t="inlineStr">
        <is>
          <t>JOKKMOKK</t>
        </is>
      </c>
      <c r="G272" t="n">
        <v>2.5</v>
      </c>
      <c r="H272" t="n">
        <v>0</v>
      </c>
      <c r="I272" t="n">
        <v>0</v>
      </c>
      <c r="J272" t="n">
        <v>0</v>
      </c>
      <c r="K272" t="n">
        <v>0</v>
      </c>
      <c r="L272" t="n">
        <v>0</v>
      </c>
      <c r="M272" t="n">
        <v>0</v>
      </c>
      <c r="N272" t="n">
        <v>0</v>
      </c>
      <c r="O272" t="n">
        <v>0</v>
      </c>
      <c r="P272" t="n">
        <v>0</v>
      </c>
      <c r="Q272" t="n">
        <v>0</v>
      </c>
      <c r="R272" s="2" t="inlineStr"/>
    </row>
    <row r="273" ht="15" customHeight="1">
      <c r="A273" t="inlineStr">
        <is>
          <t>A 14815-2024</t>
        </is>
      </c>
      <c r="B273" s="1" t="n">
        <v>45397.95770833334</v>
      </c>
      <c r="C273" s="1" t="n">
        <v>45966</v>
      </c>
      <c r="D273" t="inlineStr">
        <is>
          <t>NORRBOTTENS LÄN</t>
        </is>
      </c>
      <c r="E273" t="inlineStr">
        <is>
          <t>JOKKMOKK</t>
        </is>
      </c>
      <c r="F273" t="inlineStr">
        <is>
          <t>SCA</t>
        </is>
      </c>
      <c r="G273" t="n">
        <v>54.1</v>
      </c>
      <c r="H273" t="n">
        <v>0</v>
      </c>
      <c r="I273" t="n">
        <v>0</v>
      </c>
      <c r="J273" t="n">
        <v>0</v>
      </c>
      <c r="K273" t="n">
        <v>0</v>
      </c>
      <c r="L273" t="n">
        <v>0</v>
      </c>
      <c r="M273" t="n">
        <v>0</v>
      </c>
      <c r="N273" t="n">
        <v>0</v>
      </c>
      <c r="O273" t="n">
        <v>0</v>
      </c>
      <c r="P273" t="n">
        <v>0</v>
      </c>
      <c r="Q273" t="n">
        <v>0</v>
      </c>
      <c r="R273" s="2" t="inlineStr"/>
    </row>
    <row r="274" ht="15" customHeight="1">
      <c r="A274" t="inlineStr">
        <is>
          <t>A 52733-2024</t>
        </is>
      </c>
      <c r="B274" s="1" t="n">
        <v>45610</v>
      </c>
      <c r="C274" s="1" t="n">
        <v>45966</v>
      </c>
      <c r="D274" t="inlineStr">
        <is>
          <t>NORRBOTTENS LÄN</t>
        </is>
      </c>
      <c r="E274" t="inlineStr">
        <is>
          <t>JOKKMOKK</t>
        </is>
      </c>
      <c r="F274" t="inlineStr">
        <is>
          <t>Allmännings- och besparingsskogar</t>
        </is>
      </c>
      <c r="G274" t="n">
        <v>6.1</v>
      </c>
      <c r="H274" t="n">
        <v>0</v>
      </c>
      <c r="I274" t="n">
        <v>0</v>
      </c>
      <c r="J274" t="n">
        <v>0</v>
      </c>
      <c r="K274" t="n">
        <v>0</v>
      </c>
      <c r="L274" t="n">
        <v>0</v>
      </c>
      <c r="M274" t="n">
        <v>0</v>
      </c>
      <c r="N274" t="n">
        <v>0</v>
      </c>
      <c r="O274" t="n">
        <v>0</v>
      </c>
      <c r="P274" t="n">
        <v>0</v>
      </c>
      <c r="Q274" t="n">
        <v>0</v>
      </c>
      <c r="R274" s="2" t="inlineStr"/>
    </row>
    <row r="275" ht="15" customHeight="1">
      <c r="A275" t="inlineStr">
        <is>
          <t>A 61760-2024</t>
        </is>
      </c>
      <c r="B275" s="1" t="n">
        <v>45649</v>
      </c>
      <c r="C275" s="1" t="n">
        <v>45966</v>
      </c>
      <c r="D275" t="inlineStr">
        <is>
          <t>NORRBOTTENS LÄN</t>
        </is>
      </c>
      <c r="E275" t="inlineStr">
        <is>
          <t>JOKKMOKK</t>
        </is>
      </c>
      <c r="F275" t="inlineStr">
        <is>
          <t>Övriga statliga verk och myndigheter</t>
        </is>
      </c>
      <c r="G275" t="n">
        <v>19.3</v>
      </c>
      <c r="H275" t="n">
        <v>0</v>
      </c>
      <c r="I275" t="n">
        <v>0</v>
      </c>
      <c r="J275" t="n">
        <v>0</v>
      </c>
      <c r="K275" t="n">
        <v>0</v>
      </c>
      <c r="L275" t="n">
        <v>0</v>
      </c>
      <c r="M275" t="n">
        <v>0</v>
      </c>
      <c r="N275" t="n">
        <v>0</v>
      </c>
      <c r="O275" t="n">
        <v>0</v>
      </c>
      <c r="P275" t="n">
        <v>0</v>
      </c>
      <c r="Q275" t="n">
        <v>0</v>
      </c>
      <c r="R275" s="2" t="inlineStr"/>
    </row>
    <row r="276" ht="15" customHeight="1">
      <c r="A276" t="inlineStr">
        <is>
          <t>A 44606-2025</t>
        </is>
      </c>
      <c r="B276" s="1" t="n">
        <v>45917.4485300926</v>
      </c>
      <c r="C276" s="1" t="n">
        <v>45966</v>
      </c>
      <c r="D276" t="inlineStr">
        <is>
          <t>NORRBOTTENS LÄN</t>
        </is>
      </c>
      <c r="E276" t="inlineStr">
        <is>
          <t>JOKKMOKK</t>
        </is>
      </c>
      <c r="F276" t="inlineStr">
        <is>
          <t>SCA</t>
        </is>
      </c>
      <c r="G276" t="n">
        <v>4.3</v>
      </c>
      <c r="H276" t="n">
        <v>0</v>
      </c>
      <c r="I276" t="n">
        <v>0</v>
      </c>
      <c r="J276" t="n">
        <v>0</v>
      </c>
      <c r="K276" t="n">
        <v>0</v>
      </c>
      <c r="L276" t="n">
        <v>0</v>
      </c>
      <c r="M276" t="n">
        <v>0</v>
      </c>
      <c r="N276" t="n">
        <v>0</v>
      </c>
      <c r="O276" t="n">
        <v>0</v>
      </c>
      <c r="P276" t="n">
        <v>0</v>
      </c>
      <c r="Q276" t="n">
        <v>0</v>
      </c>
      <c r="R276" s="2" t="inlineStr"/>
    </row>
    <row r="277" ht="15" customHeight="1">
      <c r="A277" t="inlineStr">
        <is>
          <t>A 31534-2024</t>
        </is>
      </c>
      <c r="B277" s="1" t="n">
        <v>45505</v>
      </c>
      <c r="C277" s="1" t="n">
        <v>45966</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45065-2025</t>
        </is>
      </c>
      <c r="B278" s="1" t="n">
        <v>45919.34540509259</v>
      </c>
      <c r="C278" s="1" t="n">
        <v>45966</v>
      </c>
      <c r="D278" t="inlineStr">
        <is>
          <t>NORRBOTTENS LÄN</t>
        </is>
      </c>
      <c r="E278" t="inlineStr">
        <is>
          <t>JOKKMOKK</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51304-2022</t>
        </is>
      </c>
      <c r="B279" s="1" t="n">
        <v>44868</v>
      </c>
      <c r="C279" s="1" t="n">
        <v>45966</v>
      </c>
      <c r="D279" t="inlineStr">
        <is>
          <t>NORRBOTTENS LÄN</t>
        </is>
      </c>
      <c r="E279" t="inlineStr">
        <is>
          <t>JOKKMOKK</t>
        </is>
      </c>
      <c r="G279" t="n">
        <v>1.5</v>
      </c>
      <c r="H279" t="n">
        <v>0</v>
      </c>
      <c r="I279" t="n">
        <v>0</v>
      </c>
      <c r="J279" t="n">
        <v>0</v>
      </c>
      <c r="K279" t="n">
        <v>0</v>
      </c>
      <c r="L279" t="n">
        <v>0</v>
      </c>
      <c r="M279" t="n">
        <v>0</v>
      </c>
      <c r="N279" t="n">
        <v>0</v>
      </c>
      <c r="O279" t="n">
        <v>0</v>
      </c>
      <c r="P279" t="n">
        <v>0</v>
      </c>
      <c r="Q279" t="n">
        <v>0</v>
      </c>
      <c r="R279" s="2" t="inlineStr"/>
    </row>
    <row r="280" ht="15" customHeight="1">
      <c r="A280" t="inlineStr">
        <is>
          <t>A 44151-2024</t>
        </is>
      </c>
      <c r="B280" s="1" t="n">
        <v>45572.67773148148</v>
      </c>
      <c r="C280" s="1" t="n">
        <v>45966</v>
      </c>
      <c r="D280" t="inlineStr">
        <is>
          <t>NORRBOTTENS LÄN</t>
        </is>
      </c>
      <c r="E280" t="inlineStr">
        <is>
          <t>JOKKMOKK</t>
        </is>
      </c>
      <c r="F280" t="inlineStr">
        <is>
          <t>Sveaskog</t>
        </is>
      </c>
      <c r="G280" t="n">
        <v>9.4</v>
      </c>
      <c r="H280" t="n">
        <v>0</v>
      </c>
      <c r="I280" t="n">
        <v>0</v>
      </c>
      <c r="J280" t="n">
        <v>0</v>
      </c>
      <c r="K280" t="n">
        <v>0</v>
      </c>
      <c r="L280" t="n">
        <v>0</v>
      </c>
      <c r="M280" t="n">
        <v>0</v>
      </c>
      <c r="N280" t="n">
        <v>0</v>
      </c>
      <c r="O280" t="n">
        <v>0</v>
      </c>
      <c r="P280" t="n">
        <v>0</v>
      </c>
      <c r="Q280" t="n">
        <v>0</v>
      </c>
      <c r="R280" s="2" t="inlineStr"/>
    </row>
    <row r="281" ht="15" customHeight="1">
      <c r="A281" t="inlineStr">
        <is>
          <t>A 44958-2025</t>
        </is>
      </c>
      <c r="B281" s="1" t="n">
        <v>45918.61519675926</v>
      </c>
      <c r="C281" s="1" t="n">
        <v>45966</v>
      </c>
      <c r="D281" t="inlineStr">
        <is>
          <t>NORRBOTTENS LÄN</t>
        </is>
      </c>
      <c r="E281" t="inlineStr">
        <is>
          <t>JOKKMOKK</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45064-2025</t>
        </is>
      </c>
      <c r="B282" s="1" t="n">
        <v>45919.34533564815</v>
      </c>
      <c r="C282" s="1" t="n">
        <v>45966</v>
      </c>
      <c r="D282" t="inlineStr">
        <is>
          <t>NORRBOTTENS LÄN</t>
        </is>
      </c>
      <c r="E282" t="inlineStr">
        <is>
          <t>JOKKMOKK</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43997-2024</t>
        </is>
      </c>
      <c r="B283" s="1" t="n">
        <v>45572.54165509259</v>
      </c>
      <c r="C283" s="1" t="n">
        <v>45966</v>
      </c>
      <c r="D283" t="inlineStr">
        <is>
          <t>NORRBOTTENS LÄN</t>
        </is>
      </c>
      <c r="E283" t="inlineStr">
        <is>
          <t>JOKKMOKK</t>
        </is>
      </c>
      <c r="F283" t="inlineStr">
        <is>
          <t>Sveaskog</t>
        </is>
      </c>
      <c r="G283" t="n">
        <v>17.4</v>
      </c>
      <c r="H283" t="n">
        <v>0</v>
      </c>
      <c r="I283" t="n">
        <v>0</v>
      </c>
      <c r="J283" t="n">
        <v>0</v>
      </c>
      <c r="K283" t="n">
        <v>0</v>
      </c>
      <c r="L283" t="n">
        <v>0</v>
      </c>
      <c r="M283" t="n">
        <v>0</v>
      </c>
      <c r="N283" t="n">
        <v>0</v>
      </c>
      <c r="O283" t="n">
        <v>0</v>
      </c>
      <c r="P283" t="n">
        <v>0</v>
      </c>
      <c r="Q283" t="n">
        <v>0</v>
      </c>
      <c r="R283" s="2" t="inlineStr"/>
    </row>
    <row r="284" ht="15" customHeight="1">
      <c r="A284" t="inlineStr">
        <is>
          <t>A 44150-2024</t>
        </is>
      </c>
      <c r="B284" s="1" t="n">
        <v>45572.67520833333</v>
      </c>
      <c r="C284" s="1" t="n">
        <v>45966</v>
      </c>
      <c r="D284" t="inlineStr">
        <is>
          <t>NORRBOTTENS LÄN</t>
        </is>
      </c>
      <c r="E284" t="inlineStr">
        <is>
          <t>JOKKMOKK</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44842-2025</t>
        </is>
      </c>
      <c r="B285" s="1" t="n">
        <v>45918.42957175926</v>
      </c>
      <c r="C285" s="1" t="n">
        <v>45966</v>
      </c>
      <c r="D285" t="inlineStr">
        <is>
          <t>NORRBOTTENS LÄN</t>
        </is>
      </c>
      <c r="E285" t="inlineStr">
        <is>
          <t>JOKKMOKK</t>
        </is>
      </c>
      <c r="G285" t="n">
        <v>7.7</v>
      </c>
      <c r="H285" t="n">
        <v>0</v>
      </c>
      <c r="I285" t="n">
        <v>0</v>
      </c>
      <c r="J285" t="n">
        <v>0</v>
      </c>
      <c r="K285" t="n">
        <v>0</v>
      </c>
      <c r="L285" t="n">
        <v>0</v>
      </c>
      <c r="M285" t="n">
        <v>0</v>
      </c>
      <c r="N285" t="n">
        <v>0</v>
      </c>
      <c r="O285" t="n">
        <v>0</v>
      </c>
      <c r="P285" t="n">
        <v>0</v>
      </c>
      <c r="Q285" t="n">
        <v>0</v>
      </c>
      <c r="R285" s="2" t="inlineStr"/>
    </row>
    <row r="286" ht="15" customHeight="1">
      <c r="A286" t="inlineStr">
        <is>
          <t>A 53513-2025</t>
        </is>
      </c>
      <c r="B286" s="1" t="n">
        <v>45960</v>
      </c>
      <c r="C286" s="1" t="n">
        <v>45966</v>
      </c>
      <c r="D286" t="inlineStr">
        <is>
          <t>NORRBOTTENS LÄN</t>
        </is>
      </c>
      <c r="E286" t="inlineStr">
        <is>
          <t>JOKKMOKK</t>
        </is>
      </c>
      <c r="G286" t="n">
        <v>3.7</v>
      </c>
      <c r="H286" t="n">
        <v>0</v>
      </c>
      <c r="I286" t="n">
        <v>0</v>
      </c>
      <c r="J286" t="n">
        <v>0</v>
      </c>
      <c r="K286" t="n">
        <v>0</v>
      </c>
      <c r="L286" t="n">
        <v>0</v>
      </c>
      <c r="M286" t="n">
        <v>0</v>
      </c>
      <c r="N286" t="n">
        <v>0</v>
      </c>
      <c r="O286" t="n">
        <v>0</v>
      </c>
      <c r="P286" t="n">
        <v>0</v>
      </c>
      <c r="Q286" t="n">
        <v>0</v>
      </c>
      <c r="R286" s="2" t="inlineStr"/>
    </row>
    <row r="287" ht="15" customHeight="1">
      <c r="A287" t="inlineStr">
        <is>
          <t>A 29625-2023</t>
        </is>
      </c>
      <c r="B287" s="1" t="n">
        <v>45106.94556712963</v>
      </c>
      <c r="C287" s="1" t="n">
        <v>45966</v>
      </c>
      <c r="D287" t="inlineStr">
        <is>
          <t>NORRBOTTENS LÄN</t>
        </is>
      </c>
      <c r="E287" t="inlineStr">
        <is>
          <t>JOKKMOKK</t>
        </is>
      </c>
      <c r="F287" t="inlineStr">
        <is>
          <t>SCA</t>
        </is>
      </c>
      <c r="G287" t="n">
        <v>7.2</v>
      </c>
      <c r="H287" t="n">
        <v>0</v>
      </c>
      <c r="I287" t="n">
        <v>0</v>
      </c>
      <c r="J287" t="n">
        <v>0</v>
      </c>
      <c r="K287" t="n">
        <v>0</v>
      </c>
      <c r="L287" t="n">
        <v>0</v>
      </c>
      <c r="M287" t="n">
        <v>0</v>
      </c>
      <c r="N287" t="n">
        <v>0</v>
      </c>
      <c r="O287" t="n">
        <v>0</v>
      </c>
      <c r="P287" t="n">
        <v>0</v>
      </c>
      <c r="Q287" t="n">
        <v>0</v>
      </c>
      <c r="R287" s="2" t="inlineStr"/>
    </row>
    <row r="288" ht="15" customHeight="1">
      <c r="A288" t="inlineStr">
        <is>
          <t>A 33740-2025</t>
        </is>
      </c>
      <c r="B288" s="1" t="n">
        <v>45842.34456018519</v>
      </c>
      <c r="C288" s="1" t="n">
        <v>45966</v>
      </c>
      <c r="D288" t="inlineStr">
        <is>
          <t>NORRBOTTENS LÄN</t>
        </is>
      </c>
      <c r="E288" t="inlineStr">
        <is>
          <t>JOKKMOKK</t>
        </is>
      </c>
      <c r="F288" t="inlineStr">
        <is>
          <t>SCA</t>
        </is>
      </c>
      <c r="G288" t="n">
        <v>23.3</v>
      </c>
      <c r="H288" t="n">
        <v>0</v>
      </c>
      <c r="I288" t="n">
        <v>0</v>
      </c>
      <c r="J288" t="n">
        <v>0</v>
      </c>
      <c r="K288" t="n">
        <v>0</v>
      </c>
      <c r="L288" t="n">
        <v>0</v>
      </c>
      <c r="M288" t="n">
        <v>0</v>
      </c>
      <c r="N288" t="n">
        <v>0</v>
      </c>
      <c r="O288" t="n">
        <v>0</v>
      </c>
      <c r="P288" t="n">
        <v>0</v>
      </c>
      <c r="Q288" t="n">
        <v>0</v>
      </c>
      <c r="R288" s="2" t="inlineStr"/>
    </row>
    <row r="289" ht="15" customHeight="1">
      <c r="A289" t="inlineStr">
        <is>
          <t>A 46442-2023</t>
        </is>
      </c>
      <c r="B289" s="1" t="n">
        <v>45197.59248842593</v>
      </c>
      <c r="C289" s="1" t="n">
        <v>45966</v>
      </c>
      <c r="D289" t="inlineStr">
        <is>
          <t>NORRBOTTENS LÄN</t>
        </is>
      </c>
      <c r="E289" t="inlineStr">
        <is>
          <t>JOKKMOKK</t>
        </is>
      </c>
      <c r="G289" t="n">
        <v>6.4</v>
      </c>
      <c r="H289" t="n">
        <v>0</v>
      </c>
      <c r="I289" t="n">
        <v>0</v>
      </c>
      <c r="J289" t="n">
        <v>0</v>
      </c>
      <c r="K289" t="n">
        <v>0</v>
      </c>
      <c r="L289" t="n">
        <v>0</v>
      </c>
      <c r="M289" t="n">
        <v>0</v>
      </c>
      <c r="N289" t="n">
        <v>0</v>
      </c>
      <c r="O289" t="n">
        <v>0</v>
      </c>
      <c r="P289" t="n">
        <v>0</v>
      </c>
      <c r="Q289" t="n">
        <v>0</v>
      </c>
      <c r="R289" s="2" t="inlineStr"/>
    </row>
    <row r="290" ht="15" customHeight="1">
      <c r="A290" t="inlineStr">
        <is>
          <t>A 54270-2025</t>
        </is>
      </c>
      <c r="B290" s="1" t="n">
        <v>45964.67798611111</v>
      </c>
      <c r="C290" s="1" t="n">
        <v>45966</v>
      </c>
      <c r="D290" t="inlineStr">
        <is>
          <t>NORRBOTTENS LÄN</t>
        </is>
      </c>
      <c r="E290" t="inlineStr">
        <is>
          <t>JOKKMOKK</t>
        </is>
      </c>
      <c r="F290" t="inlineStr">
        <is>
          <t>Allmännings- och besparingsskogar</t>
        </is>
      </c>
      <c r="G290" t="n">
        <v>5.3</v>
      </c>
      <c r="H290" t="n">
        <v>0</v>
      </c>
      <c r="I290" t="n">
        <v>0</v>
      </c>
      <c r="J290" t="n">
        <v>0</v>
      </c>
      <c r="K290" t="n">
        <v>0</v>
      </c>
      <c r="L290" t="n">
        <v>0</v>
      </c>
      <c r="M290" t="n">
        <v>0</v>
      </c>
      <c r="N290" t="n">
        <v>0</v>
      </c>
      <c r="O290" t="n">
        <v>0</v>
      </c>
      <c r="P290" t="n">
        <v>0</v>
      </c>
      <c r="Q290" t="n">
        <v>0</v>
      </c>
      <c r="R290" s="2" t="inlineStr"/>
    </row>
    <row r="291" ht="15" customHeight="1">
      <c r="A291" t="inlineStr">
        <is>
          <t>A 24740-2025</t>
        </is>
      </c>
      <c r="B291" s="1" t="n">
        <v>45799.34543981482</v>
      </c>
      <c r="C291" s="1" t="n">
        <v>45966</v>
      </c>
      <c r="D291" t="inlineStr">
        <is>
          <t>NORRBOTTENS LÄN</t>
        </is>
      </c>
      <c r="E291" t="inlineStr">
        <is>
          <t>JOKKMOKK</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24743-2025</t>
        </is>
      </c>
      <c r="B292" s="1" t="n">
        <v>45799.34598379629</v>
      </c>
      <c r="C292" s="1" t="n">
        <v>45966</v>
      </c>
      <c r="D292" t="inlineStr">
        <is>
          <t>NORRBOTTENS LÄN</t>
        </is>
      </c>
      <c r="E292" t="inlineStr">
        <is>
          <t>JOKKMOKK</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51500-2025</t>
        </is>
      </c>
      <c r="B293" s="1" t="n">
        <v>45950.63739583334</v>
      </c>
      <c r="C293" s="1" t="n">
        <v>45966</v>
      </c>
      <c r="D293" t="inlineStr">
        <is>
          <t>NORRBOTTENS LÄN</t>
        </is>
      </c>
      <c r="E293" t="inlineStr">
        <is>
          <t>JOKKMOKK</t>
        </is>
      </c>
      <c r="G293" t="n">
        <v>10.1</v>
      </c>
      <c r="H293" t="n">
        <v>0</v>
      </c>
      <c r="I293" t="n">
        <v>0</v>
      </c>
      <c r="J293" t="n">
        <v>0</v>
      </c>
      <c r="K293" t="n">
        <v>0</v>
      </c>
      <c r="L293" t="n">
        <v>0</v>
      </c>
      <c r="M293" t="n">
        <v>0</v>
      </c>
      <c r="N293" t="n">
        <v>0</v>
      </c>
      <c r="O293" t="n">
        <v>0</v>
      </c>
      <c r="P293" t="n">
        <v>0</v>
      </c>
      <c r="Q293" t="n">
        <v>0</v>
      </c>
      <c r="R293" s="2" t="inlineStr"/>
    </row>
    <row r="294" ht="15" customHeight="1">
      <c r="A294" t="inlineStr">
        <is>
          <t>A 51576-2025</t>
        </is>
      </c>
      <c r="B294" s="1" t="n">
        <v>45951.34469907408</v>
      </c>
      <c r="C294" s="1" t="n">
        <v>45966</v>
      </c>
      <c r="D294" t="inlineStr">
        <is>
          <t>NORRBOTTENS LÄN</t>
        </is>
      </c>
      <c r="E294" t="inlineStr">
        <is>
          <t>JOKKMOKK</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54585-2025</t>
        </is>
      </c>
      <c r="B295" s="1" t="n">
        <v>45965.72071759259</v>
      </c>
      <c r="C295" s="1" t="n">
        <v>45966</v>
      </c>
      <c r="D295" t="inlineStr">
        <is>
          <t>NORRBOTTENS LÄN</t>
        </is>
      </c>
      <c r="E295" t="inlineStr">
        <is>
          <t>JOKKMOKK</t>
        </is>
      </c>
      <c r="F295" t="inlineStr">
        <is>
          <t>Allmännings- och besparingsskogar</t>
        </is>
      </c>
      <c r="G295" t="n">
        <v>10.2</v>
      </c>
      <c r="H295" t="n">
        <v>0</v>
      </c>
      <c r="I295" t="n">
        <v>0</v>
      </c>
      <c r="J295" t="n">
        <v>0</v>
      </c>
      <c r="K295" t="n">
        <v>0</v>
      </c>
      <c r="L295" t="n">
        <v>0</v>
      </c>
      <c r="M295" t="n">
        <v>0</v>
      </c>
      <c r="N295" t="n">
        <v>0</v>
      </c>
      <c r="O295" t="n">
        <v>0</v>
      </c>
      <c r="P295" t="n">
        <v>0</v>
      </c>
      <c r="Q295" t="n">
        <v>0</v>
      </c>
      <c r="R295" s="2" t="inlineStr"/>
    </row>
    <row r="296" ht="15" customHeight="1">
      <c r="A296" t="inlineStr">
        <is>
          <t>A 56523-2021</t>
        </is>
      </c>
      <c r="B296" s="1" t="n">
        <v>44477</v>
      </c>
      <c r="C296" s="1" t="n">
        <v>45966</v>
      </c>
      <c r="D296" t="inlineStr">
        <is>
          <t>NORRBOTTENS LÄN</t>
        </is>
      </c>
      <c r="E296" t="inlineStr">
        <is>
          <t>JOKKMOKK</t>
        </is>
      </c>
      <c r="G296" t="n">
        <v>6.6</v>
      </c>
      <c r="H296" t="n">
        <v>0</v>
      </c>
      <c r="I296" t="n">
        <v>0</v>
      </c>
      <c r="J296" t="n">
        <v>0</v>
      </c>
      <c r="K296" t="n">
        <v>0</v>
      </c>
      <c r="L296" t="n">
        <v>0</v>
      </c>
      <c r="M296" t="n">
        <v>0</v>
      </c>
      <c r="N296" t="n">
        <v>0</v>
      </c>
      <c r="O296" t="n">
        <v>0</v>
      </c>
      <c r="P296" t="n">
        <v>0</v>
      </c>
      <c r="Q296" t="n">
        <v>0</v>
      </c>
      <c r="R296" s="2" t="inlineStr"/>
    </row>
    <row r="297" ht="15" customHeight="1">
      <c r="A297" t="inlineStr">
        <is>
          <t>A 52770-2025</t>
        </is>
      </c>
      <c r="B297" s="1" t="n">
        <v>45957</v>
      </c>
      <c r="C297" s="1" t="n">
        <v>45966</v>
      </c>
      <c r="D297" t="inlineStr">
        <is>
          <t>NORRBOTTENS LÄN</t>
        </is>
      </c>
      <c r="E297" t="inlineStr">
        <is>
          <t>JOKKMOKK</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60193-2023</t>
        </is>
      </c>
      <c r="B298" s="1" t="n">
        <v>45258</v>
      </c>
      <c r="C298" s="1" t="n">
        <v>45966</v>
      </c>
      <c r="D298" t="inlineStr">
        <is>
          <t>NORRBOTTENS LÄN</t>
        </is>
      </c>
      <c r="E298" t="inlineStr">
        <is>
          <t>JOKKMOKK</t>
        </is>
      </c>
      <c r="F298" t="inlineStr">
        <is>
          <t>Allmännings- och besparingsskogar</t>
        </is>
      </c>
      <c r="G298" t="n">
        <v>11.1</v>
      </c>
      <c r="H298" t="n">
        <v>0</v>
      </c>
      <c r="I298" t="n">
        <v>0</v>
      </c>
      <c r="J298" t="n">
        <v>0</v>
      </c>
      <c r="K298" t="n">
        <v>0</v>
      </c>
      <c r="L298" t="n">
        <v>0</v>
      </c>
      <c r="M298" t="n">
        <v>0</v>
      </c>
      <c r="N298" t="n">
        <v>0</v>
      </c>
      <c r="O298" t="n">
        <v>0</v>
      </c>
      <c r="P298" t="n">
        <v>0</v>
      </c>
      <c r="Q298" t="n">
        <v>0</v>
      </c>
      <c r="R298" s="2" t="inlineStr"/>
    </row>
    <row r="299" ht="15" customHeight="1">
      <c r="A299" t="inlineStr">
        <is>
          <t>A 33827-2024</t>
        </is>
      </c>
      <c r="B299" s="1" t="n">
        <v>45520</v>
      </c>
      <c r="C299" s="1" t="n">
        <v>45966</v>
      </c>
      <c r="D299" t="inlineStr">
        <is>
          <t>NORRBOTTENS LÄN</t>
        </is>
      </c>
      <c r="E299" t="inlineStr">
        <is>
          <t>JOKKMOKK</t>
        </is>
      </c>
      <c r="F299" t="inlineStr">
        <is>
          <t>SCA</t>
        </is>
      </c>
      <c r="G299" t="n">
        <v>12.8</v>
      </c>
      <c r="H299" t="n">
        <v>0</v>
      </c>
      <c r="I299" t="n">
        <v>0</v>
      </c>
      <c r="J299" t="n">
        <v>0</v>
      </c>
      <c r="K299" t="n">
        <v>0</v>
      </c>
      <c r="L299" t="n">
        <v>0</v>
      </c>
      <c r="M299" t="n">
        <v>0</v>
      </c>
      <c r="N299" t="n">
        <v>0</v>
      </c>
      <c r="O299" t="n">
        <v>0</v>
      </c>
      <c r="P299" t="n">
        <v>0</v>
      </c>
      <c r="Q299" t="n">
        <v>0</v>
      </c>
      <c r="R299" s="2" t="inlineStr"/>
    </row>
    <row r="300" ht="15" customHeight="1">
      <c r="A300" t="inlineStr">
        <is>
          <t>A 9852-2023</t>
        </is>
      </c>
      <c r="B300" s="1" t="n">
        <v>44984</v>
      </c>
      <c r="C300" s="1" t="n">
        <v>45966</v>
      </c>
      <c r="D300" t="inlineStr">
        <is>
          <t>NORRBOTTENS LÄN</t>
        </is>
      </c>
      <c r="E300" t="inlineStr">
        <is>
          <t>JOKKMOKK</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54546-2025</t>
        </is>
      </c>
      <c r="B301" s="1" t="n">
        <v>45965.65212962963</v>
      </c>
      <c r="C301" s="1" t="n">
        <v>45966</v>
      </c>
      <c r="D301" t="inlineStr">
        <is>
          <t>NORRBOTTENS LÄN</t>
        </is>
      </c>
      <c r="E301" t="inlineStr">
        <is>
          <t>JOKKMOKK</t>
        </is>
      </c>
      <c r="F301" t="inlineStr">
        <is>
          <t>Allmännings- och besparingsskogar</t>
        </is>
      </c>
      <c r="G301" t="n">
        <v>5.4</v>
      </c>
      <c r="H301" t="n">
        <v>0</v>
      </c>
      <c r="I301" t="n">
        <v>0</v>
      </c>
      <c r="J301" t="n">
        <v>0</v>
      </c>
      <c r="K301" t="n">
        <v>0</v>
      </c>
      <c r="L301" t="n">
        <v>0</v>
      </c>
      <c r="M301" t="n">
        <v>0</v>
      </c>
      <c r="N301" t="n">
        <v>0</v>
      </c>
      <c r="O301" t="n">
        <v>0</v>
      </c>
      <c r="P301" t="n">
        <v>0</v>
      </c>
      <c r="Q301" t="n">
        <v>0</v>
      </c>
      <c r="R301" s="2" t="inlineStr"/>
    </row>
    <row r="302" ht="15" customHeight="1">
      <c r="A302" t="inlineStr">
        <is>
          <t>A 28036-2024</t>
        </is>
      </c>
      <c r="B302" s="1" t="n">
        <v>45476.49958333333</v>
      </c>
      <c r="C302" s="1" t="n">
        <v>45966</v>
      </c>
      <c r="D302" t="inlineStr">
        <is>
          <t>NORRBOTTENS LÄN</t>
        </is>
      </c>
      <c r="E302" t="inlineStr">
        <is>
          <t>JOKKMOKK</t>
        </is>
      </c>
      <c r="G302" t="n">
        <v>7.4</v>
      </c>
      <c r="H302" t="n">
        <v>0</v>
      </c>
      <c r="I302" t="n">
        <v>0</v>
      </c>
      <c r="J302" t="n">
        <v>0</v>
      </c>
      <c r="K302" t="n">
        <v>0</v>
      </c>
      <c r="L302" t="n">
        <v>0</v>
      </c>
      <c r="M302" t="n">
        <v>0</v>
      </c>
      <c r="N302" t="n">
        <v>0</v>
      </c>
      <c r="O302" t="n">
        <v>0</v>
      </c>
      <c r="P302" t="n">
        <v>0</v>
      </c>
      <c r="Q302" t="n">
        <v>0</v>
      </c>
      <c r="R302" s="2" t="inlineStr"/>
    </row>
    <row r="303" ht="15" customHeight="1">
      <c r="A303" t="inlineStr">
        <is>
          <t>A 24746-2025</t>
        </is>
      </c>
      <c r="B303" s="1" t="n">
        <v>45799.34662037037</v>
      </c>
      <c r="C303" s="1" t="n">
        <v>45966</v>
      </c>
      <c r="D303" t="inlineStr">
        <is>
          <t>NORRBOTTENS LÄN</t>
        </is>
      </c>
      <c r="E303" t="inlineStr">
        <is>
          <t>JOKKMOKK</t>
        </is>
      </c>
      <c r="F303" t="inlineStr">
        <is>
          <t>SCA</t>
        </is>
      </c>
      <c r="G303" t="n">
        <v>6.1</v>
      </c>
      <c r="H303" t="n">
        <v>0</v>
      </c>
      <c r="I303" t="n">
        <v>0</v>
      </c>
      <c r="J303" t="n">
        <v>0</v>
      </c>
      <c r="K303" t="n">
        <v>0</v>
      </c>
      <c r="L303" t="n">
        <v>0</v>
      </c>
      <c r="M303" t="n">
        <v>0</v>
      </c>
      <c r="N303" t="n">
        <v>0</v>
      </c>
      <c r="O303" t="n">
        <v>0</v>
      </c>
      <c r="P303" t="n">
        <v>0</v>
      </c>
      <c r="Q303" t="n">
        <v>0</v>
      </c>
      <c r="R303" s="2" t="inlineStr"/>
    </row>
    <row r="304" ht="15" customHeight="1">
      <c r="A304" t="inlineStr">
        <is>
          <t>A 41923-2021</t>
        </is>
      </c>
      <c r="B304" s="1" t="n">
        <v>44425</v>
      </c>
      <c r="C304" s="1" t="n">
        <v>45966</v>
      </c>
      <c r="D304" t="inlineStr">
        <is>
          <t>NORRBOTTENS LÄN</t>
        </is>
      </c>
      <c r="E304" t="inlineStr">
        <is>
          <t>JOKKMOKK</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45709-2025</t>
        </is>
      </c>
      <c r="B305" s="1" t="n">
        <v>45923</v>
      </c>
      <c r="C305" s="1" t="n">
        <v>45966</v>
      </c>
      <c r="D305" t="inlineStr">
        <is>
          <t>NORRBOTTENS LÄN</t>
        </is>
      </c>
      <c r="E305" t="inlineStr">
        <is>
          <t>JOKKMOKK</t>
        </is>
      </c>
      <c r="G305" t="n">
        <v>11.7</v>
      </c>
      <c r="H305" t="n">
        <v>0</v>
      </c>
      <c r="I305" t="n">
        <v>0</v>
      </c>
      <c r="J305" t="n">
        <v>0</v>
      </c>
      <c r="K305" t="n">
        <v>0</v>
      </c>
      <c r="L305" t="n">
        <v>0</v>
      </c>
      <c r="M305" t="n">
        <v>0</v>
      </c>
      <c r="N305" t="n">
        <v>0</v>
      </c>
      <c r="O305" t="n">
        <v>0</v>
      </c>
      <c r="P305" t="n">
        <v>0</v>
      </c>
      <c r="Q305" t="n">
        <v>0</v>
      </c>
      <c r="R305" s="2" t="inlineStr"/>
    </row>
    <row r="306" ht="15" customHeight="1">
      <c r="A306" t="inlineStr">
        <is>
          <t>A 48586-2022</t>
        </is>
      </c>
      <c r="B306" s="1" t="n">
        <v>44854</v>
      </c>
      <c r="C306" s="1" t="n">
        <v>45966</v>
      </c>
      <c r="D306" t="inlineStr">
        <is>
          <t>NORRBOTTENS LÄN</t>
        </is>
      </c>
      <c r="E306" t="inlineStr">
        <is>
          <t>JOKKMOKK</t>
        </is>
      </c>
      <c r="F306" t="inlineStr">
        <is>
          <t>Övriga statliga verk och myndigheter</t>
        </is>
      </c>
      <c r="G306" t="n">
        <v>26.1</v>
      </c>
      <c r="H306" t="n">
        <v>0</v>
      </c>
      <c r="I306" t="n">
        <v>0</v>
      </c>
      <c r="J306" t="n">
        <v>0</v>
      </c>
      <c r="K306" t="n">
        <v>0</v>
      </c>
      <c r="L306" t="n">
        <v>0</v>
      </c>
      <c r="M306" t="n">
        <v>0</v>
      </c>
      <c r="N306" t="n">
        <v>0</v>
      </c>
      <c r="O306" t="n">
        <v>0</v>
      </c>
      <c r="P306" t="n">
        <v>0</v>
      </c>
      <c r="Q306" t="n">
        <v>0</v>
      </c>
      <c r="R306" s="2" t="inlineStr"/>
    </row>
    <row r="307" ht="15" customHeight="1">
      <c r="A307" t="inlineStr">
        <is>
          <t>A 34609-2024</t>
        </is>
      </c>
      <c r="B307" s="1" t="n">
        <v>45526</v>
      </c>
      <c r="C307" s="1" t="n">
        <v>45966</v>
      </c>
      <c r="D307" t="inlineStr">
        <is>
          <t>NORRBOTTENS LÄN</t>
        </is>
      </c>
      <c r="E307" t="inlineStr">
        <is>
          <t>JOKKMOKK</t>
        </is>
      </c>
      <c r="G307" t="n">
        <v>27</v>
      </c>
      <c r="H307" t="n">
        <v>0</v>
      </c>
      <c r="I307" t="n">
        <v>0</v>
      </c>
      <c r="J307" t="n">
        <v>0</v>
      </c>
      <c r="K307" t="n">
        <v>0</v>
      </c>
      <c r="L307" t="n">
        <v>0</v>
      </c>
      <c r="M307" t="n">
        <v>0</v>
      </c>
      <c r="N307" t="n">
        <v>0</v>
      </c>
      <c r="O307" t="n">
        <v>0</v>
      </c>
      <c r="P307" t="n">
        <v>0</v>
      </c>
      <c r="Q307" t="n">
        <v>0</v>
      </c>
      <c r="R307" s="2" t="inlineStr"/>
    </row>
    <row r="308" ht="15" customHeight="1">
      <c r="A308" t="inlineStr">
        <is>
          <t>A 51499-2025</t>
        </is>
      </c>
      <c r="B308" s="1" t="n">
        <v>45950.63737268518</v>
      </c>
      <c r="C308" s="1" t="n">
        <v>45966</v>
      </c>
      <c r="D308" t="inlineStr">
        <is>
          <t>NORRBOTTENS LÄN</t>
        </is>
      </c>
      <c r="E308" t="inlineStr">
        <is>
          <t>JOKKMOKK</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51617-2024</t>
        </is>
      </c>
      <c r="B309" s="1" t="n">
        <v>45604.71908564815</v>
      </c>
      <c r="C309" s="1" t="n">
        <v>45966</v>
      </c>
      <c r="D309" t="inlineStr">
        <is>
          <t>NORRBOTTENS LÄN</t>
        </is>
      </c>
      <c r="E309" t="inlineStr">
        <is>
          <t>JOKKMOKK</t>
        </is>
      </c>
      <c r="F309" t="inlineStr">
        <is>
          <t>SCA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20270-2025</t>
        </is>
      </c>
      <c r="B310" s="1" t="n">
        <v>45773.71444444444</v>
      </c>
      <c r="C310" s="1" t="n">
        <v>45966</v>
      </c>
      <c r="D310" t="inlineStr">
        <is>
          <t>NORRBOTTENS LÄN</t>
        </is>
      </c>
      <c r="E310" t="inlineStr">
        <is>
          <t>JOKKMOKK</t>
        </is>
      </c>
      <c r="G310" t="n">
        <v>90.09999999999999</v>
      </c>
      <c r="H310" t="n">
        <v>0</v>
      </c>
      <c r="I310" t="n">
        <v>0</v>
      </c>
      <c r="J310" t="n">
        <v>0</v>
      </c>
      <c r="K310" t="n">
        <v>0</v>
      </c>
      <c r="L310" t="n">
        <v>0</v>
      </c>
      <c r="M310" t="n">
        <v>0</v>
      </c>
      <c r="N310" t="n">
        <v>0</v>
      </c>
      <c r="O310" t="n">
        <v>0</v>
      </c>
      <c r="P310" t="n">
        <v>0</v>
      </c>
      <c r="Q310" t="n">
        <v>0</v>
      </c>
      <c r="R310" s="2" t="inlineStr"/>
    </row>
    <row r="311" ht="15" customHeight="1">
      <c r="A311" t="inlineStr">
        <is>
          <t>A 37828-2024</t>
        </is>
      </c>
      <c r="B311" s="1" t="n">
        <v>45544</v>
      </c>
      <c r="C311" s="1" t="n">
        <v>45966</v>
      </c>
      <c r="D311" t="inlineStr">
        <is>
          <t>NORRBOTTENS LÄN</t>
        </is>
      </c>
      <c r="E311" t="inlineStr">
        <is>
          <t>JOKKMOKK</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60164-2023</t>
        </is>
      </c>
      <c r="B312" s="1" t="n">
        <v>45258</v>
      </c>
      <c r="C312" s="1" t="n">
        <v>45966</v>
      </c>
      <c r="D312" t="inlineStr">
        <is>
          <t>NORRBOTTENS LÄN</t>
        </is>
      </c>
      <c r="E312" t="inlineStr">
        <is>
          <t>JOKKMOKK</t>
        </is>
      </c>
      <c r="F312" t="inlineStr">
        <is>
          <t>Allmännings- och besparingsskogar</t>
        </is>
      </c>
      <c r="G312" t="n">
        <v>14.3</v>
      </c>
      <c r="H312" t="n">
        <v>0</v>
      </c>
      <c r="I312" t="n">
        <v>0</v>
      </c>
      <c r="J312" t="n">
        <v>0</v>
      </c>
      <c r="K312" t="n">
        <v>0</v>
      </c>
      <c r="L312" t="n">
        <v>0</v>
      </c>
      <c r="M312" t="n">
        <v>0</v>
      </c>
      <c r="N312" t="n">
        <v>0</v>
      </c>
      <c r="O312" t="n">
        <v>0</v>
      </c>
      <c r="P312" t="n">
        <v>0</v>
      </c>
      <c r="Q312" t="n">
        <v>0</v>
      </c>
      <c r="R312" s="2" t="inlineStr"/>
    </row>
    <row r="313" ht="15" customHeight="1">
      <c r="A313" t="inlineStr">
        <is>
          <t>A 60418-2023</t>
        </is>
      </c>
      <c r="B313" s="1" t="n">
        <v>45259.49666666667</v>
      </c>
      <c r="C313" s="1" t="n">
        <v>45966</v>
      </c>
      <c r="D313" t="inlineStr">
        <is>
          <t>NORRBOTTENS LÄN</t>
        </is>
      </c>
      <c r="E313" t="inlineStr">
        <is>
          <t>JOKKMOKK</t>
        </is>
      </c>
      <c r="F313" t="inlineStr">
        <is>
          <t>Allmännings- och besparingsskogar</t>
        </is>
      </c>
      <c r="G313" t="n">
        <v>12.7</v>
      </c>
      <c r="H313" t="n">
        <v>0</v>
      </c>
      <c r="I313" t="n">
        <v>0</v>
      </c>
      <c r="J313" t="n">
        <v>0</v>
      </c>
      <c r="K313" t="n">
        <v>0</v>
      </c>
      <c r="L313" t="n">
        <v>0</v>
      </c>
      <c r="M313" t="n">
        <v>0</v>
      </c>
      <c r="N313" t="n">
        <v>0</v>
      </c>
      <c r="O313" t="n">
        <v>0</v>
      </c>
      <c r="P313" t="n">
        <v>0</v>
      </c>
      <c r="Q313" t="n">
        <v>0</v>
      </c>
      <c r="R313" s="2" t="inlineStr"/>
    </row>
    <row r="314" ht="15" customHeight="1">
      <c r="A314" t="inlineStr">
        <is>
          <t>A 3055-2025</t>
        </is>
      </c>
      <c r="B314" s="1" t="n">
        <v>45678.61530092593</v>
      </c>
      <c r="C314" s="1" t="n">
        <v>45966</v>
      </c>
      <c r="D314" t="inlineStr">
        <is>
          <t>NORRBOTTENS LÄN</t>
        </is>
      </c>
      <c r="E314" t="inlineStr">
        <is>
          <t>JOKKMOKK</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55635-2024</t>
        </is>
      </c>
      <c r="B315" s="1" t="n">
        <v>45622</v>
      </c>
      <c r="C315" s="1" t="n">
        <v>45966</v>
      </c>
      <c r="D315" t="inlineStr">
        <is>
          <t>NORRBOTTENS LÄN</t>
        </is>
      </c>
      <c r="E315" t="inlineStr">
        <is>
          <t>JOKKMOKK</t>
        </is>
      </c>
      <c r="F315" t="inlineStr">
        <is>
          <t>Allmännings- och besparingsskogar</t>
        </is>
      </c>
      <c r="G315" t="n">
        <v>16</v>
      </c>
      <c r="H315" t="n">
        <v>0</v>
      </c>
      <c r="I315" t="n">
        <v>0</v>
      </c>
      <c r="J315" t="n">
        <v>0</v>
      </c>
      <c r="K315" t="n">
        <v>0</v>
      </c>
      <c r="L315" t="n">
        <v>0</v>
      </c>
      <c r="M315" t="n">
        <v>0</v>
      </c>
      <c r="N315" t="n">
        <v>0</v>
      </c>
      <c r="O315" t="n">
        <v>0</v>
      </c>
      <c r="P315" t="n">
        <v>0</v>
      </c>
      <c r="Q315" t="n">
        <v>0</v>
      </c>
      <c r="R315" s="2" t="inlineStr"/>
    </row>
    <row r="316" ht="15" customHeight="1">
      <c r="A316" t="inlineStr">
        <is>
          <t>A 52130-2024</t>
        </is>
      </c>
      <c r="B316" s="1" t="n">
        <v>45608</v>
      </c>
      <c r="C316" s="1" t="n">
        <v>45966</v>
      </c>
      <c r="D316" t="inlineStr">
        <is>
          <t>NORRBOTTENS LÄN</t>
        </is>
      </c>
      <c r="E316" t="inlineStr">
        <is>
          <t>JOKKMOKK</t>
        </is>
      </c>
      <c r="G316" t="n">
        <v>84</v>
      </c>
      <c r="H316" t="n">
        <v>0</v>
      </c>
      <c r="I316" t="n">
        <v>0</v>
      </c>
      <c r="J316" t="n">
        <v>0</v>
      </c>
      <c r="K316" t="n">
        <v>0</v>
      </c>
      <c r="L316" t="n">
        <v>0</v>
      </c>
      <c r="M316" t="n">
        <v>0</v>
      </c>
      <c r="N316" t="n">
        <v>0</v>
      </c>
      <c r="O316" t="n">
        <v>0</v>
      </c>
      <c r="P316" t="n">
        <v>0</v>
      </c>
      <c r="Q316" t="n">
        <v>0</v>
      </c>
      <c r="R316" s="2" t="inlineStr"/>
    </row>
    <row r="317" ht="15" customHeight="1">
      <c r="A317" t="inlineStr">
        <is>
          <t>A 25720-2023</t>
        </is>
      </c>
      <c r="B317" s="1" t="n">
        <v>45090</v>
      </c>
      <c r="C317" s="1" t="n">
        <v>45966</v>
      </c>
      <c r="D317" t="inlineStr">
        <is>
          <t>NORRBOTTENS LÄN</t>
        </is>
      </c>
      <c r="E317" t="inlineStr">
        <is>
          <t>JOKKMOKK</t>
        </is>
      </c>
      <c r="G317" t="n">
        <v>2.1</v>
      </c>
      <c r="H317" t="n">
        <v>0</v>
      </c>
      <c r="I317" t="n">
        <v>0</v>
      </c>
      <c r="J317" t="n">
        <v>0</v>
      </c>
      <c r="K317" t="n">
        <v>0</v>
      </c>
      <c r="L317" t="n">
        <v>0</v>
      </c>
      <c r="M317" t="n">
        <v>0</v>
      </c>
      <c r="N317" t="n">
        <v>0</v>
      </c>
      <c r="O317" t="n">
        <v>0</v>
      </c>
      <c r="P317" t="n">
        <v>0</v>
      </c>
      <c r="Q317" t="n">
        <v>0</v>
      </c>
      <c r="R317" s="2" t="inlineStr"/>
    </row>
    <row r="318" ht="15" customHeight="1">
      <c r="A318" t="inlineStr">
        <is>
          <t>A 49953-2024</t>
        </is>
      </c>
      <c r="B318" s="1" t="n">
        <v>45597</v>
      </c>
      <c r="C318" s="1" t="n">
        <v>45966</v>
      </c>
      <c r="D318" t="inlineStr">
        <is>
          <t>NORRBOTTENS LÄN</t>
        </is>
      </c>
      <c r="E318" t="inlineStr">
        <is>
          <t>JOKKMOKK</t>
        </is>
      </c>
      <c r="F318" t="inlineStr">
        <is>
          <t>Allmännings- och besparingsskogar</t>
        </is>
      </c>
      <c r="G318" t="n">
        <v>9.4</v>
      </c>
      <c r="H318" t="n">
        <v>0</v>
      </c>
      <c r="I318" t="n">
        <v>0</v>
      </c>
      <c r="J318" t="n">
        <v>0</v>
      </c>
      <c r="K318" t="n">
        <v>0</v>
      </c>
      <c r="L318" t="n">
        <v>0</v>
      </c>
      <c r="M318" t="n">
        <v>0</v>
      </c>
      <c r="N318" t="n">
        <v>0</v>
      </c>
      <c r="O318" t="n">
        <v>0</v>
      </c>
      <c r="P318" t="n">
        <v>0</v>
      </c>
      <c r="Q318" t="n">
        <v>0</v>
      </c>
      <c r="R318" s="2" t="inlineStr"/>
    </row>
    <row r="319" ht="15" customHeight="1">
      <c r="A319" t="inlineStr">
        <is>
          <t>A 18602-2024</t>
        </is>
      </c>
      <c r="B319" s="1" t="n">
        <v>45425</v>
      </c>
      <c r="C319" s="1" t="n">
        <v>45966</v>
      </c>
      <c r="D319" t="inlineStr">
        <is>
          <t>NORRBOTTENS LÄN</t>
        </is>
      </c>
      <c r="E319" t="inlineStr">
        <is>
          <t>JOKKMOKK</t>
        </is>
      </c>
      <c r="G319" t="n">
        <v>4.6</v>
      </c>
      <c r="H319" t="n">
        <v>0</v>
      </c>
      <c r="I319" t="n">
        <v>0</v>
      </c>
      <c r="J319" t="n">
        <v>0</v>
      </c>
      <c r="K319" t="n">
        <v>0</v>
      </c>
      <c r="L319" t="n">
        <v>0</v>
      </c>
      <c r="M319" t="n">
        <v>0</v>
      </c>
      <c r="N319" t="n">
        <v>0</v>
      </c>
      <c r="O319" t="n">
        <v>0</v>
      </c>
      <c r="P319" t="n">
        <v>0</v>
      </c>
      <c r="Q319" t="n">
        <v>0</v>
      </c>
      <c r="R319" s="2" t="inlineStr"/>
    </row>
    <row r="320" ht="15" customHeight="1">
      <c r="A320" t="inlineStr">
        <is>
          <t>A 49562-2024</t>
        </is>
      </c>
      <c r="B320" s="1" t="n">
        <v>45596</v>
      </c>
      <c r="C320" s="1" t="n">
        <v>45966</v>
      </c>
      <c r="D320" t="inlineStr">
        <is>
          <t>NORRBOTTENS LÄN</t>
        </is>
      </c>
      <c r="E320" t="inlineStr">
        <is>
          <t>JOKKMOKK</t>
        </is>
      </c>
      <c r="F320" t="inlineStr">
        <is>
          <t>Allmännings- och besparingsskogar</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27650-2024</t>
        </is>
      </c>
      <c r="B321" s="1" t="n">
        <v>45474.94802083333</v>
      </c>
      <c r="C321" s="1" t="n">
        <v>45966</v>
      </c>
      <c r="D321" t="inlineStr">
        <is>
          <t>NORRBOTTENS LÄN</t>
        </is>
      </c>
      <c r="E321" t="inlineStr">
        <is>
          <t>JOKKMOKK</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27651-2024</t>
        </is>
      </c>
      <c r="B322" s="1" t="n">
        <v>45474</v>
      </c>
      <c r="C322" s="1" t="n">
        <v>45966</v>
      </c>
      <c r="D322" t="inlineStr">
        <is>
          <t>NORRBOTTENS LÄN</t>
        </is>
      </c>
      <c r="E322" t="inlineStr">
        <is>
          <t>JOKKMOKK</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35675-2024</t>
        </is>
      </c>
      <c r="B323" s="1" t="n">
        <v>45532</v>
      </c>
      <c r="C323" s="1" t="n">
        <v>45966</v>
      </c>
      <c r="D323" t="inlineStr">
        <is>
          <t>NORRBOTTENS LÄN</t>
        </is>
      </c>
      <c r="E323" t="inlineStr">
        <is>
          <t>JOKKMOKK</t>
        </is>
      </c>
      <c r="G323" t="n">
        <v>1.4</v>
      </c>
      <c r="H323" t="n">
        <v>0</v>
      </c>
      <c r="I323" t="n">
        <v>0</v>
      </c>
      <c r="J323" t="n">
        <v>0</v>
      </c>
      <c r="K323" t="n">
        <v>0</v>
      </c>
      <c r="L323" t="n">
        <v>0</v>
      </c>
      <c r="M323" t="n">
        <v>0</v>
      </c>
      <c r="N323" t="n">
        <v>0</v>
      </c>
      <c r="O323" t="n">
        <v>0</v>
      </c>
      <c r="P323" t="n">
        <v>0</v>
      </c>
      <c r="Q323" t="n">
        <v>0</v>
      </c>
      <c r="R323" s="2" t="inlineStr"/>
    </row>
    <row r="324" ht="15" customHeight="1">
      <c r="A324" t="inlineStr">
        <is>
          <t>A 34639-2024</t>
        </is>
      </c>
      <c r="B324" s="1" t="n">
        <v>45526.47293981481</v>
      </c>
      <c r="C324" s="1" t="n">
        <v>45966</v>
      </c>
      <c r="D324" t="inlineStr">
        <is>
          <t>NORRBOTTENS LÄN</t>
        </is>
      </c>
      <c r="E324" t="inlineStr">
        <is>
          <t>JOKKMOKK</t>
        </is>
      </c>
      <c r="G324" t="n">
        <v>7.7</v>
      </c>
      <c r="H324" t="n">
        <v>0</v>
      </c>
      <c r="I324" t="n">
        <v>0</v>
      </c>
      <c r="J324" t="n">
        <v>0</v>
      </c>
      <c r="K324" t="n">
        <v>0</v>
      </c>
      <c r="L324" t="n">
        <v>0</v>
      </c>
      <c r="M324" t="n">
        <v>0</v>
      </c>
      <c r="N324" t="n">
        <v>0</v>
      </c>
      <c r="O324" t="n">
        <v>0</v>
      </c>
      <c r="P324" t="n">
        <v>0</v>
      </c>
      <c r="Q324" t="n">
        <v>0</v>
      </c>
      <c r="R324" s="2" t="inlineStr"/>
    </row>
    <row r="325" ht="15" customHeight="1">
      <c r="A325" t="inlineStr">
        <is>
          <t>A 35876-2022</t>
        </is>
      </c>
      <c r="B325" s="1" t="n">
        <v>44802</v>
      </c>
      <c r="C325" s="1" t="n">
        <v>45966</v>
      </c>
      <c r="D325" t="inlineStr">
        <is>
          <t>NORRBOTTENS LÄN</t>
        </is>
      </c>
      <c r="E325" t="inlineStr">
        <is>
          <t>JOKKMOKK</t>
        </is>
      </c>
      <c r="G325" t="n">
        <v>9.5</v>
      </c>
      <c r="H325" t="n">
        <v>0</v>
      </c>
      <c r="I325" t="n">
        <v>0</v>
      </c>
      <c r="J325" t="n">
        <v>0</v>
      </c>
      <c r="K325" t="n">
        <v>0</v>
      </c>
      <c r="L325" t="n">
        <v>0</v>
      </c>
      <c r="M325" t="n">
        <v>0</v>
      </c>
      <c r="N325" t="n">
        <v>0</v>
      </c>
      <c r="O325" t="n">
        <v>0</v>
      </c>
      <c r="P325" t="n">
        <v>0</v>
      </c>
      <c r="Q325" t="n">
        <v>0</v>
      </c>
      <c r="R325" s="2" t="inlineStr"/>
    </row>
    <row r="326" ht="15" customHeight="1">
      <c r="A326" t="inlineStr">
        <is>
          <t>A 47208-2022</t>
        </is>
      </c>
      <c r="B326" s="1" t="n">
        <v>44851</v>
      </c>
      <c r="C326" s="1" t="n">
        <v>45966</v>
      </c>
      <c r="D326" t="inlineStr">
        <is>
          <t>NORRBOTTENS LÄN</t>
        </is>
      </c>
      <c r="E326" t="inlineStr">
        <is>
          <t>JOKKMOKK</t>
        </is>
      </c>
      <c r="G326" t="n">
        <v>1.2</v>
      </c>
      <c r="H326" t="n">
        <v>0</v>
      </c>
      <c r="I326" t="n">
        <v>0</v>
      </c>
      <c r="J326" t="n">
        <v>0</v>
      </c>
      <c r="K326" t="n">
        <v>0</v>
      </c>
      <c r="L326" t="n">
        <v>0</v>
      </c>
      <c r="M326" t="n">
        <v>0</v>
      </c>
      <c r="N326" t="n">
        <v>0</v>
      </c>
      <c r="O326" t="n">
        <v>0</v>
      </c>
      <c r="P326" t="n">
        <v>0</v>
      </c>
      <c r="Q326" t="n">
        <v>0</v>
      </c>
      <c r="R326" s="2" t="inlineStr"/>
    </row>
    <row r="327" ht="15" customHeight="1">
      <c r="A327" t="inlineStr">
        <is>
          <t>A 27685-2025</t>
        </is>
      </c>
      <c r="B327" s="1" t="n">
        <v>45813.65023148148</v>
      </c>
      <c r="C327" s="1" t="n">
        <v>45966</v>
      </c>
      <c r="D327" t="inlineStr">
        <is>
          <t>NORRBOTTENS LÄN</t>
        </is>
      </c>
      <c r="E327" t="inlineStr">
        <is>
          <t>JOKKMOKK</t>
        </is>
      </c>
      <c r="G327" t="n">
        <v>2</v>
      </c>
      <c r="H327" t="n">
        <v>0</v>
      </c>
      <c r="I327" t="n">
        <v>0</v>
      </c>
      <c r="J327" t="n">
        <v>0</v>
      </c>
      <c r="K327" t="n">
        <v>0</v>
      </c>
      <c r="L327" t="n">
        <v>0</v>
      </c>
      <c r="M327" t="n">
        <v>0</v>
      </c>
      <c r="N327" t="n">
        <v>0</v>
      </c>
      <c r="O327" t="n">
        <v>0</v>
      </c>
      <c r="P327" t="n">
        <v>0</v>
      </c>
      <c r="Q327" t="n">
        <v>0</v>
      </c>
      <c r="R327" s="2" t="inlineStr"/>
    </row>
    <row r="328" ht="15" customHeight="1">
      <c r="A328" t="inlineStr">
        <is>
          <t>A 36113-2024</t>
        </is>
      </c>
      <c r="B328" s="1" t="n">
        <v>45534.30302083334</v>
      </c>
      <c r="C328" s="1" t="n">
        <v>45966</v>
      </c>
      <c r="D328" t="inlineStr">
        <is>
          <t>NORRBOTTENS LÄN</t>
        </is>
      </c>
      <c r="E328" t="inlineStr">
        <is>
          <t>JOKKMOKK</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28591-2025</t>
        </is>
      </c>
      <c r="B329" s="1" t="n">
        <v>45819.59027777778</v>
      </c>
      <c r="C329" s="1" t="n">
        <v>45966</v>
      </c>
      <c r="D329" t="inlineStr">
        <is>
          <t>NORRBOTTENS LÄN</t>
        </is>
      </c>
      <c r="E329" t="inlineStr">
        <is>
          <t>JOKKMOKK</t>
        </is>
      </c>
      <c r="F329" t="inlineStr">
        <is>
          <t>Sveaskog</t>
        </is>
      </c>
      <c r="G329" t="n">
        <v>11.9</v>
      </c>
      <c r="H329" t="n">
        <v>0</v>
      </c>
      <c r="I329" t="n">
        <v>0</v>
      </c>
      <c r="J329" t="n">
        <v>0</v>
      </c>
      <c r="K329" t="n">
        <v>0</v>
      </c>
      <c r="L329" t="n">
        <v>0</v>
      </c>
      <c r="M329" t="n">
        <v>0</v>
      </c>
      <c r="N329" t="n">
        <v>0</v>
      </c>
      <c r="O329" t="n">
        <v>0</v>
      </c>
      <c r="P329" t="n">
        <v>0</v>
      </c>
      <c r="Q329" t="n">
        <v>0</v>
      </c>
      <c r="R329" s="2" t="inlineStr"/>
    </row>
    <row r="330" ht="15" customHeight="1">
      <c r="A330" t="inlineStr">
        <is>
          <t>A 48339-2024</t>
        </is>
      </c>
      <c r="B330" s="1" t="n">
        <v>45590</v>
      </c>
      <c r="C330" s="1" t="n">
        <v>45966</v>
      </c>
      <c r="D330" t="inlineStr">
        <is>
          <t>NORRBOTTENS LÄN</t>
        </is>
      </c>
      <c r="E330" t="inlineStr">
        <is>
          <t>JOKKMOKK</t>
        </is>
      </c>
      <c r="F330" t="inlineStr">
        <is>
          <t>Allmännings- och besparingsskogar</t>
        </is>
      </c>
      <c r="G330" t="n">
        <v>24.9</v>
      </c>
      <c r="H330" t="n">
        <v>0</v>
      </c>
      <c r="I330" t="n">
        <v>0</v>
      </c>
      <c r="J330" t="n">
        <v>0</v>
      </c>
      <c r="K330" t="n">
        <v>0</v>
      </c>
      <c r="L330" t="n">
        <v>0</v>
      </c>
      <c r="M330" t="n">
        <v>0</v>
      </c>
      <c r="N330" t="n">
        <v>0</v>
      </c>
      <c r="O330" t="n">
        <v>0</v>
      </c>
      <c r="P330" t="n">
        <v>0</v>
      </c>
      <c r="Q330" t="n">
        <v>0</v>
      </c>
      <c r="R330" s="2" t="inlineStr"/>
    </row>
    <row r="331" ht="15" customHeight="1">
      <c r="A331" t="inlineStr">
        <is>
          <t>A 28639-2025</t>
        </is>
      </c>
      <c r="B331" s="1" t="n">
        <v>45819.63649305556</v>
      </c>
      <c r="C331" s="1" t="n">
        <v>45966</v>
      </c>
      <c r="D331" t="inlineStr">
        <is>
          <t>NORRBOTTENS LÄN</t>
        </is>
      </c>
      <c r="E331" t="inlineStr">
        <is>
          <t>JOKKMOKK</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28601-2025</t>
        </is>
      </c>
      <c r="B332" s="1" t="n">
        <v>45819.59802083333</v>
      </c>
      <c r="C332" s="1" t="n">
        <v>45966</v>
      </c>
      <c r="D332" t="inlineStr">
        <is>
          <t>NORRBOTTENS LÄN</t>
        </is>
      </c>
      <c r="E332" t="inlineStr">
        <is>
          <t>JOKKMOKK</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2040-2025</t>
        </is>
      </c>
      <c r="B333" s="1" t="n">
        <v>45671</v>
      </c>
      <c r="C333" s="1" t="n">
        <v>45966</v>
      </c>
      <c r="D333" t="inlineStr">
        <is>
          <t>NORRBOTTENS LÄN</t>
        </is>
      </c>
      <c r="E333" t="inlineStr">
        <is>
          <t>JOKKMOKK</t>
        </is>
      </c>
      <c r="G333" t="n">
        <v>5.1</v>
      </c>
      <c r="H333" t="n">
        <v>0</v>
      </c>
      <c r="I333" t="n">
        <v>0</v>
      </c>
      <c r="J333" t="n">
        <v>0</v>
      </c>
      <c r="K333" t="n">
        <v>0</v>
      </c>
      <c r="L333" t="n">
        <v>0</v>
      </c>
      <c r="M333" t="n">
        <v>0</v>
      </c>
      <c r="N333" t="n">
        <v>0</v>
      </c>
      <c r="O333" t="n">
        <v>0</v>
      </c>
      <c r="P333" t="n">
        <v>0</v>
      </c>
      <c r="Q333" t="n">
        <v>0</v>
      </c>
      <c r="R333" s="2" t="inlineStr"/>
    </row>
    <row r="334" ht="15" customHeight="1">
      <c r="A334" t="inlineStr">
        <is>
          <t>A 29333-2025</t>
        </is>
      </c>
      <c r="B334" s="1" t="n">
        <v>45824</v>
      </c>
      <c r="C334" s="1" t="n">
        <v>45966</v>
      </c>
      <c r="D334" t="inlineStr">
        <is>
          <t>NORRBOTTENS LÄN</t>
        </is>
      </c>
      <c r="E334" t="inlineStr">
        <is>
          <t>JOKKMOKK</t>
        </is>
      </c>
      <c r="G334" t="n">
        <v>17.3</v>
      </c>
      <c r="H334" t="n">
        <v>0</v>
      </c>
      <c r="I334" t="n">
        <v>0</v>
      </c>
      <c r="J334" t="n">
        <v>0</v>
      </c>
      <c r="K334" t="n">
        <v>0</v>
      </c>
      <c r="L334" t="n">
        <v>0</v>
      </c>
      <c r="M334" t="n">
        <v>0</v>
      </c>
      <c r="N334" t="n">
        <v>0</v>
      </c>
      <c r="O334" t="n">
        <v>0</v>
      </c>
      <c r="P334" t="n">
        <v>0</v>
      </c>
      <c r="Q334" t="n">
        <v>0</v>
      </c>
      <c r="R334" s="2" t="inlineStr"/>
    </row>
    <row r="335" ht="15" customHeight="1">
      <c r="A335" t="inlineStr">
        <is>
          <t>A 29446-2025</t>
        </is>
      </c>
      <c r="B335" s="1" t="n">
        <v>45824</v>
      </c>
      <c r="C335" s="1" t="n">
        <v>45966</v>
      </c>
      <c r="D335" t="inlineStr">
        <is>
          <t>NORRBOTTENS LÄN</t>
        </is>
      </c>
      <c r="E335" t="inlineStr">
        <is>
          <t>JOKKMOKK</t>
        </is>
      </c>
      <c r="G335" t="n">
        <v>68.5</v>
      </c>
      <c r="H335" t="n">
        <v>0</v>
      </c>
      <c r="I335" t="n">
        <v>0</v>
      </c>
      <c r="J335" t="n">
        <v>0</v>
      </c>
      <c r="K335" t="n">
        <v>0</v>
      </c>
      <c r="L335" t="n">
        <v>0</v>
      </c>
      <c r="M335" t="n">
        <v>0</v>
      </c>
      <c r="N335" t="n">
        <v>0</v>
      </c>
      <c r="O335" t="n">
        <v>0</v>
      </c>
      <c r="P335" t="n">
        <v>0</v>
      </c>
      <c r="Q335" t="n">
        <v>0</v>
      </c>
      <c r="R335" s="2" t="inlineStr"/>
    </row>
    <row r="336" ht="15" customHeight="1">
      <c r="A336" t="inlineStr">
        <is>
          <t>A 29418-2025</t>
        </is>
      </c>
      <c r="B336" s="1" t="n">
        <v>45824.63607638889</v>
      </c>
      <c r="C336" s="1" t="n">
        <v>45966</v>
      </c>
      <c r="D336" t="inlineStr">
        <is>
          <t>NORRBOTTENS LÄN</t>
        </is>
      </c>
      <c r="E336" t="inlineStr">
        <is>
          <t>JOKKMOKK</t>
        </is>
      </c>
      <c r="G336" t="n">
        <v>17.8</v>
      </c>
      <c r="H336" t="n">
        <v>0</v>
      </c>
      <c r="I336" t="n">
        <v>0</v>
      </c>
      <c r="J336" t="n">
        <v>0</v>
      </c>
      <c r="K336" t="n">
        <v>0</v>
      </c>
      <c r="L336" t="n">
        <v>0</v>
      </c>
      <c r="M336" t="n">
        <v>0</v>
      </c>
      <c r="N336" t="n">
        <v>0</v>
      </c>
      <c r="O336" t="n">
        <v>0</v>
      </c>
      <c r="P336" t="n">
        <v>0</v>
      </c>
      <c r="Q336" t="n">
        <v>0</v>
      </c>
      <c r="R336" s="2" t="inlineStr"/>
    </row>
    <row r="337" ht="15" customHeight="1">
      <c r="A337" t="inlineStr">
        <is>
          <t>A 30178-2025</t>
        </is>
      </c>
      <c r="B337" s="1" t="n">
        <v>45827.34571759259</v>
      </c>
      <c r="C337" s="1" t="n">
        <v>45966</v>
      </c>
      <c r="D337" t="inlineStr">
        <is>
          <t>NORRBOTTENS LÄN</t>
        </is>
      </c>
      <c r="E337" t="inlineStr">
        <is>
          <t>JOKKMOKK</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31208-2023</t>
        </is>
      </c>
      <c r="B338" s="1" t="n">
        <v>45113.95083333334</v>
      </c>
      <c r="C338" s="1" t="n">
        <v>45966</v>
      </c>
      <c r="D338" t="inlineStr">
        <is>
          <t>NORRBOTTENS LÄN</t>
        </is>
      </c>
      <c r="E338" t="inlineStr">
        <is>
          <t>JOKKMOKK</t>
        </is>
      </c>
      <c r="F338" t="inlineStr">
        <is>
          <t>SCA</t>
        </is>
      </c>
      <c r="G338" t="n">
        <v>10.3</v>
      </c>
      <c r="H338" t="n">
        <v>0</v>
      </c>
      <c r="I338" t="n">
        <v>0</v>
      </c>
      <c r="J338" t="n">
        <v>0</v>
      </c>
      <c r="K338" t="n">
        <v>0</v>
      </c>
      <c r="L338" t="n">
        <v>0</v>
      </c>
      <c r="M338" t="n">
        <v>0</v>
      </c>
      <c r="N338" t="n">
        <v>0</v>
      </c>
      <c r="O338" t="n">
        <v>0</v>
      </c>
      <c r="P338" t="n">
        <v>0</v>
      </c>
      <c r="Q338" t="n">
        <v>0</v>
      </c>
      <c r="R338" s="2" t="inlineStr"/>
    </row>
    <row r="339" ht="15" customHeight="1">
      <c r="A339" t="inlineStr">
        <is>
          <t>A 30177-2025</t>
        </is>
      </c>
      <c r="B339" s="1" t="n">
        <v>45827.34537037037</v>
      </c>
      <c r="C339" s="1" t="n">
        <v>45966</v>
      </c>
      <c r="D339" t="inlineStr">
        <is>
          <t>NORRBOTTENS LÄN</t>
        </is>
      </c>
      <c r="E339" t="inlineStr">
        <is>
          <t>JOKKMOKK</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30185-2025</t>
        </is>
      </c>
      <c r="B340" s="1" t="n">
        <v>45827.34717592593</v>
      </c>
      <c r="C340" s="1" t="n">
        <v>45966</v>
      </c>
      <c r="D340" t="inlineStr">
        <is>
          <t>NORRBOTTENS LÄN</t>
        </is>
      </c>
      <c r="E340" t="inlineStr">
        <is>
          <t>JOKKMOKK</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30181-2025</t>
        </is>
      </c>
      <c r="B341" s="1" t="n">
        <v>45827.34607638889</v>
      </c>
      <c r="C341" s="1" t="n">
        <v>45966</v>
      </c>
      <c r="D341" t="inlineStr">
        <is>
          <t>NORRBOTTENS LÄN</t>
        </is>
      </c>
      <c r="E341" t="inlineStr">
        <is>
          <t>JOKKMOKK</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30182-2025</t>
        </is>
      </c>
      <c r="B342" s="1" t="n">
        <v>45827.34640046296</v>
      </c>
      <c r="C342" s="1" t="n">
        <v>45966</v>
      </c>
      <c r="D342" t="inlineStr">
        <is>
          <t>NORRBOTTENS LÄN</t>
        </is>
      </c>
      <c r="E342" t="inlineStr">
        <is>
          <t>JOKKMOKK</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30184-2025</t>
        </is>
      </c>
      <c r="B343" s="1" t="n">
        <v>45827.34695601852</v>
      </c>
      <c r="C343" s="1" t="n">
        <v>45966</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30189-2025</t>
        </is>
      </c>
      <c r="B344" s="1" t="n">
        <v>45827.34756944444</v>
      </c>
      <c r="C344" s="1" t="n">
        <v>45966</v>
      </c>
      <c r="D344" t="inlineStr">
        <is>
          <t>NORRBOTTENS LÄN</t>
        </is>
      </c>
      <c r="E344" t="inlineStr">
        <is>
          <t>JOKKMOKK</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29853-2025</t>
        </is>
      </c>
      <c r="B345" s="1" t="n">
        <v>45826.34438657408</v>
      </c>
      <c r="C345" s="1" t="n">
        <v>45966</v>
      </c>
      <c r="D345" t="inlineStr">
        <is>
          <t>NORRBOTTENS LÄN</t>
        </is>
      </c>
      <c r="E345" t="inlineStr">
        <is>
          <t>JOKKMOKK</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29857-2025</t>
        </is>
      </c>
      <c r="B346" s="1" t="n">
        <v>45826.3453125</v>
      </c>
      <c r="C346" s="1" t="n">
        <v>45966</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29856-2025</t>
        </is>
      </c>
      <c r="B347" s="1" t="n">
        <v>45826.345</v>
      </c>
      <c r="C347" s="1" t="n">
        <v>45966</v>
      </c>
      <c r="D347" t="inlineStr">
        <is>
          <t>NORRBOTTENS LÄN</t>
        </is>
      </c>
      <c r="E347" t="inlineStr">
        <is>
          <t>JOKKMOKK</t>
        </is>
      </c>
      <c r="F347" t="inlineStr">
        <is>
          <t>SCA</t>
        </is>
      </c>
      <c r="G347" t="n">
        <v>7.1</v>
      </c>
      <c r="H347" t="n">
        <v>0</v>
      </c>
      <c r="I347" t="n">
        <v>0</v>
      </c>
      <c r="J347" t="n">
        <v>0</v>
      </c>
      <c r="K347" t="n">
        <v>0</v>
      </c>
      <c r="L347" t="n">
        <v>0</v>
      </c>
      <c r="M347" t="n">
        <v>0</v>
      </c>
      <c r="N347" t="n">
        <v>0</v>
      </c>
      <c r="O347" t="n">
        <v>0</v>
      </c>
      <c r="P347" t="n">
        <v>0</v>
      </c>
      <c r="Q347" t="n">
        <v>0</v>
      </c>
      <c r="R347" s="2" t="inlineStr"/>
    </row>
    <row r="348" ht="15" customHeight="1">
      <c r="A348" t="inlineStr">
        <is>
          <t>A 29858-2025</t>
        </is>
      </c>
      <c r="B348" s="1" t="n">
        <v>45826.34565972222</v>
      </c>
      <c r="C348" s="1" t="n">
        <v>45966</v>
      </c>
      <c r="D348" t="inlineStr">
        <is>
          <t>NORRBOTTENS LÄN</t>
        </is>
      </c>
      <c r="E348" t="inlineStr">
        <is>
          <t>JOKKMOKK</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65648-2020</t>
        </is>
      </c>
      <c r="B349" s="1" t="n">
        <v>44172</v>
      </c>
      <c r="C349" s="1" t="n">
        <v>45966</v>
      </c>
      <c r="D349" t="inlineStr">
        <is>
          <t>NORRBOTTENS LÄN</t>
        </is>
      </c>
      <c r="E349" t="inlineStr">
        <is>
          <t>JOKKMOKK</t>
        </is>
      </c>
      <c r="G349" t="n">
        <v>1.8</v>
      </c>
      <c r="H349" t="n">
        <v>0</v>
      </c>
      <c r="I349" t="n">
        <v>0</v>
      </c>
      <c r="J349" t="n">
        <v>0</v>
      </c>
      <c r="K349" t="n">
        <v>0</v>
      </c>
      <c r="L349" t="n">
        <v>0</v>
      </c>
      <c r="M349" t="n">
        <v>0</v>
      </c>
      <c r="N349" t="n">
        <v>0</v>
      </c>
      <c r="O349" t="n">
        <v>0</v>
      </c>
      <c r="P349" t="n">
        <v>0</v>
      </c>
      <c r="Q349" t="n">
        <v>0</v>
      </c>
      <c r="R349" s="2" t="inlineStr"/>
    </row>
    <row r="350" ht="15" customHeight="1">
      <c r="A350" t="inlineStr">
        <is>
          <t>A 6437-2025</t>
        </is>
      </c>
      <c r="B350" s="1" t="n">
        <v>45699</v>
      </c>
      <c r="C350" s="1" t="n">
        <v>45966</v>
      </c>
      <c r="D350" t="inlineStr">
        <is>
          <t>NORRBOTTENS LÄN</t>
        </is>
      </c>
      <c r="E350" t="inlineStr">
        <is>
          <t>JOKKMOKK</t>
        </is>
      </c>
      <c r="G350" t="n">
        <v>3.4</v>
      </c>
      <c r="H350" t="n">
        <v>0</v>
      </c>
      <c r="I350" t="n">
        <v>0</v>
      </c>
      <c r="J350" t="n">
        <v>0</v>
      </c>
      <c r="K350" t="n">
        <v>0</v>
      </c>
      <c r="L350" t="n">
        <v>0</v>
      </c>
      <c r="M350" t="n">
        <v>0</v>
      </c>
      <c r="N350" t="n">
        <v>0</v>
      </c>
      <c r="O350" t="n">
        <v>0</v>
      </c>
      <c r="P350" t="n">
        <v>0</v>
      </c>
      <c r="Q350" t="n">
        <v>0</v>
      </c>
      <c r="R350" s="2" t="inlineStr"/>
    </row>
    <row r="351" ht="15" customHeight="1">
      <c r="A351" t="inlineStr">
        <is>
          <t>A 18493-2025</t>
        </is>
      </c>
      <c r="B351" s="1" t="n">
        <v>45763.34474537037</v>
      </c>
      <c r="C351" s="1" t="n">
        <v>45966</v>
      </c>
      <c r="D351" t="inlineStr">
        <is>
          <t>NORRBOTTENS LÄN</t>
        </is>
      </c>
      <c r="E351" t="inlineStr">
        <is>
          <t>JOKKMOKK</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45510-2022</t>
        </is>
      </c>
      <c r="B352" s="1" t="n">
        <v>44841</v>
      </c>
      <c r="C352" s="1" t="n">
        <v>45966</v>
      </c>
      <c r="D352" t="inlineStr">
        <is>
          <t>NORRBOTTENS LÄN</t>
        </is>
      </c>
      <c r="E352" t="inlineStr">
        <is>
          <t>JOKKMOKK</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52181-2023</t>
        </is>
      </c>
      <c r="B353" s="1" t="n">
        <v>45224</v>
      </c>
      <c r="C353" s="1" t="n">
        <v>45966</v>
      </c>
      <c r="D353" t="inlineStr">
        <is>
          <t>NORRBOTTENS LÄN</t>
        </is>
      </c>
      <c r="E353" t="inlineStr">
        <is>
          <t>JOKKMOKK</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27652-2024</t>
        </is>
      </c>
      <c r="B354" s="1" t="n">
        <v>45474.94982638889</v>
      </c>
      <c r="C354" s="1" t="n">
        <v>45966</v>
      </c>
      <c r="D354" t="inlineStr">
        <is>
          <t>NORRBOTTENS LÄN</t>
        </is>
      </c>
      <c r="E354" t="inlineStr">
        <is>
          <t>JOKKMOKK</t>
        </is>
      </c>
      <c r="F354" t="inlineStr">
        <is>
          <t>SCA</t>
        </is>
      </c>
      <c r="G354" t="n">
        <v>5.3</v>
      </c>
      <c r="H354" t="n">
        <v>0</v>
      </c>
      <c r="I354" t="n">
        <v>0</v>
      </c>
      <c r="J354" t="n">
        <v>0</v>
      </c>
      <c r="K354" t="n">
        <v>0</v>
      </c>
      <c r="L354" t="n">
        <v>0</v>
      </c>
      <c r="M354" t="n">
        <v>0</v>
      </c>
      <c r="N354" t="n">
        <v>0</v>
      </c>
      <c r="O354" t="n">
        <v>0</v>
      </c>
      <c r="P354" t="n">
        <v>0</v>
      </c>
      <c r="Q354" t="n">
        <v>0</v>
      </c>
      <c r="R354" s="2" t="inlineStr"/>
    </row>
    <row r="355" ht="15" customHeight="1">
      <c r="A355" t="inlineStr">
        <is>
          <t>A 31918-2025</t>
        </is>
      </c>
      <c r="B355" s="1" t="n">
        <v>45834</v>
      </c>
      <c r="C355" s="1" t="n">
        <v>45966</v>
      </c>
      <c r="D355" t="inlineStr">
        <is>
          <t>NORRBOTTENS LÄN</t>
        </is>
      </c>
      <c r="E355" t="inlineStr">
        <is>
          <t>JOKKMOKK</t>
        </is>
      </c>
      <c r="G355" t="n">
        <v>15.2</v>
      </c>
      <c r="H355" t="n">
        <v>0</v>
      </c>
      <c r="I355" t="n">
        <v>0</v>
      </c>
      <c r="J355" t="n">
        <v>0</v>
      </c>
      <c r="K355" t="n">
        <v>0</v>
      </c>
      <c r="L355" t="n">
        <v>0</v>
      </c>
      <c r="M355" t="n">
        <v>0</v>
      </c>
      <c r="N355" t="n">
        <v>0</v>
      </c>
      <c r="O355" t="n">
        <v>0</v>
      </c>
      <c r="P355" t="n">
        <v>0</v>
      </c>
      <c r="Q355" t="n">
        <v>0</v>
      </c>
      <c r="R355" s="2" t="inlineStr"/>
    </row>
    <row r="356" ht="15" customHeight="1">
      <c r="A356" t="inlineStr">
        <is>
          <t>A 32670-2025</t>
        </is>
      </c>
      <c r="B356" s="1" t="n">
        <v>45838.70071759259</v>
      </c>
      <c r="C356" s="1" t="n">
        <v>45966</v>
      </c>
      <c r="D356" t="inlineStr">
        <is>
          <t>NORRBOTTENS LÄN</t>
        </is>
      </c>
      <c r="E356" t="inlineStr">
        <is>
          <t>JOKKMOKK</t>
        </is>
      </c>
      <c r="F356" t="inlineStr">
        <is>
          <t>Sveaskog</t>
        </is>
      </c>
      <c r="G356" t="n">
        <v>6.8</v>
      </c>
      <c r="H356" t="n">
        <v>0</v>
      </c>
      <c r="I356" t="n">
        <v>0</v>
      </c>
      <c r="J356" t="n">
        <v>0</v>
      </c>
      <c r="K356" t="n">
        <v>0</v>
      </c>
      <c r="L356" t="n">
        <v>0</v>
      </c>
      <c r="M356" t="n">
        <v>0</v>
      </c>
      <c r="N356" t="n">
        <v>0</v>
      </c>
      <c r="O356" t="n">
        <v>0</v>
      </c>
      <c r="P356" t="n">
        <v>0</v>
      </c>
      <c r="Q356" t="n">
        <v>0</v>
      </c>
      <c r="R356" s="2" t="inlineStr"/>
    </row>
    <row r="357" ht="15" customHeight="1">
      <c r="A357" t="inlineStr">
        <is>
          <t>A 71369-2021</t>
        </is>
      </c>
      <c r="B357" s="1" t="n">
        <v>44539.94476851852</v>
      </c>
      <c r="C357" s="1" t="n">
        <v>45966</v>
      </c>
      <c r="D357" t="inlineStr">
        <is>
          <t>NORRBOTTENS LÄN</t>
        </is>
      </c>
      <c r="E357" t="inlineStr">
        <is>
          <t>JOKKMOKK</t>
        </is>
      </c>
      <c r="F357" t="inlineStr">
        <is>
          <t>SCA</t>
        </is>
      </c>
      <c r="G357" t="n">
        <v>15.7</v>
      </c>
      <c r="H357" t="n">
        <v>0</v>
      </c>
      <c r="I357" t="n">
        <v>0</v>
      </c>
      <c r="J357" t="n">
        <v>0</v>
      </c>
      <c r="K357" t="n">
        <v>0</v>
      </c>
      <c r="L357" t="n">
        <v>0</v>
      </c>
      <c r="M357" t="n">
        <v>0</v>
      </c>
      <c r="N357" t="n">
        <v>0</v>
      </c>
      <c r="O357" t="n">
        <v>0</v>
      </c>
      <c r="P357" t="n">
        <v>0</v>
      </c>
      <c r="Q357" t="n">
        <v>0</v>
      </c>
      <c r="R357" s="2" t="inlineStr"/>
    </row>
    <row r="358" ht="15" customHeight="1">
      <c r="A358" t="inlineStr">
        <is>
          <t>A 33551-2025</t>
        </is>
      </c>
      <c r="B358" s="1" t="n">
        <v>45841.57357638889</v>
      </c>
      <c r="C358" s="1" t="n">
        <v>45966</v>
      </c>
      <c r="D358" t="inlineStr">
        <is>
          <t>NORRBOTTENS LÄN</t>
        </is>
      </c>
      <c r="E358" t="inlineStr">
        <is>
          <t>JOKKMOKK</t>
        </is>
      </c>
      <c r="F358" t="inlineStr">
        <is>
          <t>SCA</t>
        </is>
      </c>
      <c r="G358" t="n">
        <v>7.9</v>
      </c>
      <c r="H358" t="n">
        <v>0</v>
      </c>
      <c r="I358" t="n">
        <v>0</v>
      </c>
      <c r="J358" t="n">
        <v>0</v>
      </c>
      <c r="K358" t="n">
        <v>0</v>
      </c>
      <c r="L358" t="n">
        <v>0</v>
      </c>
      <c r="M358" t="n">
        <v>0</v>
      </c>
      <c r="N358" t="n">
        <v>0</v>
      </c>
      <c r="O358" t="n">
        <v>0</v>
      </c>
      <c r="P358" t="n">
        <v>0</v>
      </c>
      <c r="Q358" t="n">
        <v>0</v>
      </c>
      <c r="R358" s="2" t="inlineStr"/>
    </row>
    <row r="359" ht="15" customHeight="1">
      <c r="A359" t="inlineStr">
        <is>
          <t>A 33515-2025</t>
        </is>
      </c>
      <c r="B359" s="1" t="n">
        <v>45841.53164351852</v>
      </c>
      <c r="C359" s="1" t="n">
        <v>45966</v>
      </c>
      <c r="D359" t="inlineStr">
        <is>
          <t>NORRBOTTENS LÄN</t>
        </is>
      </c>
      <c r="E359" t="inlineStr">
        <is>
          <t>JOKKMOKK</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33523-2025</t>
        </is>
      </c>
      <c r="B360" s="1" t="n">
        <v>45841.54601851852</v>
      </c>
      <c r="C360" s="1" t="n">
        <v>45966</v>
      </c>
      <c r="D360" t="inlineStr">
        <is>
          <t>NORRBOTTENS LÄN</t>
        </is>
      </c>
      <c r="E360" t="inlineStr">
        <is>
          <t>JOKKMOKK</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1615-2024</t>
        </is>
      </c>
      <c r="B361" s="1" t="n">
        <v>45306</v>
      </c>
      <c r="C361" s="1" t="n">
        <v>45966</v>
      </c>
      <c r="D361" t="inlineStr">
        <is>
          <t>NORRBOTTENS LÄN</t>
        </is>
      </c>
      <c r="E361" t="inlineStr">
        <is>
          <t>JOKKMOKK</t>
        </is>
      </c>
      <c r="G361" t="n">
        <v>10.8</v>
      </c>
      <c r="H361" t="n">
        <v>0</v>
      </c>
      <c r="I361" t="n">
        <v>0</v>
      </c>
      <c r="J361" t="n">
        <v>0</v>
      </c>
      <c r="K361" t="n">
        <v>0</v>
      </c>
      <c r="L361" t="n">
        <v>0</v>
      </c>
      <c r="M361" t="n">
        <v>0</v>
      </c>
      <c r="N361" t="n">
        <v>0</v>
      </c>
      <c r="O361" t="n">
        <v>0</v>
      </c>
      <c r="P361" t="n">
        <v>0</v>
      </c>
      <c r="Q361" t="n">
        <v>0</v>
      </c>
      <c r="R361" s="2" t="inlineStr"/>
    </row>
    <row r="362" ht="15" customHeight="1">
      <c r="A362" t="inlineStr">
        <is>
          <t>A 10630-2025</t>
        </is>
      </c>
      <c r="B362" s="1" t="n">
        <v>45721.63606481482</v>
      </c>
      <c r="C362" s="1" t="n">
        <v>45966</v>
      </c>
      <c r="D362" t="inlineStr">
        <is>
          <t>NORRBOTTENS LÄN</t>
        </is>
      </c>
      <c r="E362" t="inlineStr">
        <is>
          <t>JOKKMOKK</t>
        </is>
      </c>
      <c r="G362" t="n">
        <v>1.7</v>
      </c>
      <c r="H362" t="n">
        <v>0</v>
      </c>
      <c r="I362" t="n">
        <v>0</v>
      </c>
      <c r="J362" t="n">
        <v>0</v>
      </c>
      <c r="K362" t="n">
        <v>0</v>
      </c>
      <c r="L362" t="n">
        <v>0</v>
      </c>
      <c r="M362" t="n">
        <v>0</v>
      </c>
      <c r="N362" t="n">
        <v>0</v>
      </c>
      <c r="O362" t="n">
        <v>0</v>
      </c>
      <c r="P362" t="n">
        <v>0</v>
      </c>
      <c r="Q362" t="n">
        <v>0</v>
      </c>
      <c r="R362" s="2" t="inlineStr"/>
    </row>
    <row r="363" ht="15" customHeight="1">
      <c r="A363" t="inlineStr">
        <is>
          <t>A 33554-2025</t>
        </is>
      </c>
      <c r="B363" s="1" t="n">
        <v>45841.57400462963</v>
      </c>
      <c r="C363" s="1" t="n">
        <v>45966</v>
      </c>
      <c r="D363" t="inlineStr">
        <is>
          <t>NORRBOTTENS LÄN</t>
        </is>
      </c>
      <c r="E363" t="inlineStr">
        <is>
          <t>JOKKMOKK</t>
        </is>
      </c>
      <c r="F363" t="inlineStr">
        <is>
          <t>SCA</t>
        </is>
      </c>
      <c r="G363" t="n">
        <v>11.4</v>
      </c>
      <c r="H363" t="n">
        <v>0</v>
      </c>
      <c r="I363" t="n">
        <v>0</v>
      </c>
      <c r="J363" t="n">
        <v>0</v>
      </c>
      <c r="K363" t="n">
        <v>0</v>
      </c>
      <c r="L363" t="n">
        <v>0</v>
      </c>
      <c r="M363" t="n">
        <v>0</v>
      </c>
      <c r="N363" t="n">
        <v>0</v>
      </c>
      <c r="O363" t="n">
        <v>0</v>
      </c>
      <c r="P363" t="n">
        <v>0</v>
      </c>
      <c r="Q363" t="n">
        <v>0</v>
      </c>
      <c r="R363" s="2" t="inlineStr"/>
    </row>
    <row r="364" ht="15" customHeight="1">
      <c r="A364" t="inlineStr">
        <is>
          <t>A 33349-2025</t>
        </is>
      </c>
      <c r="B364" s="1" t="n">
        <v>45841.3704050926</v>
      </c>
      <c r="C364" s="1" t="n">
        <v>45966</v>
      </c>
      <c r="D364" t="inlineStr">
        <is>
          <t>NORRBOTTENS LÄN</t>
        </is>
      </c>
      <c r="E364" t="inlineStr">
        <is>
          <t>JOKKMOKK</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31535-2024</t>
        </is>
      </c>
      <c r="B365" s="1" t="n">
        <v>45505</v>
      </c>
      <c r="C365" s="1" t="n">
        <v>45966</v>
      </c>
      <c r="D365" t="inlineStr">
        <is>
          <t>NORRBOTTENS LÄN</t>
        </is>
      </c>
      <c r="E365" t="inlineStr">
        <is>
          <t>JOKKMOKK</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53172-2024</t>
        </is>
      </c>
      <c r="B366" s="1" t="n">
        <v>45611.65689814815</v>
      </c>
      <c r="C366" s="1" t="n">
        <v>45966</v>
      </c>
      <c r="D366" t="inlineStr">
        <is>
          <t>NORRBOTTENS LÄN</t>
        </is>
      </c>
      <c r="E366" t="inlineStr">
        <is>
          <t>JOKKMOKK</t>
        </is>
      </c>
      <c r="F366" t="inlineStr">
        <is>
          <t>Allmännings- och besparingsskogar</t>
        </is>
      </c>
      <c r="G366" t="n">
        <v>6.5</v>
      </c>
      <c r="H366" t="n">
        <v>0</v>
      </c>
      <c r="I366" t="n">
        <v>0</v>
      </c>
      <c r="J366" t="n">
        <v>0</v>
      </c>
      <c r="K366" t="n">
        <v>0</v>
      </c>
      <c r="L366" t="n">
        <v>0</v>
      </c>
      <c r="M366" t="n">
        <v>0</v>
      </c>
      <c r="N366" t="n">
        <v>0</v>
      </c>
      <c r="O366" t="n">
        <v>0</v>
      </c>
      <c r="P366" t="n">
        <v>0</v>
      </c>
      <c r="Q366" t="n">
        <v>0</v>
      </c>
      <c r="R366" s="2" t="inlineStr"/>
    </row>
    <row r="367" ht="15" customHeight="1">
      <c r="A367" t="inlineStr">
        <is>
          <t>A 42481-2024</t>
        </is>
      </c>
      <c r="B367" s="1" t="n">
        <v>45565.49210648148</v>
      </c>
      <c r="C367" s="1" t="n">
        <v>45966</v>
      </c>
      <c r="D367" t="inlineStr">
        <is>
          <t>NORRBOTTENS LÄN</t>
        </is>
      </c>
      <c r="E367" t="inlineStr">
        <is>
          <t>JOKKMOKK</t>
        </is>
      </c>
      <c r="F367" t="inlineStr">
        <is>
          <t>SCA</t>
        </is>
      </c>
      <c r="G367" t="n">
        <v>25.2</v>
      </c>
      <c r="H367" t="n">
        <v>0</v>
      </c>
      <c r="I367" t="n">
        <v>0</v>
      </c>
      <c r="J367" t="n">
        <v>0</v>
      </c>
      <c r="K367" t="n">
        <v>0</v>
      </c>
      <c r="L367" t="n">
        <v>0</v>
      </c>
      <c r="M367" t="n">
        <v>0</v>
      </c>
      <c r="N367" t="n">
        <v>0</v>
      </c>
      <c r="O367" t="n">
        <v>0</v>
      </c>
      <c r="P367" t="n">
        <v>0</v>
      </c>
      <c r="Q367" t="n">
        <v>0</v>
      </c>
      <c r="R367" s="2" t="inlineStr"/>
    </row>
    <row r="368" ht="15" customHeight="1">
      <c r="A368" t="inlineStr">
        <is>
          <t>A 33741-2025</t>
        </is>
      </c>
      <c r="B368" s="1" t="n">
        <v>45842.3446875</v>
      </c>
      <c r="C368" s="1" t="n">
        <v>45966</v>
      </c>
      <c r="D368" t="inlineStr">
        <is>
          <t>NORRBOTTENS LÄN</t>
        </is>
      </c>
      <c r="E368" t="inlineStr">
        <is>
          <t>JOKKMOKK</t>
        </is>
      </c>
      <c r="F368" t="inlineStr">
        <is>
          <t>SCA</t>
        </is>
      </c>
      <c r="G368" t="n">
        <v>5.1</v>
      </c>
      <c r="H368" t="n">
        <v>0</v>
      </c>
      <c r="I368" t="n">
        <v>0</v>
      </c>
      <c r="J368" t="n">
        <v>0</v>
      </c>
      <c r="K368" t="n">
        <v>0</v>
      </c>
      <c r="L368" t="n">
        <v>0</v>
      </c>
      <c r="M368" t="n">
        <v>0</v>
      </c>
      <c r="N368" t="n">
        <v>0</v>
      </c>
      <c r="O368" t="n">
        <v>0</v>
      </c>
      <c r="P368" t="n">
        <v>0</v>
      </c>
      <c r="Q368" t="n">
        <v>0</v>
      </c>
      <c r="R368" s="2" t="inlineStr"/>
    </row>
    <row r="369" ht="15" customHeight="1">
      <c r="A369" t="inlineStr">
        <is>
          <t>A 32899-2023</t>
        </is>
      </c>
      <c r="B369" s="1" t="n">
        <v>45124</v>
      </c>
      <c r="C369" s="1" t="n">
        <v>45966</v>
      </c>
      <c r="D369" t="inlineStr">
        <is>
          <t>NORRBOTTENS LÄN</t>
        </is>
      </c>
      <c r="E369" t="inlineStr">
        <is>
          <t>JOKKMOKK</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33014-2023</t>
        </is>
      </c>
      <c r="B370" s="1" t="n">
        <v>45113</v>
      </c>
      <c r="C370" s="1" t="n">
        <v>45966</v>
      </c>
      <c r="D370" t="inlineStr">
        <is>
          <t>NORRBOTTENS LÄN</t>
        </is>
      </c>
      <c r="E370" t="inlineStr">
        <is>
          <t>JOKKMOKK</t>
        </is>
      </c>
      <c r="F370" t="inlineStr">
        <is>
          <t>Övriga statliga verk och myndigheter</t>
        </is>
      </c>
      <c r="G370" t="n">
        <v>7.2</v>
      </c>
      <c r="H370" t="n">
        <v>0</v>
      </c>
      <c r="I370" t="n">
        <v>0</v>
      </c>
      <c r="J370" t="n">
        <v>0</v>
      </c>
      <c r="K370" t="n">
        <v>0</v>
      </c>
      <c r="L370" t="n">
        <v>0</v>
      </c>
      <c r="M370" t="n">
        <v>0</v>
      </c>
      <c r="N370" t="n">
        <v>0</v>
      </c>
      <c r="O370" t="n">
        <v>0</v>
      </c>
      <c r="P370" t="n">
        <v>0</v>
      </c>
      <c r="Q370" t="n">
        <v>0</v>
      </c>
      <c r="R370" s="2" t="inlineStr"/>
    </row>
    <row r="371" ht="15" customHeight="1">
      <c r="A371" t="inlineStr">
        <is>
          <t>A 52901-2023</t>
        </is>
      </c>
      <c r="B371" s="1" t="n">
        <v>45222</v>
      </c>
      <c r="C371" s="1" t="n">
        <v>45966</v>
      </c>
      <c r="D371" t="inlineStr">
        <is>
          <t>NORRBOTTENS LÄN</t>
        </is>
      </c>
      <c r="E371" t="inlineStr">
        <is>
          <t>JOKKMOKK</t>
        </is>
      </c>
      <c r="G371" t="n">
        <v>16.6</v>
      </c>
      <c r="H371" t="n">
        <v>0</v>
      </c>
      <c r="I371" t="n">
        <v>0</v>
      </c>
      <c r="J371" t="n">
        <v>0</v>
      </c>
      <c r="K371" t="n">
        <v>0</v>
      </c>
      <c r="L371" t="n">
        <v>0</v>
      </c>
      <c r="M371" t="n">
        <v>0</v>
      </c>
      <c r="N371" t="n">
        <v>0</v>
      </c>
      <c r="O371" t="n">
        <v>0</v>
      </c>
      <c r="P371" t="n">
        <v>0</v>
      </c>
      <c r="Q371" t="n">
        <v>0</v>
      </c>
      <c r="R371" s="2" t="inlineStr"/>
    </row>
    <row r="372" ht="15" customHeight="1">
      <c r="A372" t="inlineStr">
        <is>
          <t>A 35040-2025</t>
        </is>
      </c>
      <c r="B372" s="1" t="n">
        <v>45852.34420138889</v>
      </c>
      <c r="C372" s="1" t="n">
        <v>45966</v>
      </c>
      <c r="D372" t="inlineStr">
        <is>
          <t>NORRBOTTENS LÄN</t>
        </is>
      </c>
      <c r="E372" t="inlineStr">
        <is>
          <t>JOKKMOKK</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40432-2024</t>
        </is>
      </c>
      <c r="B373" s="1" t="n">
        <v>45555.47401620371</v>
      </c>
      <c r="C373" s="1" t="n">
        <v>45966</v>
      </c>
      <c r="D373" t="inlineStr">
        <is>
          <t>NORRBOTTENS LÄN</t>
        </is>
      </c>
      <c r="E373" t="inlineStr">
        <is>
          <t>JOKKMOKK</t>
        </is>
      </c>
      <c r="G373" t="n">
        <v>0.5</v>
      </c>
      <c r="H373" t="n">
        <v>0</v>
      </c>
      <c r="I373" t="n">
        <v>0</v>
      </c>
      <c r="J373" t="n">
        <v>0</v>
      </c>
      <c r="K373" t="n">
        <v>0</v>
      </c>
      <c r="L373" t="n">
        <v>0</v>
      </c>
      <c r="M373" t="n">
        <v>0</v>
      </c>
      <c r="N373" t="n">
        <v>0</v>
      </c>
      <c r="O373" t="n">
        <v>0</v>
      </c>
      <c r="P373" t="n">
        <v>0</v>
      </c>
      <c r="Q373" t="n">
        <v>0</v>
      </c>
      <c r="R373" s="2" t="inlineStr"/>
    </row>
    <row r="374" ht="15" customHeight="1">
      <c r="A374" t="inlineStr">
        <is>
          <t>A 50568-2022</t>
        </is>
      </c>
      <c r="B374" s="1" t="n">
        <v>44866</v>
      </c>
      <c r="C374" s="1" t="n">
        <v>45966</v>
      </c>
      <c r="D374" t="inlineStr">
        <is>
          <t>NORRBOTTENS LÄN</t>
        </is>
      </c>
      <c r="E374" t="inlineStr">
        <is>
          <t>JOKKMOKK</t>
        </is>
      </c>
      <c r="F374" t="inlineStr">
        <is>
          <t>Sveaskog</t>
        </is>
      </c>
      <c r="G374" t="n">
        <v>6.2</v>
      </c>
      <c r="H374" t="n">
        <v>0</v>
      </c>
      <c r="I374" t="n">
        <v>0</v>
      </c>
      <c r="J374" t="n">
        <v>0</v>
      </c>
      <c r="K374" t="n">
        <v>0</v>
      </c>
      <c r="L374" t="n">
        <v>0</v>
      </c>
      <c r="M374" t="n">
        <v>0</v>
      </c>
      <c r="N374" t="n">
        <v>0</v>
      </c>
      <c r="O374" t="n">
        <v>0</v>
      </c>
      <c r="P374" t="n">
        <v>0</v>
      </c>
      <c r="Q374" t="n">
        <v>0</v>
      </c>
      <c r="R374" s="2" t="inlineStr"/>
    </row>
    <row r="375" ht="15" customHeight="1">
      <c r="A375" t="inlineStr">
        <is>
          <t>A 48210-2024</t>
        </is>
      </c>
      <c r="B375" s="1" t="n">
        <v>45590</v>
      </c>
      <c r="C375" s="1" t="n">
        <v>45966</v>
      </c>
      <c r="D375" t="inlineStr">
        <is>
          <t>NORRBOTTENS LÄN</t>
        </is>
      </c>
      <c r="E375" t="inlineStr">
        <is>
          <t>JOKKMOKK</t>
        </is>
      </c>
      <c r="F375" t="inlineStr">
        <is>
          <t>SCA</t>
        </is>
      </c>
      <c r="G375" t="n">
        <v>6.5</v>
      </c>
      <c r="H375" t="n">
        <v>0</v>
      </c>
      <c r="I375" t="n">
        <v>0</v>
      </c>
      <c r="J375" t="n">
        <v>0</v>
      </c>
      <c r="K375" t="n">
        <v>0</v>
      </c>
      <c r="L375" t="n">
        <v>0</v>
      </c>
      <c r="M375" t="n">
        <v>0</v>
      </c>
      <c r="N375" t="n">
        <v>0</v>
      </c>
      <c r="O375" t="n">
        <v>0</v>
      </c>
      <c r="P375" t="n">
        <v>0</v>
      </c>
      <c r="Q375" t="n">
        <v>0</v>
      </c>
      <c r="R375" s="2" t="inlineStr"/>
    </row>
    <row r="376" ht="15" customHeight="1">
      <c r="A376" t="inlineStr">
        <is>
          <t>A 49477-2024</t>
        </is>
      </c>
      <c r="B376" s="1" t="n">
        <v>45596.34576388889</v>
      </c>
      <c r="C376" s="1" t="n">
        <v>45966</v>
      </c>
      <c r="D376" t="inlineStr">
        <is>
          <t>NORRBOTTENS LÄN</t>
        </is>
      </c>
      <c r="E376" t="inlineStr">
        <is>
          <t>JOKKMOKK</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49478-2024</t>
        </is>
      </c>
      <c r="B377" s="1" t="n">
        <v>45596.34599537037</v>
      </c>
      <c r="C377" s="1" t="n">
        <v>45966</v>
      </c>
      <c r="D377" t="inlineStr">
        <is>
          <t>NORRBOTTENS LÄN</t>
        </is>
      </c>
      <c r="E377" t="inlineStr">
        <is>
          <t>JOKKMOKK</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35511-2025</t>
        </is>
      </c>
      <c r="B378" s="1" t="n">
        <v>45856.36497685185</v>
      </c>
      <c r="C378" s="1" t="n">
        <v>45966</v>
      </c>
      <c r="D378" t="inlineStr">
        <is>
          <t>NORRBOTTENS LÄN</t>
        </is>
      </c>
      <c r="E378" t="inlineStr">
        <is>
          <t>JOKKMOKK</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35805-2025</t>
        </is>
      </c>
      <c r="B379" s="1" t="n">
        <v>45861.4019212963</v>
      </c>
      <c r="C379" s="1" t="n">
        <v>45966</v>
      </c>
      <c r="D379" t="inlineStr">
        <is>
          <t>NORRBOTTENS LÄN</t>
        </is>
      </c>
      <c r="E379" t="inlineStr">
        <is>
          <t>JOKKMOKK</t>
        </is>
      </c>
      <c r="G379" t="n">
        <v>7</v>
      </c>
      <c r="H379" t="n">
        <v>0</v>
      </c>
      <c r="I379" t="n">
        <v>0</v>
      </c>
      <c r="J379" t="n">
        <v>0</v>
      </c>
      <c r="K379" t="n">
        <v>0</v>
      </c>
      <c r="L379" t="n">
        <v>0</v>
      </c>
      <c r="M379" t="n">
        <v>0</v>
      </c>
      <c r="N379" t="n">
        <v>0</v>
      </c>
      <c r="O379" t="n">
        <v>0</v>
      </c>
      <c r="P379" t="n">
        <v>0</v>
      </c>
      <c r="Q379" t="n">
        <v>0</v>
      </c>
      <c r="R379" s="2" t="inlineStr"/>
    </row>
    <row r="380" ht="15" customHeight="1">
      <c r="A380" t="inlineStr">
        <is>
          <t>A 30401-2024</t>
        </is>
      </c>
      <c r="B380" s="1" t="n">
        <v>45491</v>
      </c>
      <c r="C380" s="1" t="n">
        <v>45966</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35749-2025</t>
        </is>
      </c>
      <c r="B381" s="1" t="n">
        <v>45860</v>
      </c>
      <c r="C381" s="1" t="n">
        <v>45966</v>
      </c>
      <c r="D381" t="inlineStr">
        <is>
          <t>NORRBOTTENS LÄN</t>
        </is>
      </c>
      <c r="E381" t="inlineStr">
        <is>
          <t>JOKKMOKK</t>
        </is>
      </c>
      <c r="G381" t="n">
        <v>4.2</v>
      </c>
      <c r="H381" t="n">
        <v>0</v>
      </c>
      <c r="I381" t="n">
        <v>0</v>
      </c>
      <c r="J381" t="n">
        <v>0</v>
      </c>
      <c r="K381" t="n">
        <v>0</v>
      </c>
      <c r="L381" t="n">
        <v>0</v>
      </c>
      <c r="M381" t="n">
        <v>0</v>
      </c>
      <c r="N381" t="n">
        <v>0</v>
      </c>
      <c r="O381" t="n">
        <v>0</v>
      </c>
      <c r="P381" t="n">
        <v>0</v>
      </c>
      <c r="Q381" t="n">
        <v>0</v>
      </c>
      <c r="R381" s="2" t="inlineStr"/>
    </row>
    <row r="382" ht="15" customHeight="1">
      <c r="A382" t="inlineStr">
        <is>
          <t>A 42095-2025</t>
        </is>
      </c>
      <c r="B382" s="1" t="n">
        <v>45903.71916666667</v>
      </c>
      <c r="C382" s="1" t="n">
        <v>45966</v>
      </c>
      <c r="D382" t="inlineStr">
        <is>
          <t>NORRBOTTENS LÄN</t>
        </is>
      </c>
      <c r="E382" t="inlineStr">
        <is>
          <t>JOKKMOKK</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45966</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36168-2025</t>
        </is>
      </c>
      <c r="B384" s="1" t="n">
        <v>45867.38582175926</v>
      </c>
      <c r="C384" s="1" t="n">
        <v>45966</v>
      </c>
      <c r="D384" t="inlineStr">
        <is>
          <t>NORRBOTTENS LÄN</t>
        </is>
      </c>
      <c r="E384" t="inlineStr">
        <is>
          <t>JOKKMOKK</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40836-2022</t>
        </is>
      </c>
      <c r="B385" s="1" t="n">
        <v>44824</v>
      </c>
      <c r="C385" s="1" t="n">
        <v>45966</v>
      </c>
      <c r="D385" t="inlineStr">
        <is>
          <t>NORRBOTTENS LÄN</t>
        </is>
      </c>
      <c r="E385" t="inlineStr">
        <is>
          <t>JOKKMOKK</t>
        </is>
      </c>
      <c r="F385" t="inlineStr">
        <is>
          <t>SCA</t>
        </is>
      </c>
      <c r="G385" t="n">
        <v>229.8</v>
      </c>
      <c r="H385" t="n">
        <v>0</v>
      </c>
      <c r="I385" t="n">
        <v>0</v>
      </c>
      <c r="J385" t="n">
        <v>0</v>
      </c>
      <c r="K385" t="n">
        <v>0</v>
      </c>
      <c r="L385" t="n">
        <v>0</v>
      </c>
      <c r="M385" t="n">
        <v>0</v>
      </c>
      <c r="N385" t="n">
        <v>0</v>
      </c>
      <c r="O385" t="n">
        <v>0</v>
      </c>
      <c r="P385" t="n">
        <v>0</v>
      </c>
      <c r="Q385" t="n">
        <v>0</v>
      </c>
      <c r="R385" s="2" t="inlineStr"/>
    </row>
    <row r="386" ht="15" customHeight="1">
      <c r="A386" t="inlineStr">
        <is>
          <t>A 36357-2025</t>
        </is>
      </c>
      <c r="B386" s="1" t="n">
        <v>45868.5107175926</v>
      </c>
      <c r="C386" s="1" t="n">
        <v>45966</v>
      </c>
      <c r="D386" t="inlineStr">
        <is>
          <t>NORRBOTTENS LÄN</t>
        </is>
      </c>
      <c r="E386" t="inlineStr">
        <is>
          <t>JOKKMOKK</t>
        </is>
      </c>
      <c r="G386" t="n">
        <v>0.5</v>
      </c>
      <c r="H386" t="n">
        <v>0</v>
      </c>
      <c r="I386" t="n">
        <v>0</v>
      </c>
      <c r="J386" t="n">
        <v>0</v>
      </c>
      <c r="K386" t="n">
        <v>0</v>
      </c>
      <c r="L386" t="n">
        <v>0</v>
      </c>
      <c r="M386" t="n">
        <v>0</v>
      </c>
      <c r="N386" t="n">
        <v>0</v>
      </c>
      <c r="O386" t="n">
        <v>0</v>
      </c>
      <c r="P386" t="n">
        <v>0</v>
      </c>
      <c r="Q386" t="n">
        <v>0</v>
      </c>
      <c r="R386" s="2" t="inlineStr"/>
    </row>
    <row r="387" ht="15" customHeight="1">
      <c r="A387" t="inlineStr">
        <is>
          <t>A 26552-2025</t>
        </is>
      </c>
      <c r="B387" s="1" t="n">
        <v>45807</v>
      </c>
      <c r="C387" s="1" t="n">
        <v>45966</v>
      </c>
      <c r="D387" t="inlineStr">
        <is>
          <t>NORRBOTTENS LÄN</t>
        </is>
      </c>
      <c r="E387" t="inlineStr">
        <is>
          <t>JOKKMOKK</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36325-2025</t>
        </is>
      </c>
      <c r="B388" s="1" t="n">
        <v>45868.40723379629</v>
      </c>
      <c r="C388" s="1" t="n">
        <v>45966</v>
      </c>
      <c r="D388" t="inlineStr">
        <is>
          <t>NORRBOTTENS LÄN</t>
        </is>
      </c>
      <c r="E388" t="inlineStr">
        <is>
          <t>JOKKMOKK</t>
        </is>
      </c>
      <c r="F388" t="inlineStr">
        <is>
          <t>SCA</t>
        </is>
      </c>
      <c r="G388" t="n">
        <v>14.4</v>
      </c>
      <c r="H388" t="n">
        <v>0</v>
      </c>
      <c r="I388" t="n">
        <v>0</v>
      </c>
      <c r="J388" t="n">
        <v>0</v>
      </c>
      <c r="K388" t="n">
        <v>0</v>
      </c>
      <c r="L388" t="n">
        <v>0</v>
      </c>
      <c r="M388" t="n">
        <v>0</v>
      </c>
      <c r="N388" t="n">
        <v>0</v>
      </c>
      <c r="O388" t="n">
        <v>0</v>
      </c>
      <c r="P388" t="n">
        <v>0</v>
      </c>
      <c r="Q388" t="n">
        <v>0</v>
      </c>
      <c r="R388" s="2" t="inlineStr"/>
    </row>
    <row r="389" ht="15" customHeight="1">
      <c r="A389" t="inlineStr">
        <is>
          <t>A 47157-2024</t>
        </is>
      </c>
      <c r="B389" s="1" t="n">
        <v>45586</v>
      </c>
      <c r="C389" s="1" t="n">
        <v>45966</v>
      </c>
      <c r="D389" t="inlineStr">
        <is>
          <t>NORRBOTTENS LÄN</t>
        </is>
      </c>
      <c r="E389" t="inlineStr">
        <is>
          <t>JOKKMOKK</t>
        </is>
      </c>
      <c r="G389" t="n">
        <v>0.6</v>
      </c>
      <c r="H389" t="n">
        <v>0</v>
      </c>
      <c r="I389" t="n">
        <v>0</v>
      </c>
      <c r="J389" t="n">
        <v>0</v>
      </c>
      <c r="K389" t="n">
        <v>0</v>
      </c>
      <c r="L389" t="n">
        <v>0</v>
      </c>
      <c r="M389" t="n">
        <v>0</v>
      </c>
      <c r="N389" t="n">
        <v>0</v>
      </c>
      <c r="O389" t="n">
        <v>0</v>
      </c>
      <c r="P389" t="n">
        <v>0</v>
      </c>
      <c r="Q389" t="n">
        <v>0</v>
      </c>
      <c r="R389" s="2" t="inlineStr"/>
    </row>
    <row r="390" ht="15" customHeight="1">
      <c r="A390" t="inlineStr">
        <is>
          <t>A 19493-2025</t>
        </is>
      </c>
      <c r="B390" s="1" t="n">
        <v>45770.38886574074</v>
      </c>
      <c r="C390" s="1" t="n">
        <v>45966</v>
      </c>
      <c r="D390" t="inlineStr">
        <is>
          <t>NORRBOTTENS LÄN</t>
        </is>
      </c>
      <c r="E390" t="inlineStr">
        <is>
          <t>JOKKMOKK</t>
        </is>
      </c>
      <c r="F390" t="inlineStr">
        <is>
          <t>SCA</t>
        </is>
      </c>
      <c r="G390" t="n">
        <v>7.1</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45966</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10596-2025</t>
        </is>
      </c>
      <c r="B392" s="1" t="n">
        <v>45721</v>
      </c>
      <c r="C392" s="1" t="n">
        <v>45966</v>
      </c>
      <c r="D392" t="inlineStr">
        <is>
          <t>NORRBOTTENS LÄN</t>
        </is>
      </c>
      <c r="E392" t="inlineStr">
        <is>
          <t>JOKKMOKK</t>
        </is>
      </c>
      <c r="G392" t="n">
        <v>17.7</v>
      </c>
      <c r="H392" t="n">
        <v>0</v>
      </c>
      <c r="I392" t="n">
        <v>0</v>
      </c>
      <c r="J392" t="n">
        <v>0</v>
      </c>
      <c r="K392" t="n">
        <v>0</v>
      </c>
      <c r="L392" t="n">
        <v>0</v>
      </c>
      <c r="M392" t="n">
        <v>0</v>
      </c>
      <c r="N392" t="n">
        <v>0</v>
      </c>
      <c r="O392" t="n">
        <v>0</v>
      </c>
      <c r="P392" t="n">
        <v>0</v>
      </c>
      <c r="Q392" t="n">
        <v>0</v>
      </c>
      <c r="R392" s="2" t="inlineStr"/>
    </row>
    <row r="393" ht="15" customHeight="1">
      <c r="A393" t="inlineStr">
        <is>
          <t>A 37120-2025</t>
        </is>
      </c>
      <c r="B393" s="1" t="n">
        <v>45875.51827546296</v>
      </c>
      <c r="C393" s="1" t="n">
        <v>45966</v>
      </c>
      <c r="D393" t="inlineStr">
        <is>
          <t>NORRBOTTENS LÄN</t>
        </is>
      </c>
      <c r="E393" t="inlineStr">
        <is>
          <t>JOKKMOKK</t>
        </is>
      </c>
      <c r="G393" t="n">
        <v>17.6</v>
      </c>
      <c r="H393" t="n">
        <v>0</v>
      </c>
      <c r="I393" t="n">
        <v>0</v>
      </c>
      <c r="J393" t="n">
        <v>0</v>
      </c>
      <c r="K393" t="n">
        <v>0</v>
      </c>
      <c r="L393" t="n">
        <v>0</v>
      </c>
      <c r="M393" t="n">
        <v>0</v>
      </c>
      <c r="N393" t="n">
        <v>0</v>
      </c>
      <c r="O393" t="n">
        <v>0</v>
      </c>
      <c r="P393" t="n">
        <v>0</v>
      </c>
      <c r="Q393" t="n">
        <v>0</v>
      </c>
      <c r="R393" s="2" t="inlineStr"/>
    </row>
    <row r="394" ht="15" customHeight="1">
      <c r="A394" t="inlineStr">
        <is>
          <t>A 37206-2025</t>
        </is>
      </c>
      <c r="B394" s="1" t="n">
        <v>45875.69855324074</v>
      </c>
      <c r="C394" s="1" t="n">
        <v>45966</v>
      </c>
      <c r="D394" t="inlineStr">
        <is>
          <t>NORRBOTTENS LÄN</t>
        </is>
      </c>
      <c r="E394" t="inlineStr">
        <is>
          <t>JOKKMOKK</t>
        </is>
      </c>
      <c r="G394" t="n">
        <v>2.9</v>
      </c>
      <c r="H394" t="n">
        <v>0</v>
      </c>
      <c r="I394" t="n">
        <v>0</v>
      </c>
      <c r="J394" t="n">
        <v>0</v>
      </c>
      <c r="K394" t="n">
        <v>0</v>
      </c>
      <c r="L394" t="n">
        <v>0</v>
      </c>
      <c r="M394" t="n">
        <v>0</v>
      </c>
      <c r="N394" t="n">
        <v>0</v>
      </c>
      <c r="O394" t="n">
        <v>0</v>
      </c>
      <c r="P394" t="n">
        <v>0</v>
      </c>
      <c r="Q394" t="n">
        <v>0</v>
      </c>
      <c r="R394" s="2" t="inlineStr"/>
    </row>
    <row r="395" ht="15" customHeight="1">
      <c r="A395" t="inlineStr">
        <is>
          <t>A 29213-2024</t>
        </is>
      </c>
      <c r="B395" s="1" t="n">
        <v>45482</v>
      </c>
      <c r="C395" s="1" t="n">
        <v>45966</v>
      </c>
      <c r="D395" t="inlineStr">
        <is>
          <t>NORRBOTTENS LÄN</t>
        </is>
      </c>
      <c r="E395" t="inlineStr">
        <is>
          <t>JOKKMOKK</t>
        </is>
      </c>
      <c r="G395" t="n">
        <v>55</v>
      </c>
      <c r="H395" t="n">
        <v>0</v>
      </c>
      <c r="I395" t="n">
        <v>0</v>
      </c>
      <c r="J395" t="n">
        <v>0</v>
      </c>
      <c r="K395" t="n">
        <v>0</v>
      </c>
      <c r="L395" t="n">
        <v>0</v>
      </c>
      <c r="M395" t="n">
        <v>0</v>
      </c>
      <c r="N395" t="n">
        <v>0</v>
      </c>
      <c r="O395" t="n">
        <v>0</v>
      </c>
      <c r="P395" t="n">
        <v>0</v>
      </c>
      <c r="Q395" t="n">
        <v>0</v>
      </c>
      <c r="R395" s="2" t="inlineStr"/>
    </row>
    <row r="396" ht="15" customHeight="1">
      <c r="A396" t="inlineStr">
        <is>
          <t>A 49483-2021</t>
        </is>
      </c>
      <c r="B396" s="1" t="n">
        <v>44454</v>
      </c>
      <c r="C396" s="1" t="n">
        <v>45966</v>
      </c>
      <c r="D396" t="inlineStr">
        <is>
          <t>NORRBOTTENS LÄN</t>
        </is>
      </c>
      <c r="E396" t="inlineStr">
        <is>
          <t>JOKKMOKK</t>
        </is>
      </c>
      <c r="F396" t="inlineStr">
        <is>
          <t>SCA</t>
        </is>
      </c>
      <c r="G396" t="n">
        <v>24.2</v>
      </c>
      <c r="H396" t="n">
        <v>0</v>
      </c>
      <c r="I396" t="n">
        <v>0</v>
      </c>
      <c r="J396" t="n">
        <v>0</v>
      </c>
      <c r="K396" t="n">
        <v>0</v>
      </c>
      <c r="L396" t="n">
        <v>0</v>
      </c>
      <c r="M396" t="n">
        <v>0</v>
      </c>
      <c r="N396" t="n">
        <v>0</v>
      </c>
      <c r="O396" t="n">
        <v>0</v>
      </c>
      <c r="P396" t="n">
        <v>0</v>
      </c>
      <c r="Q396" t="n">
        <v>0</v>
      </c>
      <c r="R396" s="2" t="inlineStr"/>
    </row>
    <row r="397" ht="15" customHeight="1">
      <c r="A397" t="inlineStr">
        <is>
          <t>A 25715-2024</t>
        </is>
      </c>
      <c r="B397" s="1" t="n">
        <v>45463</v>
      </c>
      <c r="C397" s="1" t="n">
        <v>45966</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52882-2023</t>
        </is>
      </c>
      <c r="B398" s="1" t="n">
        <v>45222</v>
      </c>
      <c r="C398" s="1" t="n">
        <v>45966</v>
      </c>
      <c r="D398" t="inlineStr">
        <is>
          <t>NORRBOTTENS LÄN</t>
        </is>
      </c>
      <c r="E398" t="inlineStr">
        <is>
          <t>JOKKMOKK</t>
        </is>
      </c>
      <c r="G398" t="n">
        <v>56.1</v>
      </c>
      <c r="H398" t="n">
        <v>0</v>
      </c>
      <c r="I398" t="n">
        <v>0</v>
      </c>
      <c r="J398" t="n">
        <v>0</v>
      </c>
      <c r="K398" t="n">
        <v>0</v>
      </c>
      <c r="L398" t="n">
        <v>0</v>
      </c>
      <c r="M398" t="n">
        <v>0</v>
      </c>
      <c r="N398" t="n">
        <v>0</v>
      </c>
      <c r="O398" t="n">
        <v>0</v>
      </c>
      <c r="P398" t="n">
        <v>0</v>
      </c>
      <c r="Q398" t="n">
        <v>0</v>
      </c>
      <c r="R398" s="2" t="inlineStr"/>
    </row>
    <row r="399" ht="15" customHeight="1">
      <c r="A399" t="inlineStr">
        <is>
          <t>A 52289-2024</t>
        </is>
      </c>
      <c r="B399" s="1" t="n">
        <v>45608.69555555555</v>
      </c>
      <c r="C399" s="1" t="n">
        <v>45966</v>
      </c>
      <c r="D399" t="inlineStr">
        <is>
          <t>NORRBOTTENS LÄN</t>
        </is>
      </c>
      <c r="E399" t="inlineStr">
        <is>
          <t>JOKKMOKK</t>
        </is>
      </c>
      <c r="F399" t="inlineStr">
        <is>
          <t>Allmännings- och besparingsskogar</t>
        </is>
      </c>
      <c r="G399" t="n">
        <v>11.6</v>
      </c>
      <c r="H399" t="n">
        <v>0</v>
      </c>
      <c r="I399" t="n">
        <v>0</v>
      </c>
      <c r="J399" t="n">
        <v>0</v>
      </c>
      <c r="K399" t="n">
        <v>0</v>
      </c>
      <c r="L399" t="n">
        <v>0</v>
      </c>
      <c r="M399" t="n">
        <v>0</v>
      </c>
      <c r="N399" t="n">
        <v>0</v>
      </c>
      <c r="O399" t="n">
        <v>0</v>
      </c>
      <c r="P399" t="n">
        <v>0</v>
      </c>
      <c r="Q399" t="n">
        <v>0</v>
      </c>
      <c r="R399" s="2" t="inlineStr"/>
    </row>
    <row r="400" ht="15" customHeight="1">
      <c r="A400" t="inlineStr">
        <is>
          <t>A 50651-2024</t>
        </is>
      </c>
      <c r="B400" s="1" t="n">
        <v>45601.70364583333</v>
      </c>
      <c r="C400" s="1" t="n">
        <v>45966</v>
      </c>
      <c r="D400" t="inlineStr">
        <is>
          <t>NORRBOTTENS LÄN</t>
        </is>
      </c>
      <c r="E400" t="inlineStr">
        <is>
          <t>JOKKMOKK</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row>
    <row r="401" ht="15" customHeight="1">
      <c r="A401" t="inlineStr">
        <is>
          <t>A 37694-2025</t>
        </is>
      </c>
      <c r="B401" s="1" t="n">
        <v>45880.57349537037</v>
      </c>
      <c r="C401" s="1" t="n">
        <v>45966</v>
      </c>
      <c r="D401" t="inlineStr">
        <is>
          <t>NORRBOTTENS LÄN</t>
        </is>
      </c>
      <c r="E401" t="inlineStr">
        <is>
          <t>JOKKMOKK</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60390-2023</t>
        </is>
      </c>
      <c r="B402" s="1" t="n">
        <v>45259.43483796297</v>
      </c>
      <c r="C402" s="1" t="n">
        <v>45966</v>
      </c>
      <c r="D402" t="inlineStr">
        <is>
          <t>NORRBOTTENS LÄN</t>
        </is>
      </c>
      <c r="E402" t="inlineStr">
        <is>
          <t>JOKKMOKK</t>
        </is>
      </c>
      <c r="F402" t="inlineStr">
        <is>
          <t>Sveaskog</t>
        </is>
      </c>
      <c r="G402" t="n">
        <v>10.9</v>
      </c>
      <c r="H402" t="n">
        <v>0</v>
      </c>
      <c r="I402" t="n">
        <v>0</v>
      </c>
      <c r="J402" t="n">
        <v>0</v>
      </c>
      <c r="K402" t="n">
        <v>0</v>
      </c>
      <c r="L402" t="n">
        <v>0</v>
      </c>
      <c r="M402" t="n">
        <v>0</v>
      </c>
      <c r="N402" t="n">
        <v>0</v>
      </c>
      <c r="O402" t="n">
        <v>0</v>
      </c>
      <c r="P402" t="n">
        <v>0</v>
      </c>
      <c r="Q402" t="n">
        <v>0</v>
      </c>
      <c r="R402" s="2" t="inlineStr"/>
    </row>
    <row r="403" ht="15" customHeight="1">
      <c r="A403" t="inlineStr">
        <is>
          <t>A 37917-2025</t>
        </is>
      </c>
      <c r="B403" s="1" t="n">
        <v>45881.57443287037</v>
      </c>
      <c r="C403" s="1" t="n">
        <v>45966</v>
      </c>
      <c r="D403" t="inlineStr">
        <is>
          <t>NORRBOTTENS LÄN</t>
        </is>
      </c>
      <c r="E403" t="inlineStr">
        <is>
          <t>JOKKMOKK</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60275-2023</t>
        </is>
      </c>
      <c r="B404" s="1" t="n">
        <v>45258.67847222222</v>
      </c>
      <c r="C404" s="1" t="n">
        <v>45966</v>
      </c>
      <c r="D404" t="inlineStr">
        <is>
          <t>NORRBOTTENS LÄN</t>
        </is>
      </c>
      <c r="E404" t="inlineStr">
        <is>
          <t>JOKKMOKK</t>
        </is>
      </c>
      <c r="G404" t="n">
        <v>3.2</v>
      </c>
      <c r="H404" t="n">
        <v>0</v>
      </c>
      <c r="I404" t="n">
        <v>0</v>
      </c>
      <c r="J404" t="n">
        <v>0</v>
      </c>
      <c r="K404" t="n">
        <v>0</v>
      </c>
      <c r="L404" t="n">
        <v>0</v>
      </c>
      <c r="M404" t="n">
        <v>0</v>
      </c>
      <c r="N404" t="n">
        <v>0</v>
      </c>
      <c r="O404" t="n">
        <v>0</v>
      </c>
      <c r="P404" t="n">
        <v>0</v>
      </c>
      <c r="Q404" t="n">
        <v>0</v>
      </c>
      <c r="R404" s="2" t="inlineStr"/>
    </row>
    <row r="405" ht="15" customHeight="1">
      <c r="A405" t="inlineStr">
        <is>
          <t>A 16864-2023</t>
        </is>
      </c>
      <c r="B405" s="1" t="n">
        <v>45028</v>
      </c>
      <c r="C405" s="1" t="n">
        <v>45966</v>
      </c>
      <c r="D405" t="inlineStr">
        <is>
          <t>NORRBOTTENS LÄN</t>
        </is>
      </c>
      <c r="E405" t="inlineStr">
        <is>
          <t>JOKKMOKK</t>
        </is>
      </c>
      <c r="G405" t="n">
        <v>4</v>
      </c>
      <c r="H405" t="n">
        <v>0</v>
      </c>
      <c r="I405" t="n">
        <v>0</v>
      </c>
      <c r="J405" t="n">
        <v>0</v>
      </c>
      <c r="K405" t="n">
        <v>0</v>
      </c>
      <c r="L405" t="n">
        <v>0</v>
      </c>
      <c r="M405" t="n">
        <v>0</v>
      </c>
      <c r="N405" t="n">
        <v>0</v>
      </c>
      <c r="O405" t="n">
        <v>0</v>
      </c>
      <c r="P405" t="n">
        <v>0</v>
      </c>
      <c r="Q405" t="n">
        <v>0</v>
      </c>
      <c r="R405" s="2" t="inlineStr"/>
    </row>
    <row r="406" ht="15" customHeight="1">
      <c r="A406" t="inlineStr">
        <is>
          <t>A 38223-2025</t>
        </is>
      </c>
      <c r="B406" s="1" t="n">
        <v>45883</v>
      </c>
      <c r="C406" s="1" t="n">
        <v>45966</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38228-2025</t>
        </is>
      </c>
      <c r="B407" s="1" t="n">
        <v>45883.34554398148</v>
      </c>
      <c r="C407" s="1" t="n">
        <v>45966</v>
      </c>
      <c r="D407" t="inlineStr">
        <is>
          <t>NORRBOTTENS LÄN</t>
        </is>
      </c>
      <c r="E407" t="inlineStr">
        <is>
          <t>JOKKMOKK</t>
        </is>
      </c>
      <c r="F407" t="inlineStr">
        <is>
          <t>SCA</t>
        </is>
      </c>
      <c r="G407" t="n">
        <v>14.5</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45966</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26969-2024</t>
        </is>
      </c>
      <c r="B409" s="1" t="n">
        <v>45471.27252314815</v>
      </c>
      <c r="C409" s="1" t="n">
        <v>45966</v>
      </c>
      <c r="D409" t="inlineStr">
        <is>
          <t>NORRBOTTENS LÄN</t>
        </is>
      </c>
      <c r="E409" t="inlineStr">
        <is>
          <t>JOKKMOKK</t>
        </is>
      </c>
      <c r="F409" t="inlineStr">
        <is>
          <t>Sveaskog</t>
        </is>
      </c>
      <c r="G409" t="n">
        <v>5.9</v>
      </c>
      <c r="H409" t="n">
        <v>0</v>
      </c>
      <c r="I409" t="n">
        <v>0</v>
      </c>
      <c r="J409" t="n">
        <v>0</v>
      </c>
      <c r="K409" t="n">
        <v>0</v>
      </c>
      <c r="L409" t="n">
        <v>0</v>
      </c>
      <c r="M409" t="n">
        <v>0</v>
      </c>
      <c r="N409" t="n">
        <v>0</v>
      </c>
      <c r="O409" t="n">
        <v>0</v>
      </c>
      <c r="P409" t="n">
        <v>0</v>
      </c>
      <c r="Q409" t="n">
        <v>0</v>
      </c>
      <c r="R409" s="2" t="inlineStr"/>
    </row>
    <row r="410" ht="15" customHeight="1">
      <c r="A410" t="inlineStr">
        <is>
          <t>A 38226-2025</t>
        </is>
      </c>
      <c r="B410" s="1" t="n">
        <v>45883.34521990741</v>
      </c>
      <c r="C410" s="1" t="n">
        <v>45966</v>
      </c>
      <c r="D410" t="inlineStr">
        <is>
          <t>NORRBOTTENS LÄN</t>
        </is>
      </c>
      <c r="E410" t="inlineStr">
        <is>
          <t>JOKKMOKK</t>
        </is>
      </c>
      <c r="F410" t="inlineStr">
        <is>
          <t>SCA</t>
        </is>
      </c>
      <c r="G410" t="n">
        <v>14.5</v>
      </c>
      <c r="H410" t="n">
        <v>0</v>
      </c>
      <c r="I410" t="n">
        <v>0</v>
      </c>
      <c r="J410" t="n">
        <v>0</v>
      </c>
      <c r="K410" t="n">
        <v>0</v>
      </c>
      <c r="L410" t="n">
        <v>0</v>
      </c>
      <c r="M410" t="n">
        <v>0</v>
      </c>
      <c r="N410" t="n">
        <v>0</v>
      </c>
      <c r="O410" t="n">
        <v>0</v>
      </c>
      <c r="P410" t="n">
        <v>0</v>
      </c>
      <c r="Q410" t="n">
        <v>0</v>
      </c>
      <c r="R410" s="2" t="inlineStr"/>
    </row>
    <row r="411" ht="15" customHeight="1">
      <c r="A411" t="inlineStr">
        <is>
          <t>A 40658-2024</t>
        </is>
      </c>
      <c r="B411" s="1" t="n">
        <v>45558</v>
      </c>
      <c r="C411" s="1" t="n">
        <v>45966</v>
      </c>
      <c r="D411" t="inlineStr">
        <is>
          <t>NORRBOTTENS LÄN</t>
        </is>
      </c>
      <c r="E411" t="inlineStr">
        <is>
          <t>JOKKMOKK</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28319-2021</t>
        </is>
      </c>
      <c r="B412" s="1" t="n">
        <v>44355</v>
      </c>
      <c r="C412" s="1" t="n">
        <v>45966</v>
      </c>
      <c r="D412" t="inlineStr">
        <is>
          <t>NORRBOTTENS LÄN</t>
        </is>
      </c>
      <c r="E412" t="inlineStr">
        <is>
          <t>JOKKMOKK</t>
        </is>
      </c>
      <c r="F412" t="inlineStr">
        <is>
          <t>Övriga statliga verk och myndigheter</t>
        </is>
      </c>
      <c r="G412" t="n">
        <v>40</v>
      </c>
      <c r="H412" t="n">
        <v>0</v>
      </c>
      <c r="I412" t="n">
        <v>0</v>
      </c>
      <c r="J412" t="n">
        <v>0</v>
      </c>
      <c r="K412" t="n">
        <v>0</v>
      </c>
      <c r="L412" t="n">
        <v>0</v>
      </c>
      <c r="M412" t="n">
        <v>0</v>
      </c>
      <c r="N412" t="n">
        <v>0</v>
      </c>
      <c r="O412" t="n">
        <v>0</v>
      </c>
      <c r="P412" t="n">
        <v>0</v>
      </c>
      <c r="Q412" t="n">
        <v>0</v>
      </c>
      <c r="R412" s="2" t="inlineStr"/>
    </row>
    <row r="413" ht="15" customHeight="1">
      <c r="A413" t="inlineStr">
        <is>
          <t>A 9865-2023</t>
        </is>
      </c>
      <c r="B413" s="1" t="n">
        <v>44984</v>
      </c>
      <c r="C413" s="1" t="n">
        <v>45966</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45469-2022</t>
        </is>
      </c>
      <c r="B414" s="1" t="n">
        <v>44841</v>
      </c>
      <c r="C414" s="1" t="n">
        <v>45966</v>
      </c>
      <c r="D414" t="inlineStr">
        <is>
          <t>NORRBOTTENS LÄN</t>
        </is>
      </c>
      <c r="E414" t="inlineStr">
        <is>
          <t>JOKKMOKK</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45505-2022</t>
        </is>
      </c>
      <c r="B415" s="1" t="n">
        <v>44841</v>
      </c>
      <c r="C415" s="1" t="n">
        <v>45966</v>
      </c>
      <c r="D415" t="inlineStr">
        <is>
          <t>NORRBOTTENS LÄN</t>
        </is>
      </c>
      <c r="E415" t="inlineStr">
        <is>
          <t>JOKKMOKK</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49679-2024</t>
        </is>
      </c>
      <c r="B416" s="1" t="n">
        <v>45596.6649537037</v>
      </c>
      <c r="C416" s="1" t="n">
        <v>45966</v>
      </c>
      <c r="D416" t="inlineStr">
        <is>
          <t>NORRBOTTENS LÄN</t>
        </is>
      </c>
      <c r="E416" t="inlineStr">
        <is>
          <t>JOKKMOKK</t>
        </is>
      </c>
      <c r="F416" t="inlineStr">
        <is>
          <t>Allmännings- och besparingsskogar</t>
        </is>
      </c>
      <c r="G416" t="n">
        <v>14.1</v>
      </c>
      <c r="H416" t="n">
        <v>0</v>
      </c>
      <c r="I416" t="n">
        <v>0</v>
      </c>
      <c r="J416" t="n">
        <v>0</v>
      </c>
      <c r="K416" t="n">
        <v>0</v>
      </c>
      <c r="L416" t="n">
        <v>0</v>
      </c>
      <c r="M416" t="n">
        <v>0</v>
      </c>
      <c r="N416" t="n">
        <v>0</v>
      </c>
      <c r="O416" t="n">
        <v>0</v>
      </c>
      <c r="P416" t="n">
        <v>0</v>
      </c>
      <c r="Q416" t="n">
        <v>0</v>
      </c>
      <c r="R416" s="2" t="inlineStr"/>
    </row>
    <row r="417" ht="15" customHeight="1">
      <c r="A417" t="inlineStr">
        <is>
          <t>A 26131-2023</t>
        </is>
      </c>
      <c r="B417" s="1" t="n">
        <v>45086</v>
      </c>
      <c r="C417" s="1" t="n">
        <v>45966</v>
      </c>
      <c r="D417" t="inlineStr">
        <is>
          <t>NORRBOTTENS LÄN</t>
        </is>
      </c>
      <c r="E417" t="inlineStr">
        <is>
          <t>JOKKMOKK</t>
        </is>
      </c>
      <c r="G417" t="n">
        <v>35.6</v>
      </c>
      <c r="H417" t="n">
        <v>0</v>
      </c>
      <c r="I417" t="n">
        <v>0</v>
      </c>
      <c r="J417" t="n">
        <v>0</v>
      </c>
      <c r="K417" t="n">
        <v>0</v>
      </c>
      <c r="L417" t="n">
        <v>0</v>
      </c>
      <c r="M417" t="n">
        <v>0</v>
      </c>
      <c r="N417" t="n">
        <v>0</v>
      </c>
      <c r="O417" t="n">
        <v>0</v>
      </c>
      <c r="P417" t="n">
        <v>0</v>
      </c>
      <c r="Q417" t="n">
        <v>0</v>
      </c>
      <c r="R417" s="2" t="inlineStr"/>
    </row>
    <row r="418" ht="15" customHeight="1">
      <c r="A418" t="inlineStr">
        <is>
          <t>A 29212-2024</t>
        </is>
      </c>
      <c r="B418" s="1" t="n">
        <v>45482</v>
      </c>
      <c r="C418" s="1" t="n">
        <v>45966</v>
      </c>
      <c r="D418" t="inlineStr">
        <is>
          <t>NORRBOTTENS LÄN</t>
        </is>
      </c>
      <c r="E418" t="inlineStr">
        <is>
          <t>JOKKMOKK</t>
        </is>
      </c>
      <c r="G418" t="n">
        <v>8.5</v>
      </c>
      <c r="H418" t="n">
        <v>0</v>
      </c>
      <c r="I418" t="n">
        <v>0</v>
      </c>
      <c r="J418" t="n">
        <v>0</v>
      </c>
      <c r="K418" t="n">
        <v>0</v>
      </c>
      <c r="L418" t="n">
        <v>0</v>
      </c>
      <c r="M418" t="n">
        <v>0</v>
      </c>
      <c r="N418" t="n">
        <v>0</v>
      </c>
      <c r="O418" t="n">
        <v>0</v>
      </c>
      <c r="P418" t="n">
        <v>0</v>
      </c>
      <c r="Q418" t="n">
        <v>0</v>
      </c>
      <c r="R418" s="2" t="inlineStr"/>
    </row>
    <row r="419" ht="15" customHeight="1">
      <c r="A419" t="inlineStr">
        <is>
          <t>A 453-2025</t>
        </is>
      </c>
      <c r="B419" s="1" t="n">
        <v>45664.4005787037</v>
      </c>
      <c r="C419" s="1" t="n">
        <v>45966</v>
      </c>
      <c r="D419" t="inlineStr">
        <is>
          <t>NORRBOTTENS LÄN</t>
        </is>
      </c>
      <c r="E419" t="inlineStr">
        <is>
          <t>JOKKMOKK</t>
        </is>
      </c>
      <c r="F419" t="inlineStr">
        <is>
          <t>Övriga statliga verk och myndigheter</t>
        </is>
      </c>
      <c r="G419" t="n">
        <v>5</v>
      </c>
      <c r="H419" t="n">
        <v>0</v>
      </c>
      <c r="I419" t="n">
        <v>0</v>
      </c>
      <c r="J419" t="n">
        <v>0</v>
      </c>
      <c r="K419" t="n">
        <v>0</v>
      </c>
      <c r="L419" t="n">
        <v>0</v>
      </c>
      <c r="M419" t="n">
        <v>0</v>
      </c>
      <c r="N419" t="n">
        <v>0</v>
      </c>
      <c r="O419" t="n">
        <v>0</v>
      </c>
      <c r="P419" t="n">
        <v>0</v>
      </c>
      <c r="Q419" t="n">
        <v>0</v>
      </c>
      <c r="R419" s="2" t="inlineStr"/>
    </row>
    <row r="420" ht="15" customHeight="1">
      <c r="A420" t="inlineStr">
        <is>
          <t>A 2826-2025</t>
        </is>
      </c>
      <c r="B420" s="1" t="n">
        <v>45677.61483796296</v>
      </c>
      <c r="C420" s="1" t="n">
        <v>45966</v>
      </c>
      <c r="D420" t="inlineStr">
        <is>
          <t>NORRBOTTENS LÄN</t>
        </is>
      </c>
      <c r="E420" t="inlineStr">
        <is>
          <t>JOKKMOKK</t>
        </is>
      </c>
      <c r="F420" t="inlineStr">
        <is>
          <t>Övriga statliga verk och myndigheter</t>
        </is>
      </c>
      <c r="G420" t="n">
        <v>10.5</v>
      </c>
      <c r="H420" t="n">
        <v>0</v>
      </c>
      <c r="I420" t="n">
        <v>0</v>
      </c>
      <c r="J420" t="n">
        <v>0</v>
      </c>
      <c r="K420" t="n">
        <v>0</v>
      </c>
      <c r="L420" t="n">
        <v>0</v>
      </c>
      <c r="M420" t="n">
        <v>0</v>
      </c>
      <c r="N420" t="n">
        <v>0</v>
      </c>
      <c r="O420" t="n">
        <v>0</v>
      </c>
      <c r="P420" t="n">
        <v>0</v>
      </c>
      <c r="Q420" t="n">
        <v>0</v>
      </c>
      <c r="R420" s="2" t="inlineStr"/>
    </row>
    <row r="421" ht="15" customHeight="1">
      <c r="A421" t="inlineStr">
        <is>
          <t>A 45468-2022</t>
        </is>
      </c>
      <c r="B421" s="1" t="n">
        <v>44841</v>
      </c>
      <c r="C421" s="1" t="n">
        <v>45966</v>
      </c>
      <c r="D421" t="inlineStr">
        <is>
          <t>NORRBOTTENS LÄN</t>
        </is>
      </c>
      <c r="E421" t="inlineStr">
        <is>
          <t>JOKKMOKK</t>
        </is>
      </c>
      <c r="F421" t="inlineStr">
        <is>
          <t>Övriga Aktiebolag</t>
        </is>
      </c>
      <c r="G421" t="n">
        <v>2.1</v>
      </c>
      <c r="H421" t="n">
        <v>0</v>
      </c>
      <c r="I421" t="n">
        <v>0</v>
      </c>
      <c r="J421" t="n">
        <v>0</v>
      </c>
      <c r="K421" t="n">
        <v>0</v>
      </c>
      <c r="L421" t="n">
        <v>0</v>
      </c>
      <c r="M421" t="n">
        <v>0</v>
      </c>
      <c r="N421" t="n">
        <v>0</v>
      </c>
      <c r="O421" t="n">
        <v>0</v>
      </c>
      <c r="P421" t="n">
        <v>0</v>
      </c>
      <c r="Q421" t="n">
        <v>0</v>
      </c>
      <c r="R421" s="2" t="inlineStr"/>
    </row>
    <row r="422" ht="15" customHeight="1">
      <c r="A422" t="inlineStr">
        <is>
          <t>A 44145-2024</t>
        </is>
      </c>
      <c r="B422" s="1" t="n">
        <v>45572.66908564815</v>
      </c>
      <c r="C422" s="1" t="n">
        <v>45966</v>
      </c>
      <c r="D422" t="inlineStr">
        <is>
          <t>NORRBOTTENS LÄN</t>
        </is>
      </c>
      <c r="E422" t="inlineStr">
        <is>
          <t>JOKKMOKK</t>
        </is>
      </c>
      <c r="F422" t="inlineStr">
        <is>
          <t>Sveaskog</t>
        </is>
      </c>
      <c r="G422" t="n">
        <v>4.7</v>
      </c>
      <c r="H422" t="n">
        <v>0</v>
      </c>
      <c r="I422" t="n">
        <v>0</v>
      </c>
      <c r="J422" t="n">
        <v>0</v>
      </c>
      <c r="K422" t="n">
        <v>0</v>
      </c>
      <c r="L422" t="n">
        <v>0</v>
      </c>
      <c r="M422" t="n">
        <v>0</v>
      </c>
      <c r="N422" t="n">
        <v>0</v>
      </c>
      <c r="O422" t="n">
        <v>0</v>
      </c>
      <c r="P422" t="n">
        <v>0</v>
      </c>
      <c r="Q422" t="n">
        <v>0</v>
      </c>
      <c r="R422" s="2" t="inlineStr"/>
    </row>
    <row r="423" ht="15" customHeight="1">
      <c r="A423" t="inlineStr">
        <is>
          <t>A 9874-2023</t>
        </is>
      </c>
      <c r="B423" s="1" t="n">
        <v>44984.94069444444</v>
      </c>
      <c r="C423" s="1" t="n">
        <v>45966</v>
      </c>
      <c r="D423" t="inlineStr">
        <is>
          <t>NORRBOTTENS LÄN</t>
        </is>
      </c>
      <c r="E423" t="inlineStr">
        <is>
          <t>JOKKMOKK</t>
        </is>
      </c>
      <c r="G423" t="n">
        <v>1.7</v>
      </c>
      <c r="H423" t="n">
        <v>0</v>
      </c>
      <c r="I423" t="n">
        <v>0</v>
      </c>
      <c r="J423" t="n">
        <v>0</v>
      </c>
      <c r="K423" t="n">
        <v>0</v>
      </c>
      <c r="L423" t="n">
        <v>0</v>
      </c>
      <c r="M423" t="n">
        <v>0</v>
      </c>
      <c r="N423" t="n">
        <v>0</v>
      </c>
      <c r="O423" t="n">
        <v>0</v>
      </c>
      <c r="P423" t="n">
        <v>0</v>
      </c>
      <c r="Q423" t="n">
        <v>0</v>
      </c>
      <c r="R423" s="2" t="inlineStr"/>
    </row>
    <row r="424" ht="15" customHeight="1">
      <c r="A424" t="inlineStr">
        <is>
          <t>A 9875-2023</t>
        </is>
      </c>
      <c r="B424" s="1" t="n">
        <v>44984.94076388889</v>
      </c>
      <c r="C424" s="1" t="n">
        <v>45966</v>
      </c>
      <c r="D424" t="inlineStr">
        <is>
          <t>NORRBOTTENS LÄN</t>
        </is>
      </c>
      <c r="E424" t="inlineStr">
        <is>
          <t>JOKKMOKK</t>
        </is>
      </c>
      <c r="G424" t="n">
        <v>0.6</v>
      </c>
      <c r="H424" t="n">
        <v>0</v>
      </c>
      <c r="I424" t="n">
        <v>0</v>
      </c>
      <c r="J424" t="n">
        <v>0</v>
      </c>
      <c r="K424" t="n">
        <v>0</v>
      </c>
      <c r="L424" t="n">
        <v>0</v>
      </c>
      <c r="M424" t="n">
        <v>0</v>
      </c>
      <c r="N424" t="n">
        <v>0</v>
      </c>
      <c r="O424" t="n">
        <v>0</v>
      </c>
      <c r="P424" t="n">
        <v>0</v>
      </c>
      <c r="Q424" t="n">
        <v>0</v>
      </c>
      <c r="R424" s="2" t="inlineStr"/>
    </row>
    <row r="425" ht="15" customHeight="1">
      <c r="A425" t="inlineStr">
        <is>
          <t>A 7845-2024</t>
        </is>
      </c>
      <c r="B425" s="1" t="n">
        <v>45349</v>
      </c>
      <c r="C425" s="1" t="n">
        <v>45966</v>
      </c>
      <c r="D425" t="inlineStr">
        <is>
          <t>NORRBOTTENS LÄN</t>
        </is>
      </c>
      <c r="E425" t="inlineStr">
        <is>
          <t>JOKKMOKK</t>
        </is>
      </c>
      <c r="G425" t="n">
        <v>3</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45966</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61761-2024</t>
        </is>
      </c>
      <c r="B427" s="1" t="n">
        <v>45649</v>
      </c>
      <c r="C427" s="1" t="n">
        <v>45966</v>
      </c>
      <c r="D427" t="inlineStr">
        <is>
          <t>NORRBOTTENS LÄN</t>
        </is>
      </c>
      <c r="E427" t="inlineStr">
        <is>
          <t>JOKKMOKK</t>
        </is>
      </c>
      <c r="F427" t="inlineStr">
        <is>
          <t>Övriga statliga verk och myndigheter</t>
        </is>
      </c>
      <c r="G427" t="n">
        <v>3.7</v>
      </c>
      <c r="H427" t="n">
        <v>0</v>
      </c>
      <c r="I427" t="n">
        <v>0</v>
      </c>
      <c r="J427" t="n">
        <v>0</v>
      </c>
      <c r="K427" t="n">
        <v>0</v>
      </c>
      <c r="L427" t="n">
        <v>0</v>
      </c>
      <c r="M427" t="n">
        <v>0</v>
      </c>
      <c r="N427" t="n">
        <v>0</v>
      </c>
      <c r="O427" t="n">
        <v>0</v>
      </c>
      <c r="P427" t="n">
        <v>0</v>
      </c>
      <c r="Q427" t="n">
        <v>0</v>
      </c>
      <c r="R427" s="2" t="inlineStr"/>
    </row>
    <row r="428" ht="15" customHeight="1">
      <c r="A428" t="inlineStr">
        <is>
          <t>A 9854-2023</t>
        </is>
      </c>
      <c r="B428" s="1" t="n">
        <v>44984</v>
      </c>
      <c r="C428" s="1" t="n">
        <v>45966</v>
      </c>
      <c r="D428" t="inlineStr">
        <is>
          <t>NORRBOTTENS LÄN</t>
        </is>
      </c>
      <c r="E428" t="inlineStr">
        <is>
          <t>JOKKMOKK</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9859-2023</t>
        </is>
      </c>
      <c r="B429" s="1" t="n">
        <v>44984.93940972222</v>
      </c>
      <c r="C429" s="1" t="n">
        <v>45966</v>
      </c>
      <c r="D429" t="inlineStr">
        <is>
          <t>NORRBOTTENS LÄN</t>
        </is>
      </c>
      <c r="E429" t="inlineStr">
        <is>
          <t>JOKKMOKK</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9864-2023</t>
        </is>
      </c>
      <c r="B430" s="1" t="n">
        <v>44984</v>
      </c>
      <c r="C430" s="1" t="n">
        <v>45966</v>
      </c>
      <c r="D430" t="inlineStr">
        <is>
          <t>NORRBOTTENS LÄN</t>
        </is>
      </c>
      <c r="E430" t="inlineStr">
        <is>
          <t>JOKKMOKK</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457-2025</t>
        </is>
      </c>
      <c r="B431" s="1" t="n">
        <v>45664</v>
      </c>
      <c r="C431" s="1" t="n">
        <v>45966</v>
      </c>
      <c r="D431" t="inlineStr">
        <is>
          <t>NORRBOTTENS LÄN</t>
        </is>
      </c>
      <c r="E431" t="inlineStr">
        <is>
          <t>JOKKMOKK</t>
        </is>
      </c>
      <c r="F431" t="inlineStr">
        <is>
          <t>Övriga statliga verk och myndigheter</t>
        </is>
      </c>
      <c r="G431" t="n">
        <v>8</v>
      </c>
      <c r="H431" t="n">
        <v>0</v>
      </c>
      <c r="I431" t="n">
        <v>0</v>
      </c>
      <c r="J431" t="n">
        <v>0</v>
      </c>
      <c r="K431" t="n">
        <v>0</v>
      </c>
      <c r="L431" t="n">
        <v>0</v>
      </c>
      <c r="M431" t="n">
        <v>0</v>
      </c>
      <c r="N431" t="n">
        <v>0</v>
      </c>
      <c r="O431" t="n">
        <v>0</v>
      </c>
      <c r="P431" t="n">
        <v>0</v>
      </c>
      <c r="Q431" t="n">
        <v>0</v>
      </c>
      <c r="R431" s="2" t="inlineStr"/>
    </row>
    <row r="432" ht="15" customHeight="1">
      <c r="A432" t="inlineStr">
        <is>
          <t>A 458-2025</t>
        </is>
      </c>
      <c r="B432" s="1" t="n">
        <v>45664</v>
      </c>
      <c r="C432" s="1" t="n">
        <v>45966</v>
      </c>
      <c r="D432" t="inlineStr">
        <is>
          <t>NORRBOTTENS LÄN</t>
        </is>
      </c>
      <c r="E432" t="inlineStr">
        <is>
          <t>JOKKMOKK</t>
        </is>
      </c>
      <c r="F432" t="inlineStr">
        <is>
          <t>Övriga statliga verk och myndigheter</t>
        </is>
      </c>
      <c r="G432" t="n">
        <v>10.3</v>
      </c>
      <c r="H432" t="n">
        <v>0</v>
      </c>
      <c r="I432" t="n">
        <v>0</v>
      </c>
      <c r="J432" t="n">
        <v>0</v>
      </c>
      <c r="K432" t="n">
        <v>0</v>
      </c>
      <c r="L432" t="n">
        <v>0</v>
      </c>
      <c r="M432" t="n">
        <v>0</v>
      </c>
      <c r="N432" t="n">
        <v>0</v>
      </c>
      <c r="O432" t="n">
        <v>0</v>
      </c>
      <c r="P432" t="n">
        <v>0</v>
      </c>
      <c r="Q432" t="n">
        <v>0</v>
      </c>
      <c r="R432" s="2" t="inlineStr"/>
    </row>
    <row r="433" ht="15" customHeight="1">
      <c r="A433" t="inlineStr">
        <is>
          <t>A 3206-2025</t>
        </is>
      </c>
      <c r="B433" s="1" t="n">
        <v>45679</v>
      </c>
      <c r="C433" s="1" t="n">
        <v>45966</v>
      </c>
      <c r="D433" t="inlineStr">
        <is>
          <t>NORRBOTTENS LÄN</t>
        </is>
      </c>
      <c r="E433" t="inlineStr">
        <is>
          <t>JOKKMOKK</t>
        </is>
      </c>
      <c r="F433" t="inlineStr">
        <is>
          <t>SCA</t>
        </is>
      </c>
      <c r="G433" t="n">
        <v>9.1</v>
      </c>
      <c r="H433" t="n">
        <v>0</v>
      </c>
      <c r="I433" t="n">
        <v>0</v>
      </c>
      <c r="J433" t="n">
        <v>0</v>
      </c>
      <c r="K433" t="n">
        <v>0</v>
      </c>
      <c r="L433" t="n">
        <v>0</v>
      </c>
      <c r="M433" t="n">
        <v>0</v>
      </c>
      <c r="N433" t="n">
        <v>0</v>
      </c>
      <c r="O433" t="n">
        <v>0</v>
      </c>
      <c r="P433" t="n">
        <v>0</v>
      </c>
      <c r="Q433" t="n">
        <v>0</v>
      </c>
      <c r="R433" s="2" t="inlineStr"/>
    </row>
    <row r="434" ht="15" customHeight="1">
      <c r="A434" t="inlineStr">
        <is>
          <t>A 53100-2022</t>
        </is>
      </c>
      <c r="B434" s="1" t="n">
        <v>44873</v>
      </c>
      <c r="C434" s="1" t="n">
        <v>45966</v>
      </c>
      <c r="D434" t="inlineStr">
        <is>
          <t>NORRBOTTENS LÄN</t>
        </is>
      </c>
      <c r="E434" t="inlineStr">
        <is>
          <t>JOKKMOKK</t>
        </is>
      </c>
      <c r="F434" t="inlineStr">
        <is>
          <t>Övriga statliga verk och myndigheter</t>
        </is>
      </c>
      <c r="G434" t="n">
        <v>37.1</v>
      </c>
      <c r="H434" t="n">
        <v>0</v>
      </c>
      <c r="I434" t="n">
        <v>0</v>
      </c>
      <c r="J434" t="n">
        <v>0</v>
      </c>
      <c r="K434" t="n">
        <v>0</v>
      </c>
      <c r="L434" t="n">
        <v>0</v>
      </c>
      <c r="M434" t="n">
        <v>0</v>
      </c>
      <c r="N434" t="n">
        <v>0</v>
      </c>
      <c r="O434" t="n">
        <v>0</v>
      </c>
      <c r="P434" t="n">
        <v>0</v>
      </c>
      <c r="Q434" t="n">
        <v>0</v>
      </c>
      <c r="R434" s="2" t="inlineStr"/>
    </row>
    <row r="435" ht="15" customHeight="1">
      <c r="A435" t="inlineStr">
        <is>
          <t>A 5670-2025</t>
        </is>
      </c>
      <c r="B435" s="1" t="n">
        <v>45693</v>
      </c>
      <c r="C435" s="1" t="n">
        <v>45966</v>
      </c>
      <c r="D435" t="inlineStr">
        <is>
          <t>NORRBOTTENS LÄN</t>
        </is>
      </c>
      <c r="E435" t="inlineStr">
        <is>
          <t>JOKKMOKK</t>
        </is>
      </c>
      <c r="G435" t="n">
        <v>2.1</v>
      </c>
      <c r="H435" t="n">
        <v>0</v>
      </c>
      <c r="I435" t="n">
        <v>0</v>
      </c>
      <c r="J435" t="n">
        <v>0</v>
      </c>
      <c r="K435" t="n">
        <v>0</v>
      </c>
      <c r="L435" t="n">
        <v>0</v>
      </c>
      <c r="M435" t="n">
        <v>0</v>
      </c>
      <c r="N435" t="n">
        <v>0</v>
      </c>
      <c r="O435" t="n">
        <v>0</v>
      </c>
      <c r="P435" t="n">
        <v>0</v>
      </c>
      <c r="Q435" t="n">
        <v>0</v>
      </c>
      <c r="R435" s="2" t="inlineStr"/>
    </row>
    <row r="436" ht="15" customHeight="1">
      <c r="A436" t="inlineStr">
        <is>
          <t>A 50716-2022</t>
        </is>
      </c>
      <c r="B436" s="1" t="n">
        <v>44862</v>
      </c>
      <c r="C436" s="1" t="n">
        <v>45966</v>
      </c>
      <c r="D436" t="inlineStr">
        <is>
          <t>NORRBOTTENS LÄN</t>
        </is>
      </c>
      <c r="E436" t="inlineStr">
        <is>
          <t>JOKKMOKK</t>
        </is>
      </c>
      <c r="G436" t="n">
        <v>30.2</v>
      </c>
      <c r="H436" t="n">
        <v>0</v>
      </c>
      <c r="I436" t="n">
        <v>0</v>
      </c>
      <c r="J436" t="n">
        <v>0</v>
      </c>
      <c r="K436" t="n">
        <v>0</v>
      </c>
      <c r="L436" t="n">
        <v>0</v>
      </c>
      <c r="M436" t="n">
        <v>0</v>
      </c>
      <c r="N436" t="n">
        <v>0</v>
      </c>
      <c r="O436" t="n">
        <v>0</v>
      </c>
      <c r="P436" t="n">
        <v>0</v>
      </c>
      <c r="Q436" t="n">
        <v>0</v>
      </c>
      <c r="R436" s="2" t="inlineStr"/>
    </row>
    <row r="437" ht="15" customHeight="1">
      <c r="A437" t="inlineStr">
        <is>
          <t>A 59849-2023</t>
        </is>
      </c>
      <c r="B437" s="1" t="n">
        <v>45257</v>
      </c>
      <c r="C437" s="1" t="n">
        <v>45966</v>
      </c>
      <c r="D437" t="inlineStr">
        <is>
          <t>NORRBOTTENS LÄN</t>
        </is>
      </c>
      <c r="E437" t="inlineStr">
        <is>
          <t>JOKKMOKK</t>
        </is>
      </c>
      <c r="F437" t="inlineStr">
        <is>
          <t>Allmännings- och besparingsskogar</t>
        </is>
      </c>
      <c r="G437" t="n">
        <v>12.7</v>
      </c>
      <c r="H437" t="n">
        <v>0</v>
      </c>
      <c r="I437" t="n">
        <v>0</v>
      </c>
      <c r="J437" t="n">
        <v>0</v>
      </c>
      <c r="K437" t="n">
        <v>0</v>
      </c>
      <c r="L437" t="n">
        <v>0</v>
      </c>
      <c r="M437" t="n">
        <v>0</v>
      </c>
      <c r="N437" t="n">
        <v>0</v>
      </c>
      <c r="O437" t="n">
        <v>0</v>
      </c>
      <c r="P437" t="n">
        <v>0</v>
      </c>
      <c r="Q437" t="n">
        <v>0</v>
      </c>
      <c r="R437" s="2" t="inlineStr"/>
    </row>
    <row r="438" ht="15" customHeight="1">
      <c r="A438" t="inlineStr">
        <is>
          <t>A 30041-2024</t>
        </is>
      </c>
      <c r="B438" s="1" t="n">
        <v>45488</v>
      </c>
      <c r="C438" s="1" t="n">
        <v>45966</v>
      </c>
      <c r="D438" t="inlineStr">
        <is>
          <t>NORRBOTTENS LÄN</t>
        </is>
      </c>
      <c r="E438" t="inlineStr">
        <is>
          <t>JOKKMOKK</t>
        </is>
      </c>
      <c r="G438" t="n">
        <v>19.9</v>
      </c>
      <c r="H438" t="n">
        <v>0</v>
      </c>
      <c r="I438" t="n">
        <v>0</v>
      </c>
      <c r="J438" t="n">
        <v>0</v>
      </c>
      <c r="K438" t="n">
        <v>0</v>
      </c>
      <c r="L438" t="n">
        <v>0</v>
      </c>
      <c r="M438" t="n">
        <v>0</v>
      </c>
      <c r="N438" t="n">
        <v>0</v>
      </c>
      <c r="O438" t="n">
        <v>0</v>
      </c>
      <c r="P438" t="n">
        <v>0</v>
      </c>
      <c r="Q438" t="n">
        <v>0</v>
      </c>
      <c r="R438" s="2" t="inlineStr"/>
    </row>
    <row r="439" ht="15" customHeight="1">
      <c r="A439" t="inlineStr">
        <is>
          <t>A 4136-2024</t>
        </is>
      </c>
      <c r="B439" s="1" t="n">
        <v>45323</v>
      </c>
      <c r="C439" s="1" t="n">
        <v>45966</v>
      </c>
      <c r="D439" t="inlineStr">
        <is>
          <t>NORRBOTTENS LÄN</t>
        </is>
      </c>
      <c r="E439" t="inlineStr">
        <is>
          <t>JOKKMOKK</t>
        </is>
      </c>
      <c r="G439" t="n">
        <v>27.3</v>
      </c>
      <c r="H439" t="n">
        <v>0</v>
      </c>
      <c r="I439" t="n">
        <v>0</v>
      </c>
      <c r="J439" t="n">
        <v>0</v>
      </c>
      <c r="K439" t="n">
        <v>0</v>
      </c>
      <c r="L439" t="n">
        <v>0</v>
      </c>
      <c r="M439" t="n">
        <v>0</v>
      </c>
      <c r="N439" t="n">
        <v>0</v>
      </c>
      <c r="O439" t="n">
        <v>0</v>
      </c>
      <c r="P439" t="n">
        <v>0</v>
      </c>
      <c r="Q439" t="n">
        <v>0</v>
      </c>
      <c r="R439" s="2" t="inlineStr"/>
    </row>
    <row r="440" ht="15" customHeight="1">
      <c r="A440" t="inlineStr">
        <is>
          <t>A 52855-2024</t>
        </is>
      </c>
      <c r="B440" s="1" t="n">
        <v>45610</v>
      </c>
      <c r="C440" s="1" t="n">
        <v>45966</v>
      </c>
      <c r="D440" t="inlineStr">
        <is>
          <t>NORRBOTTENS LÄN</t>
        </is>
      </c>
      <c r="E440" t="inlineStr">
        <is>
          <t>JOKKMOKK</t>
        </is>
      </c>
      <c r="F440" t="inlineStr">
        <is>
          <t>Allmännings- och besparingsskogar</t>
        </is>
      </c>
      <c r="G440" t="n">
        <v>2.4</v>
      </c>
      <c r="H440" t="n">
        <v>0</v>
      </c>
      <c r="I440" t="n">
        <v>0</v>
      </c>
      <c r="J440" t="n">
        <v>0</v>
      </c>
      <c r="K440" t="n">
        <v>0</v>
      </c>
      <c r="L440" t="n">
        <v>0</v>
      </c>
      <c r="M440" t="n">
        <v>0</v>
      </c>
      <c r="N440" t="n">
        <v>0</v>
      </c>
      <c r="O440" t="n">
        <v>0</v>
      </c>
      <c r="P440" t="n">
        <v>0</v>
      </c>
      <c r="Q440" t="n">
        <v>0</v>
      </c>
      <c r="R440" s="2" t="inlineStr"/>
    </row>
    <row r="441" ht="15" customHeight="1">
      <c r="A441" t="inlineStr">
        <is>
          <t>A 32915-2023</t>
        </is>
      </c>
      <c r="B441" s="1" t="n">
        <v>45124.95214120371</v>
      </c>
      <c r="C441" s="1" t="n">
        <v>45966</v>
      </c>
      <c r="D441" t="inlineStr">
        <is>
          <t>NORRBOTTENS LÄN</t>
        </is>
      </c>
      <c r="E441" t="inlineStr">
        <is>
          <t>JOKKMOKK</t>
        </is>
      </c>
      <c r="F441" t="inlineStr">
        <is>
          <t>SCA</t>
        </is>
      </c>
      <c r="G441" t="n">
        <v>15.1</v>
      </c>
      <c r="H441" t="n">
        <v>0</v>
      </c>
      <c r="I441" t="n">
        <v>0</v>
      </c>
      <c r="J441" t="n">
        <v>0</v>
      </c>
      <c r="K441" t="n">
        <v>0</v>
      </c>
      <c r="L441" t="n">
        <v>0</v>
      </c>
      <c r="M441" t="n">
        <v>0</v>
      </c>
      <c r="N441" t="n">
        <v>0</v>
      </c>
      <c r="O441" t="n">
        <v>0</v>
      </c>
      <c r="P441" t="n">
        <v>0</v>
      </c>
      <c r="Q441" t="n">
        <v>0</v>
      </c>
      <c r="R441" s="2" t="inlineStr"/>
    </row>
    <row r="442" ht="15" customHeight="1">
      <c r="A442" t="inlineStr">
        <is>
          <t>A 61640-2024</t>
        </is>
      </c>
      <c r="B442" s="1" t="n">
        <v>45646.68362268519</v>
      </c>
      <c r="C442" s="1" t="n">
        <v>45966</v>
      </c>
      <c r="D442" t="inlineStr">
        <is>
          <t>NORRBOTTENS LÄN</t>
        </is>
      </c>
      <c r="E442" t="inlineStr">
        <is>
          <t>JOKKMOKK</t>
        </is>
      </c>
      <c r="G442" t="n">
        <v>10.6</v>
      </c>
      <c r="H442" t="n">
        <v>0</v>
      </c>
      <c r="I442" t="n">
        <v>0</v>
      </c>
      <c r="J442" t="n">
        <v>0</v>
      </c>
      <c r="K442" t="n">
        <v>0</v>
      </c>
      <c r="L442" t="n">
        <v>0</v>
      </c>
      <c r="M442" t="n">
        <v>0</v>
      </c>
      <c r="N442" t="n">
        <v>0</v>
      </c>
      <c r="O442" t="n">
        <v>0</v>
      </c>
      <c r="P442" t="n">
        <v>0</v>
      </c>
      <c r="Q442" t="n">
        <v>0</v>
      </c>
      <c r="R442" s="2" t="inlineStr"/>
    </row>
    <row r="443" ht="15" customHeight="1">
      <c r="A443" t="inlineStr">
        <is>
          <t>A 61641-2024</t>
        </is>
      </c>
      <c r="B443" s="1" t="n">
        <v>45646</v>
      </c>
      <c r="C443" s="1" t="n">
        <v>45966</v>
      </c>
      <c r="D443" t="inlineStr">
        <is>
          <t>NORRBOTTENS LÄN</t>
        </is>
      </c>
      <c r="E443" t="inlineStr">
        <is>
          <t>JOKKMOKK</t>
        </is>
      </c>
      <c r="G443" t="n">
        <v>3.2</v>
      </c>
      <c r="H443" t="n">
        <v>0</v>
      </c>
      <c r="I443" t="n">
        <v>0</v>
      </c>
      <c r="J443" t="n">
        <v>0</v>
      </c>
      <c r="K443" t="n">
        <v>0</v>
      </c>
      <c r="L443" t="n">
        <v>0</v>
      </c>
      <c r="M443" t="n">
        <v>0</v>
      </c>
      <c r="N443" t="n">
        <v>0</v>
      </c>
      <c r="O443" t="n">
        <v>0</v>
      </c>
      <c r="P443" t="n">
        <v>0</v>
      </c>
      <c r="Q443" t="n">
        <v>0</v>
      </c>
      <c r="R443" s="2" t="inlineStr"/>
    </row>
    <row r="444" ht="15" customHeight="1">
      <c r="A444" t="inlineStr">
        <is>
          <t>A 18772-2023</t>
        </is>
      </c>
      <c r="B444" s="1" t="n">
        <v>45043</v>
      </c>
      <c r="C444" s="1" t="n">
        <v>45966</v>
      </c>
      <c r="D444" t="inlineStr">
        <is>
          <t>NORRBOTTENS LÄN</t>
        </is>
      </c>
      <c r="E444" t="inlineStr">
        <is>
          <t>JOKKMOKK</t>
        </is>
      </c>
      <c r="F444" t="inlineStr">
        <is>
          <t>SCA</t>
        </is>
      </c>
      <c r="G444" t="n">
        <v>11.9</v>
      </c>
      <c r="H444" t="n">
        <v>0</v>
      </c>
      <c r="I444" t="n">
        <v>0</v>
      </c>
      <c r="J444" t="n">
        <v>0</v>
      </c>
      <c r="K444" t="n">
        <v>0</v>
      </c>
      <c r="L444" t="n">
        <v>0</v>
      </c>
      <c r="M444" t="n">
        <v>0</v>
      </c>
      <c r="N444" t="n">
        <v>0</v>
      </c>
      <c r="O444" t="n">
        <v>0</v>
      </c>
      <c r="P444" t="n">
        <v>0</v>
      </c>
      <c r="Q444" t="n">
        <v>0</v>
      </c>
      <c r="R444" s="2" t="inlineStr"/>
    </row>
    <row r="445" ht="15" customHeight="1">
      <c r="A445" t="inlineStr">
        <is>
          <t>A 32915-2024</t>
        </is>
      </c>
      <c r="B445" s="1" t="n">
        <v>45516</v>
      </c>
      <c r="C445" s="1" t="n">
        <v>45966</v>
      </c>
      <c r="D445" t="inlineStr">
        <is>
          <t>NORRBOTTENS LÄN</t>
        </is>
      </c>
      <c r="E445" t="inlineStr">
        <is>
          <t>JOKKMOKK</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32957-2024</t>
        </is>
      </c>
      <c r="B446" s="1" t="n">
        <v>45517.3762037037</v>
      </c>
      <c r="C446" s="1" t="n">
        <v>45966</v>
      </c>
      <c r="D446" t="inlineStr">
        <is>
          <t>NORRBOTTENS LÄN</t>
        </is>
      </c>
      <c r="E446" t="inlineStr">
        <is>
          <t>JOKKMOKK</t>
        </is>
      </c>
      <c r="F446" t="inlineStr">
        <is>
          <t>Sveaskog</t>
        </is>
      </c>
      <c r="G446" t="n">
        <v>5.4</v>
      </c>
      <c r="H446" t="n">
        <v>0</v>
      </c>
      <c r="I446" t="n">
        <v>0</v>
      </c>
      <c r="J446" t="n">
        <v>0</v>
      </c>
      <c r="K446" t="n">
        <v>0</v>
      </c>
      <c r="L446" t="n">
        <v>0</v>
      </c>
      <c r="M446" t="n">
        <v>0</v>
      </c>
      <c r="N446" t="n">
        <v>0</v>
      </c>
      <c r="O446" t="n">
        <v>0</v>
      </c>
      <c r="P446" t="n">
        <v>0</v>
      </c>
      <c r="Q446" t="n">
        <v>0</v>
      </c>
      <c r="R446" s="2" t="inlineStr"/>
    </row>
    <row r="447" ht="15" customHeight="1">
      <c r="A447" t="inlineStr">
        <is>
          <t>A 2037-2025</t>
        </is>
      </c>
      <c r="B447" s="1" t="n">
        <v>45671</v>
      </c>
      <c r="C447" s="1" t="n">
        <v>45966</v>
      </c>
      <c r="D447" t="inlineStr">
        <is>
          <t>NORRBOTTENS LÄN</t>
        </is>
      </c>
      <c r="E447" t="inlineStr">
        <is>
          <t>JOKKMOKK</t>
        </is>
      </c>
      <c r="G447" t="n">
        <v>5.4</v>
      </c>
      <c r="H447" t="n">
        <v>0</v>
      </c>
      <c r="I447" t="n">
        <v>0</v>
      </c>
      <c r="J447" t="n">
        <v>0</v>
      </c>
      <c r="K447" t="n">
        <v>0</v>
      </c>
      <c r="L447" t="n">
        <v>0</v>
      </c>
      <c r="M447" t="n">
        <v>0</v>
      </c>
      <c r="N447" t="n">
        <v>0</v>
      </c>
      <c r="O447" t="n">
        <v>0</v>
      </c>
      <c r="P447" t="n">
        <v>0</v>
      </c>
      <c r="Q447" t="n">
        <v>0</v>
      </c>
      <c r="R447" s="2" t="inlineStr"/>
    </row>
    <row r="448" ht="15" customHeight="1">
      <c r="A448" t="inlineStr">
        <is>
          <t>A 53232-2024</t>
        </is>
      </c>
      <c r="B448" s="1" t="n">
        <v>45613.67967592592</v>
      </c>
      <c r="C448" s="1" t="n">
        <v>45966</v>
      </c>
      <c r="D448" t="inlineStr">
        <is>
          <t>NORRBOTTENS LÄN</t>
        </is>
      </c>
      <c r="E448" t="inlineStr">
        <is>
          <t>JOKKMOKK</t>
        </is>
      </c>
      <c r="G448" t="n">
        <v>1.9</v>
      </c>
      <c r="H448" t="n">
        <v>0</v>
      </c>
      <c r="I448" t="n">
        <v>0</v>
      </c>
      <c r="J448" t="n">
        <v>0</v>
      </c>
      <c r="K448" t="n">
        <v>0</v>
      </c>
      <c r="L448" t="n">
        <v>0</v>
      </c>
      <c r="M448" t="n">
        <v>0</v>
      </c>
      <c r="N448" t="n">
        <v>0</v>
      </c>
      <c r="O448" t="n">
        <v>0</v>
      </c>
      <c r="P448" t="n">
        <v>0</v>
      </c>
      <c r="Q448" t="n">
        <v>0</v>
      </c>
      <c r="R448" s="2" t="inlineStr"/>
    </row>
    <row r="449" ht="15" customHeight="1">
      <c r="A449" t="inlineStr">
        <is>
          <t>A 52280-2021</t>
        </is>
      </c>
      <c r="B449" s="1" t="n">
        <v>44462</v>
      </c>
      <c r="C449" s="1" t="n">
        <v>45966</v>
      </c>
      <c r="D449" t="inlineStr">
        <is>
          <t>NORRBOTTENS LÄN</t>
        </is>
      </c>
      <c r="E449" t="inlineStr">
        <is>
          <t>JOKKMOKK</t>
        </is>
      </c>
      <c r="F449" t="inlineStr">
        <is>
          <t>Övriga statliga verk och myndigheter</t>
        </is>
      </c>
      <c r="G449" t="n">
        <v>25.9</v>
      </c>
      <c r="H449" t="n">
        <v>0</v>
      </c>
      <c r="I449" t="n">
        <v>0</v>
      </c>
      <c r="J449" t="n">
        <v>0</v>
      </c>
      <c r="K449" t="n">
        <v>0</v>
      </c>
      <c r="L449" t="n">
        <v>0</v>
      </c>
      <c r="M449" t="n">
        <v>0</v>
      </c>
      <c r="N449" t="n">
        <v>0</v>
      </c>
      <c r="O449" t="n">
        <v>0</v>
      </c>
      <c r="P449" t="n">
        <v>0</v>
      </c>
      <c r="Q449" t="n">
        <v>0</v>
      </c>
      <c r="R449" s="2" t="inlineStr"/>
    </row>
    <row r="450" ht="15" customHeight="1">
      <c r="A450" t="inlineStr">
        <is>
          <t>A 56168-2022</t>
        </is>
      </c>
      <c r="B450" s="1" t="n">
        <v>44889</v>
      </c>
      <c r="C450" s="1" t="n">
        <v>45966</v>
      </c>
      <c r="D450" t="inlineStr">
        <is>
          <t>NORRBOTTENS LÄN</t>
        </is>
      </c>
      <c r="E450" t="inlineStr">
        <is>
          <t>JOKKMOKK</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49474-2024</t>
        </is>
      </c>
      <c r="B451" s="1" t="n">
        <v>45596.34523148148</v>
      </c>
      <c r="C451" s="1" t="n">
        <v>45966</v>
      </c>
      <c r="D451" t="inlineStr">
        <is>
          <t>NORRBOTTENS LÄN</t>
        </is>
      </c>
      <c r="E451" t="inlineStr">
        <is>
          <t>JOKKMOKK</t>
        </is>
      </c>
      <c r="F451" t="inlineStr">
        <is>
          <t>SCA</t>
        </is>
      </c>
      <c r="G451" t="n">
        <v>5.2</v>
      </c>
      <c r="H451" t="n">
        <v>0</v>
      </c>
      <c r="I451" t="n">
        <v>0</v>
      </c>
      <c r="J451" t="n">
        <v>0</v>
      </c>
      <c r="K451" t="n">
        <v>0</v>
      </c>
      <c r="L451" t="n">
        <v>0</v>
      </c>
      <c r="M451" t="n">
        <v>0</v>
      </c>
      <c r="N451" t="n">
        <v>0</v>
      </c>
      <c r="O451" t="n">
        <v>0</v>
      </c>
      <c r="P451" t="n">
        <v>0</v>
      </c>
      <c r="Q451" t="n">
        <v>0</v>
      </c>
      <c r="R451" s="2" t="inlineStr"/>
    </row>
    <row r="452">
      <c r="A452" t="inlineStr">
        <is>
          <t>A 45512-2022</t>
        </is>
      </c>
      <c r="B452" s="1" t="n">
        <v>44841</v>
      </c>
      <c r="C452" s="1" t="n">
        <v>45966</v>
      </c>
      <c r="D452" t="inlineStr">
        <is>
          <t>NORRBOTTENS LÄN</t>
        </is>
      </c>
      <c r="E452" t="inlineStr">
        <is>
          <t>JOKKMOKK</t>
        </is>
      </c>
      <c r="F452" t="inlineStr">
        <is>
          <t>Övriga Aktiebolag</t>
        </is>
      </c>
      <c r="G452" t="n">
        <v>0.6</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2025-11-05T10:09:35Z</dcterms:created>
  <dcterms:modified xmlns:dcterms="http://purl.org/dc/terms/" xmlns:xsi="http://www.w3.org/2001/XMLSchema-instance" xsi:type="dcterms:W3CDTF">2025-11-05T10:09:36Z</dcterms:modified>
</cp:coreProperties>
</file>