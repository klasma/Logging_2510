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45989</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45989</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45989</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45989</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45989</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45989</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45989</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45989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45989</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45989</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45989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45989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45989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45989</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45989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45989</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45989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45989</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45989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58743-2025</t>
        </is>
      </c>
      <c r="B27" s="1" t="n">
        <v>45986.63600694444</v>
      </c>
      <c r="C27" s="1" t="n">
        <v>45989</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45989</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28052-2024</t>
        </is>
      </c>
      <c r="B29" s="1" t="n">
        <v>45476.54096064815</v>
      </c>
      <c r="C29" s="1" t="n">
        <v>45989</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45989</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45989</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45989</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24068-2022</t>
        </is>
      </c>
      <c r="B33" s="1" t="n">
        <v>44722</v>
      </c>
      <c r="C33" s="1" t="n">
        <v>45989</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49857-2025</t>
        </is>
      </c>
      <c r="B34" s="1" t="n">
        <v>45940.51069444444</v>
      </c>
      <c r="C34" s="1" t="n">
        <v>45989</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45989</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59451-2021</t>
        </is>
      </c>
      <c r="B36" s="1" t="n">
        <v>44490</v>
      </c>
      <c r="C36" s="1" t="n">
        <v>45989</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45989</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54960-2021</t>
        </is>
      </c>
      <c r="B38" s="1" t="n">
        <v>44474</v>
      </c>
      <c r="C38" s="1" t="n">
        <v>45989</v>
      </c>
      <c r="D38" t="inlineStr">
        <is>
          <t>NORRBOTTENS LÄN</t>
        </is>
      </c>
      <c r="E38" t="inlineStr">
        <is>
          <t>JOKKMOKK</t>
        </is>
      </c>
      <c r="F38" t="inlineStr">
        <is>
          <t>Allmännings- och besparingsskogar</t>
        </is>
      </c>
      <c r="G38" t="n">
        <v>52.4</v>
      </c>
      <c r="H38" t="n">
        <v>2</v>
      </c>
      <c r="I38" t="n">
        <v>0</v>
      </c>
      <c r="J38" t="n">
        <v>4</v>
      </c>
      <c r="K38" t="n">
        <v>1</v>
      </c>
      <c r="L38" t="n">
        <v>0</v>
      </c>
      <c r="M38" t="n">
        <v>0</v>
      </c>
      <c r="N38" t="n">
        <v>0</v>
      </c>
      <c r="O38" t="n">
        <v>5</v>
      </c>
      <c r="P38" t="n">
        <v>1</v>
      </c>
      <c r="Q38" t="n">
        <v>5</v>
      </c>
      <c r="R38" s="2" t="inlineStr">
        <is>
          <t>Norna
Lunglav
Stiftgelélav
Tretåig hackspett
Ullticka</t>
        </is>
      </c>
      <c r="S38">
        <f>HYPERLINK("https://klasma.github.io/Logging_2510/artfynd/A 54960-2021 artfynd.xlsx", "A 54960-2021")</f>
        <v/>
      </c>
      <c r="T38">
        <f>HYPERLINK("https://klasma.github.io/Logging_2510/kartor/A 54960-2021 karta.png", "A 54960-2021")</f>
        <v/>
      </c>
      <c r="V38">
        <f>HYPERLINK("https://klasma.github.io/Logging_2510/klagomål/A 54960-2021 FSC-klagomål.docx", "A 54960-2021")</f>
        <v/>
      </c>
      <c r="W38">
        <f>HYPERLINK("https://klasma.github.io/Logging_2510/klagomålsmail/A 54960-2021 FSC-klagomål mail.docx", "A 54960-2021")</f>
        <v/>
      </c>
      <c r="X38">
        <f>HYPERLINK("https://klasma.github.io/Logging_2510/tillsyn/A 54960-2021 tillsynsbegäran.docx", "A 54960-2021")</f>
        <v/>
      </c>
      <c r="Y38">
        <f>HYPERLINK("https://klasma.github.io/Logging_2510/tillsynsmail/A 54960-2021 tillsynsbegäran mail.docx", "A 54960-2021")</f>
        <v/>
      </c>
      <c r="Z38">
        <f>HYPERLINK("https://klasma.github.io/Logging_2510/fåglar/A 54960-2021 prioriterade fågelarter.docx", "A 54960-2021")</f>
        <v/>
      </c>
    </row>
    <row r="39" ht="15" customHeight="1">
      <c r="A39" t="inlineStr">
        <is>
          <t>A 46059-2021</t>
        </is>
      </c>
      <c r="B39" s="1" t="n">
        <v>44441.94325231481</v>
      </c>
      <c r="C39" s="1" t="n">
        <v>45989</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21352-2024</t>
        </is>
      </c>
      <c r="B40" s="1" t="n">
        <v>45440</v>
      </c>
      <c r="C40" s="1" t="n">
        <v>45989</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32990-2023</t>
        </is>
      </c>
      <c r="B41" s="1" t="n">
        <v>45113</v>
      </c>
      <c r="C41" s="1" t="n">
        <v>45989</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24737-2025</t>
        </is>
      </c>
      <c r="B42" s="1" t="n">
        <v>45799.34494212963</v>
      </c>
      <c r="C42" s="1" t="n">
        <v>45989</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45989</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45989</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45989</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45989</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45989</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45989</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45989</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52877-2025</t>
        </is>
      </c>
      <c r="B50" s="1" t="n">
        <v>45957.53907407408</v>
      </c>
      <c r="C50" s="1" t="n">
        <v>45989</v>
      </c>
      <c r="D50" t="inlineStr">
        <is>
          <t>NORRBOTTENS LÄN</t>
        </is>
      </c>
      <c r="E50" t="inlineStr">
        <is>
          <t>JOKKMOKK</t>
        </is>
      </c>
      <c r="F50" t="inlineStr">
        <is>
          <t>Sveaskog</t>
        </is>
      </c>
      <c r="G50" t="n">
        <v>26.7</v>
      </c>
      <c r="H50" t="n">
        <v>0</v>
      </c>
      <c r="I50" t="n">
        <v>2</v>
      </c>
      <c r="J50" t="n">
        <v>0</v>
      </c>
      <c r="K50" t="n">
        <v>0</v>
      </c>
      <c r="L50" t="n">
        <v>0</v>
      </c>
      <c r="M50" t="n">
        <v>0</v>
      </c>
      <c r="N50" t="n">
        <v>0</v>
      </c>
      <c r="O50" t="n">
        <v>0</v>
      </c>
      <c r="P50" t="n">
        <v>0</v>
      </c>
      <c r="Q50" t="n">
        <v>2</v>
      </c>
      <c r="R50" s="2" t="inlineStr">
        <is>
          <t>Bollvitmossa
Bårdlav</t>
        </is>
      </c>
      <c r="S50">
        <f>HYPERLINK("https://klasma.github.io/Logging_2510/artfynd/A 52877-2025 artfynd.xlsx", "A 52877-2025")</f>
        <v/>
      </c>
      <c r="T50">
        <f>HYPERLINK("https://klasma.github.io/Logging_2510/kartor/A 52877-2025 karta.png", "A 52877-2025")</f>
        <v/>
      </c>
      <c r="V50">
        <f>HYPERLINK("https://klasma.github.io/Logging_2510/klagomål/A 52877-2025 FSC-klagomål.docx", "A 52877-2025")</f>
        <v/>
      </c>
      <c r="W50">
        <f>HYPERLINK("https://klasma.github.io/Logging_2510/klagomålsmail/A 52877-2025 FSC-klagomål mail.docx", "A 52877-2025")</f>
        <v/>
      </c>
      <c r="X50">
        <f>HYPERLINK("https://klasma.github.io/Logging_2510/tillsyn/A 52877-2025 tillsynsbegäran.docx", "A 52877-2025")</f>
        <v/>
      </c>
      <c r="Y50">
        <f>HYPERLINK("https://klasma.github.io/Logging_2510/tillsynsmail/A 52877-2025 tillsynsbegäran mail.docx", "A 52877-2025")</f>
        <v/>
      </c>
    </row>
    <row r="51" ht="15" customHeight="1">
      <c r="A51" t="inlineStr">
        <is>
          <t>A 55525-2025</t>
        </is>
      </c>
      <c r="B51" s="1" t="n">
        <v>45971.61633101852</v>
      </c>
      <c r="C51" s="1" t="n">
        <v>45989</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38607-2025</t>
        </is>
      </c>
      <c r="B52" s="1" t="n">
        <v>45884.53171296296</v>
      </c>
      <c r="C52" s="1" t="n">
        <v>45989</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50237-2022</t>
        </is>
      </c>
      <c r="B53" s="1" t="n">
        <v>44865</v>
      </c>
      <c r="C53" s="1" t="n">
        <v>45989</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57700-2025</t>
        </is>
      </c>
      <c r="B54" s="1" t="n">
        <v>45981.46185185185</v>
      </c>
      <c r="C54" s="1" t="n">
        <v>45989</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45989</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15827-2025</t>
        </is>
      </c>
      <c r="B56" s="1" t="n">
        <v>45748</v>
      </c>
      <c r="C56" s="1" t="n">
        <v>45989</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21710-2025</t>
        </is>
      </c>
      <c r="B57" s="1" t="n">
        <v>45783.53160879629</v>
      </c>
      <c r="C57" s="1" t="n">
        <v>45989</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45989</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52537-2023</t>
        </is>
      </c>
      <c r="B59" s="1" t="n">
        <v>45225</v>
      </c>
      <c r="C59" s="1" t="n">
        <v>45989</v>
      </c>
      <c r="D59" t="inlineStr">
        <is>
          <t>NORRBOTTENS LÄN</t>
        </is>
      </c>
      <c r="E59" t="inlineStr">
        <is>
          <t>JOKKMOKK</t>
        </is>
      </c>
      <c r="F59" t="inlineStr">
        <is>
          <t>Övriga statliga verk och myndigheter</t>
        </is>
      </c>
      <c r="G59" t="n">
        <v>15.3</v>
      </c>
      <c r="H59" t="n">
        <v>0</v>
      </c>
      <c r="I59" t="n">
        <v>0</v>
      </c>
      <c r="J59" t="n">
        <v>1</v>
      </c>
      <c r="K59" t="n">
        <v>0</v>
      </c>
      <c r="L59" t="n">
        <v>0</v>
      </c>
      <c r="M59" t="n">
        <v>0</v>
      </c>
      <c r="N59" t="n">
        <v>0</v>
      </c>
      <c r="O59" t="n">
        <v>1</v>
      </c>
      <c r="P59" t="n">
        <v>0</v>
      </c>
      <c r="Q59" t="n">
        <v>1</v>
      </c>
      <c r="R59" s="2" t="inlineStr">
        <is>
          <t>Reliktbock</t>
        </is>
      </c>
      <c r="S59">
        <f>HYPERLINK("https://klasma.github.io/Logging_2510/artfynd/A 52537-2023 artfynd.xlsx", "A 52537-2023")</f>
        <v/>
      </c>
      <c r="T59">
        <f>HYPERLINK("https://klasma.github.io/Logging_2510/kartor/A 52537-2023 karta.png", "A 52537-2023")</f>
        <v/>
      </c>
      <c r="V59">
        <f>HYPERLINK("https://klasma.github.io/Logging_2510/klagomål/A 52537-2023 FSC-klagomål.docx", "A 52537-2023")</f>
        <v/>
      </c>
      <c r="W59">
        <f>HYPERLINK("https://klasma.github.io/Logging_2510/klagomålsmail/A 52537-2023 FSC-klagomål mail.docx", "A 52537-2023")</f>
        <v/>
      </c>
      <c r="X59">
        <f>HYPERLINK("https://klasma.github.io/Logging_2510/tillsyn/A 52537-2023 tillsynsbegäran.docx", "A 52537-2023")</f>
        <v/>
      </c>
      <c r="Y59">
        <f>HYPERLINK("https://klasma.github.io/Logging_2510/tillsynsmail/A 52537-2023 tillsynsbegäran mail.docx", "A 52537-2023")</f>
        <v/>
      </c>
    </row>
    <row r="60" ht="15" customHeight="1">
      <c r="A60" t="inlineStr">
        <is>
          <t>A 49525-2024</t>
        </is>
      </c>
      <c r="B60" s="1" t="n">
        <v>45596</v>
      </c>
      <c r="C60" s="1" t="n">
        <v>45989</v>
      </c>
      <c r="D60" t="inlineStr">
        <is>
          <t>NORRBOTTENS LÄN</t>
        </is>
      </c>
      <c r="E60" t="inlineStr">
        <is>
          <t>JOKKMOKK</t>
        </is>
      </c>
      <c r="F60" t="inlineStr">
        <is>
          <t>SCA</t>
        </is>
      </c>
      <c r="G60" t="n">
        <v>2.5</v>
      </c>
      <c r="H60" t="n">
        <v>0</v>
      </c>
      <c r="I60" t="n">
        <v>0</v>
      </c>
      <c r="J60" t="n">
        <v>0</v>
      </c>
      <c r="K60" t="n">
        <v>1</v>
      </c>
      <c r="L60" t="n">
        <v>0</v>
      </c>
      <c r="M60" t="n">
        <v>0</v>
      </c>
      <c r="N60" t="n">
        <v>0</v>
      </c>
      <c r="O60" t="n">
        <v>1</v>
      </c>
      <c r="P60" t="n">
        <v>1</v>
      </c>
      <c r="Q60" t="n">
        <v>1</v>
      </c>
      <c r="R60" s="2" t="inlineStr">
        <is>
          <t>Ringlav</t>
        </is>
      </c>
      <c r="S60">
        <f>HYPERLINK("https://klasma.github.io/Logging_2510/artfynd/A 49525-2024 artfynd.xlsx", "A 49525-2024")</f>
        <v/>
      </c>
      <c r="T60">
        <f>HYPERLINK("https://klasma.github.io/Logging_2510/kartor/A 49525-2024 karta.png", "A 49525-2024")</f>
        <v/>
      </c>
      <c r="V60">
        <f>HYPERLINK("https://klasma.github.io/Logging_2510/klagomål/A 49525-2024 FSC-klagomål.docx", "A 49525-2024")</f>
        <v/>
      </c>
      <c r="W60">
        <f>HYPERLINK("https://klasma.github.io/Logging_2510/klagomålsmail/A 49525-2024 FSC-klagomål mail.docx", "A 49525-2024")</f>
        <v/>
      </c>
      <c r="X60">
        <f>HYPERLINK("https://klasma.github.io/Logging_2510/tillsyn/A 49525-2024 tillsynsbegäran.docx", "A 49525-2024")</f>
        <v/>
      </c>
      <c r="Y60">
        <f>HYPERLINK("https://klasma.github.io/Logging_2510/tillsynsmail/A 49525-2024 tillsynsbegäran mail.docx", "A 49525-2024")</f>
        <v/>
      </c>
    </row>
    <row r="61" ht="15" customHeight="1">
      <c r="A61" t="inlineStr">
        <is>
          <t>A 39850-2025</t>
        </is>
      </c>
      <c r="B61" s="1" t="n">
        <v>45891.58591435185</v>
      </c>
      <c r="C61" s="1" t="n">
        <v>45989</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32982-2023</t>
        </is>
      </c>
      <c r="B62" s="1" t="n">
        <v>45113</v>
      </c>
      <c r="C62" s="1" t="n">
        <v>45989</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43023-2024</t>
        </is>
      </c>
      <c r="B63" s="1" t="n">
        <v>45567</v>
      </c>
      <c r="C63" s="1" t="n">
        <v>45989</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43039-2024</t>
        </is>
      </c>
      <c r="B64" s="1" t="n">
        <v>45567</v>
      </c>
      <c r="C64" s="1" t="n">
        <v>45989</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45989</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45989</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50121-2024</t>
        </is>
      </c>
      <c r="B67" s="1" t="n">
        <v>45600.42096064815</v>
      </c>
      <c r="C67" s="1" t="n">
        <v>45989</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44234-2025</t>
        </is>
      </c>
      <c r="B68" s="1" t="n">
        <v>45915.65525462963</v>
      </c>
      <c r="C68" s="1" t="n">
        <v>45989</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34135-2025</t>
        </is>
      </c>
      <c r="B69" s="1" t="n">
        <v>45845.5409375</v>
      </c>
      <c r="C69" s="1" t="n">
        <v>45989</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52260-2024</t>
        </is>
      </c>
      <c r="B70" s="1" t="n">
        <v>45608</v>
      </c>
      <c r="C70" s="1" t="n">
        <v>45989</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45989</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44828-2025</t>
        </is>
      </c>
      <c r="B72" s="1" t="n">
        <v>45918.38981481481</v>
      </c>
      <c r="C72" s="1" t="n">
        <v>45989</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72480-2021</t>
        </is>
      </c>
      <c r="B73" s="1" t="n">
        <v>44545</v>
      </c>
      <c r="C73" s="1" t="n">
        <v>45989</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53035-2025</t>
        </is>
      </c>
      <c r="B74" s="1" t="n">
        <v>45958.34751157407</v>
      </c>
      <c r="C74" s="1" t="n">
        <v>45989</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45201-2025</t>
        </is>
      </c>
      <c r="B75" s="1" t="n">
        <v>45919.56230324074</v>
      </c>
      <c r="C75" s="1" t="n">
        <v>45989</v>
      </c>
      <c r="D75" t="inlineStr">
        <is>
          <t>NORRBOTTENS LÄN</t>
        </is>
      </c>
      <c r="E75" t="inlineStr">
        <is>
          <t>JOKKMOKK</t>
        </is>
      </c>
      <c r="F75" t="inlineStr">
        <is>
          <t>Sveaskog</t>
        </is>
      </c>
      <c r="G75" t="n">
        <v>21.8</v>
      </c>
      <c r="H75" t="n">
        <v>0</v>
      </c>
      <c r="I75" t="n">
        <v>1</v>
      </c>
      <c r="J75" t="n">
        <v>0</v>
      </c>
      <c r="K75" t="n">
        <v>0</v>
      </c>
      <c r="L75" t="n">
        <v>0</v>
      </c>
      <c r="M75" t="n">
        <v>0</v>
      </c>
      <c r="N75" t="n">
        <v>0</v>
      </c>
      <c r="O75" t="n">
        <v>0</v>
      </c>
      <c r="P75" t="n">
        <v>0</v>
      </c>
      <c r="Q75" t="n">
        <v>1</v>
      </c>
      <c r="R75" s="2" t="inlineStr">
        <is>
          <t>Skarp dropptaggsvamp</t>
        </is>
      </c>
      <c r="S75">
        <f>HYPERLINK("https://klasma.github.io/Logging_2510/artfynd/A 45201-2025 artfynd.xlsx", "A 45201-2025")</f>
        <v/>
      </c>
      <c r="T75">
        <f>HYPERLINK("https://klasma.github.io/Logging_2510/kartor/A 45201-2025 karta.png", "A 45201-2025")</f>
        <v/>
      </c>
      <c r="V75">
        <f>HYPERLINK("https://klasma.github.io/Logging_2510/klagomål/A 45201-2025 FSC-klagomål.docx", "A 45201-2025")</f>
        <v/>
      </c>
      <c r="W75">
        <f>HYPERLINK("https://klasma.github.io/Logging_2510/klagomålsmail/A 45201-2025 FSC-klagomål mail.docx", "A 45201-2025")</f>
        <v/>
      </c>
      <c r="X75">
        <f>HYPERLINK("https://klasma.github.io/Logging_2510/tillsyn/A 45201-2025 tillsynsbegäran.docx", "A 45201-2025")</f>
        <v/>
      </c>
      <c r="Y75">
        <f>HYPERLINK("https://klasma.github.io/Logging_2510/tillsynsmail/A 45201-2025 tillsynsbegäran mail.docx", "A 45201-2025")</f>
        <v/>
      </c>
    </row>
    <row r="76" ht="15" customHeight="1">
      <c r="A76" t="inlineStr">
        <is>
          <t>A 37252-2025</t>
        </is>
      </c>
      <c r="B76" s="1" t="n">
        <v>45876.4228125</v>
      </c>
      <c r="C76" s="1" t="n">
        <v>45989</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44147-2024</t>
        </is>
      </c>
      <c r="B77" s="1" t="n">
        <v>45572.67306712963</v>
      </c>
      <c r="C77" s="1" t="n">
        <v>45989</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56324-2025</t>
        </is>
      </c>
      <c r="B78" s="1" t="n">
        <v>45974.63607638889</v>
      </c>
      <c r="C78" s="1" t="n">
        <v>45989</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2031-2025</t>
        </is>
      </c>
      <c r="B79" s="1" t="n">
        <v>45672</v>
      </c>
      <c r="C79" s="1" t="n">
        <v>45989</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50391-2025</t>
        </is>
      </c>
      <c r="B80" s="1" t="n">
        <v>45944.61743055555</v>
      </c>
      <c r="C80" s="1" t="n">
        <v>45989</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40466-2023</t>
        </is>
      </c>
      <c r="B81" s="1" t="n">
        <v>45170</v>
      </c>
      <c r="C81" s="1" t="n">
        <v>45989</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42834-2025</t>
        </is>
      </c>
      <c r="B82" s="1" t="n">
        <v>45908</v>
      </c>
      <c r="C82" s="1" t="n">
        <v>45989</v>
      </c>
      <c r="D82" t="inlineStr">
        <is>
          <t>NORRBOTTENS LÄN</t>
        </is>
      </c>
      <c r="E82" t="inlineStr">
        <is>
          <t>JOKKMOKK</t>
        </is>
      </c>
      <c r="F82" t="inlineStr">
        <is>
          <t>Sveaskog</t>
        </is>
      </c>
      <c r="G82" t="n">
        <v>11.2</v>
      </c>
      <c r="H82" t="n">
        <v>1</v>
      </c>
      <c r="I82" t="n">
        <v>0</v>
      </c>
      <c r="J82" t="n">
        <v>0</v>
      </c>
      <c r="K82" t="n">
        <v>1</v>
      </c>
      <c r="L82" t="n">
        <v>0</v>
      </c>
      <c r="M82" t="n">
        <v>0</v>
      </c>
      <c r="N82" t="n">
        <v>0</v>
      </c>
      <c r="O82" t="n">
        <v>1</v>
      </c>
      <c r="P82" t="n">
        <v>1</v>
      </c>
      <c r="Q82" t="n">
        <v>1</v>
      </c>
      <c r="R82" s="2" t="inlineStr">
        <is>
          <t>Knärot</t>
        </is>
      </c>
      <c r="S82">
        <f>HYPERLINK("https://klasma.github.io/Logging_2510/artfynd/A 42834-2025 artfynd.xlsx", "A 42834-2025")</f>
        <v/>
      </c>
      <c r="T82">
        <f>HYPERLINK("https://klasma.github.io/Logging_2510/kartor/A 42834-2025 karta.png", "A 42834-2025")</f>
        <v/>
      </c>
      <c r="U82">
        <f>HYPERLINK("https://klasma.github.io/Logging_2510/knärot/A 42834-2025 karta knärot.png", "A 42834-2025")</f>
        <v/>
      </c>
      <c r="V82">
        <f>HYPERLINK("https://klasma.github.io/Logging_2510/klagomål/A 42834-2025 FSC-klagomål.docx", "A 42834-2025")</f>
        <v/>
      </c>
      <c r="W82">
        <f>HYPERLINK("https://klasma.github.io/Logging_2510/klagomålsmail/A 42834-2025 FSC-klagomål mail.docx", "A 42834-2025")</f>
        <v/>
      </c>
      <c r="X82">
        <f>HYPERLINK("https://klasma.github.io/Logging_2510/tillsyn/A 42834-2025 tillsynsbegäran.docx", "A 42834-2025")</f>
        <v/>
      </c>
      <c r="Y82">
        <f>HYPERLINK("https://klasma.github.io/Logging_2510/tillsynsmail/A 42834-2025 tillsynsbegäran mail.docx", "A 42834-2025")</f>
        <v/>
      </c>
    </row>
    <row r="83" ht="15" customHeight="1">
      <c r="A83" t="inlineStr">
        <is>
          <t>A 38039-2021</t>
        </is>
      </c>
      <c r="B83" s="1" t="n">
        <v>44404</v>
      </c>
      <c r="C83" s="1" t="n">
        <v>45989</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45989</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45989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45989</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45989</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45989</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45989</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45989</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45989</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45989</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45989</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45989</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45989</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45989</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45989</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45989</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45989</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45989</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45989</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45989</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45989</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45989</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45989</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45989</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45989</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45989</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45989</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45989</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45989</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45989</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45989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45989</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45989</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45989</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45989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45989</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45989</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45989</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45989</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45989</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45989</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45989</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45989</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45989</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45989</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45989</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45989</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45989</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26131-2023</t>
        </is>
      </c>
      <c r="B131" s="1" t="n">
        <v>45086</v>
      </c>
      <c r="C131" s="1" t="n">
        <v>45989</v>
      </c>
      <c r="D131" t="inlineStr">
        <is>
          <t>NORRBOTTENS LÄN</t>
        </is>
      </c>
      <c r="E131" t="inlineStr">
        <is>
          <t>JOKKMOKK</t>
        </is>
      </c>
      <c r="G131" t="n">
        <v>35.6</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45989</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45989</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45989</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45989</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53100-2022</t>
        </is>
      </c>
      <c r="B136" s="1" t="n">
        <v>44873</v>
      </c>
      <c r="C136" s="1" t="n">
        <v>45989</v>
      </c>
      <c r="D136" t="inlineStr">
        <is>
          <t>NORRBOTTENS LÄN</t>
        </is>
      </c>
      <c r="E136" t="inlineStr">
        <is>
          <t>JOKKMOKK</t>
        </is>
      </c>
      <c r="F136" t="inlineStr">
        <is>
          <t>Övriga statliga verk och myndigheter</t>
        </is>
      </c>
      <c r="G136" t="n">
        <v>37.1</v>
      </c>
      <c r="H136" t="n">
        <v>0</v>
      </c>
      <c r="I136" t="n">
        <v>0</v>
      </c>
      <c r="J136" t="n">
        <v>0</v>
      </c>
      <c r="K136" t="n">
        <v>0</v>
      </c>
      <c r="L136" t="n">
        <v>0</v>
      </c>
      <c r="M136" t="n">
        <v>0</v>
      </c>
      <c r="N136" t="n">
        <v>0</v>
      </c>
      <c r="O136" t="n">
        <v>0</v>
      </c>
      <c r="P136" t="n">
        <v>0</v>
      </c>
      <c r="Q136" t="n">
        <v>0</v>
      </c>
      <c r="R136" s="2" t="inlineStr"/>
    </row>
    <row r="137" ht="15" customHeight="1">
      <c r="A137" t="inlineStr">
        <is>
          <t>A 34752-2021</t>
        </is>
      </c>
      <c r="B137" s="1" t="n">
        <v>44382</v>
      </c>
      <c r="C137" s="1" t="n">
        <v>45989</v>
      </c>
      <c r="D137" t="inlineStr">
        <is>
          <t>NORRBOTTENS LÄN</t>
        </is>
      </c>
      <c r="E137" t="inlineStr">
        <is>
          <t>JOKKMOKK</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52901-2023</t>
        </is>
      </c>
      <c r="B138" s="1" t="n">
        <v>45222</v>
      </c>
      <c r="C138" s="1" t="n">
        <v>45989</v>
      </c>
      <c r="D138" t="inlineStr">
        <is>
          <t>NORRBOTTENS LÄN</t>
        </is>
      </c>
      <c r="E138" t="inlineStr">
        <is>
          <t>JOKKMOKK</t>
        </is>
      </c>
      <c r="G138" t="n">
        <v>16.6</v>
      </c>
      <c r="H138" t="n">
        <v>0</v>
      </c>
      <c r="I138" t="n">
        <v>0</v>
      </c>
      <c r="J138" t="n">
        <v>0</v>
      </c>
      <c r="K138" t="n">
        <v>0</v>
      </c>
      <c r="L138" t="n">
        <v>0</v>
      </c>
      <c r="M138" t="n">
        <v>0</v>
      </c>
      <c r="N138" t="n">
        <v>0</v>
      </c>
      <c r="O138" t="n">
        <v>0</v>
      </c>
      <c r="P138" t="n">
        <v>0</v>
      </c>
      <c r="Q138" t="n">
        <v>0</v>
      </c>
      <c r="R138" s="2" t="inlineStr"/>
    </row>
    <row r="139" ht="15" customHeight="1">
      <c r="A139" t="inlineStr">
        <is>
          <t>A 31208-2023</t>
        </is>
      </c>
      <c r="B139" s="1" t="n">
        <v>45113.95083333334</v>
      </c>
      <c r="C139" s="1" t="n">
        <v>45989</v>
      </c>
      <c r="D139" t="inlineStr">
        <is>
          <t>NORRBOTTENS LÄN</t>
        </is>
      </c>
      <c r="E139" t="inlineStr">
        <is>
          <t>JOKKMOKK</t>
        </is>
      </c>
      <c r="F139" t="inlineStr">
        <is>
          <t>SCA</t>
        </is>
      </c>
      <c r="G139" t="n">
        <v>10.3</v>
      </c>
      <c r="H139" t="n">
        <v>0</v>
      </c>
      <c r="I139" t="n">
        <v>0</v>
      </c>
      <c r="J139" t="n">
        <v>0</v>
      </c>
      <c r="K139" t="n">
        <v>0</v>
      </c>
      <c r="L139" t="n">
        <v>0</v>
      </c>
      <c r="M139" t="n">
        <v>0</v>
      </c>
      <c r="N139" t="n">
        <v>0</v>
      </c>
      <c r="O139" t="n">
        <v>0</v>
      </c>
      <c r="P139" t="n">
        <v>0</v>
      </c>
      <c r="Q139" t="n">
        <v>0</v>
      </c>
      <c r="R139" s="2" t="inlineStr"/>
    </row>
    <row r="140" ht="15" customHeight="1">
      <c r="A140" t="inlineStr">
        <is>
          <t>A 50568-2022</t>
        </is>
      </c>
      <c r="B140" s="1" t="n">
        <v>44866</v>
      </c>
      <c r="C140" s="1" t="n">
        <v>45989</v>
      </c>
      <c r="D140" t="inlineStr">
        <is>
          <t>NORRBOTTENS LÄN</t>
        </is>
      </c>
      <c r="E140" t="inlineStr">
        <is>
          <t>JOKKMOKK</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29625-2023</t>
        </is>
      </c>
      <c r="B141" s="1" t="n">
        <v>45106.94556712963</v>
      </c>
      <c r="C141" s="1" t="n">
        <v>45989</v>
      </c>
      <c r="D141" t="inlineStr">
        <is>
          <t>NORRBOTTENS LÄN</t>
        </is>
      </c>
      <c r="E141" t="inlineStr">
        <is>
          <t>JOKKMOKK</t>
        </is>
      </c>
      <c r="F141" t="inlineStr">
        <is>
          <t>SCA</t>
        </is>
      </c>
      <c r="G141" t="n">
        <v>7.2</v>
      </c>
      <c r="H141" t="n">
        <v>0</v>
      </c>
      <c r="I141" t="n">
        <v>0</v>
      </c>
      <c r="J141" t="n">
        <v>0</v>
      </c>
      <c r="K141" t="n">
        <v>0</v>
      </c>
      <c r="L141" t="n">
        <v>0</v>
      </c>
      <c r="M141" t="n">
        <v>0</v>
      </c>
      <c r="N141" t="n">
        <v>0</v>
      </c>
      <c r="O141" t="n">
        <v>0</v>
      </c>
      <c r="P141" t="n">
        <v>0</v>
      </c>
      <c r="Q141" t="n">
        <v>0</v>
      </c>
      <c r="R141" s="2" t="inlineStr"/>
    </row>
    <row r="142" ht="15" customHeight="1">
      <c r="A142" t="inlineStr">
        <is>
          <t>A 44646-2021</t>
        </is>
      </c>
      <c r="B142" s="1" t="n">
        <v>44437</v>
      </c>
      <c r="C142" s="1" t="n">
        <v>45989</v>
      </c>
      <c r="D142" t="inlineStr">
        <is>
          <t>NORRBOTTENS LÄN</t>
        </is>
      </c>
      <c r="E142" t="inlineStr">
        <is>
          <t>JOKKMOKK</t>
        </is>
      </c>
      <c r="G142" t="n">
        <v>10</v>
      </c>
      <c r="H142" t="n">
        <v>0</v>
      </c>
      <c r="I142" t="n">
        <v>0</v>
      </c>
      <c r="J142" t="n">
        <v>0</v>
      </c>
      <c r="K142" t="n">
        <v>0</v>
      </c>
      <c r="L142" t="n">
        <v>0</v>
      </c>
      <c r="M142" t="n">
        <v>0</v>
      </c>
      <c r="N142" t="n">
        <v>0</v>
      </c>
      <c r="O142" t="n">
        <v>0</v>
      </c>
      <c r="P142" t="n">
        <v>0</v>
      </c>
      <c r="Q142" t="n">
        <v>0</v>
      </c>
      <c r="R142" s="2" t="inlineStr"/>
    </row>
    <row r="143" ht="15" customHeight="1">
      <c r="A143" t="inlineStr">
        <is>
          <t>A 51304-2022</t>
        </is>
      </c>
      <c r="B143" s="1" t="n">
        <v>44868</v>
      </c>
      <c r="C143" s="1" t="n">
        <v>45989</v>
      </c>
      <c r="D143" t="inlineStr">
        <is>
          <t>NORRBOTTENS LÄN</t>
        </is>
      </c>
      <c r="E143" t="inlineStr">
        <is>
          <t>JOKKMOKK</t>
        </is>
      </c>
      <c r="G143" t="n">
        <v>1.5</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45989</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7273-2021</t>
        </is>
      </c>
      <c r="B145" s="1" t="n">
        <v>44238</v>
      </c>
      <c r="C145" s="1" t="n">
        <v>45989</v>
      </c>
      <c r="D145" t="inlineStr">
        <is>
          <t>NORRBOTTENS LÄN</t>
        </is>
      </c>
      <c r="E145" t="inlineStr">
        <is>
          <t>JOKKMOKK</t>
        </is>
      </c>
      <c r="F145" t="inlineStr">
        <is>
          <t>Övriga statliga verk och myndigheter</t>
        </is>
      </c>
      <c r="G145" t="n">
        <v>19.8</v>
      </c>
      <c r="H145" t="n">
        <v>0</v>
      </c>
      <c r="I145" t="n">
        <v>0</v>
      </c>
      <c r="J145" t="n">
        <v>0</v>
      </c>
      <c r="K145" t="n">
        <v>0</v>
      </c>
      <c r="L145" t="n">
        <v>0</v>
      </c>
      <c r="M145" t="n">
        <v>0</v>
      </c>
      <c r="N145" t="n">
        <v>0</v>
      </c>
      <c r="O145" t="n">
        <v>0</v>
      </c>
      <c r="P145" t="n">
        <v>0</v>
      </c>
      <c r="Q145" t="n">
        <v>0</v>
      </c>
      <c r="R145" s="2" t="inlineStr"/>
    </row>
    <row r="146" ht="15" customHeight="1">
      <c r="A146" t="inlineStr">
        <is>
          <t>A 27657-2024</t>
        </is>
      </c>
      <c r="B146" s="1" t="n">
        <v>45474.95196759259</v>
      </c>
      <c r="C146" s="1" t="n">
        <v>45989</v>
      </c>
      <c r="D146" t="inlineStr">
        <is>
          <t>NORRBOTTENS LÄN</t>
        </is>
      </c>
      <c r="E146" t="inlineStr">
        <is>
          <t>JOKKMOKK</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27658-2024</t>
        </is>
      </c>
      <c r="B147" s="1" t="n">
        <v>45474.95246527778</v>
      </c>
      <c r="C147" s="1" t="n">
        <v>45989</v>
      </c>
      <c r="D147" t="inlineStr">
        <is>
          <t>NORRBOTTENS LÄN</t>
        </is>
      </c>
      <c r="E147" t="inlineStr">
        <is>
          <t>JOKKMOKK</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27653-2024</t>
        </is>
      </c>
      <c r="B148" s="1" t="n">
        <v>45474.95037037037</v>
      </c>
      <c r="C148" s="1" t="n">
        <v>45989</v>
      </c>
      <c r="D148" t="inlineStr">
        <is>
          <t>NORRBOTTENS LÄN</t>
        </is>
      </c>
      <c r="E148" t="inlineStr">
        <is>
          <t>JOKKMOKK</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27654-2024</t>
        </is>
      </c>
      <c r="B149" s="1" t="n">
        <v>45474</v>
      </c>
      <c r="C149" s="1" t="n">
        <v>45989</v>
      </c>
      <c r="D149" t="inlineStr">
        <is>
          <t>NORRBOTTENS LÄN</t>
        </is>
      </c>
      <c r="E149" t="inlineStr">
        <is>
          <t>JOKKMOKK</t>
        </is>
      </c>
      <c r="F149" t="inlineStr">
        <is>
          <t>SCA</t>
        </is>
      </c>
      <c r="G149" t="n">
        <v>2.7</v>
      </c>
      <c r="H149" t="n">
        <v>0</v>
      </c>
      <c r="I149" t="n">
        <v>0</v>
      </c>
      <c r="J149" t="n">
        <v>0</v>
      </c>
      <c r="K149" t="n">
        <v>0</v>
      </c>
      <c r="L149" t="n">
        <v>0</v>
      </c>
      <c r="M149" t="n">
        <v>0</v>
      </c>
      <c r="N149" t="n">
        <v>0</v>
      </c>
      <c r="O149" t="n">
        <v>0</v>
      </c>
      <c r="P149" t="n">
        <v>0</v>
      </c>
      <c r="Q149" t="n">
        <v>0</v>
      </c>
      <c r="R149" s="2" t="inlineStr"/>
    </row>
    <row r="150" ht="15" customHeight="1">
      <c r="A150" t="inlineStr">
        <is>
          <t>A 27656-2024</t>
        </is>
      </c>
      <c r="B150" s="1" t="n">
        <v>45474</v>
      </c>
      <c r="C150" s="1" t="n">
        <v>45989</v>
      </c>
      <c r="D150" t="inlineStr">
        <is>
          <t>NORRBOTTENS LÄN</t>
        </is>
      </c>
      <c r="E150" t="inlineStr">
        <is>
          <t>JOKKMOKK</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60215-2023</t>
        </is>
      </c>
      <c r="B151" s="1" t="n">
        <v>45258.60766203704</v>
      </c>
      <c r="C151" s="1" t="n">
        <v>45989</v>
      </c>
      <c r="D151" t="inlineStr">
        <is>
          <t>NORRBOTTENS LÄN</t>
        </is>
      </c>
      <c r="E151" t="inlineStr">
        <is>
          <t>JOKKMOKK</t>
        </is>
      </c>
      <c r="F151" t="inlineStr">
        <is>
          <t>Allmännings- och besparingsskogar</t>
        </is>
      </c>
      <c r="G151" t="n">
        <v>7.8</v>
      </c>
      <c r="H151" t="n">
        <v>0</v>
      </c>
      <c r="I151" t="n">
        <v>0</v>
      </c>
      <c r="J151" t="n">
        <v>0</v>
      </c>
      <c r="K151" t="n">
        <v>0</v>
      </c>
      <c r="L151" t="n">
        <v>0</v>
      </c>
      <c r="M151" t="n">
        <v>0</v>
      </c>
      <c r="N151" t="n">
        <v>0</v>
      </c>
      <c r="O151" t="n">
        <v>0</v>
      </c>
      <c r="P151" t="n">
        <v>0</v>
      </c>
      <c r="Q151" t="n">
        <v>0</v>
      </c>
      <c r="R151" s="2" t="inlineStr"/>
    </row>
    <row r="152" ht="15" customHeight="1">
      <c r="A152" t="inlineStr">
        <is>
          <t>A 26969-2024</t>
        </is>
      </c>
      <c r="B152" s="1" t="n">
        <v>45471.27252314815</v>
      </c>
      <c r="C152" s="1" t="n">
        <v>45989</v>
      </c>
      <c r="D152" t="inlineStr">
        <is>
          <t>NORRBOTTENS LÄN</t>
        </is>
      </c>
      <c r="E152" t="inlineStr">
        <is>
          <t>JOKKMOKK</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34609-2024</t>
        </is>
      </c>
      <c r="B153" s="1" t="n">
        <v>45526</v>
      </c>
      <c r="C153" s="1" t="n">
        <v>45989</v>
      </c>
      <c r="D153" t="inlineStr">
        <is>
          <t>NORRBOTTENS LÄN</t>
        </is>
      </c>
      <c r="E153" t="inlineStr">
        <is>
          <t>JOKKMOKK</t>
        </is>
      </c>
      <c r="G153" t="n">
        <v>27</v>
      </c>
      <c r="H153" t="n">
        <v>0</v>
      </c>
      <c r="I153" t="n">
        <v>0</v>
      </c>
      <c r="J153" t="n">
        <v>0</v>
      </c>
      <c r="K153" t="n">
        <v>0</v>
      </c>
      <c r="L153" t="n">
        <v>0</v>
      </c>
      <c r="M153" t="n">
        <v>0</v>
      </c>
      <c r="N153" t="n">
        <v>0</v>
      </c>
      <c r="O153" t="n">
        <v>0</v>
      </c>
      <c r="P153" t="n">
        <v>0</v>
      </c>
      <c r="Q153" t="n">
        <v>0</v>
      </c>
      <c r="R153" s="2" t="inlineStr"/>
    </row>
    <row r="154" ht="15" customHeight="1">
      <c r="A154" t="inlineStr">
        <is>
          <t>A 25715-2024</t>
        </is>
      </c>
      <c r="B154" s="1" t="n">
        <v>45463</v>
      </c>
      <c r="C154" s="1" t="n">
        <v>45989</v>
      </c>
      <c r="D154" t="inlineStr">
        <is>
          <t>NORRBOTTENS LÄN</t>
        </is>
      </c>
      <c r="E154" t="inlineStr">
        <is>
          <t>JOKKMOKK</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6777-2023</t>
        </is>
      </c>
      <c r="B155" s="1" t="n">
        <v>44966</v>
      </c>
      <c r="C155" s="1" t="n">
        <v>45989</v>
      </c>
      <c r="D155" t="inlineStr">
        <is>
          <t>NORRBOTTENS LÄN</t>
        </is>
      </c>
      <c r="E155" t="inlineStr">
        <is>
          <t>JOKKMOKK</t>
        </is>
      </c>
      <c r="G155" t="n">
        <v>2.2</v>
      </c>
      <c r="H155" t="n">
        <v>0</v>
      </c>
      <c r="I155" t="n">
        <v>0</v>
      </c>
      <c r="J155" t="n">
        <v>0</v>
      </c>
      <c r="K155" t="n">
        <v>0</v>
      </c>
      <c r="L155" t="n">
        <v>0</v>
      </c>
      <c r="M155" t="n">
        <v>0</v>
      </c>
      <c r="N155" t="n">
        <v>0</v>
      </c>
      <c r="O155" t="n">
        <v>0</v>
      </c>
      <c r="P155" t="n">
        <v>0</v>
      </c>
      <c r="Q155" t="n">
        <v>0</v>
      </c>
      <c r="R155" s="2" t="inlineStr"/>
    </row>
    <row r="156" ht="15" customHeight="1">
      <c r="A156" t="inlineStr">
        <is>
          <t>A 9852-2023</t>
        </is>
      </c>
      <c r="B156" s="1" t="n">
        <v>44984</v>
      </c>
      <c r="C156" s="1" t="n">
        <v>45989</v>
      </c>
      <c r="D156" t="inlineStr">
        <is>
          <t>NORRBOTTENS LÄN</t>
        </is>
      </c>
      <c r="E156" t="inlineStr">
        <is>
          <t>JOKKMOKK</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31535-2024</t>
        </is>
      </c>
      <c r="B157" s="1" t="n">
        <v>45505</v>
      </c>
      <c r="C157" s="1" t="n">
        <v>45989</v>
      </c>
      <c r="D157" t="inlineStr">
        <is>
          <t>NORRBOTTENS LÄN</t>
        </is>
      </c>
      <c r="E157" t="inlineStr">
        <is>
          <t>JOKKMOKK</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60193-2023</t>
        </is>
      </c>
      <c r="B158" s="1" t="n">
        <v>45258</v>
      </c>
      <c r="C158" s="1" t="n">
        <v>45989</v>
      </c>
      <c r="D158" t="inlineStr">
        <is>
          <t>NORRBOTTENS LÄN</t>
        </is>
      </c>
      <c r="E158" t="inlineStr">
        <is>
          <t>JOKKMOKK</t>
        </is>
      </c>
      <c r="F158" t="inlineStr">
        <is>
          <t>Allmännings- och besparingsskogar</t>
        </is>
      </c>
      <c r="G158" t="n">
        <v>11.1</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45989</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51336-2024</t>
        </is>
      </c>
      <c r="B160" s="1" t="n">
        <v>45604.34443287037</v>
      </c>
      <c r="C160" s="1" t="n">
        <v>45989</v>
      </c>
      <c r="D160" t="inlineStr">
        <is>
          <t>NORRBOTTENS LÄN</t>
        </is>
      </c>
      <c r="E160" t="inlineStr">
        <is>
          <t>JOKKMOKK</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24746-2025</t>
        </is>
      </c>
      <c r="B161" s="1" t="n">
        <v>45799.34662037037</v>
      </c>
      <c r="C161" s="1" t="n">
        <v>45989</v>
      </c>
      <c r="D161" t="inlineStr">
        <is>
          <t>NORRBOTTENS LÄN</t>
        </is>
      </c>
      <c r="E161" t="inlineStr">
        <is>
          <t>JOKKMOKK</t>
        </is>
      </c>
      <c r="F161" t="inlineStr">
        <is>
          <t>SCA</t>
        </is>
      </c>
      <c r="G161" t="n">
        <v>6.1</v>
      </c>
      <c r="H161" t="n">
        <v>0</v>
      </c>
      <c r="I161" t="n">
        <v>0</v>
      </c>
      <c r="J161" t="n">
        <v>0</v>
      </c>
      <c r="K161" t="n">
        <v>0</v>
      </c>
      <c r="L161" t="n">
        <v>0</v>
      </c>
      <c r="M161" t="n">
        <v>0</v>
      </c>
      <c r="N161" t="n">
        <v>0</v>
      </c>
      <c r="O161" t="n">
        <v>0</v>
      </c>
      <c r="P161" t="n">
        <v>0</v>
      </c>
      <c r="Q161" t="n">
        <v>0</v>
      </c>
      <c r="R161" s="2" t="inlineStr"/>
    </row>
    <row r="162" ht="15" customHeight="1">
      <c r="A162" t="inlineStr">
        <is>
          <t>A 38579-2025</t>
        </is>
      </c>
      <c r="B162" s="1" t="n">
        <v>45884.46925925926</v>
      </c>
      <c r="C162" s="1" t="n">
        <v>45989</v>
      </c>
      <c r="D162" t="inlineStr">
        <is>
          <t>NORRBOTTENS LÄN</t>
        </is>
      </c>
      <c r="E162" t="inlineStr">
        <is>
          <t>JOKKMOKK</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24740-2025</t>
        </is>
      </c>
      <c r="B163" s="1" t="n">
        <v>45799.34543981482</v>
      </c>
      <c r="C163" s="1" t="n">
        <v>45989</v>
      </c>
      <c r="D163" t="inlineStr">
        <is>
          <t>NORRBOTTENS LÄN</t>
        </is>
      </c>
      <c r="E163" t="inlineStr">
        <is>
          <t>JOKKMOKK</t>
        </is>
      </c>
      <c r="F163" t="inlineStr">
        <is>
          <t>SCA</t>
        </is>
      </c>
      <c r="G163" t="n">
        <v>5.9</v>
      </c>
      <c r="H163" t="n">
        <v>0</v>
      </c>
      <c r="I163" t="n">
        <v>0</v>
      </c>
      <c r="J163" t="n">
        <v>0</v>
      </c>
      <c r="K163" t="n">
        <v>0</v>
      </c>
      <c r="L163" t="n">
        <v>0</v>
      </c>
      <c r="M163" t="n">
        <v>0</v>
      </c>
      <c r="N163" t="n">
        <v>0</v>
      </c>
      <c r="O163" t="n">
        <v>0</v>
      </c>
      <c r="P163" t="n">
        <v>0</v>
      </c>
      <c r="Q163" t="n">
        <v>0</v>
      </c>
      <c r="R163" s="2" t="inlineStr"/>
    </row>
    <row r="164" ht="15" customHeight="1">
      <c r="A164" t="inlineStr">
        <is>
          <t>A 24743-2025</t>
        </is>
      </c>
      <c r="B164" s="1" t="n">
        <v>45799.34598379629</v>
      </c>
      <c r="C164" s="1" t="n">
        <v>45989</v>
      </c>
      <c r="D164" t="inlineStr">
        <is>
          <t>NORRBOTTENS LÄN</t>
        </is>
      </c>
      <c r="E164" t="inlineStr">
        <is>
          <t>JOKKMOKK</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9349-2023</t>
        </is>
      </c>
      <c r="B165" s="1" t="n">
        <v>44980</v>
      </c>
      <c r="C165" s="1" t="n">
        <v>45989</v>
      </c>
      <c r="D165" t="inlineStr">
        <is>
          <t>NORRBOTTENS LÄN</t>
        </is>
      </c>
      <c r="E165" t="inlineStr">
        <is>
          <t>JOKKMOKK</t>
        </is>
      </c>
      <c r="F165" t="inlineStr">
        <is>
          <t>SCA</t>
        </is>
      </c>
      <c r="G165" t="n">
        <v>5.2</v>
      </c>
      <c r="H165" t="n">
        <v>0</v>
      </c>
      <c r="I165" t="n">
        <v>0</v>
      </c>
      <c r="J165" t="n">
        <v>0</v>
      </c>
      <c r="K165" t="n">
        <v>0</v>
      </c>
      <c r="L165" t="n">
        <v>0</v>
      </c>
      <c r="M165" t="n">
        <v>0</v>
      </c>
      <c r="N165" t="n">
        <v>0</v>
      </c>
      <c r="O165" t="n">
        <v>0</v>
      </c>
      <c r="P165" t="n">
        <v>0</v>
      </c>
      <c r="Q165" t="n">
        <v>0</v>
      </c>
      <c r="R165" s="2" t="inlineStr"/>
    </row>
    <row r="166" ht="15" customHeight="1">
      <c r="A166" t="inlineStr">
        <is>
          <t>A 9351-2023</t>
        </is>
      </c>
      <c r="B166" s="1" t="n">
        <v>44980</v>
      </c>
      <c r="C166" s="1" t="n">
        <v>45989</v>
      </c>
      <c r="D166" t="inlineStr">
        <is>
          <t>NORRBOTTENS LÄN</t>
        </is>
      </c>
      <c r="E166" t="inlineStr">
        <is>
          <t>JOKKMOKK</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56412-2021</t>
        </is>
      </c>
      <c r="B167" s="1" t="n">
        <v>44477</v>
      </c>
      <c r="C167" s="1" t="n">
        <v>45989</v>
      </c>
      <c r="D167" t="inlineStr">
        <is>
          <t>NORRBOTTENS LÄN</t>
        </is>
      </c>
      <c r="E167" t="inlineStr">
        <is>
          <t>JOKKMOKK</t>
        </is>
      </c>
      <c r="G167" t="n">
        <v>2.5</v>
      </c>
      <c r="H167" t="n">
        <v>0</v>
      </c>
      <c r="I167" t="n">
        <v>0</v>
      </c>
      <c r="J167" t="n">
        <v>0</v>
      </c>
      <c r="K167" t="n">
        <v>0</v>
      </c>
      <c r="L167" t="n">
        <v>0</v>
      </c>
      <c r="M167" t="n">
        <v>0</v>
      </c>
      <c r="N167" t="n">
        <v>0</v>
      </c>
      <c r="O167" t="n">
        <v>0</v>
      </c>
      <c r="P167" t="n">
        <v>0</v>
      </c>
      <c r="Q167" t="n">
        <v>0</v>
      </c>
      <c r="R167" s="2" t="inlineStr"/>
    </row>
    <row r="168" ht="15" customHeight="1">
      <c r="A168" t="inlineStr">
        <is>
          <t>A 45512-2022</t>
        </is>
      </c>
      <c r="B168" s="1" t="n">
        <v>44841</v>
      </c>
      <c r="C168" s="1" t="n">
        <v>45989</v>
      </c>
      <c r="D168" t="inlineStr">
        <is>
          <t>NORRBOTTENS LÄN</t>
        </is>
      </c>
      <c r="E168" t="inlineStr">
        <is>
          <t>JOKKMOKK</t>
        </is>
      </c>
      <c r="F168" t="inlineStr">
        <is>
          <t>Övriga Aktiebolag</t>
        </is>
      </c>
      <c r="G168" t="n">
        <v>0.6</v>
      </c>
      <c r="H168" t="n">
        <v>0</v>
      </c>
      <c r="I168" t="n">
        <v>0</v>
      </c>
      <c r="J168" t="n">
        <v>0</v>
      </c>
      <c r="K168" t="n">
        <v>0</v>
      </c>
      <c r="L168" t="n">
        <v>0</v>
      </c>
      <c r="M168" t="n">
        <v>0</v>
      </c>
      <c r="N168" t="n">
        <v>0</v>
      </c>
      <c r="O168" t="n">
        <v>0</v>
      </c>
      <c r="P168" t="n">
        <v>0</v>
      </c>
      <c r="Q168" t="n">
        <v>0</v>
      </c>
      <c r="R168" s="2" t="inlineStr"/>
    </row>
    <row r="169" ht="15" customHeight="1">
      <c r="A169" t="inlineStr">
        <is>
          <t>A 38223-2025</t>
        </is>
      </c>
      <c r="B169" s="1" t="n">
        <v>45883</v>
      </c>
      <c r="C169" s="1" t="n">
        <v>45989</v>
      </c>
      <c r="D169" t="inlineStr">
        <is>
          <t>NORRBOTTENS LÄN</t>
        </is>
      </c>
      <c r="E169" t="inlineStr">
        <is>
          <t>JOKKMOKK</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38228-2025</t>
        </is>
      </c>
      <c r="B170" s="1" t="n">
        <v>45883.34554398148</v>
      </c>
      <c r="C170" s="1" t="n">
        <v>45989</v>
      </c>
      <c r="D170" t="inlineStr">
        <is>
          <t>NORRBOTTENS LÄN</t>
        </is>
      </c>
      <c r="E170" t="inlineStr">
        <is>
          <t>JOKKMOKK</t>
        </is>
      </c>
      <c r="F170" t="inlineStr">
        <is>
          <t>SCA</t>
        </is>
      </c>
      <c r="G170" t="n">
        <v>14.5</v>
      </c>
      <c r="H170" t="n">
        <v>0</v>
      </c>
      <c r="I170" t="n">
        <v>0</v>
      </c>
      <c r="J170" t="n">
        <v>0</v>
      </c>
      <c r="K170" t="n">
        <v>0</v>
      </c>
      <c r="L170" t="n">
        <v>0</v>
      </c>
      <c r="M170" t="n">
        <v>0</v>
      </c>
      <c r="N170" t="n">
        <v>0</v>
      </c>
      <c r="O170" t="n">
        <v>0</v>
      </c>
      <c r="P170" t="n">
        <v>0</v>
      </c>
      <c r="Q170" t="n">
        <v>0</v>
      </c>
      <c r="R170" s="2" t="inlineStr"/>
    </row>
    <row r="171" ht="15" customHeight="1">
      <c r="A171" t="inlineStr">
        <is>
          <t>A 60418-2023</t>
        </is>
      </c>
      <c r="B171" s="1" t="n">
        <v>45259.49666666667</v>
      </c>
      <c r="C171" s="1" t="n">
        <v>45989</v>
      </c>
      <c r="D171" t="inlineStr">
        <is>
          <t>NORRBOTTENS LÄN</t>
        </is>
      </c>
      <c r="E171" t="inlineStr">
        <is>
          <t>JOKKMOKK</t>
        </is>
      </c>
      <c r="F171" t="inlineStr">
        <is>
          <t>Allmännings- och besparingsskogar</t>
        </is>
      </c>
      <c r="G171" t="n">
        <v>12.7</v>
      </c>
      <c r="H171" t="n">
        <v>0</v>
      </c>
      <c r="I171" t="n">
        <v>0</v>
      </c>
      <c r="J171" t="n">
        <v>0</v>
      </c>
      <c r="K171" t="n">
        <v>0</v>
      </c>
      <c r="L171" t="n">
        <v>0</v>
      </c>
      <c r="M171" t="n">
        <v>0</v>
      </c>
      <c r="N171" t="n">
        <v>0</v>
      </c>
      <c r="O171" t="n">
        <v>0</v>
      </c>
      <c r="P171" t="n">
        <v>0</v>
      </c>
      <c r="Q171" t="n">
        <v>0</v>
      </c>
      <c r="R171" s="2" t="inlineStr"/>
    </row>
    <row r="172" ht="15" customHeight="1">
      <c r="A172" t="inlineStr">
        <is>
          <t>A 9878-2023</t>
        </is>
      </c>
      <c r="B172" s="1" t="n">
        <v>44984</v>
      </c>
      <c r="C172" s="1" t="n">
        <v>45989</v>
      </c>
      <c r="D172" t="inlineStr">
        <is>
          <t>NORRBOTTENS LÄN</t>
        </is>
      </c>
      <c r="E172" t="inlineStr">
        <is>
          <t>JOKKMOKK</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60164-2023</t>
        </is>
      </c>
      <c r="B173" s="1" t="n">
        <v>45258</v>
      </c>
      <c r="C173" s="1" t="n">
        <v>45989</v>
      </c>
      <c r="D173" t="inlineStr">
        <is>
          <t>NORRBOTTENS LÄN</t>
        </is>
      </c>
      <c r="E173" t="inlineStr">
        <is>
          <t>JOKKMOKK</t>
        </is>
      </c>
      <c r="F173" t="inlineStr">
        <is>
          <t>Allmännings- och besparingsskogar</t>
        </is>
      </c>
      <c r="G173" t="n">
        <v>14.3</v>
      </c>
      <c r="H173" t="n">
        <v>0</v>
      </c>
      <c r="I173" t="n">
        <v>0</v>
      </c>
      <c r="J173" t="n">
        <v>0</v>
      </c>
      <c r="K173" t="n">
        <v>0</v>
      </c>
      <c r="L173" t="n">
        <v>0</v>
      </c>
      <c r="M173" t="n">
        <v>0</v>
      </c>
      <c r="N173" t="n">
        <v>0</v>
      </c>
      <c r="O173" t="n">
        <v>0</v>
      </c>
      <c r="P173" t="n">
        <v>0</v>
      </c>
      <c r="Q173" t="n">
        <v>0</v>
      </c>
      <c r="R173" s="2" t="inlineStr"/>
    </row>
    <row r="174" ht="15" customHeight="1">
      <c r="A174" t="inlineStr">
        <is>
          <t>A 49562-2024</t>
        </is>
      </c>
      <c r="B174" s="1" t="n">
        <v>45596</v>
      </c>
      <c r="C174" s="1" t="n">
        <v>45989</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49953-2024</t>
        </is>
      </c>
      <c r="B175" s="1" t="n">
        <v>45597</v>
      </c>
      <c r="C175" s="1" t="n">
        <v>45989</v>
      </c>
      <c r="D175" t="inlineStr">
        <is>
          <t>NORRBOTTENS LÄN</t>
        </is>
      </c>
      <c r="E175" t="inlineStr">
        <is>
          <t>JOKKMOKK</t>
        </is>
      </c>
      <c r="F175" t="inlineStr">
        <is>
          <t>Allmännings- och besparingsskogar</t>
        </is>
      </c>
      <c r="G175" t="n">
        <v>9.4</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45989</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37828-2024</t>
        </is>
      </c>
      <c r="B177" s="1" t="n">
        <v>45544</v>
      </c>
      <c r="C177" s="1" t="n">
        <v>45989</v>
      </c>
      <c r="D177" t="inlineStr">
        <is>
          <t>NORRBOTTENS LÄN</t>
        </is>
      </c>
      <c r="E177" t="inlineStr">
        <is>
          <t>JOKKMOKK</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52130-2024</t>
        </is>
      </c>
      <c r="B178" s="1" t="n">
        <v>45608</v>
      </c>
      <c r="C178" s="1" t="n">
        <v>45989</v>
      </c>
      <c r="D178" t="inlineStr">
        <is>
          <t>NORRBOTTENS LÄN</t>
        </is>
      </c>
      <c r="E178" t="inlineStr">
        <is>
          <t>JOKKMOKK</t>
        </is>
      </c>
      <c r="G178" t="n">
        <v>84</v>
      </c>
      <c r="H178" t="n">
        <v>0</v>
      </c>
      <c r="I178" t="n">
        <v>0</v>
      </c>
      <c r="J178" t="n">
        <v>0</v>
      </c>
      <c r="K178" t="n">
        <v>0</v>
      </c>
      <c r="L178" t="n">
        <v>0</v>
      </c>
      <c r="M178" t="n">
        <v>0</v>
      </c>
      <c r="N178" t="n">
        <v>0</v>
      </c>
      <c r="O178" t="n">
        <v>0</v>
      </c>
      <c r="P178" t="n">
        <v>0</v>
      </c>
      <c r="Q178" t="n">
        <v>0</v>
      </c>
      <c r="R178" s="2" t="inlineStr"/>
    </row>
    <row r="179" ht="15" customHeight="1">
      <c r="A179" t="inlineStr">
        <is>
          <t>A 18602-2024</t>
        </is>
      </c>
      <c r="B179" s="1" t="n">
        <v>45425</v>
      </c>
      <c r="C179" s="1" t="n">
        <v>45989</v>
      </c>
      <c r="D179" t="inlineStr">
        <is>
          <t>NORRBOTTENS LÄN</t>
        </is>
      </c>
      <c r="E179" t="inlineStr">
        <is>
          <t>JOKKMOKK</t>
        </is>
      </c>
      <c r="G179" t="n">
        <v>4.6</v>
      </c>
      <c r="H179" t="n">
        <v>0</v>
      </c>
      <c r="I179" t="n">
        <v>0</v>
      </c>
      <c r="J179" t="n">
        <v>0</v>
      </c>
      <c r="K179" t="n">
        <v>0</v>
      </c>
      <c r="L179" t="n">
        <v>0</v>
      </c>
      <c r="M179" t="n">
        <v>0</v>
      </c>
      <c r="N179" t="n">
        <v>0</v>
      </c>
      <c r="O179" t="n">
        <v>0</v>
      </c>
      <c r="P179" t="n">
        <v>0</v>
      </c>
      <c r="Q179" t="n">
        <v>0</v>
      </c>
      <c r="R179" s="2" t="inlineStr"/>
    </row>
    <row r="180" ht="15" customHeight="1">
      <c r="A180" t="inlineStr">
        <is>
          <t>A 55635-2024</t>
        </is>
      </c>
      <c r="B180" s="1" t="n">
        <v>45622</v>
      </c>
      <c r="C180" s="1" t="n">
        <v>45989</v>
      </c>
      <c r="D180" t="inlineStr">
        <is>
          <t>NORRBOTTENS LÄN</t>
        </is>
      </c>
      <c r="E180" t="inlineStr">
        <is>
          <t>JOKKMOKK</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30399-2024</t>
        </is>
      </c>
      <c r="B181" s="1" t="n">
        <v>45491</v>
      </c>
      <c r="C181" s="1" t="n">
        <v>45989</v>
      </c>
      <c r="D181" t="inlineStr">
        <is>
          <t>NORRBOTTENS LÄN</t>
        </is>
      </c>
      <c r="E181" t="inlineStr">
        <is>
          <t>JOKKMOKK</t>
        </is>
      </c>
      <c r="G181" t="n">
        <v>4.6</v>
      </c>
      <c r="H181" t="n">
        <v>0</v>
      </c>
      <c r="I181" t="n">
        <v>0</v>
      </c>
      <c r="J181" t="n">
        <v>0</v>
      </c>
      <c r="K181" t="n">
        <v>0</v>
      </c>
      <c r="L181" t="n">
        <v>0</v>
      </c>
      <c r="M181" t="n">
        <v>0</v>
      </c>
      <c r="N181" t="n">
        <v>0</v>
      </c>
      <c r="O181" t="n">
        <v>0</v>
      </c>
      <c r="P181" t="n">
        <v>0</v>
      </c>
      <c r="Q181" t="n">
        <v>0</v>
      </c>
      <c r="R181" s="2" t="inlineStr"/>
    </row>
    <row r="182" ht="15" customHeight="1">
      <c r="A182" t="inlineStr">
        <is>
          <t>A 35675-2024</t>
        </is>
      </c>
      <c r="B182" s="1" t="n">
        <v>45532</v>
      </c>
      <c r="C182" s="1" t="n">
        <v>45989</v>
      </c>
      <c r="D182" t="inlineStr">
        <is>
          <t>NORRBOTTENS LÄN</t>
        </is>
      </c>
      <c r="E182" t="inlineStr">
        <is>
          <t>JOKKMOKK</t>
        </is>
      </c>
      <c r="G182" t="n">
        <v>1.4</v>
      </c>
      <c r="H182" t="n">
        <v>0</v>
      </c>
      <c r="I182" t="n">
        <v>0</v>
      </c>
      <c r="J182" t="n">
        <v>0</v>
      </c>
      <c r="K182" t="n">
        <v>0</v>
      </c>
      <c r="L182" t="n">
        <v>0</v>
      </c>
      <c r="M182" t="n">
        <v>0</v>
      </c>
      <c r="N182" t="n">
        <v>0</v>
      </c>
      <c r="O182" t="n">
        <v>0</v>
      </c>
      <c r="P182" t="n">
        <v>0</v>
      </c>
      <c r="Q182" t="n">
        <v>0</v>
      </c>
      <c r="R182" s="2" t="inlineStr"/>
    </row>
    <row r="183" ht="15" customHeight="1">
      <c r="A183" t="inlineStr">
        <is>
          <t>A 61640-2024</t>
        </is>
      </c>
      <c r="B183" s="1" t="n">
        <v>45646.68362268519</v>
      </c>
      <c r="C183" s="1" t="n">
        <v>45989</v>
      </c>
      <c r="D183" t="inlineStr">
        <is>
          <t>NORRBOTTENS LÄN</t>
        </is>
      </c>
      <c r="E183" t="inlineStr">
        <is>
          <t>JOKKMOKK</t>
        </is>
      </c>
      <c r="G183" t="n">
        <v>10.6</v>
      </c>
      <c r="H183" t="n">
        <v>0</v>
      </c>
      <c r="I183" t="n">
        <v>0</v>
      </c>
      <c r="J183" t="n">
        <v>0</v>
      </c>
      <c r="K183" t="n">
        <v>0</v>
      </c>
      <c r="L183" t="n">
        <v>0</v>
      </c>
      <c r="M183" t="n">
        <v>0</v>
      </c>
      <c r="N183" t="n">
        <v>0</v>
      </c>
      <c r="O183" t="n">
        <v>0</v>
      </c>
      <c r="P183" t="n">
        <v>0</v>
      </c>
      <c r="Q183" t="n">
        <v>0</v>
      </c>
      <c r="R183" s="2" t="inlineStr"/>
    </row>
    <row r="184" ht="15" customHeight="1">
      <c r="A184" t="inlineStr">
        <is>
          <t>A 61641-2024</t>
        </is>
      </c>
      <c r="B184" s="1" t="n">
        <v>45646</v>
      </c>
      <c r="C184" s="1" t="n">
        <v>45989</v>
      </c>
      <c r="D184" t="inlineStr">
        <is>
          <t>NORRBOTTENS LÄN</t>
        </is>
      </c>
      <c r="E184" t="inlineStr">
        <is>
          <t>JOKKMOKK</t>
        </is>
      </c>
      <c r="G184" t="n">
        <v>3.2</v>
      </c>
      <c r="H184" t="n">
        <v>0</v>
      </c>
      <c r="I184" t="n">
        <v>0</v>
      </c>
      <c r="J184" t="n">
        <v>0</v>
      </c>
      <c r="K184" t="n">
        <v>0</v>
      </c>
      <c r="L184" t="n">
        <v>0</v>
      </c>
      <c r="M184" t="n">
        <v>0</v>
      </c>
      <c r="N184" t="n">
        <v>0</v>
      </c>
      <c r="O184" t="n">
        <v>0</v>
      </c>
      <c r="P184" t="n">
        <v>0</v>
      </c>
      <c r="Q184" t="n">
        <v>0</v>
      </c>
      <c r="R184" s="2" t="inlineStr"/>
    </row>
    <row r="185" ht="15" customHeight="1">
      <c r="A185" t="inlineStr">
        <is>
          <t>A 39846-2025</t>
        </is>
      </c>
      <c r="B185" s="1" t="n">
        <v>45891.58376157407</v>
      </c>
      <c r="C185" s="1" t="n">
        <v>45989</v>
      </c>
      <c r="D185" t="inlineStr">
        <is>
          <t>NORRBOTTENS LÄN</t>
        </is>
      </c>
      <c r="E185" t="inlineStr">
        <is>
          <t>JOKKMOKK</t>
        </is>
      </c>
      <c r="F185" t="inlineStr">
        <is>
          <t>Sveaskog</t>
        </is>
      </c>
      <c r="G185" t="n">
        <v>7.1</v>
      </c>
      <c r="H185" t="n">
        <v>0</v>
      </c>
      <c r="I185" t="n">
        <v>0</v>
      </c>
      <c r="J185" t="n">
        <v>0</v>
      </c>
      <c r="K185" t="n">
        <v>0</v>
      </c>
      <c r="L185" t="n">
        <v>0</v>
      </c>
      <c r="M185" t="n">
        <v>0</v>
      </c>
      <c r="N185" t="n">
        <v>0</v>
      </c>
      <c r="O185" t="n">
        <v>0</v>
      </c>
      <c r="P185" t="n">
        <v>0</v>
      </c>
      <c r="Q185" t="n">
        <v>0</v>
      </c>
      <c r="R185" s="2" t="inlineStr"/>
    </row>
    <row r="186" ht="15" customHeight="1">
      <c r="A186" t="inlineStr">
        <is>
          <t>A 40658-2024</t>
        </is>
      </c>
      <c r="B186" s="1" t="n">
        <v>45558</v>
      </c>
      <c r="C186" s="1" t="n">
        <v>45989</v>
      </c>
      <c r="D186" t="inlineStr">
        <is>
          <t>NORRBOTTENS LÄN</t>
        </is>
      </c>
      <c r="E186" t="inlineStr">
        <is>
          <t>JOKKMOKK</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34598-2024</t>
        </is>
      </c>
      <c r="B187" s="1" t="n">
        <v>45526.39714120371</v>
      </c>
      <c r="C187" s="1" t="n">
        <v>45989</v>
      </c>
      <c r="D187" t="inlineStr">
        <is>
          <t>NORRBOTTENS LÄN</t>
        </is>
      </c>
      <c r="E187" t="inlineStr">
        <is>
          <t>JOKKMOKK</t>
        </is>
      </c>
      <c r="G187" t="n">
        <v>2.5</v>
      </c>
      <c r="H187" t="n">
        <v>0</v>
      </c>
      <c r="I187" t="n">
        <v>0</v>
      </c>
      <c r="J187" t="n">
        <v>0</v>
      </c>
      <c r="K187" t="n">
        <v>0</v>
      </c>
      <c r="L187" t="n">
        <v>0</v>
      </c>
      <c r="M187" t="n">
        <v>0</v>
      </c>
      <c r="N187" t="n">
        <v>0</v>
      </c>
      <c r="O187" t="n">
        <v>0</v>
      </c>
      <c r="P187" t="n">
        <v>0</v>
      </c>
      <c r="Q187" t="n">
        <v>0</v>
      </c>
      <c r="R187" s="2" t="inlineStr"/>
    </row>
    <row r="188" ht="15" customHeight="1">
      <c r="A188" t="inlineStr">
        <is>
          <t>A 13863-2025</t>
        </is>
      </c>
      <c r="B188" s="1" t="n">
        <v>45737.57435185185</v>
      </c>
      <c r="C188" s="1" t="n">
        <v>45989</v>
      </c>
      <c r="D188" t="inlineStr">
        <is>
          <t>NORRBOTTENS LÄN</t>
        </is>
      </c>
      <c r="E188" t="inlineStr">
        <is>
          <t>JOKKMOKK</t>
        </is>
      </c>
      <c r="G188" t="n">
        <v>0.9</v>
      </c>
      <c r="H188" t="n">
        <v>0</v>
      </c>
      <c r="I188" t="n">
        <v>0</v>
      </c>
      <c r="J188" t="n">
        <v>0</v>
      </c>
      <c r="K188" t="n">
        <v>0</v>
      </c>
      <c r="L188" t="n">
        <v>0</v>
      </c>
      <c r="M188" t="n">
        <v>0</v>
      </c>
      <c r="N188" t="n">
        <v>0</v>
      </c>
      <c r="O188" t="n">
        <v>0</v>
      </c>
      <c r="P188" t="n">
        <v>0</v>
      </c>
      <c r="Q188" t="n">
        <v>0</v>
      </c>
      <c r="R188" s="2" t="inlineStr"/>
    </row>
    <row r="189" ht="15" customHeight="1">
      <c r="A189" t="inlineStr">
        <is>
          <t>A 13864-2025</t>
        </is>
      </c>
      <c r="B189" s="1" t="n">
        <v>45737.57438657407</v>
      </c>
      <c r="C189" s="1" t="n">
        <v>45989</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425-2025</t>
        </is>
      </c>
      <c r="B190" s="1" t="n">
        <v>45664.34549768519</v>
      </c>
      <c r="C190" s="1" t="n">
        <v>45989</v>
      </c>
      <c r="D190" t="inlineStr">
        <is>
          <t>NORRBOTTENS LÄN</t>
        </is>
      </c>
      <c r="E190" t="inlineStr">
        <is>
          <t>JOKKMOKK</t>
        </is>
      </c>
      <c r="F190" t="inlineStr">
        <is>
          <t>Övriga statliga verk och myndigheter</t>
        </is>
      </c>
      <c r="G190" t="n">
        <v>36.5</v>
      </c>
      <c r="H190" t="n">
        <v>0</v>
      </c>
      <c r="I190" t="n">
        <v>0</v>
      </c>
      <c r="J190" t="n">
        <v>0</v>
      </c>
      <c r="K190" t="n">
        <v>0</v>
      </c>
      <c r="L190" t="n">
        <v>0</v>
      </c>
      <c r="M190" t="n">
        <v>0</v>
      </c>
      <c r="N190" t="n">
        <v>0</v>
      </c>
      <c r="O190" t="n">
        <v>0</v>
      </c>
      <c r="P190" t="n">
        <v>0</v>
      </c>
      <c r="Q190" t="n">
        <v>0</v>
      </c>
      <c r="R190" s="2" t="inlineStr"/>
    </row>
    <row r="191" ht="15" customHeight="1">
      <c r="A191" t="inlineStr">
        <is>
          <t>A 457-2025</t>
        </is>
      </c>
      <c r="B191" s="1" t="n">
        <v>45664</v>
      </c>
      <c r="C191" s="1" t="n">
        <v>45989</v>
      </c>
      <c r="D191" t="inlineStr">
        <is>
          <t>NORRBOTTENS LÄN</t>
        </is>
      </c>
      <c r="E191" t="inlineStr">
        <is>
          <t>JOKKMOKK</t>
        </is>
      </c>
      <c r="F191" t="inlineStr">
        <is>
          <t>Övriga statliga verk och myndigheter</t>
        </is>
      </c>
      <c r="G191" t="n">
        <v>8</v>
      </c>
      <c r="H191" t="n">
        <v>0</v>
      </c>
      <c r="I191" t="n">
        <v>0</v>
      </c>
      <c r="J191" t="n">
        <v>0</v>
      </c>
      <c r="K191" t="n">
        <v>0</v>
      </c>
      <c r="L191" t="n">
        <v>0</v>
      </c>
      <c r="M191" t="n">
        <v>0</v>
      </c>
      <c r="N191" t="n">
        <v>0</v>
      </c>
      <c r="O191" t="n">
        <v>0</v>
      </c>
      <c r="P191" t="n">
        <v>0</v>
      </c>
      <c r="Q191" t="n">
        <v>0</v>
      </c>
      <c r="R191" s="2" t="inlineStr"/>
    </row>
    <row r="192" ht="15" customHeight="1">
      <c r="A192" t="inlineStr">
        <is>
          <t>A 48645-2025</t>
        </is>
      </c>
      <c r="B192" s="1" t="n">
        <v>45935</v>
      </c>
      <c r="C192" s="1" t="n">
        <v>45989</v>
      </c>
      <c r="D192" t="inlineStr">
        <is>
          <t>NORRBOTTENS LÄN</t>
        </is>
      </c>
      <c r="E192" t="inlineStr">
        <is>
          <t>JOKKMOKK</t>
        </is>
      </c>
      <c r="F192" t="inlineStr">
        <is>
          <t>SCA</t>
        </is>
      </c>
      <c r="G192" t="n">
        <v>9.1</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45989</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27685-2025</t>
        </is>
      </c>
      <c r="B194" s="1" t="n">
        <v>45813.65023148148</v>
      </c>
      <c r="C194" s="1" t="n">
        <v>45989</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30401-2024</t>
        </is>
      </c>
      <c r="B195" s="1" t="n">
        <v>45491</v>
      </c>
      <c r="C195" s="1" t="n">
        <v>45989</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40756-2025</t>
        </is>
      </c>
      <c r="B196" s="1" t="n">
        <v>45897.38686342593</v>
      </c>
      <c r="C196" s="1" t="n">
        <v>45989</v>
      </c>
      <c r="D196" t="inlineStr">
        <is>
          <t>NORRBOTTENS LÄN</t>
        </is>
      </c>
      <c r="E196" t="inlineStr">
        <is>
          <t>JOKKMOKK</t>
        </is>
      </c>
      <c r="G196" t="n">
        <v>24.7</v>
      </c>
      <c r="H196" t="n">
        <v>0</v>
      </c>
      <c r="I196" t="n">
        <v>0</v>
      </c>
      <c r="J196" t="n">
        <v>0</v>
      </c>
      <c r="K196" t="n">
        <v>0</v>
      </c>
      <c r="L196" t="n">
        <v>0</v>
      </c>
      <c r="M196" t="n">
        <v>0</v>
      </c>
      <c r="N196" t="n">
        <v>0</v>
      </c>
      <c r="O196" t="n">
        <v>0</v>
      </c>
      <c r="P196" t="n">
        <v>0</v>
      </c>
      <c r="Q196" t="n">
        <v>0</v>
      </c>
      <c r="R196" s="2" t="inlineStr"/>
    </row>
    <row r="197" ht="15" customHeight="1">
      <c r="A197" t="inlineStr">
        <is>
          <t>A 40779-2025</t>
        </is>
      </c>
      <c r="B197" s="1" t="n">
        <v>45897</v>
      </c>
      <c r="C197" s="1" t="n">
        <v>45989</v>
      </c>
      <c r="D197" t="inlineStr">
        <is>
          <t>NORRBOTTENS LÄN</t>
        </is>
      </c>
      <c r="E197" t="inlineStr">
        <is>
          <t>JOKKMOKK</t>
        </is>
      </c>
      <c r="F197" t="inlineStr">
        <is>
          <t>Sveaskog</t>
        </is>
      </c>
      <c r="G197" t="n">
        <v>53.8</v>
      </c>
      <c r="H197" t="n">
        <v>0</v>
      </c>
      <c r="I197" t="n">
        <v>0</v>
      </c>
      <c r="J197" t="n">
        <v>0</v>
      </c>
      <c r="K197" t="n">
        <v>0</v>
      </c>
      <c r="L197" t="n">
        <v>0</v>
      </c>
      <c r="M197" t="n">
        <v>0</v>
      </c>
      <c r="N197" t="n">
        <v>0</v>
      </c>
      <c r="O197" t="n">
        <v>0</v>
      </c>
      <c r="P197" t="n">
        <v>0</v>
      </c>
      <c r="Q197" t="n">
        <v>0</v>
      </c>
      <c r="R197" s="2" t="inlineStr"/>
    </row>
    <row r="198" ht="15" customHeight="1">
      <c r="A198" t="inlineStr">
        <is>
          <t>A 48339-2024</t>
        </is>
      </c>
      <c r="B198" s="1" t="n">
        <v>45590</v>
      </c>
      <c r="C198" s="1" t="n">
        <v>45989</v>
      </c>
      <c r="D198" t="inlineStr">
        <is>
          <t>NORRBOTTENS LÄN</t>
        </is>
      </c>
      <c r="E198" t="inlineStr">
        <is>
          <t>JOKKMOKK</t>
        </is>
      </c>
      <c r="F198" t="inlineStr">
        <is>
          <t>Allmännings- och besparingsskogar</t>
        </is>
      </c>
      <c r="G198" t="n">
        <v>24.9</v>
      </c>
      <c r="H198" t="n">
        <v>0</v>
      </c>
      <c r="I198" t="n">
        <v>0</v>
      </c>
      <c r="J198" t="n">
        <v>0</v>
      </c>
      <c r="K198" t="n">
        <v>0</v>
      </c>
      <c r="L198" t="n">
        <v>0</v>
      </c>
      <c r="M198" t="n">
        <v>0</v>
      </c>
      <c r="N198" t="n">
        <v>0</v>
      </c>
      <c r="O198" t="n">
        <v>0</v>
      </c>
      <c r="P198" t="n">
        <v>0</v>
      </c>
      <c r="Q198" t="n">
        <v>0</v>
      </c>
      <c r="R198" s="2" t="inlineStr"/>
    </row>
    <row r="199" ht="15" customHeight="1">
      <c r="A199" t="inlineStr">
        <is>
          <t>A 40808-2025</t>
        </is>
      </c>
      <c r="B199" s="1" t="n">
        <v>45897.46922453704</v>
      </c>
      <c r="C199" s="1" t="n">
        <v>45989</v>
      </c>
      <c r="D199" t="inlineStr">
        <is>
          <t>NORRBOTTENS LÄN</t>
        </is>
      </c>
      <c r="E199" t="inlineStr">
        <is>
          <t>JOKKMOKK</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44145-2024</t>
        </is>
      </c>
      <c r="B200" s="1" t="n">
        <v>45572.66908564815</v>
      </c>
      <c r="C200" s="1" t="n">
        <v>45989</v>
      </c>
      <c r="D200" t="inlineStr">
        <is>
          <t>NORRBOTTENS LÄN</t>
        </is>
      </c>
      <c r="E200" t="inlineStr">
        <is>
          <t>JOKKMOKK</t>
        </is>
      </c>
      <c r="F200" t="inlineStr">
        <is>
          <t>Sveaskog</t>
        </is>
      </c>
      <c r="G200" t="n">
        <v>4.7</v>
      </c>
      <c r="H200" t="n">
        <v>0</v>
      </c>
      <c r="I200" t="n">
        <v>0</v>
      </c>
      <c r="J200" t="n">
        <v>0</v>
      </c>
      <c r="K200" t="n">
        <v>0</v>
      </c>
      <c r="L200" t="n">
        <v>0</v>
      </c>
      <c r="M200" t="n">
        <v>0</v>
      </c>
      <c r="N200" t="n">
        <v>0</v>
      </c>
      <c r="O200" t="n">
        <v>0</v>
      </c>
      <c r="P200" t="n">
        <v>0</v>
      </c>
      <c r="Q200" t="n">
        <v>0</v>
      </c>
      <c r="R200" s="2" t="inlineStr"/>
    </row>
    <row r="201" ht="15" customHeight="1">
      <c r="A201" t="inlineStr">
        <is>
          <t>A 16847-2023</t>
        </is>
      </c>
      <c r="B201" s="1" t="n">
        <v>45028</v>
      </c>
      <c r="C201" s="1" t="n">
        <v>45989</v>
      </c>
      <c r="D201" t="inlineStr">
        <is>
          <t>NORRBOTTENS LÄN</t>
        </is>
      </c>
      <c r="E201" t="inlineStr">
        <is>
          <t>JOKKMOKK</t>
        </is>
      </c>
      <c r="G201" t="n">
        <v>7.3</v>
      </c>
      <c r="H201" t="n">
        <v>0</v>
      </c>
      <c r="I201" t="n">
        <v>0</v>
      </c>
      <c r="J201" t="n">
        <v>0</v>
      </c>
      <c r="K201" t="n">
        <v>0</v>
      </c>
      <c r="L201" t="n">
        <v>0</v>
      </c>
      <c r="M201" t="n">
        <v>0</v>
      </c>
      <c r="N201" t="n">
        <v>0</v>
      </c>
      <c r="O201" t="n">
        <v>0</v>
      </c>
      <c r="P201" t="n">
        <v>0</v>
      </c>
      <c r="Q201" t="n">
        <v>0</v>
      </c>
      <c r="R201" s="2" t="inlineStr"/>
    </row>
    <row r="202" ht="15" customHeight="1">
      <c r="A202" t="inlineStr">
        <is>
          <t>A 41403-2025</t>
        </is>
      </c>
      <c r="B202" s="1" t="n">
        <v>45901.344375</v>
      </c>
      <c r="C202" s="1" t="n">
        <v>45989</v>
      </c>
      <c r="D202" t="inlineStr">
        <is>
          <t>NORRBOTTENS LÄN</t>
        </is>
      </c>
      <c r="E202" t="inlineStr">
        <is>
          <t>JOKKMOKK</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28591-2025</t>
        </is>
      </c>
      <c r="B203" s="1" t="n">
        <v>45819.59027777778</v>
      </c>
      <c r="C203" s="1" t="n">
        <v>45989</v>
      </c>
      <c r="D203" t="inlineStr">
        <is>
          <t>NORRBOTTENS LÄN</t>
        </is>
      </c>
      <c r="E203" t="inlineStr">
        <is>
          <t>JOKKMOKK</t>
        </is>
      </c>
      <c r="F203" t="inlineStr">
        <is>
          <t>Sveaskog</t>
        </is>
      </c>
      <c r="G203" t="n">
        <v>11.9</v>
      </c>
      <c r="H203" t="n">
        <v>0</v>
      </c>
      <c r="I203" t="n">
        <v>0</v>
      </c>
      <c r="J203" t="n">
        <v>0</v>
      </c>
      <c r="K203" t="n">
        <v>0</v>
      </c>
      <c r="L203" t="n">
        <v>0</v>
      </c>
      <c r="M203" t="n">
        <v>0</v>
      </c>
      <c r="N203" t="n">
        <v>0</v>
      </c>
      <c r="O203" t="n">
        <v>0</v>
      </c>
      <c r="P203" t="n">
        <v>0</v>
      </c>
      <c r="Q203" t="n">
        <v>0</v>
      </c>
      <c r="R203" s="2" t="inlineStr"/>
    </row>
    <row r="204" ht="15" customHeight="1">
      <c r="A204" t="inlineStr">
        <is>
          <t>A 28639-2025</t>
        </is>
      </c>
      <c r="B204" s="1" t="n">
        <v>45819.63649305556</v>
      </c>
      <c r="C204" s="1" t="n">
        <v>45989</v>
      </c>
      <c r="D204" t="inlineStr">
        <is>
          <t>NORRBOTTENS LÄN</t>
        </is>
      </c>
      <c r="E204" t="inlineStr">
        <is>
          <t>JOKKMOKK</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28601-2025</t>
        </is>
      </c>
      <c r="B205" s="1" t="n">
        <v>45819.59802083333</v>
      </c>
      <c r="C205" s="1" t="n">
        <v>45989</v>
      </c>
      <c r="D205" t="inlineStr">
        <is>
          <t>NORRBOTTENS LÄN</t>
        </is>
      </c>
      <c r="E205" t="inlineStr">
        <is>
          <t>JOKKMOKK</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29446-2025</t>
        </is>
      </c>
      <c r="B206" s="1" t="n">
        <v>45824</v>
      </c>
      <c r="C206" s="1" t="n">
        <v>45989</v>
      </c>
      <c r="D206" t="inlineStr">
        <is>
          <t>NORRBOTTENS LÄN</t>
        </is>
      </c>
      <c r="E206" t="inlineStr">
        <is>
          <t>JOKKMOKK</t>
        </is>
      </c>
      <c r="G206" t="n">
        <v>68.5</v>
      </c>
      <c r="H206" t="n">
        <v>0</v>
      </c>
      <c r="I206" t="n">
        <v>0</v>
      </c>
      <c r="J206" t="n">
        <v>0</v>
      </c>
      <c r="K206" t="n">
        <v>0</v>
      </c>
      <c r="L206" t="n">
        <v>0</v>
      </c>
      <c r="M206" t="n">
        <v>0</v>
      </c>
      <c r="N206" t="n">
        <v>0</v>
      </c>
      <c r="O206" t="n">
        <v>0</v>
      </c>
      <c r="P206" t="n">
        <v>0</v>
      </c>
      <c r="Q206" t="n">
        <v>0</v>
      </c>
      <c r="R206" s="2" t="inlineStr"/>
    </row>
    <row r="207" ht="15" customHeight="1">
      <c r="A207" t="inlineStr">
        <is>
          <t>A 42322-2025</t>
        </is>
      </c>
      <c r="B207" s="1" t="n">
        <v>45904</v>
      </c>
      <c r="C207" s="1" t="n">
        <v>45989</v>
      </c>
      <c r="D207" t="inlineStr">
        <is>
          <t>NORRBOTTENS LÄN</t>
        </is>
      </c>
      <c r="E207" t="inlineStr">
        <is>
          <t>JOKKMOKK</t>
        </is>
      </c>
      <c r="G207" t="n">
        <v>3.8</v>
      </c>
      <c r="H207" t="n">
        <v>0</v>
      </c>
      <c r="I207" t="n">
        <v>0</v>
      </c>
      <c r="J207" t="n">
        <v>0</v>
      </c>
      <c r="K207" t="n">
        <v>0</v>
      </c>
      <c r="L207" t="n">
        <v>0</v>
      </c>
      <c r="M207" t="n">
        <v>0</v>
      </c>
      <c r="N207" t="n">
        <v>0</v>
      </c>
      <c r="O207" t="n">
        <v>0</v>
      </c>
      <c r="P207" t="n">
        <v>0</v>
      </c>
      <c r="Q207" t="n">
        <v>0</v>
      </c>
      <c r="R207" s="2" t="inlineStr"/>
    </row>
    <row r="208" ht="15" customHeight="1">
      <c r="A208" t="inlineStr">
        <is>
          <t>A 29333-2025</t>
        </is>
      </c>
      <c r="B208" s="1" t="n">
        <v>45824</v>
      </c>
      <c r="C208" s="1" t="n">
        <v>45989</v>
      </c>
      <c r="D208" t="inlineStr">
        <is>
          <t>NORRBOTTENS LÄN</t>
        </is>
      </c>
      <c r="E208" t="inlineStr">
        <is>
          <t>JOKKMOKK</t>
        </is>
      </c>
      <c r="G208" t="n">
        <v>17.3</v>
      </c>
      <c r="H208" t="n">
        <v>0</v>
      </c>
      <c r="I208" t="n">
        <v>0</v>
      </c>
      <c r="J208" t="n">
        <v>0</v>
      </c>
      <c r="K208" t="n">
        <v>0</v>
      </c>
      <c r="L208" t="n">
        <v>0</v>
      </c>
      <c r="M208" t="n">
        <v>0</v>
      </c>
      <c r="N208" t="n">
        <v>0</v>
      </c>
      <c r="O208" t="n">
        <v>0</v>
      </c>
      <c r="P208" t="n">
        <v>0</v>
      </c>
      <c r="Q208" t="n">
        <v>0</v>
      </c>
      <c r="R208" s="2" t="inlineStr"/>
    </row>
    <row r="209" ht="15" customHeight="1">
      <c r="A209" t="inlineStr">
        <is>
          <t>A 29418-2025</t>
        </is>
      </c>
      <c r="B209" s="1" t="n">
        <v>45824.63607638889</v>
      </c>
      <c r="C209" s="1" t="n">
        <v>45989</v>
      </c>
      <c r="D209" t="inlineStr">
        <is>
          <t>NORRBOTTENS LÄN</t>
        </is>
      </c>
      <c r="E209" t="inlineStr">
        <is>
          <t>JOKKMOKK</t>
        </is>
      </c>
      <c r="G209" t="n">
        <v>17.8</v>
      </c>
      <c r="H209" t="n">
        <v>0</v>
      </c>
      <c r="I209" t="n">
        <v>0</v>
      </c>
      <c r="J209" t="n">
        <v>0</v>
      </c>
      <c r="K209" t="n">
        <v>0</v>
      </c>
      <c r="L209" t="n">
        <v>0</v>
      </c>
      <c r="M209" t="n">
        <v>0</v>
      </c>
      <c r="N209" t="n">
        <v>0</v>
      </c>
      <c r="O209" t="n">
        <v>0</v>
      </c>
      <c r="P209" t="n">
        <v>0</v>
      </c>
      <c r="Q209" t="n">
        <v>0</v>
      </c>
      <c r="R209" s="2" t="inlineStr"/>
    </row>
    <row r="210" ht="15" customHeight="1">
      <c r="A210" t="inlineStr">
        <is>
          <t>A 42126-2025</t>
        </is>
      </c>
      <c r="B210" s="1" t="n">
        <v>45904.34486111111</v>
      </c>
      <c r="C210" s="1" t="n">
        <v>45989</v>
      </c>
      <c r="D210" t="inlineStr">
        <is>
          <t>NORRBOTTENS LÄN</t>
        </is>
      </c>
      <c r="E210" t="inlineStr">
        <is>
          <t>JOKKMOKK</t>
        </is>
      </c>
      <c r="F210" t="inlineStr">
        <is>
          <t>SCA</t>
        </is>
      </c>
      <c r="G210" t="n">
        <v>4.9</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45989</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45989</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29853-2025</t>
        </is>
      </c>
      <c r="B213" s="1" t="n">
        <v>45826.34438657408</v>
      </c>
      <c r="C213" s="1" t="n">
        <v>45989</v>
      </c>
      <c r="D213" t="inlineStr">
        <is>
          <t>NORRBOTTENS LÄN</t>
        </is>
      </c>
      <c r="E213" t="inlineStr">
        <is>
          <t>JOKKMOKK</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29857-2025</t>
        </is>
      </c>
      <c r="B214" s="1" t="n">
        <v>45826.3453125</v>
      </c>
      <c r="C214" s="1" t="n">
        <v>45989</v>
      </c>
      <c r="D214" t="inlineStr">
        <is>
          <t>NORRBOTTENS LÄN</t>
        </is>
      </c>
      <c r="E214" t="inlineStr">
        <is>
          <t>JOKKMOKK</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49477-2024</t>
        </is>
      </c>
      <c r="B215" s="1" t="n">
        <v>45596.34576388889</v>
      </c>
      <c r="C215" s="1" t="n">
        <v>45989</v>
      </c>
      <c r="D215" t="inlineStr">
        <is>
          <t>NORRBOTTENS LÄN</t>
        </is>
      </c>
      <c r="E215" t="inlineStr">
        <is>
          <t>JOKKMOKK</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9874-2023</t>
        </is>
      </c>
      <c r="B216" s="1" t="n">
        <v>44984.94069444444</v>
      </c>
      <c r="C216" s="1" t="n">
        <v>45989</v>
      </c>
      <c r="D216" t="inlineStr">
        <is>
          <t>NORRBOTTENS LÄN</t>
        </is>
      </c>
      <c r="E216" t="inlineStr">
        <is>
          <t>JOKKMOKK</t>
        </is>
      </c>
      <c r="G216" t="n">
        <v>1.7</v>
      </c>
      <c r="H216" t="n">
        <v>0</v>
      </c>
      <c r="I216" t="n">
        <v>0</v>
      </c>
      <c r="J216" t="n">
        <v>0</v>
      </c>
      <c r="K216" t="n">
        <v>0</v>
      </c>
      <c r="L216" t="n">
        <v>0</v>
      </c>
      <c r="M216" t="n">
        <v>0</v>
      </c>
      <c r="N216" t="n">
        <v>0</v>
      </c>
      <c r="O216" t="n">
        <v>0</v>
      </c>
      <c r="P216" t="n">
        <v>0</v>
      </c>
      <c r="Q216" t="n">
        <v>0</v>
      </c>
      <c r="R216" s="2" t="inlineStr"/>
    </row>
    <row r="217" ht="15" customHeight="1">
      <c r="A217" t="inlineStr">
        <is>
          <t>A 9875-2023</t>
        </is>
      </c>
      <c r="B217" s="1" t="n">
        <v>44984.94076388889</v>
      </c>
      <c r="C217" s="1" t="n">
        <v>45989</v>
      </c>
      <c r="D217" t="inlineStr">
        <is>
          <t>NORRBOTTENS LÄN</t>
        </is>
      </c>
      <c r="E217" t="inlineStr">
        <is>
          <t>JOKKMOKK</t>
        </is>
      </c>
      <c r="G217" t="n">
        <v>0.6</v>
      </c>
      <c r="H217" t="n">
        <v>0</v>
      </c>
      <c r="I217" t="n">
        <v>0</v>
      </c>
      <c r="J217" t="n">
        <v>0</v>
      </c>
      <c r="K217" t="n">
        <v>0</v>
      </c>
      <c r="L217" t="n">
        <v>0</v>
      </c>
      <c r="M217" t="n">
        <v>0</v>
      </c>
      <c r="N217" t="n">
        <v>0</v>
      </c>
      <c r="O217" t="n">
        <v>0</v>
      </c>
      <c r="P217" t="n">
        <v>0</v>
      </c>
      <c r="Q217" t="n">
        <v>0</v>
      </c>
      <c r="R217" s="2" t="inlineStr"/>
    </row>
    <row r="218" ht="15" customHeight="1">
      <c r="A218" t="inlineStr">
        <is>
          <t>A 34639-2024</t>
        </is>
      </c>
      <c r="B218" s="1" t="n">
        <v>45526.47293981481</v>
      </c>
      <c r="C218" s="1" t="n">
        <v>45989</v>
      </c>
      <c r="D218" t="inlineStr">
        <is>
          <t>NORRBOTTENS LÄN</t>
        </is>
      </c>
      <c r="E218" t="inlineStr">
        <is>
          <t>JOKKMOKK</t>
        </is>
      </c>
      <c r="G218" t="n">
        <v>7.7</v>
      </c>
      <c r="H218" t="n">
        <v>0</v>
      </c>
      <c r="I218" t="n">
        <v>0</v>
      </c>
      <c r="J218" t="n">
        <v>0</v>
      </c>
      <c r="K218" t="n">
        <v>0</v>
      </c>
      <c r="L218" t="n">
        <v>0</v>
      </c>
      <c r="M218" t="n">
        <v>0</v>
      </c>
      <c r="N218" t="n">
        <v>0</v>
      </c>
      <c r="O218" t="n">
        <v>0</v>
      </c>
      <c r="P218" t="n">
        <v>0</v>
      </c>
      <c r="Q218" t="n">
        <v>0</v>
      </c>
      <c r="R218" s="2" t="inlineStr"/>
    </row>
    <row r="219" ht="15" customHeight="1">
      <c r="A219" t="inlineStr">
        <is>
          <t>A 47157-2024</t>
        </is>
      </c>
      <c r="B219" s="1" t="n">
        <v>45586</v>
      </c>
      <c r="C219" s="1" t="n">
        <v>45989</v>
      </c>
      <c r="D219" t="inlineStr">
        <is>
          <t>NORRBOTTENS LÄN</t>
        </is>
      </c>
      <c r="E219" t="inlineStr">
        <is>
          <t>JOKKMOKK</t>
        </is>
      </c>
      <c r="G219" t="n">
        <v>0.6</v>
      </c>
      <c r="H219" t="n">
        <v>0</v>
      </c>
      <c r="I219" t="n">
        <v>0</v>
      </c>
      <c r="J219" t="n">
        <v>0</v>
      </c>
      <c r="K219" t="n">
        <v>0</v>
      </c>
      <c r="L219" t="n">
        <v>0</v>
      </c>
      <c r="M219" t="n">
        <v>0</v>
      </c>
      <c r="N219" t="n">
        <v>0</v>
      </c>
      <c r="O219" t="n">
        <v>0</v>
      </c>
      <c r="P219" t="n">
        <v>0</v>
      </c>
      <c r="Q219" t="n">
        <v>0</v>
      </c>
      <c r="R219" s="2" t="inlineStr"/>
    </row>
    <row r="220" ht="15" customHeight="1">
      <c r="A220" t="inlineStr">
        <is>
          <t>A 29856-2025</t>
        </is>
      </c>
      <c r="B220" s="1" t="n">
        <v>45826.345</v>
      </c>
      <c r="C220" s="1" t="n">
        <v>45989</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29858-2025</t>
        </is>
      </c>
      <c r="B221" s="1" t="n">
        <v>45826.34565972222</v>
      </c>
      <c r="C221" s="1" t="n">
        <v>45989</v>
      </c>
      <c r="D221" t="inlineStr">
        <is>
          <t>NORRBOTTENS LÄN</t>
        </is>
      </c>
      <c r="E221" t="inlineStr">
        <is>
          <t>JOKKMOKK</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30189-2025</t>
        </is>
      </c>
      <c r="B222" s="1" t="n">
        <v>45827.34756944444</v>
      </c>
      <c r="C222" s="1" t="n">
        <v>45989</v>
      </c>
      <c r="D222" t="inlineStr">
        <is>
          <t>NORRBOTTENS LÄN</t>
        </is>
      </c>
      <c r="E222" t="inlineStr">
        <is>
          <t>JOKKMOKK</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30178-2025</t>
        </is>
      </c>
      <c r="B223" s="1" t="n">
        <v>45827.34571759259</v>
      </c>
      <c r="C223" s="1" t="n">
        <v>45989</v>
      </c>
      <c r="D223" t="inlineStr">
        <is>
          <t>NORRBOTTENS LÄN</t>
        </is>
      </c>
      <c r="E223" t="inlineStr">
        <is>
          <t>JOKKMOKK</t>
        </is>
      </c>
      <c r="F223" t="inlineStr">
        <is>
          <t>SCA</t>
        </is>
      </c>
      <c r="G223" t="n">
        <v>4.5</v>
      </c>
      <c r="H223" t="n">
        <v>0</v>
      </c>
      <c r="I223" t="n">
        <v>0</v>
      </c>
      <c r="J223" t="n">
        <v>0</v>
      </c>
      <c r="K223" t="n">
        <v>0</v>
      </c>
      <c r="L223" t="n">
        <v>0</v>
      </c>
      <c r="M223" t="n">
        <v>0</v>
      </c>
      <c r="N223" t="n">
        <v>0</v>
      </c>
      <c r="O223" t="n">
        <v>0</v>
      </c>
      <c r="P223" t="n">
        <v>0</v>
      </c>
      <c r="Q223" t="n">
        <v>0</v>
      </c>
      <c r="R223" s="2" t="inlineStr"/>
    </row>
    <row r="224" ht="15" customHeight="1">
      <c r="A224" t="inlineStr">
        <is>
          <t>A 50986-2025</t>
        </is>
      </c>
      <c r="B224" s="1" t="n">
        <v>45947.3453125</v>
      </c>
      <c r="C224" s="1" t="n">
        <v>45989</v>
      </c>
      <c r="D224" t="inlineStr">
        <is>
          <t>NORRBOTTENS LÄN</t>
        </is>
      </c>
      <c r="E224" t="inlineStr">
        <is>
          <t>JOKKMOKK</t>
        </is>
      </c>
      <c r="F224" t="inlineStr">
        <is>
          <t>SCA</t>
        </is>
      </c>
      <c r="G224" t="n">
        <v>5.9</v>
      </c>
      <c r="H224" t="n">
        <v>0</v>
      </c>
      <c r="I224" t="n">
        <v>0</v>
      </c>
      <c r="J224" t="n">
        <v>0</v>
      </c>
      <c r="K224" t="n">
        <v>0</v>
      </c>
      <c r="L224" t="n">
        <v>0</v>
      </c>
      <c r="M224" t="n">
        <v>0</v>
      </c>
      <c r="N224" t="n">
        <v>0</v>
      </c>
      <c r="O224" t="n">
        <v>0</v>
      </c>
      <c r="P224" t="n">
        <v>0</v>
      </c>
      <c r="Q224" t="n">
        <v>0</v>
      </c>
      <c r="R224" s="2" t="inlineStr"/>
    </row>
    <row r="225" ht="15" customHeight="1">
      <c r="A225" t="inlineStr">
        <is>
          <t>A 30181-2025</t>
        </is>
      </c>
      <c r="B225" s="1" t="n">
        <v>45827.34607638889</v>
      </c>
      <c r="C225" s="1" t="n">
        <v>45989</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30182-2025</t>
        </is>
      </c>
      <c r="B226" s="1" t="n">
        <v>45827.34640046296</v>
      </c>
      <c r="C226" s="1" t="n">
        <v>45989</v>
      </c>
      <c r="D226" t="inlineStr">
        <is>
          <t>NORRBOTTENS LÄN</t>
        </is>
      </c>
      <c r="E226" t="inlineStr">
        <is>
          <t>JOKKMOKK</t>
        </is>
      </c>
      <c r="F226" t="inlineStr">
        <is>
          <t>SCA</t>
        </is>
      </c>
      <c r="G226" t="n">
        <v>9.9</v>
      </c>
      <c r="H226" t="n">
        <v>0</v>
      </c>
      <c r="I226" t="n">
        <v>0</v>
      </c>
      <c r="J226" t="n">
        <v>0</v>
      </c>
      <c r="K226" t="n">
        <v>0</v>
      </c>
      <c r="L226" t="n">
        <v>0</v>
      </c>
      <c r="M226" t="n">
        <v>0</v>
      </c>
      <c r="N226" t="n">
        <v>0</v>
      </c>
      <c r="O226" t="n">
        <v>0</v>
      </c>
      <c r="P226" t="n">
        <v>0</v>
      </c>
      <c r="Q226" t="n">
        <v>0</v>
      </c>
      <c r="R226" s="2" t="inlineStr"/>
    </row>
    <row r="227" ht="15" customHeight="1">
      <c r="A227" t="inlineStr">
        <is>
          <t>A 42575-2025</t>
        </is>
      </c>
      <c r="B227" s="1" t="n">
        <v>45905.61263888889</v>
      </c>
      <c r="C227" s="1" t="n">
        <v>45989</v>
      </c>
      <c r="D227" t="inlineStr">
        <is>
          <t>NORRBOTTENS LÄN</t>
        </is>
      </c>
      <c r="E227" t="inlineStr">
        <is>
          <t>JOKKMOKK</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30184-2025</t>
        </is>
      </c>
      <c r="B228" s="1" t="n">
        <v>45827.34695601852</v>
      </c>
      <c r="C228" s="1" t="n">
        <v>45989</v>
      </c>
      <c r="D228" t="inlineStr">
        <is>
          <t>NORRBOTTENS LÄN</t>
        </is>
      </c>
      <c r="E228" t="inlineStr">
        <is>
          <t>JOKKMOKK</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30177-2025</t>
        </is>
      </c>
      <c r="B229" s="1" t="n">
        <v>45827.34537037037</v>
      </c>
      <c r="C229" s="1" t="n">
        <v>45989</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30185-2025</t>
        </is>
      </c>
      <c r="B230" s="1" t="n">
        <v>45827.34717592593</v>
      </c>
      <c r="C230" s="1" t="n">
        <v>45989</v>
      </c>
      <c r="D230" t="inlineStr">
        <is>
          <t>NORRBOTTENS LÄN</t>
        </is>
      </c>
      <c r="E230" t="inlineStr">
        <is>
          <t>JOKKMOKK</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42664-2025</t>
        </is>
      </c>
      <c r="B231" s="1" t="n">
        <v>45907</v>
      </c>
      <c r="C231" s="1" t="n">
        <v>45989</v>
      </c>
      <c r="D231" t="inlineStr">
        <is>
          <t>NORRBOTTENS LÄN</t>
        </is>
      </c>
      <c r="E231" t="inlineStr">
        <is>
          <t>JOKKMOKK</t>
        </is>
      </c>
      <c r="G231" t="n">
        <v>1.9</v>
      </c>
      <c r="H231" t="n">
        <v>0</v>
      </c>
      <c r="I231" t="n">
        <v>0</v>
      </c>
      <c r="J231" t="n">
        <v>0</v>
      </c>
      <c r="K231" t="n">
        <v>0</v>
      </c>
      <c r="L231" t="n">
        <v>0</v>
      </c>
      <c r="M231" t="n">
        <v>0</v>
      </c>
      <c r="N231" t="n">
        <v>0</v>
      </c>
      <c r="O231" t="n">
        <v>0</v>
      </c>
      <c r="P231" t="n">
        <v>0</v>
      </c>
      <c r="Q231" t="n">
        <v>0</v>
      </c>
      <c r="R231" s="2" t="inlineStr"/>
    </row>
    <row r="232" ht="15" customHeight="1">
      <c r="A232" t="inlineStr">
        <is>
          <t>A 51717-2025</t>
        </is>
      </c>
      <c r="B232" s="1" t="n">
        <v>45951.57743055555</v>
      </c>
      <c r="C232" s="1" t="n">
        <v>45989</v>
      </c>
      <c r="D232" t="inlineStr">
        <is>
          <t>NORRBOTTENS LÄN</t>
        </is>
      </c>
      <c r="E232" t="inlineStr">
        <is>
          <t>JOKKMOKK</t>
        </is>
      </c>
      <c r="F232" t="inlineStr">
        <is>
          <t>Övriga statliga verk och myndigheter</t>
        </is>
      </c>
      <c r="G232" t="n">
        <v>3.4</v>
      </c>
      <c r="H232" t="n">
        <v>0</v>
      </c>
      <c r="I232" t="n">
        <v>0</v>
      </c>
      <c r="J232" t="n">
        <v>0</v>
      </c>
      <c r="K232" t="n">
        <v>0</v>
      </c>
      <c r="L232" t="n">
        <v>0</v>
      </c>
      <c r="M232" t="n">
        <v>0</v>
      </c>
      <c r="N232" t="n">
        <v>0</v>
      </c>
      <c r="O232" t="n">
        <v>0</v>
      </c>
      <c r="P232" t="n">
        <v>0</v>
      </c>
      <c r="Q232" t="n">
        <v>0</v>
      </c>
      <c r="R232" s="2" t="inlineStr"/>
    </row>
    <row r="233" ht="15" customHeight="1">
      <c r="A233" t="inlineStr">
        <is>
          <t>A 51718-2025</t>
        </is>
      </c>
      <c r="B233" s="1" t="n">
        <v>45951.57791666667</v>
      </c>
      <c r="C233" s="1" t="n">
        <v>45989</v>
      </c>
      <c r="D233" t="inlineStr">
        <is>
          <t>NORRBOTTENS LÄN</t>
        </is>
      </c>
      <c r="E233" t="inlineStr">
        <is>
          <t>JOKKMOKK</t>
        </is>
      </c>
      <c r="F233" t="inlineStr">
        <is>
          <t>Övriga statliga verk och myndigheter</t>
        </is>
      </c>
      <c r="G233" t="n">
        <v>31.9</v>
      </c>
      <c r="H233" t="n">
        <v>0</v>
      </c>
      <c r="I233" t="n">
        <v>0</v>
      </c>
      <c r="J233" t="n">
        <v>0</v>
      </c>
      <c r="K233" t="n">
        <v>0</v>
      </c>
      <c r="L233" t="n">
        <v>0</v>
      </c>
      <c r="M233" t="n">
        <v>0</v>
      </c>
      <c r="N233" t="n">
        <v>0</v>
      </c>
      <c r="O233" t="n">
        <v>0</v>
      </c>
      <c r="P233" t="n">
        <v>0</v>
      </c>
      <c r="Q233" t="n">
        <v>0</v>
      </c>
      <c r="R233" s="2" t="inlineStr"/>
    </row>
    <row r="234" ht="15" customHeight="1">
      <c r="A234" t="inlineStr">
        <is>
          <t>A 41923-2021</t>
        </is>
      </c>
      <c r="B234" s="1" t="n">
        <v>44425</v>
      </c>
      <c r="C234" s="1" t="n">
        <v>45989</v>
      </c>
      <c r="D234" t="inlineStr">
        <is>
          <t>NORRBOTTENS LÄN</t>
        </is>
      </c>
      <c r="E234" t="inlineStr">
        <is>
          <t>JOKKMOKK</t>
        </is>
      </c>
      <c r="F234" t="inlineStr">
        <is>
          <t>Övriga statliga verk och myndigheter</t>
        </is>
      </c>
      <c r="G234" t="n">
        <v>22</v>
      </c>
      <c r="H234" t="n">
        <v>0</v>
      </c>
      <c r="I234" t="n">
        <v>0</v>
      </c>
      <c r="J234" t="n">
        <v>0</v>
      </c>
      <c r="K234" t="n">
        <v>0</v>
      </c>
      <c r="L234" t="n">
        <v>0</v>
      </c>
      <c r="M234" t="n">
        <v>0</v>
      </c>
      <c r="N234" t="n">
        <v>0</v>
      </c>
      <c r="O234" t="n">
        <v>0</v>
      </c>
      <c r="P234" t="n">
        <v>0</v>
      </c>
      <c r="Q234" t="n">
        <v>0</v>
      </c>
      <c r="R234" s="2" t="inlineStr"/>
    </row>
    <row r="235" ht="15" customHeight="1">
      <c r="A235" t="inlineStr">
        <is>
          <t>A 51679-2025</t>
        </is>
      </c>
      <c r="B235" s="1" t="n">
        <v>45951.51141203703</v>
      </c>
      <c r="C235" s="1" t="n">
        <v>45989</v>
      </c>
      <c r="D235" t="inlineStr">
        <is>
          <t>NORRBOTTENS LÄN</t>
        </is>
      </c>
      <c r="E235" t="inlineStr">
        <is>
          <t>JOKKMOKK</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51721-2025</t>
        </is>
      </c>
      <c r="B236" s="1" t="n">
        <v>45951.58004629629</v>
      </c>
      <c r="C236" s="1" t="n">
        <v>45989</v>
      </c>
      <c r="D236" t="inlineStr">
        <is>
          <t>NORRBOTTENS LÄN</t>
        </is>
      </c>
      <c r="E236" t="inlineStr">
        <is>
          <t>JOKKMOKK</t>
        </is>
      </c>
      <c r="F236" t="inlineStr">
        <is>
          <t>Övriga statliga verk och myndigheter</t>
        </is>
      </c>
      <c r="G236" t="n">
        <v>16.3</v>
      </c>
      <c r="H236" t="n">
        <v>0</v>
      </c>
      <c r="I236" t="n">
        <v>0</v>
      </c>
      <c r="J236" t="n">
        <v>0</v>
      </c>
      <c r="K236" t="n">
        <v>0</v>
      </c>
      <c r="L236" t="n">
        <v>0</v>
      </c>
      <c r="M236" t="n">
        <v>0</v>
      </c>
      <c r="N236" t="n">
        <v>0</v>
      </c>
      <c r="O236" t="n">
        <v>0</v>
      </c>
      <c r="P236" t="n">
        <v>0</v>
      </c>
      <c r="Q236" t="n">
        <v>0</v>
      </c>
      <c r="R236" s="2" t="inlineStr"/>
    </row>
    <row r="237" ht="15" customHeight="1">
      <c r="A237" t="inlineStr">
        <is>
          <t>A 51699-2025</t>
        </is>
      </c>
      <c r="B237" s="1" t="n">
        <v>45951.55253472222</v>
      </c>
      <c r="C237" s="1" t="n">
        <v>45989</v>
      </c>
      <c r="D237" t="inlineStr">
        <is>
          <t>NORRBOTTENS LÄN</t>
        </is>
      </c>
      <c r="E237" t="inlineStr">
        <is>
          <t>JOKKMOKK</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51707-2025</t>
        </is>
      </c>
      <c r="B238" s="1" t="n">
        <v>45951.56545138889</v>
      </c>
      <c r="C238" s="1" t="n">
        <v>45989</v>
      </c>
      <c r="D238" t="inlineStr">
        <is>
          <t>NORRBOTTENS LÄN</t>
        </is>
      </c>
      <c r="E238" t="inlineStr">
        <is>
          <t>JOKKMOKK</t>
        </is>
      </c>
      <c r="F238" t="inlineStr">
        <is>
          <t>Övriga statliga verk och myndigheter</t>
        </is>
      </c>
      <c r="G238" t="n">
        <v>7.2</v>
      </c>
      <c r="H238" t="n">
        <v>0</v>
      </c>
      <c r="I238" t="n">
        <v>0</v>
      </c>
      <c r="J238" t="n">
        <v>0</v>
      </c>
      <c r="K238" t="n">
        <v>0</v>
      </c>
      <c r="L238" t="n">
        <v>0</v>
      </c>
      <c r="M238" t="n">
        <v>0</v>
      </c>
      <c r="N238" t="n">
        <v>0</v>
      </c>
      <c r="O238" t="n">
        <v>0</v>
      </c>
      <c r="P238" t="n">
        <v>0</v>
      </c>
      <c r="Q238" t="n">
        <v>0</v>
      </c>
      <c r="R238" s="2" t="inlineStr"/>
    </row>
    <row r="239" ht="15" customHeight="1">
      <c r="A239" t="inlineStr">
        <is>
          <t>A 51715-2025</t>
        </is>
      </c>
      <c r="B239" s="1" t="n">
        <v>45951.57585648148</v>
      </c>
      <c r="C239" s="1" t="n">
        <v>45989</v>
      </c>
      <c r="D239" t="inlineStr">
        <is>
          <t>NORRBOTTENS LÄN</t>
        </is>
      </c>
      <c r="E239" t="inlineStr">
        <is>
          <t>JOKKMOKK</t>
        </is>
      </c>
      <c r="F239" t="inlineStr">
        <is>
          <t>Övriga statliga verk och myndigheter</t>
        </is>
      </c>
      <c r="G239" t="n">
        <v>4.1</v>
      </c>
      <c r="H239" t="n">
        <v>0</v>
      </c>
      <c r="I239" t="n">
        <v>0</v>
      </c>
      <c r="J239" t="n">
        <v>0</v>
      </c>
      <c r="K239" t="n">
        <v>0</v>
      </c>
      <c r="L239" t="n">
        <v>0</v>
      </c>
      <c r="M239" t="n">
        <v>0</v>
      </c>
      <c r="N239" t="n">
        <v>0</v>
      </c>
      <c r="O239" t="n">
        <v>0</v>
      </c>
      <c r="P239" t="n">
        <v>0</v>
      </c>
      <c r="Q239" t="n">
        <v>0</v>
      </c>
      <c r="R239" s="2" t="inlineStr"/>
    </row>
    <row r="240" ht="15" customHeight="1">
      <c r="A240" t="inlineStr">
        <is>
          <t>A 42959-2025</t>
        </is>
      </c>
      <c r="B240" s="1" t="n">
        <v>45909</v>
      </c>
      <c r="C240" s="1" t="n">
        <v>45989</v>
      </c>
      <c r="D240" t="inlineStr">
        <is>
          <t>NORRBOTTENS LÄN</t>
        </is>
      </c>
      <c r="E240" t="inlineStr">
        <is>
          <t>JOKKMOKK</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52112-2025</t>
        </is>
      </c>
      <c r="B241" s="1" t="n">
        <v>45952.69846064815</v>
      </c>
      <c r="C241" s="1" t="n">
        <v>45989</v>
      </c>
      <c r="D241" t="inlineStr">
        <is>
          <t>NORRBOTTENS LÄN</t>
        </is>
      </c>
      <c r="E241" t="inlineStr">
        <is>
          <t>JOKKMOKK</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51700-2025</t>
        </is>
      </c>
      <c r="B242" s="1" t="n">
        <v>45951.55287037037</v>
      </c>
      <c r="C242" s="1" t="n">
        <v>45989</v>
      </c>
      <c r="D242" t="inlineStr">
        <is>
          <t>NORRBOTTENS LÄN</t>
        </is>
      </c>
      <c r="E242" t="inlineStr">
        <is>
          <t>JOKKMOKK</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42944-2025</t>
        </is>
      </c>
      <c r="B243" s="1" t="n">
        <v>45909.34434027778</v>
      </c>
      <c r="C243" s="1" t="n">
        <v>45989</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49483-2021</t>
        </is>
      </c>
      <c r="B244" s="1" t="n">
        <v>44454</v>
      </c>
      <c r="C244" s="1" t="n">
        <v>45989</v>
      </c>
      <c r="D244" t="inlineStr">
        <is>
          <t>NORRBOTTENS LÄN</t>
        </is>
      </c>
      <c r="E244" t="inlineStr">
        <is>
          <t>JOKKMOKK</t>
        </is>
      </c>
      <c r="F244" t="inlineStr">
        <is>
          <t>SCA</t>
        </is>
      </c>
      <c r="G244" t="n">
        <v>24.2</v>
      </c>
      <c r="H244" t="n">
        <v>0</v>
      </c>
      <c r="I244" t="n">
        <v>0</v>
      </c>
      <c r="J244" t="n">
        <v>0</v>
      </c>
      <c r="K244" t="n">
        <v>0</v>
      </c>
      <c r="L244" t="n">
        <v>0</v>
      </c>
      <c r="M244" t="n">
        <v>0</v>
      </c>
      <c r="N244" t="n">
        <v>0</v>
      </c>
      <c r="O244" t="n">
        <v>0</v>
      </c>
      <c r="P244" t="n">
        <v>0</v>
      </c>
      <c r="Q244" t="n">
        <v>0</v>
      </c>
      <c r="R244" s="2" t="inlineStr"/>
    </row>
    <row r="245" ht="15" customHeight="1">
      <c r="A245" t="inlineStr">
        <is>
          <t>A 48210-2024</t>
        </is>
      </c>
      <c r="B245" s="1" t="n">
        <v>45590</v>
      </c>
      <c r="C245" s="1" t="n">
        <v>45989</v>
      </c>
      <c r="D245" t="inlineStr">
        <is>
          <t>NORRBOTTENS LÄN</t>
        </is>
      </c>
      <c r="E245" t="inlineStr">
        <is>
          <t>JOKKMOKK</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49478-2024</t>
        </is>
      </c>
      <c r="B246" s="1" t="n">
        <v>45596.34599537037</v>
      </c>
      <c r="C246" s="1" t="n">
        <v>45989</v>
      </c>
      <c r="D246" t="inlineStr">
        <is>
          <t>NORRBOTTENS LÄN</t>
        </is>
      </c>
      <c r="E246" t="inlineStr">
        <is>
          <t>JOKKMOKK</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31918-2025</t>
        </is>
      </c>
      <c r="B247" s="1" t="n">
        <v>45834</v>
      </c>
      <c r="C247" s="1" t="n">
        <v>45989</v>
      </c>
      <c r="D247" t="inlineStr">
        <is>
          <t>NORRBOTTENS LÄN</t>
        </is>
      </c>
      <c r="E247" t="inlineStr">
        <is>
          <t>JOKKMOKK</t>
        </is>
      </c>
      <c r="G247" t="n">
        <v>15.2</v>
      </c>
      <c r="H247" t="n">
        <v>0</v>
      </c>
      <c r="I247" t="n">
        <v>0</v>
      </c>
      <c r="J247" t="n">
        <v>0</v>
      </c>
      <c r="K247" t="n">
        <v>0</v>
      </c>
      <c r="L247" t="n">
        <v>0</v>
      </c>
      <c r="M247" t="n">
        <v>0</v>
      </c>
      <c r="N247" t="n">
        <v>0</v>
      </c>
      <c r="O247" t="n">
        <v>0</v>
      </c>
      <c r="P247" t="n">
        <v>0</v>
      </c>
      <c r="Q247" t="n">
        <v>0</v>
      </c>
      <c r="R247" s="2" t="inlineStr"/>
    </row>
    <row r="248" ht="15" customHeight="1">
      <c r="A248" t="inlineStr">
        <is>
          <t>A 52294-2025</t>
        </is>
      </c>
      <c r="B248" s="1" t="n">
        <v>45953.59979166667</v>
      </c>
      <c r="C248" s="1" t="n">
        <v>45989</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52291-2025</t>
        </is>
      </c>
      <c r="B249" s="1" t="n">
        <v>45953.59836805556</v>
      </c>
      <c r="C249" s="1" t="n">
        <v>45989</v>
      </c>
      <c r="D249" t="inlineStr">
        <is>
          <t>NORRBOTTENS LÄN</t>
        </is>
      </c>
      <c r="E249" t="inlineStr">
        <is>
          <t>JOKKMOKK</t>
        </is>
      </c>
      <c r="F249" t="inlineStr">
        <is>
          <t>Övriga statliga verk och myndigheter</t>
        </is>
      </c>
      <c r="G249" t="n">
        <v>41.2</v>
      </c>
      <c r="H249" t="n">
        <v>0</v>
      </c>
      <c r="I249" t="n">
        <v>0</v>
      </c>
      <c r="J249" t="n">
        <v>0</v>
      </c>
      <c r="K249" t="n">
        <v>0</v>
      </c>
      <c r="L249" t="n">
        <v>0</v>
      </c>
      <c r="M249" t="n">
        <v>0</v>
      </c>
      <c r="N249" t="n">
        <v>0</v>
      </c>
      <c r="O249" t="n">
        <v>0</v>
      </c>
      <c r="P249" t="n">
        <v>0</v>
      </c>
      <c r="Q249" t="n">
        <v>0</v>
      </c>
      <c r="R249" s="2" t="inlineStr"/>
    </row>
    <row r="250" ht="15" customHeight="1">
      <c r="A250" t="inlineStr">
        <is>
          <t>A 52278-2025</t>
        </is>
      </c>
      <c r="B250" s="1" t="n">
        <v>45953.56256944445</v>
      </c>
      <c r="C250" s="1" t="n">
        <v>45989</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52288-2025</t>
        </is>
      </c>
      <c r="B251" s="1" t="n">
        <v>45953.59483796296</v>
      </c>
      <c r="C251" s="1" t="n">
        <v>45989</v>
      </c>
      <c r="D251" t="inlineStr">
        <is>
          <t>NORRBOTTENS LÄN</t>
        </is>
      </c>
      <c r="E251" t="inlineStr">
        <is>
          <t>JOKKMOKK</t>
        </is>
      </c>
      <c r="F251" t="inlineStr">
        <is>
          <t>Övriga statliga verk och myndigheter</t>
        </is>
      </c>
      <c r="G251" t="n">
        <v>11.4</v>
      </c>
      <c r="H251" t="n">
        <v>0</v>
      </c>
      <c r="I251" t="n">
        <v>0</v>
      </c>
      <c r="J251" t="n">
        <v>0</v>
      </c>
      <c r="K251" t="n">
        <v>0</v>
      </c>
      <c r="L251" t="n">
        <v>0</v>
      </c>
      <c r="M251" t="n">
        <v>0</v>
      </c>
      <c r="N251" t="n">
        <v>0</v>
      </c>
      <c r="O251" t="n">
        <v>0</v>
      </c>
      <c r="P251" t="n">
        <v>0</v>
      </c>
      <c r="Q251" t="n">
        <v>0</v>
      </c>
      <c r="R251" s="2" t="inlineStr"/>
    </row>
    <row r="252" ht="15" customHeight="1">
      <c r="A252" t="inlineStr">
        <is>
          <t>A 43658-2025</t>
        </is>
      </c>
      <c r="B252" s="1" t="n">
        <v>45912.34276620371</v>
      </c>
      <c r="C252" s="1" t="n">
        <v>45989</v>
      </c>
      <c r="D252" t="inlineStr">
        <is>
          <t>NORRBOTTENS LÄN</t>
        </is>
      </c>
      <c r="E252" t="inlineStr">
        <is>
          <t>JOKKMOKK</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52240-2025</t>
        </is>
      </c>
      <c r="B253" s="1" t="n">
        <v>45953.46320601852</v>
      </c>
      <c r="C253" s="1" t="n">
        <v>45989</v>
      </c>
      <c r="D253" t="inlineStr">
        <is>
          <t>NORRBOTTENS LÄN</t>
        </is>
      </c>
      <c r="E253" t="inlineStr">
        <is>
          <t>JOKKMOKK</t>
        </is>
      </c>
      <c r="F253" t="inlineStr">
        <is>
          <t>Övriga statliga verk och myndigheter</t>
        </is>
      </c>
      <c r="G253" t="n">
        <v>17.6</v>
      </c>
      <c r="H253" t="n">
        <v>0</v>
      </c>
      <c r="I253" t="n">
        <v>0</v>
      </c>
      <c r="J253" t="n">
        <v>0</v>
      </c>
      <c r="K253" t="n">
        <v>0</v>
      </c>
      <c r="L253" t="n">
        <v>0</v>
      </c>
      <c r="M253" t="n">
        <v>0</v>
      </c>
      <c r="N253" t="n">
        <v>0</v>
      </c>
      <c r="O253" t="n">
        <v>0</v>
      </c>
      <c r="P253" t="n">
        <v>0</v>
      </c>
      <c r="Q253" t="n">
        <v>0</v>
      </c>
      <c r="R253" s="2" t="inlineStr"/>
    </row>
    <row r="254" ht="15" customHeight="1">
      <c r="A254" t="inlineStr">
        <is>
          <t>A 65648-2020</t>
        </is>
      </c>
      <c r="B254" s="1" t="n">
        <v>44172</v>
      </c>
      <c r="C254" s="1" t="n">
        <v>45989</v>
      </c>
      <c r="D254" t="inlineStr">
        <is>
          <t>NORRBOTTENS LÄN</t>
        </is>
      </c>
      <c r="E254" t="inlineStr">
        <is>
          <t>JOKKMOKK</t>
        </is>
      </c>
      <c r="G254" t="n">
        <v>1.8</v>
      </c>
      <c r="H254" t="n">
        <v>0</v>
      </c>
      <c r="I254" t="n">
        <v>0</v>
      </c>
      <c r="J254" t="n">
        <v>0</v>
      </c>
      <c r="K254" t="n">
        <v>0</v>
      </c>
      <c r="L254" t="n">
        <v>0</v>
      </c>
      <c r="M254" t="n">
        <v>0</v>
      </c>
      <c r="N254" t="n">
        <v>0</v>
      </c>
      <c r="O254" t="n">
        <v>0</v>
      </c>
      <c r="P254" t="n">
        <v>0</v>
      </c>
      <c r="Q254" t="n">
        <v>0</v>
      </c>
      <c r="R254" s="2" t="inlineStr"/>
    </row>
    <row r="255" ht="15" customHeight="1">
      <c r="A255" t="inlineStr">
        <is>
          <t>A 50436-2024</t>
        </is>
      </c>
      <c r="B255" s="1" t="n">
        <v>45601.4096875</v>
      </c>
      <c r="C255" s="1" t="n">
        <v>45989</v>
      </c>
      <c r="D255" t="inlineStr">
        <is>
          <t>NORRBOTTENS LÄN</t>
        </is>
      </c>
      <c r="E255" t="inlineStr">
        <is>
          <t>JOKKMOKK</t>
        </is>
      </c>
      <c r="F255" t="inlineStr">
        <is>
          <t>Allmännings- och besparingsskogar</t>
        </is>
      </c>
      <c r="G255" t="n">
        <v>6.5</v>
      </c>
      <c r="H255" t="n">
        <v>0</v>
      </c>
      <c r="I255" t="n">
        <v>0</v>
      </c>
      <c r="J255" t="n">
        <v>0</v>
      </c>
      <c r="K255" t="n">
        <v>0</v>
      </c>
      <c r="L255" t="n">
        <v>0</v>
      </c>
      <c r="M255" t="n">
        <v>0</v>
      </c>
      <c r="N255" t="n">
        <v>0</v>
      </c>
      <c r="O255" t="n">
        <v>0</v>
      </c>
      <c r="P255" t="n">
        <v>0</v>
      </c>
      <c r="Q255" t="n">
        <v>0</v>
      </c>
      <c r="R255" s="2" t="inlineStr"/>
    </row>
    <row r="256" ht="15" customHeight="1">
      <c r="A256" t="inlineStr">
        <is>
          <t>A 52293-2025</t>
        </is>
      </c>
      <c r="B256" s="1" t="n">
        <v>45953.59943287037</v>
      </c>
      <c r="C256" s="1" t="n">
        <v>45989</v>
      </c>
      <c r="D256" t="inlineStr">
        <is>
          <t>NORRBOTTENS LÄN</t>
        </is>
      </c>
      <c r="E256" t="inlineStr">
        <is>
          <t>JOKKMOKK</t>
        </is>
      </c>
      <c r="F256" t="inlineStr">
        <is>
          <t>Övriga statliga verk och myndigheter</t>
        </is>
      </c>
      <c r="G256" t="n">
        <v>65.09999999999999</v>
      </c>
      <c r="H256" t="n">
        <v>0</v>
      </c>
      <c r="I256" t="n">
        <v>0</v>
      </c>
      <c r="J256" t="n">
        <v>0</v>
      </c>
      <c r="K256" t="n">
        <v>0</v>
      </c>
      <c r="L256" t="n">
        <v>0</v>
      </c>
      <c r="M256" t="n">
        <v>0</v>
      </c>
      <c r="N256" t="n">
        <v>0</v>
      </c>
      <c r="O256" t="n">
        <v>0</v>
      </c>
      <c r="P256" t="n">
        <v>0</v>
      </c>
      <c r="Q256" t="n">
        <v>0</v>
      </c>
      <c r="R256" s="2" t="inlineStr"/>
    </row>
    <row r="257" ht="15" customHeight="1">
      <c r="A257" t="inlineStr">
        <is>
          <t>A 43803-2025</t>
        </is>
      </c>
      <c r="B257" s="1" t="n">
        <v>45912</v>
      </c>
      <c r="C257" s="1" t="n">
        <v>45989</v>
      </c>
      <c r="D257" t="inlineStr">
        <is>
          <t>NORRBOTTENS LÄN</t>
        </is>
      </c>
      <c r="E257" t="inlineStr">
        <is>
          <t>JOKKMOKK</t>
        </is>
      </c>
      <c r="F257" t="inlineStr">
        <is>
          <t>SCA</t>
        </is>
      </c>
      <c r="G257" t="n">
        <v>6.2</v>
      </c>
      <c r="H257" t="n">
        <v>0</v>
      </c>
      <c r="I257" t="n">
        <v>0</v>
      </c>
      <c r="J257" t="n">
        <v>0</v>
      </c>
      <c r="K257" t="n">
        <v>0</v>
      </c>
      <c r="L257" t="n">
        <v>0</v>
      </c>
      <c r="M257" t="n">
        <v>0</v>
      </c>
      <c r="N257" t="n">
        <v>0</v>
      </c>
      <c r="O257" t="n">
        <v>0</v>
      </c>
      <c r="P257" t="n">
        <v>0</v>
      </c>
      <c r="Q257" t="n">
        <v>0</v>
      </c>
      <c r="R257" s="2" t="inlineStr"/>
    </row>
    <row r="258" ht="15" customHeight="1">
      <c r="A258" t="inlineStr">
        <is>
          <t>A 32670-2025</t>
        </is>
      </c>
      <c r="B258" s="1" t="n">
        <v>45838.70071759259</v>
      </c>
      <c r="C258" s="1" t="n">
        <v>45989</v>
      </c>
      <c r="D258" t="inlineStr">
        <is>
          <t>NORRBOTTENS LÄN</t>
        </is>
      </c>
      <c r="E258" t="inlineStr">
        <is>
          <t>JOKKMOKK</t>
        </is>
      </c>
      <c r="F258" t="inlineStr">
        <is>
          <t>Sveaskog</t>
        </is>
      </c>
      <c r="G258" t="n">
        <v>6.8</v>
      </c>
      <c r="H258" t="n">
        <v>0</v>
      </c>
      <c r="I258" t="n">
        <v>0</v>
      </c>
      <c r="J258" t="n">
        <v>0</v>
      </c>
      <c r="K258" t="n">
        <v>0</v>
      </c>
      <c r="L258" t="n">
        <v>0</v>
      </c>
      <c r="M258" t="n">
        <v>0</v>
      </c>
      <c r="N258" t="n">
        <v>0</v>
      </c>
      <c r="O258" t="n">
        <v>0</v>
      </c>
      <c r="P258" t="n">
        <v>0</v>
      </c>
      <c r="Q258" t="n">
        <v>0</v>
      </c>
      <c r="R258" s="2" t="inlineStr"/>
    </row>
    <row r="259" ht="15" customHeight="1">
      <c r="A259" t="inlineStr">
        <is>
          <t>A 43997-2025</t>
        </is>
      </c>
      <c r="B259" s="1" t="n">
        <v>45915.44868055556</v>
      </c>
      <c r="C259" s="1" t="n">
        <v>45989</v>
      </c>
      <c r="D259" t="inlineStr">
        <is>
          <t>NORRBOTTENS LÄN</t>
        </is>
      </c>
      <c r="E259" t="inlineStr">
        <is>
          <t>JOKKMOKK</t>
        </is>
      </c>
      <c r="G259" t="n">
        <v>4.5</v>
      </c>
      <c r="H259" t="n">
        <v>0</v>
      </c>
      <c r="I259" t="n">
        <v>0</v>
      </c>
      <c r="J259" t="n">
        <v>0</v>
      </c>
      <c r="K259" t="n">
        <v>0</v>
      </c>
      <c r="L259" t="n">
        <v>0</v>
      </c>
      <c r="M259" t="n">
        <v>0</v>
      </c>
      <c r="N259" t="n">
        <v>0</v>
      </c>
      <c r="O259" t="n">
        <v>0</v>
      </c>
      <c r="P259" t="n">
        <v>0</v>
      </c>
      <c r="Q259" t="n">
        <v>0</v>
      </c>
      <c r="R259" s="2" t="inlineStr"/>
    </row>
    <row r="260" ht="15" customHeight="1">
      <c r="A260" t="inlineStr">
        <is>
          <t>A 33551-2025</t>
        </is>
      </c>
      <c r="B260" s="1" t="n">
        <v>45841.57357638889</v>
      </c>
      <c r="C260" s="1" t="n">
        <v>45989</v>
      </c>
      <c r="D260" t="inlineStr">
        <is>
          <t>NORRBOTTENS LÄN</t>
        </is>
      </c>
      <c r="E260" t="inlineStr">
        <is>
          <t>JOKKMOKK</t>
        </is>
      </c>
      <c r="F260" t="inlineStr">
        <is>
          <t>SCA</t>
        </is>
      </c>
      <c r="G260" t="n">
        <v>7.9</v>
      </c>
      <c r="H260" t="n">
        <v>0</v>
      </c>
      <c r="I260" t="n">
        <v>0</v>
      </c>
      <c r="J260" t="n">
        <v>0</v>
      </c>
      <c r="K260" t="n">
        <v>0</v>
      </c>
      <c r="L260" t="n">
        <v>0</v>
      </c>
      <c r="M260" t="n">
        <v>0</v>
      </c>
      <c r="N260" t="n">
        <v>0</v>
      </c>
      <c r="O260" t="n">
        <v>0</v>
      </c>
      <c r="P260" t="n">
        <v>0</v>
      </c>
      <c r="Q260" t="n">
        <v>0</v>
      </c>
      <c r="R260" s="2" t="inlineStr"/>
    </row>
    <row r="261" ht="15" customHeight="1">
      <c r="A261" t="inlineStr">
        <is>
          <t>A 33349-2025</t>
        </is>
      </c>
      <c r="B261" s="1" t="n">
        <v>45841.3704050926</v>
      </c>
      <c r="C261" s="1" t="n">
        <v>45989</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33523-2025</t>
        </is>
      </c>
      <c r="B262" s="1" t="n">
        <v>45841.54601851852</v>
      </c>
      <c r="C262" s="1" t="n">
        <v>45989</v>
      </c>
      <c r="D262" t="inlineStr">
        <is>
          <t>NORRBOTTENS LÄN</t>
        </is>
      </c>
      <c r="E262" t="inlineStr">
        <is>
          <t>JOKKMOKK</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33515-2025</t>
        </is>
      </c>
      <c r="B263" s="1" t="n">
        <v>45841.53164351852</v>
      </c>
      <c r="C263" s="1" t="n">
        <v>45989</v>
      </c>
      <c r="D263" t="inlineStr">
        <is>
          <t>NORRBOTTENS LÄN</t>
        </is>
      </c>
      <c r="E263" t="inlineStr">
        <is>
          <t>JOKKMOKK</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33554-2025</t>
        </is>
      </c>
      <c r="B264" s="1" t="n">
        <v>45841.57400462963</v>
      </c>
      <c r="C264" s="1" t="n">
        <v>45989</v>
      </c>
      <c r="D264" t="inlineStr">
        <is>
          <t>NORRBOTTENS LÄN</t>
        </is>
      </c>
      <c r="E264" t="inlineStr">
        <is>
          <t>JOKKMOKK</t>
        </is>
      </c>
      <c r="F264" t="inlineStr">
        <is>
          <t>SCA</t>
        </is>
      </c>
      <c r="G264" t="n">
        <v>11.4</v>
      </c>
      <c r="H264" t="n">
        <v>0</v>
      </c>
      <c r="I264" t="n">
        <v>0</v>
      </c>
      <c r="J264" t="n">
        <v>0</v>
      </c>
      <c r="K264" t="n">
        <v>0</v>
      </c>
      <c r="L264" t="n">
        <v>0</v>
      </c>
      <c r="M264" t="n">
        <v>0</v>
      </c>
      <c r="N264" t="n">
        <v>0</v>
      </c>
      <c r="O264" t="n">
        <v>0</v>
      </c>
      <c r="P264" t="n">
        <v>0</v>
      </c>
      <c r="Q264" t="n">
        <v>0</v>
      </c>
      <c r="R264" s="2" t="inlineStr"/>
    </row>
    <row r="265" ht="15" customHeight="1">
      <c r="A265" t="inlineStr">
        <is>
          <t>A 53237-2025</t>
        </is>
      </c>
      <c r="B265" s="1" t="n">
        <v>45957</v>
      </c>
      <c r="C265" s="1" t="n">
        <v>45989</v>
      </c>
      <c r="D265" t="inlineStr">
        <is>
          <t>NORRBOTTENS LÄN</t>
        </is>
      </c>
      <c r="E265" t="inlineStr">
        <is>
          <t>JOKKMOKK</t>
        </is>
      </c>
      <c r="F265" t="inlineStr">
        <is>
          <t>Övriga Aktiebolag</t>
        </is>
      </c>
      <c r="G265" t="n">
        <v>28.1</v>
      </c>
      <c r="H265" t="n">
        <v>0</v>
      </c>
      <c r="I265" t="n">
        <v>0</v>
      </c>
      <c r="J265" t="n">
        <v>0</v>
      </c>
      <c r="K265" t="n">
        <v>0</v>
      </c>
      <c r="L265" t="n">
        <v>0</v>
      </c>
      <c r="M265" t="n">
        <v>0</v>
      </c>
      <c r="N265" t="n">
        <v>0</v>
      </c>
      <c r="O265" t="n">
        <v>0</v>
      </c>
      <c r="P265" t="n">
        <v>0</v>
      </c>
      <c r="Q265" t="n">
        <v>0</v>
      </c>
      <c r="R265" s="2" t="inlineStr"/>
    </row>
    <row r="266" ht="15" customHeight="1">
      <c r="A266" t="inlineStr">
        <is>
          <t>A 28090-2023</t>
        </is>
      </c>
      <c r="B266" s="1" t="n">
        <v>45099</v>
      </c>
      <c r="C266" s="1" t="n">
        <v>45989</v>
      </c>
      <c r="D266" t="inlineStr">
        <is>
          <t>NORRBOTTENS LÄN</t>
        </is>
      </c>
      <c r="E266" t="inlineStr">
        <is>
          <t>JOKKMOKK</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33741-2025</t>
        </is>
      </c>
      <c r="B267" s="1" t="n">
        <v>45842.3446875</v>
      </c>
      <c r="C267" s="1" t="n">
        <v>45989</v>
      </c>
      <c r="D267" t="inlineStr">
        <is>
          <t>NORRBOTTENS LÄN</t>
        </is>
      </c>
      <c r="E267" t="inlineStr">
        <is>
          <t>JOKKMOKK</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44842-2025</t>
        </is>
      </c>
      <c r="B268" s="1" t="n">
        <v>45918.42957175926</v>
      </c>
      <c r="C268" s="1" t="n">
        <v>45989</v>
      </c>
      <c r="D268" t="inlineStr">
        <is>
          <t>NORRBOTTENS LÄN</t>
        </is>
      </c>
      <c r="E268" t="inlineStr">
        <is>
          <t>JOKKMOKK</t>
        </is>
      </c>
      <c r="G268" t="n">
        <v>7.7</v>
      </c>
      <c r="H268" t="n">
        <v>0</v>
      </c>
      <c r="I268" t="n">
        <v>0</v>
      </c>
      <c r="J268" t="n">
        <v>0</v>
      </c>
      <c r="K268" t="n">
        <v>0</v>
      </c>
      <c r="L268" t="n">
        <v>0</v>
      </c>
      <c r="M268" t="n">
        <v>0</v>
      </c>
      <c r="N268" t="n">
        <v>0</v>
      </c>
      <c r="O268" t="n">
        <v>0</v>
      </c>
      <c r="P268" t="n">
        <v>0</v>
      </c>
      <c r="Q268" t="n">
        <v>0</v>
      </c>
      <c r="R268" s="2" t="inlineStr"/>
    </row>
    <row r="269" ht="15" customHeight="1">
      <c r="A269" t="inlineStr">
        <is>
          <t>A 42481-2024</t>
        </is>
      </c>
      <c r="B269" s="1" t="n">
        <v>45565.49210648148</v>
      </c>
      <c r="C269" s="1" t="n">
        <v>45989</v>
      </c>
      <c r="D269" t="inlineStr">
        <is>
          <t>NORRBOTTENS LÄN</t>
        </is>
      </c>
      <c r="E269" t="inlineStr">
        <is>
          <t>JOKKMOKK</t>
        </is>
      </c>
      <c r="F269" t="inlineStr">
        <is>
          <t>SCA</t>
        </is>
      </c>
      <c r="G269" t="n">
        <v>25.2</v>
      </c>
      <c r="H269" t="n">
        <v>0</v>
      </c>
      <c r="I269" t="n">
        <v>0</v>
      </c>
      <c r="J269" t="n">
        <v>0</v>
      </c>
      <c r="K269" t="n">
        <v>0</v>
      </c>
      <c r="L269" t="n">
        <v>0</v>
      </c>
      <c r="M269" t="n">
        <v>0</v>
      </c>
      <c r="N269" t="n">
        <v>0</v>
      </c>
      <c r="O269" t="n">
        <v>0</v>
      </c>
      <c r="P269" t="n">
        <v>0</v>
      </c>
      <c r="Q269" t="n">
        <v>0</v>
      </c>
      <c r="R269" s="2" t="inlineStr"/>
    </row>
    <row r="270" ht="15" customHeight="1">
      <c r="A270" t="inlineStr">
        <is>
          <t>A 53232-2024</t>
        </is>
      </c>
      <c r="B270" s="1" t="n">
        <v>45613.67967592592</v>
      </c>
      <c r="C270" s="1" t="n">
        <v>45989</v>
      </c>
      <c r="D270" t="inlineStr">
        <is>
          <t>NORRBOTTENS LÄN</t>
        </is>
      </c>
      <c r="E270" t="inlineStr">
        <is>
          <t>JOKKMOKK</t>
        </is>
      </c>
      <c r="G270" t="n">
        <v>1.9</v>
      </c>
      <c r="H270" t="n">
        <v>0</v>
      </c>
      <c r="I270" t="n">
        <v>0</v>
      </c>
      <c r="J270" t="n">
        <v>0</v>
      </c>
      <c r="K270" t="n">
        <v>0</v>
      </c>
      <c r="L270" t="n">
        <v>0</v>
      </c>
      <c r="M270" t="n">
        <v>0</v>
      </c>
      <c r="N270" t="n">
        <v>0</v>
      </c>
      <c r="O270" t="n">
        <v>0</v>
      </c>
      <c r="P270" t="n">
        <v>0</v>
      </c>
      <c r="Q270" t="n">
        <v>0</v>
      </c>
      <c r="R270" s="2" t="inlineStr"/>
    </row>
    <row r="271" ht="15" customHeight="1">
      <c r="A271" t="inlineStr">
        <is>
          <t>A 50628-2024</t>
        </is>
      </c>
      <c r="B271" s="1" t="n">
        <v>45601.66423611111</v>
      </c>
      <c r="C271" s="1" t="n">
        <v>45989</v>
      </c>
      <c r="D271" t="inlineStr">
        <is>
          <t>NORRBOTTENS LÄN</t>
        </is>
      </c>
      <c r="E271" t="inlineStr">
        <is>
          <t>JOKKMOKK</t>
        </is>
      </c>
      <c r="F271" t="inlineStr">
        <is>
          <t>Allmännings- och besparingsskogar</t>
        </is>
      </c>
      <c r="G271" t="n">
        <v>2.4</v>
      </c>
      <c r="H271" t="n">
        <v>0</v>
      </c>
      <c r="I271" t="n">
        <v>0</v>
      </c>
      <c r="J271" t="n">
        <v>0</v>
      </c>
      <c r="K271" t="n">
        <v>0</v>
      </c>
      <c r="L271" t="n">
        <v>0</v>
      </c>
      <c r="M271" t="n">
        <v>0</v>
      </c>
      <c r="N271" t="n">
        <v>0</v>
      </c>
      <c r="O271" t="n">
        <v>0</v>
      </c>
      <c r="P271" t="n">
        <v>0</v>
      </c>
      <c r="Q271" t="n">
        <v>0</v>
      </c>
      <c r="R271" s="2" t="inlineStr"/>
    </row>
    <row r="272" ht="15" customHeight="1">
      <c r="A272" t="inlineStr">
        <is>
          <t>A 51577-2025</t>
        </is>
      </c>
      <c r="B272" s="1" t="n">
        <v>45951</v>
      </c>
      <c r="C272" s="1" t="n">
        <v>45989</v>
      </c>
      <c r="D272" t="inlineStr">
        <is>
          <t>NORRBOTTENS LÄN</t>
        </is>
      </c>
      <c r="E272" t="inlineStr">
        <is>
          <t>JOKKMOKK</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44691-2025</t>
        </is>
      </c>
      <c r="B273" s="1" t="n">
        <v>45917.59425925926</v>
      </c>
      <c r="C273" s="1" t="n">
        <v>45989</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35040-2025</t>
        </is>
      </c>
      <c r="B274" s="1" t="n">
        <v>45852.34420138889</v>
      </c>
      <c r="C274" s="1" t="n">
        <v>45989</v>
      </c>
      <c r="D274" t="inlineStr">
        <is>
          <t>NORRBOTTENS LÄN</t>
        </is>
      </c>
      <c r="E274" t="inlineStr">
        <is>
          <t>JOKKMOKK</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453-2025</t>
        </is>
      </c>
      <c r="B275" s="1" t="n">
        <v>45664.4005787037</v>
      </c>
      <c r="C275" s="1" t="n">
        <v>45989</v>
      </c>
      <c r="D275" t="inlineStr">
        <is>
          <t>NORRBOTTENS LÄN</t>
        </is>
      </c>
      <c r="E275" t="inlineStr">
        <is>
          <t>JOKKMOKK</t>
        </is>
      </c>
      <c r="F275" t="inlineStr">
        <is>
          <t>Övriga statliga verk och myndigheter</t>
        </is>
      </c>
      <c r="G275" t="n">
        <v>5</v>
      </c>
      <c r="H275" t="n">
        <v>0</v>
      </c>
      <c r="I275" t="n">
        <v>0</v>
      </c>
      <c r="J275" t="n">
        <v>0</v>
      </c>
      <c r="K275" t="n">
        <v>0</v>
      </c>
      <c r="L275" t="n">
        <v>0</v>
      </c>
      <c r="M275" t="n">
        <v>0</v>
      </c>
      <c r="N275" t="n">
        <v>0</v>
      </c>
      <c r="O275" t="n">
        <v>0</v>
      </c>
      <c r="P275" t="n">
        <v>0</v>
      </c>
      <c r="Q275" t="n">
        <v>0</v>
      </c>
      <c r="R275" s="2" t="inlineStr"/>
    </row>
    <row r="276" ht="15" customHeight="1">
      <c r="A276" t="inlineStr">
        <is>
          <t>A 56523-2021</t>
        </is>
      </c>
      <c r="B276" s="1" t="n">
        <v>44477</v>
      </c>
      <c r="C276" s="1" t="n">
        <v>45989</v>
      </c>
      <c r="D276" t="inlineStr">
        <is>
          <t>NORRBOTTENS LÄN</t>
        </is>
      </c>
      <c r="E276" t="inlineStr">
        <is>
          <t>JOKKMOKK</t>
        </is>
      </c>
      <c r="G276" t="n">
        <v>6.6</v>
      </c>
      <c r="H276" t="n">
        <v>0</v>
      </c>
      <c r="I276" t="n">
        <v>0</v>
      </c>
      <c r="J276" t="n">
        <v>0</v>
      </c>
      <c r="K276" t="n">
        <v>0</v>
      </c>
      <c r="L276" t="n">
        <v>0</v>
      </c>
      <c r="M276" t="n">
        <v>0</v>
      </c>
      <c r="N276" t="n">
        <v>0</v>
      </c>
      <c r="O276" t="n">
        <v>0</v>
      </c>
      <c r="P276" t="n">
        <v>0</v>
      </c>
      <c r="Q276" t="n">
        <v>0</v>
      </c>
      <c r="R276" s="2" t="inlineStr"/>
    </row>
    <row r="277" ht="15" customHeight="1">
      <c r="A277" t="inlineStr">
        <is>
          <t>A 44606-2025</t>
        </is>
      </c>
      <c r="B277" s="1" t="n">
        <v>45917.4485300926</v>
      </c>
      <c r="C277" s="1" t="n">
        <v>45989</v>
      </c>
      <c r="D277" t="inlineStr">
        <is>
          <t>NORRBOTTENS LÄN</t>
        </is>
      </c>
      <c r="E277" t="inlineStr">
        <is>
          <t>JOKKMOKK</t>
        </is>
      </c>
      <c r="F277" t="inlineStr">
        <is>
          <t>SCA</t>
        </is>
      </c>
      <c r="G277" t="n">
        <v>4.3</v>
      </c>
      <c r="H277" t="n">
        <v>0</v>
      </c>
      <c r="I277" t="n">
        <v>0</v>
      </c>
      <c r="J277" t="n">
        <v>0</v>
      </c>
      <c r="K277" t="n">
        <v>0</v>
      </c>
      <c r="L277" t="n">
        <v>0</v>
      </c>
      <c r="M277" t="n">
        <v>0</v>
      </c>
      <c r="N277" t="n">
        <v>0</v>
      </c>
      <c r="O277" t="n">
        <v>0</v>
      </c>
      <c r="P277" t="n">
        <v>0</v>
      </c>
      <c r="Q277" t="n">
        <v>0</v>
      </c>
      <c r="R277" s="2" t="inlineStr"/>
    </row>
    <row r="278" ht="15" customHeight="1">
      <c r="A278" t="inlineStr">
        <is>
          <t>A 44958-2025</t>
        </is>
      </c>
      <c r="B278" s="1" t="n">
        <v>45918.61519675926</v>
      </c>
      <c r="C278" s="1" t="n">
        <v>45989</v>
      </c>
      <c r="D278" t="inlineStr">
        <is>
          <t>NORRBOTTENS LÄN</t>
        </is>
      </c>
      <c r="E278" t="inlineStr">
        <is>
          <t>JOKKMOKK</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30511-2023</t>
        </is>
      </c>
      <c r="B279" s="1" t="n">
        <v>45111</v>
      </c>
      <c r="C279" s="1" t="n">
        <v>45989</v>
      </c>
      <c r="D279" t="inlineStr">
        <is>
          <t>NORRBOTTENS LÄN</t>
        </is>
      </c>
      <c r="E279" t="inlineStr">
        <is>
          <t>JOKKMOKK</t>
        </is>
      </c>
      <c r="G279" t="n">
        <v>0.9</v>
      </c>
      <c r="H279" t="n">
        <v>0</v>
      </c>
      <c r="I279" t="n">
        <v>0</v>
      </c>
      <c r="J279" t="n">
        <v>0</v>
      </c>
      <c r="K279" t="n">
        <v>0</v>
      </c>
      <c r="L279" t="n">
        <v>0</v>
      </c>
      <c r="M279" t="n">
        <v>0</v>
      </c>
      <c r="N279" t="n">
        <v>0</v>
      </c>
      <c r="O279" t="n">
        <v>0</v>
      </c>
      <c r="P279" t="n">
        <v>0</v>
      </c>
      <c r="Q279" t="n">
        <v>0</v>
      </c>
      <c r="R279" s="2" t="inlineStr"/>
    </row>
    <row r="280" ht="15" customHeight="1">
      <c r="A280" t="inlineStr">
        <is>
          <t>A 35511-2025</t>
        </is>
      </c>
      <c r="B280" s="1" t="n">
        <v>45856.36497685185</v>
      </c>
      <c r="C280" s="1" t="n">
        <v>45989</v>
      </c>
      <c r="D280" t="inlineStr">
        <is>
          <t>NORRBOTTENS LÄN</t>
        </is>
      </c>
      <c r="E280" t="inlineStr">
        <is>
          <t>JOKKMOKK</t>
        </is>
      </c>
      <c r="F280" t="inlineStr">
        <is>
          <t>SCA</t>
        </is>
      </c>
      <c r="G280" t="n">
        <v>7</v>
      </c>
      <c r="H280" t="n">
        <v>0</v>
      </c>
      <c r="I280" t="n">
        <v>0</v>
      </c>
      <c r="J280" t="n">
        <v>0</v>
      </c>
      <c r="K280" t="n">
        <v>0</v>
      </c>
      <c r="L280" t="n">
        <v>0</v>
      </c>
      <c r="M280" t="n">
        <v>0</v>
      </c>
      <c r="N280" t="n">
        <v>0</v>
      </c>
      <c r="O280" t="n">
        <v>0</v>
      </c>
      <c r="P280" t="n">
        <v>0</v>
      </c>
      <c r="Q280" t="n">
        <v>0</v>
      </c>
      <c r="R280" s="2" t="inlineStr"/>
    </row>
    <row r="281" ht="15" customHeight="1">
      <c r="A281" t="inlineStr">
        <is>
          <t>A 52733-2024</t>
        </is>
      </c>
      <c r="B281" s="1" t="n">
        <v>45610</v>
      </c>
      <c r="C281" s="1" t="n">
        <v>45989</v>
      </c>
      <c r="D281" t="inlineStr">
        <is>
          <t>NORRBOTTENS LÄN</t>
        </is>
      </c>
      <c r="E281" t="inlineStr">
        <is>
          <t>JOKKMOKK</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row>
    <row r="282" ht="15" customHeight="1">
      <c r="A282" t="inlineStr">
        <is>
          <t>A 52855-2024</t>
        </is>
      </c>
      <c r="B282" s="1" t="n">
        <v>45610</v>
      </c>
      <c r="C282" s="1" t="n">
        <v>45989</v>
      </c>
      <c r="D282" t="inlineStr">
        <is>
          <t>NORRBOTTENS LÄN</t>
        </is>
      </c>
      <c r="E282" t="inlineStr">
        <is>
          <t>JOKKMOKK</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51499-2025</t>
        </is>
      </c>
      <c r="B283" s="1" t="n">
        <v>45950.63737268518</v>
      </c>
      <c r="C283" s="1" t="n">
        <v>45989</v>
      </c>
      <c r="D283" t="inlineStr">
        <is>
          <t>NORRBOTTENS LÄN</t>
        </is>
      </c>
      <c r="E283" t="inlineStr">
        <is>
          <t>JOKKMOKK</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44150-2024</t>
        </is>
      </c>
      <c r="B284" s="1" t="n">
        <v>45572.67520833333</v>
      </c>
      <c r="C284" s="1" t="n">
        <v>45989</v>
      </c>
      <c r="D284" t="inlineStr">
        <is>
          <t>NORRBOTTENS LÄN</t>
        </is>
      </c>
      <c r="E284" t="inlineStr">
        <is>
          <t>JOKKMOKK</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45065-2025</t>
        </is>
      </c>
      <c r="B285" s="1" t="n">
        <v>45919.34540509259</v>
      </c>
      <c r="C285" s="1" t="n">
        <v>45989</v>
      </c>
      <c r="D285" t="inlineStr">
        <is>
          <t>NORRBOTTENS LÄN</t>
        </is>
      </c>
      <c r="E285" t="inlineStr">
        <is>
          <t>JOKKMOKK</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53513-2025</t>
        </is>
      </c>
      <c r="B286" s="1" t="n">
        <v>45960</v>
      </c>
      <c r="C286" s="1" t="n">
        <v>45989</v>
      </c>
      <c r="D286" t="inlineStr">
        <is>
          <t>NORRBOTTENS LÄN</t>
        </is>
      </c>
      <c r="E286" t="inlineStr">
        <is>
          <t>JOKKMOKK</t>
        </is>
      </c>
      <c r="G286" t="n">
        <v>3.7</v>
      </c>
      <c r="H286" t="n">
        <v>0</v>
      </c>
      <c r="I286" t="n">
        <v>0</v>
      </c>
      <c r="J286" t="n">
        <v>0</v>
      </c>
      <c r="K286" t="n">
        <v>0</v>
      </c>
      <c r="L286" t="n">
        <v>0</v>
      </c>
      <c r="M286" t="n">
        <v>0</v>
      </c>
      <c r="N286" t="n">
        <v>0</v>
      </c>
      <c r="O286" t="n">
        <v>0</v>
      </c>
      <c r="P286" t="n">
        <v>0</v>
      </c>
      <c r="Q286" t="n">
        <v>0</v>
      </c>
      <c r="R286" s="2" t="inlineStr"/>
    </row>
    <row r="287" ht="15" customHeight="1">
      <c r="A287" t="inlineStr">
        <is>
          <t>A 35749-2025</t>
        </is>
      </c>
      <c r="B287" s="1" t="n">
        <v>45860</v>
      </c>
      <c r="C287" s="1" t="n">
        <v>45989</v>
      </c>
      <c r="D287" t="inlineStr">
        <is>
          <t>NORRBOTTENS LÄN</t>
        </is>
      </c>
      <c r="E287" t="inlineStr">
        <is>
          <t>JOKKMOKK</t>
        </is>
      </c>
      <c r="G287" t="n">
        <v>4.2</v>
      </c>
      <c r="H287" t="n">
        <v>0</v>
      </c>
      <c r="I287" t="n">
        <v>0</v>
      </c>
      <c r="J287" t="n">
        <v>0</v>
      </c>
      <c r="K287" t="n">
        <v>0</v>
      </c>
      <c r="L287" t="n">
        <v>0</v>
      </c>
      <c r="M287" t="n">
        <v>0</v>
      </c>
      <c r="N287" t="n">
        <v>0</v>
      </c>
      <c r="O287" t="n">
        <v>0</v>
      </c>
      <c r="P287" t="n">
        <v>0</v>
      </c>
      <c r="Q287" t="n">
        <v>0</v>
      </c>
      <c r="R287" s="2" t="inlineStr"/>
    </row>
    <row r="288" ht="15" customHeight="1">
      <c r="A288" t="inlineStr">
        <is>
          <t>A 51500-2025</t>
        </is>
      </c>
      <c r="B288" s="1" t="n">
        <v>45950.63739583334</v>
      </c>
      <c r="C288" s="1" t="n">
        <v>45989</v>
      </c>
      <c r="D288" t="inlineStr">
        <is>
          <t>NORRBOTTENS LÄN</t>
        </is>
      </c>
      <c r="E288" t="inlineStr">
        <is>
          <t>JOKKMOKK</t>
        </is>
      </c>
      <c r="G288" t="n">
        <v>10.1</v>
      </c>
      <c r="H288" t="n">
        <v>0</v>
      </c>
      <c r="I288" t="n">
        <v>0</v>
      </c>
      <c r="J288" t="n">
        <v>0</v>
      </c>
      <c r="K288" t="n">
        <v>0</v>
      </c>
      <c r="L288" t="n">
        <v>0</v>
      </c>
      <c r="M288" t="n">
        <v>0</v>
      </c>
      <c r="N288" t="n">
        <v>0</v>
      </c>
      <c r="O288" t="n">
        <v>0</v>
      </c>
      <c r="P288" t="n">
        <v>0</v>
      </c>
      <c r="Q288" t="n">
        <v>0</v>
      </c>
      <c r="R288" s="2" t="inlineStr"/>
    </row>
    <row r="289" ht="15" customHeight="1">
      <c r="A289" t="inlineStr">
        <is>
          <t>A 51576-2025</t>
        </is>
      </c>
      <c r="B289" s="1" t="n">
        <v>45951.34469907408</v>
      </c>
      <c r="C289" s="1" t="n">
        <v>45989</v>
      </c>
      <c r="D289" t="inlineStr">
        <is>
          <t>NORRBOTTENS LÄN</t>
        </is>
      </c>
      <c r="E289" t="inlineStr">
        <is>
          <t>JOKKMOKK</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50496-2024</t>
        </is>
      </c>
      <c r="B290" s="1" t="n">
        <v>45601.51266203704</v>
      </c>
      <c r="C290" s="1" t="n">
        <v>45989</v>
      </c>
      <c r="D290" t="inlineStr">
        <is>
          <t>NORRBOTTENS LÄN</t>
        </is>
      </c>
      <c r="E290" t="inlineStr">
        <is>
          <t>JOKKMOKK</t>
        </is>
      </c>
      <c r="F290" t="inlineStr">
        <is>
          <t>Allmännings- och besparingsskogar</t>
        </is>
      </c>
      <c r="G290" t="n">
        <v>2.1</v>
      </c>
      <c r="H290" t="n">
        <v>0</v>
      </c>
      <c r="I290" t="n">
        <v>0</v>
      </c>
      <c r="J290" t="n">
        <v>0</v>
      </c>
      <c r="K290" t="n">
        <v>0</v>
      </c>
      <c r="L290" t="n">
        <v>0</v>
      </c>
      <c r="M290" t="n">
        <v>0</v>
      </c>
      <c r="N290" t="n">
        <v>0</v>
      </c>
      <c r="O290" t="n">
        <v>0</v>
      </c>
      <c r="P290" t="n">
        <v>0</v>
      </c>
      <c r="Q290" t="n">
        <v>0</v>
      </c>
      <c r="R290" s="2" t="inlineStr"/>
    </row>
    <row r="291" ht="15" customHeight="1">
      <c r="A291" t="inlineStr">
        <is>
          <t>A 61500-2024</t>
        </is>
      </c>
      <c r="B291" s="1" t="n">
        <v>45645</v>
      </c>
      <c r="C291" s="1" t="n">
        <v>45989</v>
      </c>
      <c r="D291" t="inlineStr">
        <is>
          <t>NORRBOTTENS LÄN</t>
        </is>
      </c>
      <c r="E291" t="inlineStr">
        <is>
          <t>JOKKMOKK</t>
        </is>
      </c>
      <c r="G291" t="n">
        <v>39.8</v>
      </c>
      <c r="H291" t="n">
        <v>0</v>
      </c>
      <c r="I291" t="n">
        <v>0</v>
      </c>
      <c r="J291" t="n">
        <v>0</v>
      </c>
      <c r="K291" t="n">
        <v>0</v>
      </c>
      <c r="L291" t="n">
        <v>0</v>
      </c>
      <c r="M291" t="n">
        <v>0</v>
      </c>
      <c r="N291" t="n">
        <v>0</v>
      </c>
      <c r="O291" t="n">
        <v>0</v>
      </c>
      <c r="P291" t="n">
        <v>0</v>
      </c>
      <c r="Q291" t="n">
        <v>0</v>
      </c>
      <c r="R291" s="2" t="inlineStr"/>
    </row>
    <row r="292" ht="15" customHeight="1">
      <c r="A292" t="inlineStr">
        <is>
          <t>A 52770-2025</t>
        </is>
      </c>
      <c r="B292" s="1" t="n">
        <v>45957</v>
      </c>
      <c r="C292" s="1" t="n">
        <v>45989</v>
      </c>
      <c r="D292" t="inlineStr">
        <is>
          <t>NORRBOTTENS LÄN</t>
        </is>
      </c>
      <c r="E292" t="inlineStr">
        <is>
          <t>JOKKMOKK</t>
        </is>
      </c>
      <c r="F292" t="inlineStr">
        <is>
          <t>SCA</t>
        </is>
      </c>
      <c r="G292" t="n">
        <v>4.4</v>
      </c>
      <c r="H292" t="n">
        <v>0</v>
      </c>
      <c r="I292" t="n">
        <v>0</v>
      </c>
      <c r="J292" t="n">
        <v>0</v>
      </c>
      <c r="K292" t="n">
        <v>0</v>
      </c>
      <c r="L292" t="n">
        <v>0</v>
      </c>
      <c r="M292" t="n">
        <v>0</v>
      </c>
      <c r="N292" t="n">
        <v>0</v>
      </c>
      <c r="O292" t="n">
        <v>0</v>
      </c>
      <c r="P292" t="n">
        <v>0</v>
      </c>
      <c r="Q292" t="n">
        <v>0</v>
      </c>
      <c r="R292" s="2" t="inlineStr"/>
    </row>
    <row r="293" ht="15" customHeight="1">
      <c r="A293" t="inlineStr">
        <is>
          <t>A 35805-2025</t>
        </is>
      </c>
      <c r="B293" s="1" t="n">
        <v>45861.4019212963</v>
      </c>
      <c r="C293" s="1" t="n">
        <v>45989</v>
      </c>
      <c r="D293" t="inlineStr">
        <is>
          <t>NORRBOTTENS LÄN</t>
        </is>
      </c>
      <c r="E293" t="inlineStr">
        <is>
          <t>JOKKMOKK</t>
        </is>
      </c>
      <c r="G293" t="n">
        <v>7</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45989</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45064-2025</t>
        </is>
      </c>
      <c r="B295" s="1" t="n">
        <v>45919.34533564815</v>
      </c>
      <c r="C295" s="1" t="n">
        <v>45989</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26552-2025</t>
        </is>
      </c>
      <c r="B296" s="1" t="n">
        <v>45807</v>
      </c>
      <c r="C296" s="1" t="n">
        <v>45989</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36325-2025</t>
        </is>
      </c>
      <c r="B297" s="1" t="n">
        <v>45868.40723379629</v>
      </c>
      <c r="C297" s="1" t="n">
        <v>45989</v>
      </c>
      <c r="D297" t="inlineStr">
        <is>
          <t>NORRBOTTENS LÄN</t>
        </is>
      </c>
      <c r="E297" t="inlineStr">
        <is>
          <t>JOKKMOKK</t>
        </is>
      </c>
      <c r="F297" t="inlineStr">
        <is>
          <t>SCA</t>
        </is>
      </c>
      <c r="G297" t="n">
        <v>14.4</v>
      </c>
      <c r="H297" t="n">
        <v>0</v>
      </c>
      <c r="I297" t="n">
        <v>0</v>
      </c>
      <c r="J297" t="n">
        <v>0</v>
      </c>
      <c r="K297" t="n">
        <v>0</v>
      </c>
      <c r="L297" t="n">
        <v>0</v>
      </c>
      <c r="M297" t="n">
        <v>0</v>
      </c>
      <c r="N297" t="n">
        <v>0</v>
      </c>
      <c r="O297" t="n">
        <v>0</v>
      </c>
      <c r="P297" t="n">
        <v>0</v>
      </c>
      <c r="Q297" t="n">
        <v>0</v>
      </c>
      <c r="R297" s="2" t="inlineStr"/>
    </row>
    <row r="298" ht="15" customHeight="1">
      <c r="A298" t="inlineStr">
        <is>
          <t>A 36357-2025</t>
        </is>
      </c>
      <c r="B298" s="1" t="n">
        <v>45868.5107175926</v>
      </c>
      <c r="C298" s="1" t="n">
        <v>45989</v>
      </c>
      <c r="D298" t="inlineStr">
        <is>
          <t>NORRBOTTENS LÄN</t>
        </is>
      </c>
      <c r="E298" t="inlineStr">
        <is>
          <t>JOKKMOKK</t>
        </is>
      </c>
      <c r="G298" t="n">
        <v>0.5</v>
      </c>
      <c r="H298" t="n">
        <v>0</v>
      </c>
      <c r="I298" t="n">
        <v>0</v>
      </c>
      <c r="J298" t="n">
        <v>0</v>
      </c>
      <c r="K298" t="n">
        <v>0</v>
      </c>
      <c r="L298" t="n">
        <v>0</v>
      </c>
      <c r="M298" t="n">
        <v>0</v>
      </c>
      <c r="N298" t="n">
        <v>0</v>
      </c>
      <c r="O298" t="n">
        <v>0</v>
      </c>
      <c r="P298" t="n">
        <v>0</v>
      </c>
      <c r="Q298" t="n">
        <v>0</v>
      </c>
      <c r="R298" s="2" t="inlineStr"/>
    </row>
    <row r="299" ht="15" customHeight="1">
      <c r="A299" t="inlineStr">
        <is>
          <t>A 45709-2025</t>
        </is>
      </c>
      <c r="B299" s="1" t="n">
        <v>45923</v>
      </c>
      <c r="C299" s="1" t="n">
        <v>45989</v>
      </c>
      <c r="D299" t="inlineStr">
        <is>
          <t>NORRBOTTENS LÄN</t>
        </is>
      </c>
      <c r="E299" t="inlineStr">
        <is>
          <t>JOKKMOKK</t>
        </is>
      </c>
      <c r="G299" t="n">
        <v>11.7</v>
      </c>
      <c r="H299" t="n">
        <v>0</v>
      </c>
      <c r="I299" t="n">
        <v>0</v>
      </c>
      <c r="J299" t="n">
        <v>0</v>
      </c>
      <c r="K299" t="n">
        <v>0</v>
      </c>
      <c r="L299" t="n">
        <v>0</v>
      </c>
      <c r="M299" t="n">
        <v>0</v>
      </c>
      <c r="N299" t="n">
        <v>0</v>
      </c>
      <c r="O299" t="n">
        <v>0</v>
      </c>
      <c r="P299" t="n">
        <v>0</v>
      </c>
      <c r="Q299" t="n">
        <v>0</v>
      </c>
      <c r="R299" s="2" t="inlineStr"/>
    </row>
    <row r="300" ht="15" customHeight="1">
      <c r="A300" t="inlineStr">
        <is>
          <t>A 54585-2025</t>
        </is>
      </c>
      <c r="B300" s="1" t="n">
        <v>45965.72071759259</v>
      </c>
      <c r="C300" s="1" t="n">
        <v>45989</v>
      </c>
      <c r="D300" t="inlineStr">
        <is>
          <t>NORRBOTTENS LÄN</t>
        </is>
      </c>
      <c r="E300" t="inlineStr">
        <is>
          <t>JOKKMOKK</t>
        </is>
      </c>
      <c r="F300" t="inlineStr">
        <is>
          <t>Allmännings- och besparingsskogar</t>
        </is>
      </c>
      <c r="G300" t="n">
        <v>10.2</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45989</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33740-2025</t>
        </is>
      </c>
      <c r="B302" s="1" t="n">
        <v>45842.34456018519</v>
      </c>
      <c r="C302" s="1" t="n">
        <v>45989</v>
      </c>
      <c r="D302" t="inlineStr">
        <is>
          <t>NORRBOTTENS LÄN</t>
        </is>
      </c>
      <c r="E302" t="inlineStr">
        <is>
          <t>JOKKMOKK</t>
        </is>
      </c>
      <c r="F302" t="inlineStr">
        <is>
          <t>SCA</t>
        </is>
      </c>
      <c r="G302" t="n">
        <v>23.3</v>
      </c>
      <c r="H302" t="n">
        <v>0</v>
      </c>
      <c r="I302" t="n">
        <v>0</v>
      </c>
      <c r="J302" t="n">
        <v>0</v>
      </c>
      <c r="K302" t="n">
        <v>0</v>
      </c>
      <c r="L302" t="n">
        <v>0</v>
      </c>
      <c r="M302" t="n">
        <v>0</v>
      </c>
      <c r="N302" t="n">
        <v>0</v>
      </c>
      <c r="O302" t="n">
        <v>0</v>
      </c>
      <c r="P302" t="n">
        <v>0</v>
      </c>
      <c r="Q302" t="n">
        <v>0</v>
      </c>
      <c r="R302" s="2" t="inlineStr"/>
    </row>
    <row r="303" ht="15" customHeight="1">
      <c r="A303" t="inlineStr">
        <is>
          <t>A 46458-2025</t>
        </is>
      </c>
      <c r="B303" s="1" t="n">
        <v>45925.66335648148</v>
      </c>
      <c r="C303" s="1" t="n">
        <v>45989</v>
      </c>
      <c r="D303" t="inlineStr">
        <is>
          <t>NORRBOTTENS LÄN</t>
        </is>
      </c>
      <c r="E303" t="inlineStr">
        <is>
          <t>JOKKMOKK</t>
        </is>
      </c>
      <c r="G303" t="n">
        <v>0.9</v>
      </c>
      <c r="H303" t="n">
        <v>0</v>
      </c>
      <c r="I303" t="n">
        <v>0</v>
      </c>
      <c r="J303" t="n">
        <v>0</v>
      </c>
      <c r="K303" t="n">
        <v>0</v>
      </c>
      <c r="L303" t="n">
        <v>0</v>
      </c>
      <c r="M303" t="n">
        <v>0</v>
      </c>
      <c r="N303" t="n">
        <v>0</v>
      </c>
      <c r="O303" t="n">
        <v>0</v>
      </c>
      <c r="P303" t="n">
        <v>0</v>
      </c>
      <c r="Q303" t="n">
        <v>0</v>
      </c>
      <c r="R303" s="2" t="inlineStr"/>
    </row>
    <row r="304" ht="15" customHeight="1">
      <c r="A304" t="inlineStr">
        <is>
          <t>A 10596-2025</t>
        </is>
      </c>
      <c r="B304" s="1" t="n">
        <v>45721</v>
      </c>
      <c r="C304" s="1" t="n">
        <v>45989</v>
      </c>
      <c r="D304" t="inlineStr">
        <is>
          <t>NORRBOTTENS LÄN</t>
        </is>
      </c>
      <c r="E304" t="inlineStr">
        <is>
          <t>JOKKMOKK</t>
        </is>
      </c>
      <c r="G304" t="n">
        <v>17.7</v>
      </c>
      <c r="H304" t="n">
        <v>0</v>
      </c>
      <c r="I304" t="n">
        <v>0</v>
      </c>
      <c r="J304" t="n">
        <v>0</v>
      </c>
      <c r="K304" t="n">
        <v>0</v>
      </c>
      <c r="L304" t="n">
        <v>0</v>
      </c>
      <c r="M304" t="n">
        <v>0</v>
      </c>
      <c r="N304" t="n">
        <v>0</v>
      </c>
      <c r="O304" t="n">
        <v>0</v>
      </c>
      <c r="P304" t="n">
        <v>0</v>
      </c>
      <c r="Q304" t="n">
        <v>0</v>
      </c>
      <c r="R304" s="2" t="inlineStr"/>
    </row>
    <row r="305" ht="15" customHeight="1">
      <c r="A305" t="inlineStr">
        <is>
          <t>A 68636-2020</t>
        </is>
      </c>
      <c r="B305" s="1" t="n">
        <v>44186</v>
      </c>
      <c r="C305" s="1" t="n">
        <v>45989</v>
      </c>
      <c r="D305" t="inlineStr">
        <is>
          <t>NORRBOTTENS LÄN</t>
        </is>
      </c>
      <c r="E305" t="inlineStr">
        <is>
          <t>JOKKMOKK</t>
        </is>
      </c>
      <c r="F305" t="inlineStr">
        <is>
          <t>SCA</t>
        </is>
      </c>
      <c r="G305" t="n">
        <v>42.3</v>
      </c>
      <c r="H305" t="n">
        <v>0</v>
      </c>
      <c r="I305" t="n">
        <v>0</v>
      </c>
      <c r="J305" t="n">
        <v>0</v>
      </c>
      <c r="K305" t="n">
        <v>0</v>
      </c>
      <c r="L305" t="n">
        <v>0</v>
      </c>
      <c r="M305" t="n">
        <v>0</v>
      </c>
      <c r="N305" t="n">
        <v>0</v>
      </c>
      <c r="O305" t="n">
        <v>0</v>
      </c>
      <c r="P305" t="n">
        <v>0</v>
      </c>
      <c r="Q305" t="n">
        <v>0</v>
      </c>
      <c r="R305" s="2" t="inlineStr"/>
    </row>
    <row r="306" ht="15" customHeight="1">
      <c r="A306" t="inlineStr">
        <is>
          <t>A 61760-2024</t>
        </is>
      </c>
      <c r="B306" s="1" t="n">
        <v>45649</v>
      </c>
      <c r="C306" s="1" t="n">
        <v>45989</v>
      </c>
      <c r="D306" t="inlineStr">
        <is>
          <t>NORRBOTTENS LÄN</t>
        </is>
      </c>
      <c r="E306" t="inlineStr">
        <is>
          <t>JOKKMOKK</t>
        </is>
      </c>
      <c r="F306" t="inlineStr">
        <is>
          <t>Övriga statliga verk och myndigheter</t>
        </is>
      </c>
      <c r="G306" t="n">
        <v>19.3</v>
      </c>
      <c r="H306" t="n">
        <v>0</v>
      </c>
      <c r="I306" t="n">
        <v>0</v>
      </c>
      <c r="J306" t="n">
        <v>0</v>
      </c>
      <c r="K306" t="n">
        <v>0</v>
      </c>
      <c r="L306" t="n">
        <v>0</v>
      </c>
      <c r="M306" t="n">
        <v>0</v>
      </c>
      <c r="N306" t="n">
        <v>0</v>
      </c>
      <c r="O306" t="n">
        <v>0</v>
      </c>
      <c r="P306" t="n">
        <v>0</v>
      </c>
      <c r="Q306" t="n">
        <v>0</v>
      </c>
      <c r="R306" s="2" t="inlineStr"/>
    </row>
    <row r="307" ht="15" customHeight="1">
      <c r="A307" t="inlineStr">
        <is>
          <t>A 37120-2025</t>
        </is>
      </c>
      <c r="B307" s="1" t="n">
        <v>45875.51827546296</v>
      </c>
      <c r="C307" s="1" t="n">
        <v>45989</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5670-2025</t>
        </is>
      </c>
      <c r="B308" s="1" t="n">
        <v>45693</v>
      </c>
      <c r="C308" s="1" t="n">
        <v>45989</v>
      </c>
      <c r="D308" t="inlineStr">
        <is>
          <t>NORRBOTTENS LÄN</t>
        </is>
      </c>
      <c r="E308" t="inlineStr">
        <is>
          <t>JOKKMOKK</t>
        </is>
      </c>
      <c r="G308" t="n">
        <v>2.1</v>
      </c>
      <c r="H308" t="n">
        <v>0</v>
      </c>
      <c r="I308" t="n">
        <v>0</v>
      </c>
      <c r="J308" t="n">
        <v>0</v>
      </c>
      <c r="K308" t="n">
        <v>0</v>
      </c>
      <c r="L308" t="n">
        <v>0</v>
      </c>
      <c r="M308" t="n">
        <v>0</v>
      </c>
      <c r="N308" t="n">
        <v>0</v>
      </c>
      <c r="O308" t="n">
        <v>0</v>
      </c>
      <c r="P308" t="n">
        <v>0</v>
      </c>
      <c r="Q308" t="n">
        <v>0</v>
      </c>
      <c r="R308" s="2" t="inlineStr"/>
    </row>
    <row r="309" ht="15" customHeight="1">
      <c r="A309" t="inlineStr">
        <is>
          <t>A 46465-2025</t>
        </is>
      </c>
      <c r="B309" s="1" t="n">
        <v>45925.67710648148</v>
      </c>
      <c r="C309" s="1" t="n">
        <v>45989</v>
      </c>
      <c r="D309" t="inlineStr">
        <is>
          <t>NORRBOTTENS LÄN</t>
        </is>
      </c>
      <c r="E309" t="inlineStr">
        <is>
          <t>JOKKMOKK</t>
        </is>
      </c>
      <c r="G309" t="n">
        <v>3.6</v>
      </c>
      <c r="H309" t="n">
        <v>0</v>
      </c>
      <c r="I309" t="n">
        <v>0</v>
      </c>
      <c r="J309" t="n">
        <v>0</v>
      </c>
      <c r="K309" t="n">
        <v>0</v>
      </c>
      <c r="L309" t="n">
        <v>0</v>
      </c>
      <c r="M309" t="n">
        <v>0</v>
      </c>
      <c r="N309" t="n">
        <v>0</v>
      </c>
      <c r="O309" t="n">
        <v>0</v>
      </c>
      <c r="P309" t="n">
        <v>0</v>
      </c>
      <c r="Q309" t="n">
        <v>0</v>
      </c>
      <c r="R309" s="2" t="inlineStr"/>
    </row>
    <row r="310" ht="15" customHeight="1">
      <c r="A310" t="inlineStr">
        <is>
          <t>A 32915-2023</t>
        </is>
      </c>
      <c r="B310" s="1" t="n">
        <v>45124.95214120371</v>
      </c>
      <c r="C310" s="1" t="n">
        <v>45989</v>
      </c>
      <c r="D310" t="inlineStr">
        <is>
          <t>NORRBOTTENS LÄN</t>
        </is>
      </c>
      <c r="E310" t="inlineStr">
        <is>
          <t>JOKKMOKK</t>
        </is>
      </c>
      <c r="F310" t="inlineStr">
        <is>
          <t>SCA</t>
        </is>
      </c>
      <c r="G310" t="n">
        <v>15.1</v>
      </c>
      <c r="H310" t="n">
        <v>0</v>
      </c>
      <c r="I310" t="n">
        <v>0</v>
      </c>
      <c r="J310" t="n">
        <v>0</v>
      </c>
      <c r="K310" t="n">
        <v>0</v>
      </c>
      <c r="L310" t="n">
        <v>0</v>
      </c>
      <c r="M310" t="n">
        <v>0</v>
      </c>
      <c r="N310" t="n">
        <v>0</v>
      </c>
      <c r="O310" t="n">
        <v>0</v>
      </c>
      <c r="P310" t="n">
        <v>0</v>
      </c>
      <c r="Q310" t="n">
        <v>0</v>
      </c>
      <c r="R310" s="2" t="inlineStr"/>
    </row>
    <row r="311" ht="15" customHeight="1">
      <c r="A311" t="inlineStr">
        <is>
          <t>A 46460-2025</t>
        </is>
      </c>
      <c r="B311" s="1" t="n">
        <v>45925.66606481482</v>
      </c>
      <c r="C311" s="1" t="n">
        <v>45989</v>
      </c>
      <c r="D311" t="inlineStr">
        <is>
          <t>NORRBOTTENS LÄN</t>
        </is>
      </c>
      <c r="E311" t="inlineStr">
        <is>
          <t>JOKKMOKK</t>
        </is>
      </c>
      <c r="G311" t="n">
        <v>1.2</v>
      </c>
      <c r="H311" t="n">
        <v>0</v>
      </c>
      <c r="I311" t="n">
        <v>0</v>
      </c>
      <c r="J311" t="n">
        <v>0</v>
      </c>
      <c r="K311" t="n">
        <v>0</v>
      </c>
      <c r="L311" t="n">
        <v>0</v>
      </c>
      <c r="M311" t="n">
        <v>0</v>
      </c>
      <c r="N311" t="n">
        <v>0</v>
      </c>
      <c r="O311" t="n">
        <v>0</v>
      </c>
      <c r="P311" t="n">
        <v>0</v>
      </c>
      <c r="Q311" t="n">
        <v>0</v>
      </c>
      <c r="R311" s="2" t="inlineStr"/>
    </row>
    <row r="312" ht="15" customHeight="1">
      <c r="A312" t="inlineStr">
        <is>
          <t>A 37206-2025</t>
        </is>
      </c>
      <c r="B312" s="1" t="n">
        <v>45875.69855324074</v>
      </c>
      <c r="C312" s="1" t="n">
        <v>45989</v>
      </c>
      <c r="D312" t="inlineStr">
        <is>
          <t>NORRBOTTENS LÄN</t>
        </is>
      </c>
      <c r="E312" t="inlineStr">
        <is>
          <t>JOKKMOKK</t>
        </is>
      </c>
      <c r="G312" t="n">
        <v>2.9</v>
      </c>
      <c r="H312" t="n">
        <v>0</v>
      </c>
      <c r="I312" t="n">
        <v>0</v>
      </c>
      <c r="J312" t="n">
        <v>0</v>
      </c>
      <c r="K312" t="n">
        <v>0</v>
      </c>
      <c r="L312" t="n">
        <v>0</v>
      </c>
      <c r="M312" t="n">
        <v>0</v>
      </c>
      <c r="N312" t="n">
        <v>0</v>
      </c>
      <c r="O312" t="n">
        <v>0</v>
      </c>
      <c r="P312" t="n">
        <v>0</v>
      </c>
      <c r="Q312" t="n">
        <v>0</v>
      </c>
      <c r="R312" s="2" t="inlineStr"/>
    </row>
    <row r="313" ht="15" customHeight="1">
      <c r="A313" t="inlineStr">
        <is>
          <t>A 55195-2025</t>
        </is>
      </c>
      <c r="B313" s="1" t="n">
        <v>45968.5525</v>
      </c>
      <c r="C313" s="1" t="n">
        <v>45989</v>
      </c>
      <c r="D313" t="inlineStr">
        <is>
          <t>NORRBOTTENS LÄN</t>
        </is>
      </c>
      <c r="E313" t="inlineStr">
        <is>
          <t>JOKKMOKK</t>
        </is>
      </c>
      <c r="G313" t="n">
        <v>5.3</v>
      </c>
      <c r="H313" t="n">
        <v>0</v>
      </c>
      <c r="I313" t="n">
        <v>0</v>
      </c>
      <c r="J313" t="n">
        <v>0</v>
      </c>
      <c r="K313" t="n">
        <v>0</v>
      </c>
      <c r="L313" t="n">
        <v>0</v>
      </c>
      <c r="M313" t="n">
        <v>0</v>
      </c>
      <c r="N313" t="n">
        <v>0</v>
      </c>
      <c r="O313" t="n">
        <v>0</v>
      </c>
      <c r="P313" t="n">
        <v>0</v>
      </c>
      <c r="Q313" t="n">
        <v>0</v>
      </c>
      <c r="R313" s="2" t="inlineStr"/>
    </row>
    <row r="314" ht="15" customHeight="1">
      <c r="A314" t="inlineStr">
        <is>
          <t>A 30041-2024</t>
        </is>
      </c>
      <c r="B314" s="1" t="n">
        <v>45488</v>
      </c>
      <c r="C314" s="1" t="n">
        <v>45989</v>
      </c>
      <c r="D314" t="inlineStr">
        <is>
          <t>NORRBOTTENS LÄN</t>
        </is>
      </c>
      <c r="E314" t="inlineStr">
        <is>
          <t>JOKKMOKK</t>
        </is>
      </c>
      <c r="G314" t="n">
        <v>19.9</v>
      </c>
      <c r="H314" t="n">
        <v>0</v>
      </c>
      <c r="I314" t="n">
        <v>0</v>
      </c>
      <c r="J314" t="n">
        <v>0</v>
      </c>
      <c r="K314" t="n">
        <v>0</v>
      </c>
      <c r="L314" t="n">
        <v>0</v>
      </c>
      <c r="M314" t="n">
        <v>0</v>
      </c>
      <c r="N314" t="n">
        <v>0</v>
      </c>
      <c r="O314" t="n">
        <v>0</v>
      </c>
      <c r="P314" t="n">
        <v>0</v>
      </c>
      <c r="Q314" t="n">
        <v>0</v>
      </c>
      <c r="R314" s="2" t="inlineStr"/>
    </row>
    <row r="315" ht="15" customHeight="1">
      <c r="A315" t="inlineStr">
        <is>
          <t>A 46837-2025</t>
        </is>
      </c>
      <c r="B315" s="1" t="n">
        <v>45928.34450231482</v>
      </c>
      <c r="C315" s="1" t="n">
        <v>45989</v>
      </c>
      <c r="D315" t="inlineStr">
        <is>
          <t>NORRBOTTENS LÄN</t>
        </is>
      </c>
      <c r="E315" t="inlineStr">
        <is>
          <t>JOKKMOKK</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54546-2025</t>
        </is>
      </c>
      <c r="B316" s="1" t="n">
        <v>45965.65212962963</v>
      </c>
      <c r="C316" s="1" t="n">
        <v>45989</v>
      </c>
      <c r="D316" t="inlineStr">
        <is>
          <t>NORRBOTTENS LÄN</t>
        </is>
      </c>
      <c r="E316" t="inlineStr">
        <is>
          <t>JOKKMOKK</t>
        </is>
      </c>
      <c r="F316" t="inlineStr">
        <is>
          <t>Allmännings- och besparingsskogar</t>
        </is>
      </c>
      <c r="G316" t="n">
        <v>5.4</v>
      </c>
      <c r="H316" t="n">
        <v>0</v>
      </c>
      <c r="I316" t="n">
        <v>0</v>
      </c>
      <c r="J316" t="n">
        <v>0</v>
      </c>
      <c r="K316" t="n">
        <v>0</v>
      </c>
      <c r="L316" t="n">
        <v>0</v>
      </c>
      <c r="M316" t="n">
        <v>0</v>
      </c>
      <c r="N316" t="n">
        <v>0</v>
      </c>
      <c r="O316" t="n">
        <v>0</v>
      </c>
      <c r="P316" t="n">
        <v>0</v>
      </c>
      <c r="Q316" t="n">
        <v>0</v>
      </c>
      <c r="R316" s="2" t="inlineStr"/>
    </row>
    <row r="317" ht="15" customHeight="1">
      <c r="A317" t="inlineStr">
        <is>
          <t>A 37694-2025</t>
        </is>
      </c>
      <c r="B317" s="1" t="n">
        <v>45880.57349537037</v>
      </c>
      <c r="C317" s="1" t="n">
        <v>45989</v>
      </c>
      <c r="D317" t="inlineStr">
        <is>
          <t>NORRBOTTENS LÄN</t>
        </is>
      </c>
      <c r="E317" t="inlineStr">
        <is>
          <t>JOKKMOKK</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43997-2024</t>
        </is>
      </c>
      <c r="B318" s="1" t="n">
        <v>45572.54165509259</v>
      </c>
      <c r="C318" s="1" t="n">
        <v>45989</v>
      </c>
      <c r="D318" t="inlineStr">
        <is>
          <t>NORRBOTTENS LÄN</t>
        </is>
      </c>
      <c r="E318" t="inlineStr">
        <is>
          <t>JOKKMOKK</t>
        </is>
      </c>
      <c r="F318" t="inlineStr">
        <is>
          <t>Sveaskog</t>
        </is>
      </c>
      <c r="G318" t="n">
        <v>17.4</v>
      </c>
      <c r="H318" t="n">
        <v>0</v>
      </c>
      <c r="I318" t="n">
        <v>0</v>
      </c>
      <c r="J318" t="n">
        <v>0</v>
      </c>
      <c r="K318" t="n">
        <v>0</v>
      </c>
      <c r="L318" t="n">
        <v>0</v>
      </c>
      <c r="M318" t="n">
        <v>0</v>
      </c>
      <c r="N318" t="n">
        <v>0</v>
      </c>
      <c r="O318" t="n">
        <v>0</v>
      </c>
      <c r="P318" t="n">
        <v>0</v>
      </c>
      <c r="Q318" t="n">
        <v>0</v>
      </c>
      <c r="R318" s="2" t="inlineStr"/>
    </row>
    <row r="319" ht="15" customHeight="1">
      <c r="A319" t="inlineStr">
        <is>
          <t>A 54270-2025</t>
        </is>
      </c>
      <c r="B319" s="1" t="n">
        <v>45964.67798611111</v>
      </c>
      <c r="C319" s="1" t="n">
        <v>45989</v>
      </c>
      <c r="D319" t="inlineStr">
        <is>
          <t>NORRBOTTENS LÄN</t>
        </is>
      </c>
      <c r="E319" t="inlineStr">
        <is>
          <t>JOKKMOKK</t>
        </is>
      </c>
      <c r="F319" t="inlineStr">
        <is>
          <t>Allmännings- och besparingsskogar</t>
        </is>
      </c>
      <c r="G319" t="n">
        <v>5.3</v>
      </c>
      <c r="H319" t="n">
        <v>0</v>
      </c>
      <c r="I319" t="n">
        <v>0</v>
      </c>
      <c r="J319" t="n">
        <v>0</v>
      </c>
      <c r="K319" t="n">
        <v>0</v>
      </c>
      <c r="L319" t="n">
        <v>0</v>
      </c>
      <c r="M319" t="n">
        <v>0</v>
      </c>
      <c r="N319" t="n">
        <v>0</v>
      </c>
      <c r="O319" t="n">
        <v>0</v>
      </c>
      <c r="P319" t="n">
        <v>0</v>
      </c>
      <c r="Q319" t="n">
        <v>0</v>
      </c>
      <c r="R319" s="2" t="inlineStr"/>
    </row>
    <row r="320" ht="15" customHeight="1">
      <c r="A320" t="inlineStr">
        <is>
          <t>A 55015-2025</t>
        </is>
      </c>
      <c r="B320" s="1" t="n">
        <v>45967</v>
      </c>
      <c r="C320" s="1" t="n">
        <v>45989</v>
      </c>
      <c r="D320" t="inlineStr">
        <is>
          <t>NORRBOTTENS LÄN</t>
        </is>
      </c>
      <c r="E320" t="inlineStr">
        <is>
          <t>JOKKMOKK</t>
        </is>
      </c>
      <c r="G320" t="n">
        <v>14.9</v>
      </c>
      <c r="H320" t="n">
        <v>0</v>
      </c>
      <c r="I320" t="n">
        <v>0</v>
      </c>
      <c r="J320" t="n">
        <v>0</v>
      </c>
      <c r="K320" t="n">
        <v>0</v>
      </c>
      <c r="L320" t="n">
        <v>0</v>
      </c>
      <c r="M320" t="n">
        <v>0</v>
      </c>
      <c r="N320" t="n">
        <v>0</v>
      </c>
      <c r="O320" t="n">
        <v>0</v>
      </c>
      <c r="P320" t="n">
        <v>0</v>
      </c>
      <c r="Q320" t="n">
        <v>0</v>
      </c>
      <c r="R320" s="2" t="inlineStr"/>
    </row>
    <row r="321" ht="15" customHeight="1">
      <c r="A321" t="inlineStr">
        <is>
          <t>A 47472-2025</t>
        </is>
      </c>
      <c r="B321" s="1" t="n">
        <v>45930.67752314815</v>
      </c>
      <c r="C321" s="1" t="n">
        <v>45989</v>
      </c>
      <c r="D321" t="inlineStr">
        <is>
          <t>NORRBOTTENS LÄN</t>
        </is>
      </c>
      <c r="E321" t="inlineStr">
        <is>
          <t>JOKKMOKK</t>
        </is>
      </c>
      <c r="F321" t="inlineStr">
        <is>
          <t>SCA</t>
        </is>
      </c>
      <c r="G321" t="n">
        <v>4.1</v>
      </c>
      <c r="H321" t="n">
        <v>0</v>
      </c>
      <c r="I321" t="n">
        <v>0</v>
      </c>
      <c r="J321" t="n">
        <v>0</v>
      </c>
      <c r="K321" t="n">
        <v>0</v>
      </c>
      <c r="L321" t="n">
        <v>0</v>
      </c>
      <c r="M321" t="n">
        <v>0</v>
      </c>
      <c r="N321" t="n">
        <v>0</v>
      </c>
      <c r="O321" t="n">
        <v>0</v>
      </c>
      <c r="P321" t="n">
        <v>0</v>
      </c>
      <c r="Q321" t="n">
        <v>0</v>
      </c>
      <c r="R321" s="2" t="inlineStr"/>
    </row>
    <row r="322" ht="15" customHeight="1">
      <c r="A322" t="inlineStr">
        <is>
          <t>A 55673-2025</t>
        </is>
      </c>
      <c r="B322" s="1" t="n">
        <v>45972.40754629629</v>
      </c>
      <c r="C322" s="1" t="n">
        <v>45989</v>
      </c>
      <c r="D322" t="inlineStr">
        <is>
          <t>NORRBOTTENS LÄN</t>
        </is>
      </c>
      <c r="E322" t="inlineStr">
        <is>
          <t>JOKKMOKK</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37917-2025</t>
        </is>
      </c>
      <c r="B323" s="1" t="n">
        <v>45881.57443287037</v>
      </c>
      <c r="C323" s="1" t="n">
        <v>45989</v>
      </c>
      <c r="D323" t="inlineStr">
        <is>
          <t>NORRBOTTENS LÄN</t>
        </is>
      </c>
      <c r="E323" t="inlineStr">
        <is>
          <t>JOKKMOKK</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44151-2024</t>
        </is>
      </c>
      <c r="B324" s="1" t="n">
        <v>45572.67773148148</v>
      </c>
      <c r="C324" s="1" t="n">
        <v>45989</v>
      </c>
      <c r="D324" t="inlineStr">
        <is>
          <t>NORRBOTTENS LÄN</t>
        </is>
      </c>
      <c r="E324" t="inlineStr">
        <is>
          <t>JOKKMOKK</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38928-2025</t>
        </is>
      </c>
      <c r="B325" s="1" t="n">
        <v>45887</v>
      </c>
      <c r="C325" s="1" t="n">
        <v>45989</v>
      </c>
      <c r="D325" t="inlineStr">
        <is>
          <t>NORRBOTTENS LÄN</t>
        </is>
      </c>
      <c r="E325" t="inlineStr">
        <is>
          <t>JOKKMOKK</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37827-2024</t>
        </is>
      </c>
      <c r="B326" s="1" t="n">
        <v>45544</v>
      </c>
      <c r="C326" s="1" t="n">
        <v>45989</v>
      </c>
      <c r="D326" t="inlineStr">
        <is>
          <t>NORRBOTTENS LÄN</t>
        </is>
      </c>
      <c r="E326" t="inlineStr">
        <is>
          <t>JOKKMOKK</t>
        </is>
      </c>
      <c r="F326" t="inlineStr">
        <is>
          <t>SCA</t>
        </is>
      </c>
      <c r="G326" t="n">
        <v>5</v>
      </c>
      <c r="H326" t="n">
        <v>0</v>
      </c>
      <c r="I326" t="n">
        <v>0</v>
      </c>
      <c r="J326" t="n">
        <v>0</v>
      </c>
      <c r="K326" t="n">
        <v>0</v>
      </c>
      <c r="L326" t="n">
        <v>0</v>
      </c>
      <c r="M326" t="n">
        <v>0</v>
      </c>
      <c r="N326" t="n">
        <v>0</v>
      </c>
      <c r="O326" t="n">
        <v>0</v>
      </c>
      <c r="P326" t="n">
        <v>0</v>
      </c>
      <c r="Q326" t="n">
        <v>0</v>
      </c>
      <c r="R326" s="2" t="inlineStr"/>
    </row>
    <row r="327" ht="15" customHeight="1">
      <c r="A327" t="inlineStr">
        <is>
          <t>A 16864-2023</t>
        </is>
      </c>
      <c r="B327" s="1" t="n">
        <v>45028</v>
      </c>
      <c r="C327" s="1" t="n">
        <v>45989</v>
      </c>
      <c r="D327" t="inlineStr">
        <is>
          <t>NORRBOTTENS LÄN</t>
        </is>
      </c>
      <c r="E327" t="inlineStr">
        <is>
          <t>JOKKMOKK</t>
        </is>
      </c>
      <c r="G327" t="n">
        <v>4</v>
      </c>
      <c r="H327" t="n">
        <v>0</v>
      </c>
      <c r="I327" t="n">
        <v>0</v>
      </c>
      <c r="J327" t="n">
        <v>0</v>
      </c>
      <c r="K327" t="n">
        <v>0</v>
      </c>
      <c r="L327" t="n">
        <v>0</v>
      </c>
      <c r="M327" t="n">
        <v>0</v>
      </c>
      <c r="N327" t="n">
        <v>0</v>
      </c>
      <c r="O327" t="n">
        <v>0</v>
      </c>
      <c r="P327" t="n">
        <v>0</v>
      </c>
      <c r="Q327" t="n">
        <v>0</v>
      </c>
      <c r="R327" s="2" t="inlineStr"/>
    </row>
    <row r="328" ht="15" customHeight="1">
      <c r="A328" t="inlineStr">
        <is>
          <t>A 55577-2025</t>
        </is>
      </c>
      <c r="B328" s="1" t="n">
        <v>45971.6684837963</v>
      </c>
      <c r="C328" s="1" t="n">
        <v>45989</v>
      </c>
      <c r="D328" t="inlineStr">
        <is>
          <t>NORRBOTTENS LÄN</t>
        </is>
      </c>
      <c r="E328" t="inlineStr">
        <is>
          <t>JOKKMOKK</t>
        </is>
      </c>
      <c r="F328" t="inlineStr">
        <is>
          <t>Allmännings- och besparingsskogar</t>
        </is>
      </c>
      <c r="G328" t="n">
        <v>7.8</v>
      </c>
      <c r="H328" t="n">
        <v>0</v>
      </c>
      <c r="I328" t="n">
        <v>0</v>
      </c>
      <c r="J328" t="n">
        <v>0</v>
      </c>
      <c r="K328" t="n">
        <v>0</v>
      </c>
      <c r="L328" t="n">
        <v>0</v>
      </c>
      <c r="M328" t="n">
        <v>0</v>
      </c>
      <c r="N328" t="n">
        <v>0</v>
      </c>
      <c r="O328" t="n">
        <v>0</v>
      </c>
      <c r="P328" t="n">
        <v>0</v>
      </c>
      <c r="Q328" t="n">
        <v>0</v>
      </c>
      <c r="R328" s="2" t="inlineStr"/>
    </row>
    <row r="329" ht="15" customHeight="1">
      <c r="A329" t="inlineStr">
        <is>
          <t>A 56192-2025</t>
        </is>
      </c>
      <c r="B329" s="1" t="n">
        <v>45974.44472222222</v>
      </c>
      <c r="C329" s="1" t="n">
        <v>45989</v>
      </c>
      <c r="D329" t="inlineStr">
        <is>
          <t>NORRBOTTENS LÄN</t>
        </is>
      </c>
      <c r="E329" t="inlineStr">
        <is>
          <t>JOKKMOKK</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56193-2025</t>
        </is>
      </c>
      <c r="B330" s="1" t="n">
        <v>45974.44701388889</v>
      </c>
      <c r="C330" s="1" t="n">
        <v>45989</v>
      </c>
      <c r="D330" t="inlineStr">
        <is>
          <t>NORRBOTTENS LÄN</t>
        </is>
      </c>
      <c r="E330" t="inlineStr">
        <is>
          <t>JOKKMOKK</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55990-2025</t>
        </is>
      </c>
      <c r="B331" s="1" t="n">
        <v>45973.55615740741</v>
      </c>
      <c r="C331" s="1" t="n">
        <v>45989</v>
      </c>
      <c r="D331" t="inlineStr">
        <is>
          <t>NORRBOTTENS LÄN</t>
        </is>
      </c>
      <c r="E331" t="inlineStr">
        <is>
          <t>JOKKMOKK</t>
        </is>
      </c>
      <c r="F331" t="inlineStr">
        <is>
          <t>Naturvårdsverket</t>
        </is>
      </c>
      <c r="G331" t="n">
        <v>6.2</v>
      </c>
      <c r="H331" t="n">
        <v>0</v>
      </c>
      <c r="I331" t="n">
        <v>0</v>
      </c>
      <c r="J331" t="n">
        <v>0</v>
      </c>
      <c r="K331" t="n">
        <v>0</v>
      </c>
      <c r="L331" t="n">
        <v>0</v>
      </c>
      <c r="M331" t="n">
        <v>0</v>
      </c>
      <c r="N331" t="n">
        <v>0</v>
      </c>
      <c r="O331" t="n">
        <v>0</v>
      </c>
      <c r="P331" t="n">
        <v>0</v>
      </c>
      <c r="Q331" t="n">
        <v>0</v>
      </c>
      <c r="R331" s="2" t="inlineStr"/>
    </row>
    <row r="332" ht="15" customHeight="1">
      <c r="A332" t="inlineStr">
        <is>
          <t>A 56317-2025</t>
        </is>
      </c>
      <c r="B332" s="1" t="n">
        <v>45974.63099537037</v>
      </c>
      <c r="C332" s="1" t="n">
        <v>45989</v>
      </c>
      <c r="D332" t="inlineStr">
        <is>
          <t>NORRBOTTENS LÄN</t>
        </is>
      </c>
      <c r="E332" t="inlineStr">
        <is>
          <t>JOKKMOKK</t>
        </is>
      </c>
      <c r="F332" t="inlineStr">
        <is>
          <t>Övriga statliga verk och myndigheter</t>
        </is>
      </c>
      <c r="G332" t="n">
        <v>14.5</v>
      </c>
      <c r="H332" t="n">
        <v>0</v>
      </c>
      <c r="I332" t="n">
        <v>0</v>
      </c>
      <c r="J332" t="n">
        <v>0</v>
      </c>
      <c r="K332" t="n">
        <v>0</v>
      </c>
      <c r="L332" t="n">
        <v>0</v>
      </c>
      <c r="M332" t="n">
        <v>0</v>
      </c>
      <c r="N332" t="n">
        <v>0</v>
      </c>
      <c r="O332" t="n">
        <v>0</v>
      </c>
      <c r="P332" t="n">
        <v>0</v>
      </c>
      <c r="Q332" t="n">
        <v>0</v>
      </c>
      <c r="R332" s="2" t="inlineStr"/>
    </row>
    <row r="333" ht="15" customHeight="1">
      <c r="A333" t="inlineStr">
        <is>
          <t>A 56322-2025</t>
        </is>
      </c>
      <c r="B333" s="1" t="n">
        <v>45974.63550925926</v>
      </c>
      <c r="C333" s="1" t="n">
        <v>45989</v>
      </c>
      <c r="D333" t="inlineStr">
        <is>
          <t>NORRBOTTENS LÄN</t>
        </is>
      </c>
      <c r="E333" t="inlineStr">
        <is>
          <t>JOKKMOKK</t>
        </is>
      </c>
      <c r="F333" t="inlineStr">
        <is>
          <t>Övriga statliga verk och myndigheter</t>
        </is>
      </c>
      <c r="G333" t="n">
        <v>6.2</v>
      </c>
      <c r="H333" t="n">
        <v>0</v>
      </c>
      <c r="I333" t="n">
        <v>0</v>
      </c>
      <c r="J333" t="n">
        <v>0</v>
      </c>
      <c r="K333" t="n">
        <v>0</v>
      </c>
      <c r="L333" t="n">
        <v>0</v>
      </c>
      <c r="M333" t="n">
        <v>0</v>
      </c>
      <c r="N333" t="n">
        <v>0</v>
      </c>
      <c r="O333" t="n">
        <v>0</v>
      </c>
      <c r="P333" t="n">
        <v>0</v>
      </c>
      <c r="Q333" t="n">
        <v>0</v>
      </c>
      <c r="R333" s="2" t="inlineStr"/>
    </row>
    <row r="334" ht="15" customHeight="1">
      <c r="A334" t="inlineStr">
        <is>
          <t>A 56012-2025</t>
        </is>
      </c>
      <c r="B334" s="1" t="n">
        <v>45973.58731481482</v>
      </c>
      <c r="C334" s="1" t="n">
        <v>45989</v>
      </c>
      <c r="D334" t="inlineStr">
        <is>
          <t>NORRBOTTENS LÄN</t>
        </is>
      </c>
      <c r="E334" t="inlineStr">
        <is>
          <t>JOKKMOKK</t>
        </is>
      </c>
      <c r="F334" t="inlineStr">
        <is>
          <t>Naturvårdsverket</t>
        </is>
      </c>
      <c r="G334" t="n">
        <v>1.5</v>
      </c>
      <c r="H334" t="n">
        <v>0</v>
      </c>
      <c r="I334" t="n">
        <v>0</v>
      </c>
      <c r="J334" t="n">
        <v>0</v>
      </c>
      <c r="K334" t="n">
        <v>0</v>
      </c>
      <c r="L334" t="n">
        <v>0</v>
      </c>
      <c r="M334" t="n">
        <v>0</v>
      </c>
      <c r="N334" t="n">
        <v>0</v>
      </c>
      <c r="O334" t="n">
        <v>0</v>
      </c>
      <c r="P334" t="n">
        <v>0</v>
      </c>
      <c r="Q334" t="n">
        <v>0</v>
      </c>
      <c r="R334" s="2" t="inlineStr"/>
    </row>
    <row r="335" ht="15" customHeight="1">
      <c r="A335" t="inlineStr">
        <is>
          <t>A 47530-2025</t>
        </is>
      </c>
      <c r="B335" s="1" t="n">
        <v>45931</v>
      </c>
      <c r="C335" s="1" t="n">
        <v>45989</v>
      </c>
      <c r="D335" t="inlineStr">
        <is>
          <t>NORRBOTTENS LÄN</t>
        </is>
      </c>
      <c r="E335" t="inlineStr">
        <is>
          <t>JOKKMOKK</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45468-2022</t>
        </is>
      </c>
      <c r="B336" s="1" t="n">
        <v>44841</v>
      </c>
      <c r="C336" s="1" t="n">
        <v>45989</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56372-2025</t>
        </is>
      </c>
      <c r="B337" s="1" t="n">
        <v>45974.68207175926</v>
      </c>
      <c r="C337" s="1" t="n">
        <v>45989</v>
      </c>
      <c r="D337" t="inlineStr">
        <is>
          <t>NORRBOTTENS LÄN</t>
        </is>
      </c>
      <c r="E337" t="inlineStr">
        <is>
          <t>JOKKMOKK</t>
        </is>
      </c>
      <c r="F337" t="inlineStr">
        <is>
          <t>Sveaskog</t>
        </is>
      </c>
      <c r="G337" t="n">
        <v>26.4</v>
      </c>
      <c r="H337" t="n">
        <v>0</v>
      </c>
      <c r="I337" t="n">
        <v>0</v>
      </c>
      <c r="J337" t="n">
        <v>0</v>
      </c>
      <c r="K337" t="n">
        <v>0</v>
      </c>
      <c r="L337" t="n">
        <v>0</v>
      </c>
      <c r="M337" t="n">
        <v>0</v>
      </c>
      <c r="N337" t="n">
        <v>0</v>
      </c>
      <c r="O337" t="n">
        <v>0</v>
      </c>
      <c r="P337" t="n">
        <v>0</v>
      </c>
      <c r="Q337" t="n">
        <v>0</v>
      </c>
      <c r="R337" s="2" t="inlineStr"/>
    </row>
    <row r="338" ht="15" customHeight="1">
      <c r="A338" t="inlineStr">
        <is>
          <t>A 38595-2025</t>
        </is>
      </c>
      <c r="B338" s="1" t="n">
        <v>45884.49027777778</v>
      </c>
      <c r="C338" s="1" t="n">
        <v>45989</v>
      </c>
      <c r="D338" t="inlineStr">
        <is>
          <t>NORRBOTTENS LÄN</t>
        </is>
      </c>
      <c r="E338" t="inlineStr">
        <is>
          <t>JOKKMOKK</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42095-2025</t>
        </is>
      </c>
      <c r="B339" s="1" t="n">
        <v>45903</v>
      </c>
      <c r="C339" s="1" t="n">
        <v>45989</v>
      </c>
      <c r="D339" t="inlineStr">
        <is>
          <t>NORRBOTTENS LÄN</t>
        </is>
      </c>
      <c r="E339" t="inlineStr">
        <is>
          <t>JOKKMOKK</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38226-2025</t>
        </is>
      </c>
      <c r="B340" s="1" t="n">
        <v>45883.34521990741</v>
      </c>
      <c r="C340" s="1" t="n">
        <v>45989</v>
      </c>
      <c r="D340" t="inlineStr">
        <is>
          <t>NORRBOTTENS LÄN</t>
        </is>
      </c>
      <c r="E340" t="inlineStr">
        <is>
          <t>JOKKMOKK</t>
        </is>
      </c>
      <c r="F340" t="inlineStr">
        <is>
          <t>SCA</t>
        </is>
      </c>
      <c r="G340" t="n">
        <v>14.5</v>
      </c>
      <c r="H340" t="n">
        <v>0</v>
      </c>
      <c r="I340" t="n">
        <v>0</v>
      </c>
      <c r="J340" t="n">
        <v>0</v>
      </c>
      <c r="K340" t="n">
        <v>0</v>
      </c>
      <c r="L340" t="n">
        <v>0</v>
      </c>
      <c r="M340" t="n">
        <v>0</v>
      </c>
      <c r="N340" t="n">
        <v>0</v>
      </c>
      <c r="O340" t="n">
        <v>0</v>
      </c>
      <c r="P340" t="n">
        <v>0</v>
      </c>
      <c r="Q340" t="n">
        <v>0</v>
      </c>
      <c r="R340" s="2" t="inlineStr"/>
    </row>
    <row r="341" ht="15" customHeight="1">
      <c r="A341" t="inlineStr">
        <is>
          <t>A 36607-2021</t>
        </is>
      </c>
      <c r="B341" s="1" t="n">
        <v>44391</v>
      </c>
      <c r="C341" s="1" t="n">
        <v>45989</v>
      </c>
      <c r="D341" t="inlineStr">
        <is>
          <t>NORRBOTTENS LÄN</t>
        </is>
      </c>
      <c r="E341" t="inlineStr">
        <is>
          <t>JOKKMOKK</t>
        </is>
      </c>
      <c r="F341" t="inlineStr">
        <is>
          <t>Allmännings- och besparingsskogar</t>
        </is>
      </c>
      <c r="G341" t="n">
        <v>9.5</v>
      </c>
      <c r="H341" t="n">
        <v>0</v>
      </c>
      <c r="I341" t="n">
        <v>0</v>
      </c>
      <c r="J341" t="n">
        <v>0</v>
      </c>
      <c r="K341" t="n">
        <v>0</v>
      </c>
      <c r="L341" t="n">
        <v>0</v>
      </c>
      <c r="M341" t="n">
        <v>0</v>
      </c>
      <c r="N341" t="n">
        <v>0</v>
      </c>
      <c r="O341" t="n">
        <v>0</v>
      </c>
      <c r="P341" t="n">
        <v>0</v>
      </c>
      <c r="Q341" t="n">
        <v>0</v>
      </c>
      <c r="R341" s="2" t="inlineStr"/>
    </row>
    <row r="342" ht="15" customHeight="1">
      <c r="A342" t="inlineStr">
        <is>
          <t>A 56286-2025</t>
        </is>
      </c>
      <c r="B342" s="1" t="n">
        <v>45974.59608796296</v>
      </c>
      <c r="C342" s="1" t="n">
        <v>45989</v>
      </c>
      <c r="D342" t="inlineStr">
        <is>
          <t>NORRBOTTENS LÄN</t>
        </is>
      </c>
      <c r="E342" t="inlineStr">
        <is>
          <t>JOKKMOKK</t>
        </is>
      </c>
      <c r="F342" t="inlineStr">
        <is>
          <t>Sveaskog</t>
        </is>
      </c>
      <c r="G342" t="n">
        <v>22.8</v>
      </c>
      <c r="H342" t="n">
        <v>0</v>
      </c>
      <c r="I342" t="n">
        <v>0</v>
      </c>
      <c r="J342" t="n">
        <v>0</v>
      </c>
      <c r="K342" t="n">
        <v>0</v>
      </c>
      <c r="L342" t="n">
        <v>0</v>
      </c>
      <c r="M342" t="n">
        <v>0</v>
      </c>
      <c r="N342" t="n">
        <v>0</v>
      </c>
      <c r="O342" t="n">
        <v>0</v>
      </c>
      <c r="P342" t="n">
        <v>0</v>
      </c>
      <c r="Q342" t="n">
        <v>0</v>
      </c>
      <c r="R342" s="2" t="inlineStr"/>
    </row>
    <row r="343" ht="15" customHeight="1">
      <c r="A343" t="inlineStr">
        <is>
          <t>A 56321-2025</t>
        </is>
      </c>
      <c r="B343" s="1" t="n">
        <v>45974.63530092593</v>
      </c>
      <c r="C343" s="1" t="n">
        <v>45989</v>
      </c>
      <c r="D343" t="inlineStr">
        <is>
          <t>NORRBOTTENS LÄN</t>
        </is>
      </c>
      <c r="E343" t="inlineStr">
        <is>
          <t>JOKKMOKK</t>
        </is>
      </c>
      <c r="F343" t="inlineStr">
        <is>
          <t>Övriga statliga verk och myndigheter</t>
        </is>
      </c>
      <c r="G343" t="n">
        <v>14.6</v>
      </c>
      <c r="H343" t="n">
        <v>0</v>
      </c>
      <c r="I343" t="n">
        <v>0</v>
      </c>
      <c r="J343" t="n">
        <v>0</v>
      </c>
      <c r="K343" t="n">
        <v>0</v>
      </c>
      <c r="L343" t="n">
        <v>0</v>
      </c>
      <c r="M343" t="n">
        <v>0</v>
      </c>
      <c r="N343" t="n">
        <v>0</v>
      </c>
      <c r="O343" t="n">
        <v>0</v>
      </c>
      <c r="P343" t="n">
        <v>0</v>
      </c>
      <c r="Q343" t="n">
        <v>0</v>
      </c>
      <c r="R343" s="2" t="inlineStr"/>
    </row>
    <row r="344" ht="15" customHeight="1">
      <c r="A344" t="inlineStr">
        <is>
          <t>A 56323-2025</t>
        </is>
      </c>
      <c r="B344" s="1" t="n">
        <v>45974.63583333333</v>
      </c>
      <c r="C344" s="1" t="n">
        <v>45989</v>
      </c>
      <c r="D344" t="inlineStr">
        <is>
          <t>NORRBOTTENS LÄN</t>
        </is>
      </c>
      <c r="E344" t="inlineStr">
        <is>
          <t>JOKKMOKK</t>
        </is>
      </c>
      <c r="F344" t="inlineStr">
        <is>
          <t>Övriga statliga verk och myndigheter</t>
        </is>
      </c>
      <c r="G344" t="n">
        <v>5.5</v>
      </c>
      <c r="H344" t="n">
        <v>0</v>
      </c>
      <c r="I344" t="n">
        <v>0</v>
      </c>
      <c r="J344" t="n">
        <v>0</v>
      </c>
      <c r="K344" t="n">
        <v>0</v>
      </c>
      <c r="L344" t="n">
        <v>0</v>
      </c>
      <c r="M344" t="n">
        <v>0</v>
      </c>
      <c r="N344" t="n">
        <v>0</v>
      </c>
      <c r="O344" t="n">
        <v>0</v>
      </c>
      <c r="P344" t="n">
        <v>0</v>
      </c>
      <c r="Q344" t="n">
        <v>0</v>
      </c>
      <c r="R344" s="2" t="inlineStr"/>
    </row>
    <row r="345" ht="15" customHeight="1">
      <c r="A345" t="inlineStr">
        <is>
          <t>A 56343-2025</t>
        </is>
      </c>
      <c r="B345" s="1" t="n">
        <v>45974.64890046296</v>
      </c>
      <c r="C345" s="1" t="n">
        <v>45989</v>
      </c>
      <c r="D345" t="inlineStr">
        <is>
          <t>NORRBOTTENS LÄN</t>
        </is>
      </c>
      <c r="E345" t="inlineStr">
        <is>
          <t>JOKKMOKK</t>
        </is>
      </c>
      <c r="F345" t="inlineStr">
        <is>
          <t>Övriga statliga verk och myndigheter</t>
        </is>
      </c>
      <c r="G345" t="n">
        <v>14.8</v>
      </c>
      <c r="H345" t="n">
        <v>0</v>
      </c>
      <c r="I345" t="n">
        <v>0</v>
      </c>
      <c r="J345" t="n">
        <v>0</v>
      </c>
      <c r="K345" t="n">
        <v>0</v>
      </c>
      <c r="L345" t="n">
        <v>0</v>
      </c>
      <c r="M345" t="n">
        <v>0</v>
      </c>
      <c r="N345" t="n">
        <v>0</v>
      </c>
      <c r="O345" t="n">
        <v>0</v>
      </c>
      <c r="P345" t="n">
        <v>0</v>
      </c>
      <c r="Q345" t="n">
        <v>0</v>
      </c>
      <c r="R345" s="2" t="inlineStr"/>
    </row>
    <row r="346" ht="15" customHeight="1">
      <c r="A346" t="inlineStr">
        <is>
          <t>A 47529-2025</t>
        </is>
      </c>
      <c r="B346" s="1" t="n">
        <v>45931</v>
      </c>
      <c r="C346" s="1" t="n">
        <v>45989</v>
      </c>
      <c r="D346" t="inlineStr">
        <is>
          <t>NORRBOTTENS LÄN</t>
        </is>
      </c>
      <c r="E346" t="inlineStr">
        <is>
          <t>JOKKMOKK</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56387-2025</t>
        </is>
      </c>
      <c r="B347" s="1" t="n">
        <v>45974.72184027778</v>
      </c>
      <c r="C347" s="1" t="n">
        <v>45989</v>
      </c>
      <c r="D347" t="inlineStr">
        <is>
          <t>NORRBOTTENS LÄN</t>
        </is>
      </c>
      <c r="E347" t="inlineStr">
        <is>
          <t>JOKKMOKK</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30291-2023</t>
        </is>
      </c>
      <c r="B348" s="1" t="n">
        <v>45110.92523148148</v>
      </c>
      <c r="C348" s="1" t="n">
        <v>45989</v>
      </c>
      <c r="D348" t="inlineStr">
        <is>
          <t>NORRBOTTENS LÄN</t>
        </is>
      </c>
      <c r="E348" t="inlineStr">
        <is>
          <t>JOKKMOKK</t>
        </is>
      </c>
      <c r="G348" t="n">
        <v>1.6</v>
      </c>
      <c r="H348" t="n">
        <v>0</v>
      </c>
      <c r="I348" t="n">
        <v>0</v>
      </c>
      <c r="J348" t="n">
        <v>0</v>
      </c>
      <c r="K348" t="n">
        <v>0</v>
      </c>
      <c r="L348" t="n">
        <v>0</v>
      </c>
      <c r="M348" t="n">
        <v>0</v>
      </c>
      <c r="N348" t="n">
        <v>0</v>
      </c>
      <c r="O348" t="n">
        <v>0</v>
      </c>
      <c r="P348" t="n">
        <v>0</v>
      </c>
      <c r="Q348" t="n">
        <v>0</v>
      </c>
      <c r="R348" s="2" t="inlineStr"/>
    </row>
    <row r="349" ht="15" customHeight="1">
      <c r="A349" t="inlineStr">
        <is>
          <t>A 48166-2025</t>
        </is>
      </c>
      <c r="B349" s="1" t="n">
        <v>45933</v>
      </c>
      <c r="C349" s="1" t="n">
        <v>45989</v>
      </c>
      <c r="D349" t="inlineStr">
        <is>
          <t>NORRBOTTENS LÄN</t>
        </is>
      </c>
      <c r="E349" t="inlineStr">
        <is>
          <t>JOKKMOKK</t>
        </is>
      </c>
      <c r="G349" t="n">
        <v>41.8</v>
      </c>
      <c r="H349" t="n">
        <v>0</v>
      </c>
      <c r="I349" t="n">
        <v>0</v>
      </c>
      <c r="J349" t="n">
        <v>0</v>
      </c>
      <c r="K349" t="n">
        <v>0</v>
      </c>
      <c r="L349" t="n">
        <v>0</v>
      </c>
      <c r="M349" t="n">
        <v>0</v>
      </c>
      <c r="N349" t="n">
        <v>0</v>
      </c>
      <c r="O349" t="n">
        <v>0</v>
      </c>
      <c r="P349" t="n">
        <v>0</v>
      </c>
      <c r="Q349" t="n">
        <v>0</v>
      </c>
      <c r="R349" s="2" t="inlineStr"/>
    </row>
    <row r="350" ht="15" customHeight="1">
      <c r="A350" t="inlineStr">
        <is>
          <t>A 48167-2025</t>
        </is>
      </c>
      <c r="B350" s="1" t="n">
        <v>45933</v>
      </c>
      <c r="C350" s="1" t="n">
        <v>45989</v>
      </c>
      <c r="D350" t="inlineStr">
        <is>
          <t>NORRBOTTENS LÄN</t>
        </is>
      </c>
      <c r="E350" t="inlineStr">
        <is>
          <t>JOKKMOKK</t>
        </is>
      </c>
      <c r="G350" t="n">
        <v>3.4</v>
      </c>
      <c r="H350" t="n">
        <v>0</v>
      </c>
      <c r="I350" t="n">
        <v>0</v>
      </c>
      <c r="J350" t="n">
        <v>0</v>
      </c>
      <c r="K350" t="n">
        <v>0</v>
      </c>
      <c r="L350" t="n">
        <v>0</v>
      </c>
      <c r="M350" t="n">
        <v>0</v>
      </c>
      <c r="N350" t="n">
        <v>0</v>
      </c>
      <c r="O350" t="n">
        <v>0</v>
      </c>
      <c r="P350" t="n">
        <v>0</v>
      </c>
      <c r="Q350" t="n">
        <v>0</v>
      </c>
      <c r="R350" s="2" t="inlineStr"/>
    </row>
    <row r="351" ht="15" customHeight="1">
      <c r="A351" t="inlineStr">
        <is>
          <t>A 48141-2025</t>
        </is>
      </c>
      <c r="B351" s="1" t="n">
        <v>45933</v>
      </c>
      <c r="C351" s="1" t="n">
        <v>45989</v>
      </c>
      <c r="D351" t="inlineStr">
        <is>
          <t>NORRBOTTENS LÄN</t>
        </is>
      </c>
      <c r="E351" t="inlineStr">
        <is>
          <t>JOKKMOKK</t>
        </is>
      </c>
      <c r="G351" t="n">
        <v>17.7</v>
      </c>
      <c r="H351" t="n">
        <v>0</v>
      </c>
      <c r="I351" t="n">
        <v>0</v>
      </c>
      <c r="J351" t="n">
        <v>0</v>
      </c>
      <c r="K351" t="n">
        <v>0</v>
      </c>
      <c r="L351" t="n">
        <v>0</v>
      </c>
      <c r="M351" t="n">
        <v>0</v>
      </c>
      <c r="N351" t="n">
        <v>0</v>
      </c>
      <c r="O351" t="n">
        <v>0</v>
      </c>
      <c r="P351" t="n">
        <v>0</v>
      </c>
      <c r="Q351" t="n">
        <v>0</v>
      </c>
      <c r="R351" s="2" t="inlineStr"/>
    </row>
    <row r="352" ht="15" customHeight="1">
      <c r="A352" t="inlineStr">
        <is>
          <t>A 56445-2025</t>
        </is>
      </c>
      <c r="B352" s="1" t="n">
        <v>45975.34825231481</v>
      </c>
      <c r="C352" s="1" t="n">
        <v>45989</v>
      </c>
      <c r="D352" t="inlineStr">
        <is>
          <t>NORRBOTTENS LÄN</t>
        </is>
      </c>
      <c r="E352" t="inlineStr">
        <is>
          <t>JOKKMOKK</t>
        </is>
      </c>
      <c r="G352" t="n">
        <v>35.7</v>
      </c>
      <c r="H352" t="n">
        <v>0</v>
      </c>
      <c r="I352" t="n">
        <v>0</v>
      </c>
      <c r="J352" t="n">
        <v>0</v>
      </c>
      <c r="K352" t="n">
        <v>0</v>
      </c>
      <c r="L352" t="n">
        <v>0</v>
      </c>
      <c r="M352" t="n">
        <v>0</v>
      </c>
      <c r="N352" t="n">
        <v>0</v>
      </c>
      <c r="O352" t="n">
        <v>0</v>
      </c>
      <c r="P352" t="n">
        <v>0</v>
      </c>
      <c r="Q352" t="n">
        <v>0</v>
      </c>
      <c r="R352" s="2" t="inlineStr"/>
    </row>
    <row r="353" ht="15" customHeight="1">
      <c r="A353" t="inlineStr">
        <is>
          <t>A 27651-2024</t>
        </is>
      </c>
      <c r="B353" s="1" t="n">
        <v>45474</v>
      </c>
      <c r="C353" s="1" t="n">
        <v>45989</v>
      </c>
      <c r="D353" t="inlineStr">
        <is>
          <t>NORRBOTTENS LÄN</t>
        </is>
      </c>
      <c r="E353" t="inlineStr">
        <is>
          <t>JOKKMOKK</t>
        </is>
      </c>
      <c r="F353" t="inlineStr">
        <is>
          <t>SCA</t>
        </is>
      </c>
      <c r="G353" t="n">
        <v>3.2</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45721.63606481482</v>
      </c>
      <c r="C354" s="1" t="n">
        <v>45989</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57167-2025</t>
        </is>
      </c>
      <c r="B355" s="1" t="n">
        <v>45979.54135416666</v>
      </c>
      <c r="C355" s="1" t="n">
        <v>45989</v>
      </c>
      <c r="D355" t="inlineStr">
        <is>
          <t>NORRBOTTENS LÄN</t>
        </is>
      </c>
      <c r="E355" t="inlineStr">
        <is>
          <t>JOKKMOKK</t>
        </is>
      </c>
      <c r="F355" t="inlineStr">
        <is>
          <t>Allmännings- och besparingsskogar</t>
        </is>
      </c>
      <c r="G355" t="n">
        <v>12.8</v>
      </c>
      <c r="H355" t="n">
        <v>0</v>
      </c>
      <c r="I355" t="n">
        <v>0</v>
      </c>
      <c r="J355" t="n">
        <v>0</v>
      </c>
      <c r="K355" t="n">
        <v>0</v>
      </c>
      <c r="L355" t="n">
        <v>0</v>
      </c>
      <c r="M355" t="n">
        <v>0</v>
      </c>
      <c r="N355" t="n">
        <v>0</v>
      </c>
      <c r="O355" t="n">
        <v>0</v>
      </c>
      <c r="P355" t="n">
        <v>0</v>
      </c>
      <c r="Q355" t="n">
        <v>0</v>
      </c>
      <c r="R355" s="2" t="inlineStr"/>
    </row>
    <row r="356" ht="15" customHeight="1">
      <c r="A356" t="inlineStr">
        <is>
          <t>A 32915-2024</t>
        </is>
      </c>
      <c r="B356" s="1" t="n">
        <v>45516</v>
      </c>
      <c r="C356" s="1" t="n">
        <v>45989</v>
      </c>
      <c r="D356" t="inlineStr">
        <is>
          <t>NORRBOTTENS LÄN</t>
        </is>
      </c>
      <c r="E356" t="inlineStr">
        <is>
          <t>JOKKMOKK</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56507-2025</t>
        </is>
      </c>
      <c r="B357" s="1" t="n">
        <v>45975</v>
      </c>
      <c r="C357" s="1" t="n">
        <v>45989</v>
      </c>
      <c r="D357" t="inlineStr">
        <is>
          <t>NORRBOTTENS LÄN</t>
        </is>
      </c>
      <c r="E357" t="inlineStr">
        <is>
          <t>JOKKMOKK</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48946-2025</t>
        </is>
      </c>
      <c r="B358" s="1" t="n">
        <v>45937.53831018518</v>
      </c>
      <c r="C358" s="1" t="n">
        <v>45989</v>
      </c>
      <c r="D358" t="inlineStr">
        <is>
          <t>NORRBOTTENS LÄN</t>
        </is>
      </c>
      <c r="E358" t="inlineStr">
        <is>
          <t>JOKKMOKK</t>
        </is>
      </c>
      <c r="G358" t="n">
        <v>57.3</v>
      </c>
      <c r="H358" t="n">
        <v>0</v>
      </c>
      <c r="I358" t="n">
        <v>0</v>
      </c>
      <c r="J358" t="n">
        <v>0</v>
      </c>
      <c r="K358" t="n">
        <v>0</v>
      </c>
      <c r="L358" t="n">
        <v>0</v>
      </c>
      <c r="M358" t="n">
        <v>0</v>
      </c>
      <c r="N358" t="n">
        <v>0</v>
      </c>
      <c r="O358" t="n">
        <v>0</v>
      </c>
      <c r="P358" t="n">
        <v>0</v>
      </c>
      <c r="Q358" t="n">
        <v>0</v>
      </c>
      <c r="R358" s="2" t="inlineStr"/>
    </row>
    <row r="359" ht="15" customHeight="1">
      <c r="A359" t="inlineStr">
        <is>
          <t>A 43886-2025</t>
        </is>
      </c>
      <c r="B359" s="1" t="n">
        <v>45912</v>
      </c>
      <c r="C359" s="1" t="n">
        <v>45989</v>
      </c>
      <c r="D359" t="inlineStr">
        <is>
          <t>NORRBOTTENS LÄN</t>
        </is>
      </c>
      <c r="E359" t="inlineStr">
        <is>
          <t>JOKKMOKK</t>
        </is>
      </c>
      <c r="G359" t="n">
        <v>38.1</v>
      </c>
      <c r="H359" t="n">
        <v>0</v>
      </c>
      <c r="I359" t="n">
        <v>0</v>
      </c>
      <c r="J359" t="n">
        <v>0</v>
      </c>
      <c r="K359" t="n">
        <v>0</v>
      </c>
      <c r="L359" t="n">
        <v>0</v>
      </c>
      <c r="M359" t="n">
        <v>0</v>
      </c>
      <c r="N359" t="n">
        <v>0</v>
      </c>
      <c r="O359" t="n">
        <v>0</v>
      </c>
      <c r="P359" t="n">
        <v>0</v>
      </c>
      <c r="Q359" t="n">
        <v>0</v>
      </c>
      <c r="R359" s="2" t="inlineStr"/>
    </row>
    <row r="360" ht="15" customHeight="1">
      <c r="A360" t="inlineStr">
        <is>
          <t>A 57256-2025</t>
        </is>
      </c>
      <c r="B360" s="1" t="n">
        <v>45979.65127314815</v>
      </c>
      <c r="C360" s="1" t="n">
        <v>45989</v>
      </c>
      <c r="D360" t="inlineStr">
        <is>
          <t>NORRBOTTENS LÄN</t>
        </is>
      </c>
      <c r="E360" t="inlineStr">
        <is>
          <t>JOKKMOKK</t>
        </is>
      </c>
      <c r="F360" t="inlineStr">
        <is>
          <t>Allmännings- och besparingsskogar</t>
        </is>
      </c>
      <c r="G360" t="n">
        <v>12.3</v>
      </c>
      <c r="H360" t="n">
        <v>0</v>
      </c>
      <c r="I360" t="n">
        <v>0</v>
      </c>
      <c r="J360" t="n">
        <v>0</v>
      </c>
      <c r="K360" t="n">
        <v>0</v>
      </c>
      <c r="L360" t="n">
        <v>0</v>
      </c>
      <c r="M360" t="n">
        <v>0</v>
      </c>
      <c r="N360" t="n">
        <v>0</v>
      </c>
      <c r="O360" t="n">
        <v>0</v>
      </c>
      <c r="P360" t="n">
        <v>0</v>
      </c>
      <c r="Q360" t="n">
        <v>0</v>
      </c>
      <c r="R360" s="2" t="inlineStr"/>
    </row>
    <row r="361" ht="15" customHeight="1">
      <c r="A361" t="inlineStr">
        <is>
          <t>A 16336-2023</t>
        </is>
      </c>
      <c r="B361" s="1" t="n">
        <v>45022</v>
      </c>
      <c r="C361" s="1" t="n">
        <v>45989</v>
      </c>
      <c r="D361" t="inlineStr">
        <is>
          <t>NORRBOTTENS LÄN</t>
        </is>
      </c>
      <c r="E361" t="inlineStr">
        <is>
          <t>JOKKMOKK</t>
        </is>
      </c>
      <c r="F361" t="inlineStr">
        <is>
          <t>Övriga statliga verk och myndigheter</t>
        </is>
      </c>
      <c r="G361" t="n">
        <v>130.2</v>
      </c>
      <c r="H361" t="n">
        <v>0</v>
      </c>
      <c r="I361" t="n">
        <v>0</v>
      </c>
      <c r="J361" t="n">
        <v>0</v>
      </c>
      <c r="K361" t="n">
        <v>0</v>
      </c>
      <c r="L361" t="n">
        <v>0</v>
      </c>
      <c r="M361" t="n">
        <v>0</v>
      </c>
      <c r="N361" t="n">
        <v>0</v>
      </c>
      <c r="O361" t="n">
        <v>0</v>
      </c>
      <c r="P361" t="n">
        <v>0</v>
      </c>
      <c r="Q361" t="n">
        <v>0</v>
      </c>
      <c r="R361" s="2" t="inlineStr"/>
    </row>
    <row r="362" ht="15" customHeight="1">
      <c r="A362" t="inlineStr">
        <is>
          <t>A 49896-2025</t>
        </is>
      </c>
      <c r="B362" s="1" t="n">
        <v>45940.58270833334</v>
      </c>
      <c r="C362" s="1" t="n">
        <v>45989</v>
      </c>
      <c r="D362" t="inlineStr">
        <is>
          <t>NORRBOTTENS LÄN</t>
        </is>
      </c>
      <c r="E362" t="inlineStr">
        <is>
          <t>JOKKMOKK</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49477-2025</t>
        </is>
      </c>
      <c r="B363" s="1" t="n">
        <v>45939.34547453704</v>
      </c>
      <c r="C363" s="1" t="n">
        <v>45989</v>
      </c>
      <c r="D363" t="inlineStr">
        <is>
          <t>NORRBOTTENS LÄN</t>
        </is>
      </c>
      <c r="E363" t="inlineStr">
        <is>
          <t>JOKKMOKK</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49475-2025</t>
        </is>
      </c>
      <c r="B364" s="1" t="n">
        <v>45939.34488425926</v>
      </c>
      <c r="C364" s="1" t="n">
        <v>45989</v>
      </c>
      <c r="D364" t="inlineStr">
        <is>
          <t>NORRBOTTENS LÄN</t>
        </is>
      </c>
      <c r="E364" t="inlineStr">
        <is>
          <t>JOKKMOKK</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58133-2025</t>
        </is>
      </c>
      <c r="B365" s="1" t="n">
        <v>45982.61763888889</v>
      </c>
      <c r="C365" s="1" t="n">
        <v>45989</v>
      </c>
      <c r="D365" t="inlineStr">
        <is>
          <t>NORRBOTTENS LÄN</t>
        </is>
      </c>
      <c r="E365" t="inlineStr">
        <is>
          <t>JOKKMOKK</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61761-2024</t>
        </is>
      </c>
      <c r="B366" s="1" t="n">
        <v>45649</v>
      </c>
      <c r="C366" s="1" t="n">
        <v>45989</v>
      </c>
      <c r="D366" t="inlineStr">
        <is>
          <t>NORRBOTTENS LÄN</t>
        </is>
      </c>
      <c r="E366" t="inlineStr">
        <is>
          <t>JOKKMOKK</t>
        </is>
      </c>
      <c r="F366" t="inlineStr">
        <is>
          <t>Övriga statliga verk och myndigheter</t>
        </is>
      </c>
      <c r="G366" t="n">
        <v>3.7</v>
      </c>
      <c r="H366" t="n">
        <v>0</v>
      </c>
      <c r="I366" t="n">
        <v>0</v>
      </c>
      <c r="J366" t="n">
        <v>0</v>
      </c>
      <c r="K366" t="n">
        <v>0</v>
      </c>
      <c r="L366" t="n">
        <v>0</v>
      </c>
      <c r="M366" t="n">
        <v>0</v>
      </c>
      <c r="N366" t="n">
        <v>0</v>
      </c>
      <c r="O366" t="n">
        <v>0</v>
      </c>
      <c r="P366" t="n">
        <v>0</v>
      </c>
      <c r="Q366" t="n">
        <v>0</v>
      </c>
      <c r="R366" s="2" t="inlineStr"/>
    </row>
    <row r="367" ht="15" customHeight="1">
      <c r="A367" t="inlineStr">
        <is>
          <t>A 49856-2025</t>
        </is>
      </c>
      <c r="B367" s="1" t="n">
        <v>45940.50591435185</v>
      </c>
      <c r="C367" s="1" t="n">
        <v>45989</v>
      </c>
      <c r="D367" t="inlineStr">
        <is>
          <t>NORRBOTTENS LÄN</t>
        </is>
      </c>
      <c r="E367" t="inlineStr">
        <is>
          <t>JOKKMOKK</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58419-2025</t>
        </is>
      </c>
      <c r="B368" s="1" t="n">
        <v>45985.58466435185</v>
      </c>
      <c r="C368" s="1" t="n">
        <v>45989</v>
      </c>
      <c r="D368" t="inlineStr">
        <is>
          <t>NORRBOTTENS LÄN</t>
        </is>
      </c>
      <c r="E368" t="inlineStr">
        <is>
          <t>JOKKMOKK</t>
        </is>
      </c>
      <c r="F368" t="inlineStr">
        <is>
          <t>Övriga statliga verk och myndigheter</t>
        </is>
      </c>
      <c r="G368" t="n">
        <v>3.5</v>
      </c>
      <c r="H368" t="n">
        <v>0</v>
      </c>
      <c r="I368" t="n">
        <v>0</v>
      </c>
      <c r="J368" t="n">
        <v>0</v>
      </c>
      <c r="K368" t="n">
        <v>0</v>
      </c>
      <c r="L368" t="n">
        <v>0</v>
      </c>
      <c r="M368" t="n">
        <v>0</v>
      </c>
      <c r="N368" t="n">
        <v>0</v>
      </c>
      <c r="O368" t="n">
        <v>0</v>
      </c>
      <c r="P368" t="n">
        <v>0</v>
      </c>
      <c r="Q368" t="n">
        <v>0</v>
      </c>
      <c r="R368" s="2" t="inlineStr"/>
    </row>
    <row r="369" ht="15" customHeight="1">
      <c r="A369" t="inlineStr">
        <is>
          <t>A 50397-2025</t>
        </is>
      </c>
      <c r="B369" s="1" t="n">
        <v>45944.62211805556</v>
      </c>
      <c r="C369" s="1" t="n">
        <v>45989</v>
      </c>
      <c r="D369" t="inlineStr">
        <is>
          <t>NORRBOTTENS LÄN</t>
        </is>
      </c>
      <c r="E369" t="inlineStr">
        <is>
          <t>JOKKMOKK</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50185-2025</t>
        </is>
      </c>
      <c r="B370" s="1" t="n">
        <v>45943.62515046296</v>
      </c>
      <c r="C370" s="1" t="n">
        <v>45989</v>
      </c>
      <c r="D370" t="inlineStr">
        <is>
          <t>NORRBOTTENS LÄN</t>
        </is>
      </c>
      <c r="E370" t="inlineStr">
        <is>
          <t>JOKKMOKK</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58404-2025</t>
        </is>
      </c>
      <c r="B371" s="1" t="n">
        <v>45985.56795138889</v>
      </c>
      <c r="C371" s="1" t="n">
        <v>45989</v>
      </c>
      <c r="D371" t="inlineStr">
        <is>
          <t>NORRBOTTENS LÄN</t>
        </is>
      </c>
      <c r="E371" t="inlineStr">
        <is>
          <t>JOKKMOKK</t>
        </is>
      </c>
      <c r="F371" t="inlineStr">
        <is>
          <t>Övriga statliga verk och myndigheter</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58418-2025</t>
        </is>
      </c>
      <c r="B372" s="1" t="n">
        <v>45985.58361111111</v>
      </c>
      <c r="C372" s="1" t="n">
        <v>45989</v>
      </c>
      <c r="D372" t="inlineStr">
        <is>
          <t>NORRBOTTENS LÄN</t>
        </is>
      </c>
      <c r="E372" t="inlineStr">
        <is>
          <t>JOKKMOKK</t>
        </is>
      </c>
      <c r="F372" t="inlineStr">
        <is>
          <t>Övriga statliga verk och myndigheter</t>
        </is>
      </c>
      <c r="G372" t="n">
        <v>18.1</v>
      </c>
      <c r="H372" t="n">
        <v>0</v>
      </c>
      <c r="I372" t="n">
        <v>0</v>
      </c>
      <c r="J372" t="n">
        <v>0</v>
      </c>
      <c r="K372" t="n">
        <v>0</v>
      </c>
      <c r="L372" t="n">
        <v>0</v>
      </c>
      <c r="M372" t="n">
        <v>0</v>
      </c>
      <c r="N372" t="n">
        <v>0</v>
      </c>
      <c r="O372" t="n">
        <v>0</v>
      </c>
      <c r="P372" t="n">
        <v>0</v>
      </c>
      <c r="Q372" t="n">
        <v>0</v>
      </c>
      <c r="R372" s="2" t="inlineStr"/>
    </row>
    <row r="373" ht="15" customHeight="1">
      <c r="A373" t="inlineStr">
        <is>
          <t>A 49976-2025</t>
        </is>
      </c>
      <c r="B373" s="1" t="n">
        <v>45942.61506944444</v>
      </c>
      <c r="C373" s="1" t="n">
        <v>45989</v>
      </c>
      <c r="D373" t="inlineStr">
        <is>
          <t>NORRBOTTENS LÄN</t>
        </is>
      </c>
      <c r="E373" t="inlineStr">
        <is>
          <t>JOKKMOKK</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58609-2025</t>
        </is>
      </c>
      <c r="B374" s="1" t="n">
        <v>45986.44957175926</v>
      </c>
      <c r="C374" s="1" t="n">
        <v>45989</v>
      </c>
      <c r="D374" t="inlineStr">
        <is>
          <t>NORRBOTTENS LÄN</t>
        </is>
      </c>
      <c r="E374" t="inlineStr">
        <is>
          <t>JOKKMOKK</t>
        </is>
      </c>
      <c r="G374" t="n">
        <v>6.5</v>
      </c>
      <c r="H374" t="n">
        <v>0</v>
      </c>
      <c r="I374" t="n">
        <v>0</v>
      </c>
      <c r="J374" t="n">
        <v>0</v>
      </c>
      <c r="K374" t="n">
        <v>0</v>
      </c>
      <c r="L374" t="n">
        <v>0</v>
      </c>
      <c r="M374" t="n">
        <v>0</v>
      </c>
      <c r="N374" t="n">
        <v>0</v>
      </c>
      <c r="O374" t="n">
        <v>0</v>
      </c>
      <c r="P374" t="n">
        <v>0</v>
      </c>
      <c r="Q374" t="n">
        <v>0</v>
      </c>
      <c r="R374" s="2" t="inlineStr"/>
    </row>
    <row r="375" ht="15" customHeight="1">
      <c r="A375" t="inlineStr">
        <is>
          <t>A 49978-2025</t>
        </is>
      </c>
      <c r="B375" s="1" t="n">
        <v>45942.61520833334</v>
      </c>
      <c r="C375" s="1" t="n">
        <v>45989</v>
      </c>
      <c r="D375" t="inlineStr">
        <is>
          <t>NORRBOTTENS LÄN</t>
        </is>
      </c>
      <c r="E375" t="inlineStr">
        <is>
          <t>JOKKMOKK</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27650-2024</t>
        </is>
      </c>
      <c r="B376" s="1" t="n">
        <v>45474.94802083333</v>
      </c>
      <c r="C376" s="1" t="n">
        <v>45989</v>
      </c>
      <c r="D376" t="inlineStr">
        <is>
          <t>NORRBOTTENS LÄN</t>
        </is>
      </c>
      <c r="E376" t="inlineStr">
        <is>
          <t>JOKKMOKK</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59074-2025</t>
        </is>
      </c>
      <c r="B377" s="1" t="n">
        <v>45988.42763888889</v>
      </c>
      <c r="C377" s="1" t="n">
        <v>45989</v>
      </c>
      <c r="D377" t="inlineStr">
        <is>
          <t>NORRBOTTENS LÄN</t>
        </is>
      </c>
      <c r="E377" t="inlineStr">
        <is>
          <t>JOKKMOKK</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50731-2025</t>
        </is>
      </c>
      <c r="B378" s="1" t="n">
        <v>45946.36513888889</v>
      </c>
      <c r="C378" s="1" t="n">
        <v>45989</v>
      </c>
      <c r="D378" t="inlineStr">
        <is>
          <t>NORRBOTTENS LÄN</t>
        </is>
      </c>
      <c r="E378" t="inlineStr">
        <is>
          <t>JOKKMOKK</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59150-2025</t>
        </is>
      </c>
      <c r="B379" s="1" t="n">
        <v>45988.53171296296</v>
      </c>
      <c r="C379" s="1" t="n">
        <v>45989</v>
      </c>
      <c r="D379" t="inlineStr">
        <is>
          <t>NORRBOTTENS LÄN</t>
        </is>
      </c>
      <c r="E379" t="inlineStr">
        <is>
          <t>JOKKMOKK</t>
        </is>
      </c>
      <c r="F379" t="inlineStr">
        <is>
          <t>SCA</t>
        </is>
      </c>
      <c r="G379" t="n">
        <v>16.6</v>
      </c>
      <c r="H379" t="n">
        <v>0</v>
      </c>
      <c r="I379" t="n">
        <v>0</v>
      </c>
      <c r="J379" t="n">
        <v>0</v>
      </c>
      <c r="K379" t="n">
        <v>0</v>
      </c>
      <c r="L379" t="n">
        <v>0</v>
      </c>
      <c r="M379" t="n">
        <v>0</v>
      </c>
      <c r="N379" t="n">
        <v>0</v>
      </c>
      <c r="O379" t="n">
        <v>0</v>
      </c>
      <c r="P379" t="n">
        <v>0</v>
      </c>
      <c r="Q379" t="n">
        <v>0</v>
      </c>
      <c r="R379" s="2" t="inlineStr"/>
    </row>
    <row r="380" ht="15" customHeight="1">
      <c r="A380" t="inlineStr">
        <is>
          <t>A 50732-2025</t>
        </is>
      </c>
      <c r="B380" s="1" t="n">
        <v>45946.36519675926</v>
      </c>
      <c r="C380" s="1" t="n">
        <v>45989</v>
      </c>
      <c r="D380" t="inlineStr">
        <is>
          <t>NORRBOTTENS LÄN</t>
        </is>
      </c>
      <c r="E380" t="inlineStr">
        <is>
          <t>JOKKMOKK</t>
        </is>
      </c>
      <c r="F380" t="inlineStr">
        <is>
          <t>SCA</t>
        </is>
      </c>
      <c r="G380" t="n">
        <v>45.9</v>
      </c>
      <c r="H380" t="n">
        <v>0</v>
      </c>
      <c r="I380" t="n">
        <v>0</v>
      </c>
      <c r="J380" t="n">
        <v>0</v>
      </c>
      <c r="K380" t="n">
        <v>0</v>
      </c>
      <c r="L380" t="n">
        <v>0</v>
      </c>
      <c r="M380" t="n">
        <v>0</v>
      </c>
      <c r="N380" t="n">
        <v>0</v>
      </c>
      <c r="O380" t="n">
        <v>0</v>
      </c>
      <c r="P380" t="n">
        <v>0</v>
      </c>
      <c r="Q380" t="n">
        <v>0</v>
      </c>
      <c r="R380" s="2" t="inlineStr"/>
    </row>
    <row r="381" ht="15" customHeight="1">
      <c r="A381" t="inlineStr">
        <is>
          <t>A 50717-2025</t>
        </is>
      </c>
      <c r="B381" s="1" t="n">
        <v>45946.34598379629</v>
      </c>
      <c r="C381" s="1" t="n">
        <v>45989</v>
      </c>
      <c r="D381" t="inlineStr">
        <is>
          <t>NORRBOTTENS LÄN</t>
        </is>
      </c>
      <c r="E381" t="inlineStr">
        <is>
          <t>JOKKMOKK</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50723-2025</t>
        </is>
      </c>
      <c r="B382" s="1" t="n">
        <v>45946.34690972222</v>
      </c>
      <c r="C382" s="1" t="n">
        <v>45989</v>
      </c>
      <c r="D382" t="inlineStr">
        <is>
          <t>NORRBOTTENS LÄN</t>
        </is>
      </c>
      <c r="E382" t="inlineStr">
        <is>
          <t>JOKKMOKK</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24052-2023</t>
        </is>
      </c>
      <c r="B383" s="1" t="n">
        <v>45078</v>
      </c>
      <c r="C383" s="1" t="n">
        <v>45989</v>
      </c>
      <c r="D383" t="inlineStr">
        <is>
          <t>NORRBOTTENS LÄN</t>
        </is>
      </c>
      <c r="E383" t="inlineStr">
        <is>
          <t>JOKKMOKK</t>
        </is>
      </c>
      <c r="F383" t="inlineStr">
        <is>
          <t>Naturvårdsverket</t>
        </is>
      </c>
      <c r="G383" t="n">
        <v>58.1</v>
      </c>
      <c r="H383" t="n">
        <v>0</v>
      </c>
      <c r="I383" t="n">
        <v>0</v>
      </c>
      <c r="J383" t="n">
        <v>0</v>
      </c>
      <c r="K383" t="n">
        <v>0</v>
      </c>
      <c r="L383" t="n">
        <v>0</v>
      </c>
      <c r="M383" t="n">
        <v>0</v>
      </c>
      <c r="N383" t="n">
        <v>0</v>
      </c>
      <c r="O383" t="n">
        <v>0</v>
      </c>
      <c r="P383" t="n">
        <v>0</v>
      </c>
      <c r="Q383" t="n">
        <v>0</v>
      </c>
      <c r="R383" s="2" t="inlineStr"/>
    </row>
    <row r="384" ht="15" customHeight="1">
      <c r="A384" t="inlineStr">
        <is>
          <t>A 52280-2021</t>
        </is>
      </c>
      <c r="B384" s="1" t="n">
        <v>44462</v>
      </c>
      <c r="C384" s="1" t="n">
        <v>45989</v>
      </c>
      <c r="D384" t="inlineStr">
        <is>
          <t>NORRBOTTENS LÄN</t>
        </is>
      </c>
      <c r="E384" t="inlineStr">
        <is>
          <t>JOKKMOKK</t>
        </is>
      </c>
      <c r="F384" t="inlineStr">
        <is>
          <t>Övriga statliga verk och myndigheter</t>
        </is>
      </c>
      <c r="G384" t="n">
        <v>25.9</v>
      </c>
      <c r="H384" t="n">
        <v>0</v>
      </c>
      <c r="I384" t="n">
        <v>0</v>
      </c>
      <c r="J384" t="n">
        <v>0</v>
      </c>
      <c r="K384" t="n">
        <v>0</v>
      </c>
      <c r="L384" t="n">
        <v>0</v>
      </c>
      <c r="M384" t="n">
        <v>0</v>
      </c>
      <c r="N384" t="n">
        <v>0</v>
      </c>
      <c r="O384" t="n">
        <v>0</v>
      </c>
      <c r="P384" t="n">
        <v>0</v>
      </c>
      <c r="Q384" t="n">
        <v>0</v>
      </c>
      <c r="R384" s="2" t="inlineStr"/>
    </row>
    <row r="385" ht="15" customHeight="1">
      <c r="A385" t="inlineStr">
        <is>
          <t>A 59849-2021</t>
        </is>
      </c>
      <c r="B385" s="1" t="n">
        <v>44493</v>
      </c>
      <c r="C385" s="1" t="n">
        <v>45989</v>
      </c>
      <c r="D385" t="inlineStr">
        <is>
          <t>NORRBOTTENS LÄN</t>
        </is>
      </c>
      <c r="E385" t="inlineStr">
        <is>
          <t>JOKKMOKK</t>
        </is>
      </c>
      <c r="F385" t="inlineStr">
        <is>
          <t>Övriga Aktiebolag</t>
        </is>
      </c>
      <c r="G385" t="n">
        <v>11.7</v>
      </c>
      <c r="H385" t="n">
        <v>0</v>
      </c>
      <c r="I385" t="n">
        <v>0</v>
      </c>
      <c r="J385" t="n">
        <v>0</v>
      </c>
      <c r="K385" t="n">
        <v>0</v>
      </c>
      <c r="L385" t="n">
        <v>0</v>
      </c>
      <c r="M385" t="n">
        <v>0</v>
      </c>
      <c r="N385" t="n">
        <v>0</v>
      </c>
      <c r="O385" t="n">
        <v>0</v>
      </c>
      <c r="P385" t="n">
        <v>0</v>
      </c>
      <c r="Q385" t="n">
        <v>0</v>
      </c>
      <c r="R385" s="2" t="inlineStr"/>
    </row>
    <row r="386" ht="15" customHeight="1">
      <c r="A386" t="inlineStr">
        <is>
          <t>A 32900-2023</t>
        </is>
      </c>
      <c r="B386" s="1" t="n">
        <v>45124</v>
      </c>
      <c r="C386" s="1" t="n">
        <v>45989</v>
      </c>
      <c r="D386" t="inlineStr">
        <is>
          <t>NORRBOTTENS LÄN</t>
        </is>
      </c>
      <c r="E386" t="inlineStr">
        <is>
          <t>JOKKMOKK</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51269-2024</t>
        </is>
      </c>
      <c r="B387" s="1" t="n">
        <v>45603.71284722222</v>
      </c>
      <c r="C387" s="1" t="n">
        <v>45989</v>
      </c>
      <c r="D387" t="inlineStr">
        <is>
          <t>NORRBOTTENS LÄN</t>
        </is>
      </c>
      <c r="E387" t="inlineStr">
        <is>
          <t>JOKKMOKK</t>
        </is>
      </c>
      <c r="F387" t="inlineStr">
        <is>
          <t>Allmännings- och besparingsskogar</t>
        </is>
      </c>
      <c r="G387" t="n">
        <v>4.4</v>
      </c>
      <c r="H387" t="n">
        <v>0</v>
      </c>
      <c r="I387" t="n">
        <v>0</v>
      </c>
      <c r="J387" t="n">
        <v>0</v>
      </c>
      <c r="K387" t="n">
        <v>0</v>
      </c>
      <c r="L387" t="n">
        <v>0</v>
      </c>
      <c r="M387" t="n">
        <v>0</v>
      </c>
      <c r="N387" t="n">
        <v>0</v>
      </c>
      <c r="O387" t="n">
        <v>0</v>
      </c>
      <c r="P387" t="n">
        <v>0</v>
      </c>
      <c r="Q387" t="n">
        <v>0</v>
      </c>
      <c r="R387" s="2" t="inlineStr"/>
    </row>
    <row r="388" ht="15" customHeight="1">
      <c r="A388" t="inlineStr">
        <is>
          <t>A 52812-2024</t>
        </is>
      </c>
      <c r="B388" s="1" t="n">
        <v>45610.58070601852</v>
      </c>
      <c r="C388" s="1" t="n">
        <v>45989</v>
      </c>
      <c r="D388" t="inlineStr">
        <is>
          <t>NORRBOTTENS LÄN</t>
        </is>
      </c>
      <c r="E388" t="inlineStr">
        <is>
          <t>JOKKMOKK</t>
        </is>
      </c>
      <c r="G388" t="n">
        <v>84</v>
      </c>
      <c r="H388" t="n">
        <v>0</v>
      </c>
      <c r="I388" t="n">
        <v>0</v>
      </c>
      <c r="J388" t="n">
        <v>0</v>
      </c>
      <c r="K388" t="n">
        <v>0</v>
      </c>
      <c r="L388" t="n">
        <v>0</v>
      </c>
      <c r="M388" t="n">
        <v>0</v>
      </c>
      <c r="N388" t="n">
        <v>0</v>
      </c>
      <c r="O388" t="n">
        <v>0</v>
      </c>
      <c r="P388" t="n">
        <v>0</v>
      </c>
      <c r="Q388" t="n">
        <v>0</v>
      </c>
      <c r="R388" s="2" t="inlineStr"/>
    </row>
    <row r="389" ht="15" customHeight="1">
      <c r="A389" t="inlineStr">
        <is>
          <t>A 71369-2021</t>
        </is>
      </c>
      <c r="B389" s="1" t="n">
        <v>44539.94476851852</v>
      </c>
      <c r="C389" s="1" t="n">
        <v>45989</v>
      </c>
      <c r="D389" t="inlineStr">
        <is>
          <t>NORRBOTTENS LÄN</t>
        </is>
      </c>
      <c r="E389" t="inlineStr">
        <is>
          <t>JOKKMOKK</t>
        </is>
      </c>
      <c r="F389" t="inlineStr">
        <is>
          <t>SCA</t>
        </is>
      </c>
      <c r="G389" t="n">
        <v>15.7</v>
      </c>
      <c r="H389" t="n">
        <v>0</v>
      </c>
      <c r="I389" t="n">
        <v>0</v>
      </c>
      <c r="J389" t="n">
        <v>0</v>
      </c>
      <c r="K389" t="n">
        <v>0</v>
      </c>
      <c r="L389" t="n">
        <v>0</v>
      </c>
      <c r="M389" t="n">
        <v>0</v>
      </c>
      <c r="N389" t="n">
        <v>0</v>
      </c>
      <c r="O389" t="n">
        <v>0</v>
      </c>
      <c r="P389" t="n">
        <v>0</v>
      </c>
      <c r="Q389" t="n">
        <v>0</v>
      </c>
      <c r="R389" s="2" t="inlineStr"/>
    </row>
    <row r="390" ht="15" customHeight="1">
      <c r="A390" t="inlineStr">
        <is>
          <t>A 59793-2024</t>
        </is>
      </c>
      <c r="B390" s="1" t="n">
        <v>45639.58967592593</v>
      </c>
      <c r="C390" s="1" t="n">
        <v>45989</v>
      </c>
      <c r="D390" t="inlineStr">
        <is>
          <t>NORRBOTTENS LÄN</t>
        </is>
      </c>
      <c r="E390" t="inlineStr">
        <is>
          <t>JOKKMOKK</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39684-2023</t>
        </is>
      </c>
      <c r="B391" s="1" t="n">
        <v>45166</v>
      </c>
      <c r="C391" s="1" t="n">
        <v>45989</v>
      </c>
      <c r="D391" t="inlineStr">
        <is>
          <t>NORRBOTTENS LÄN</t>
        </is>
      </c>
      <c r="E391" t="inlineStr">
        <is>
          <t>JOKKMOKK</t>
        </is>
      </c>
      <c r="G391" t="n">
        <v>6.8</v>
      </c>
      <c r="H391" t="n">
        <v>0</v>
      </c>
      <c r="I391" t="n">
        <v>0</v>
      </c>
      <c r="J391" t="n">
        <v>0</v>
      </c>
      <c r="K391" t="n">
        <v>0</v>
      </c>
      <c r="L391" t="n">
        <v>0</v>
      </c>
      <c r="M391" t="n">
        <v>0</v>
      </c>
      <c r="N391" t="n">
        <v>0</v>
      </c>
      <c r="O391" t="n">
        <v>0</v>
      </c>
      <c r="P391" t="n">
        <v>0</v>
      </c>
      <c r="Q391" t="n">
        <v>0</v>
      </c>
      <c r="R391" s="2" t="inlineStr"/>
    </row>
    <row r="392" ht="15" customHeight="1">
      <c r="A392" t="inlineStr">
        <is>
          <t>A 9860-2023</t>
        </is>
      </c>
      <c r="B392" s="1" t="n">
        <v>44984</v>
      </c>
      <c r="C392" s="1" t="n">
        <v>45989</v>
      </c>
      <c r="D392" t="inlineStr">
        <is>
          <t>NORRBOTTENS LÄN</t>
        </is>
      </c>
      <c r="E392" t="inlineStr">
        <is>
          <t>JOKKMOKK</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9863-2023</t>
        </is>
      </c>
      <c r="B393" s="1" t="n">
        <v>44984</v>
      </c>
      <c r="C393" s="1" t="n">
        <v>45989</v>
      </c>
      <c r="D393" t="inlineStr">
        <is>
          <t>NORRBOTTENS LÄN</t>
        </is>
      </c>
      <c r="E393" t="inlineStr">
        <is>
          <t>JOKKMOKK</t>
        </is>
      </c>
      <c r="F393" t="inlineStr">
        <is>
          <t>SCA</t>
        </is>
      </c>
      <c r="G393" t="n">
        <v>14.4</v>
      </c>
      <c r="H393" t="n">
        <v>0</v>
      </c>
      <c r="I393" t="n">
        <v>0</v>
      </c>
      <c r="J393" t="n">
        <v>0</v>
      </c>
      <c r="K393" t="n">
        <v>0</v>
      </c>
      <c r="L393" t="n">
        <v>0</v>
      </c>
      <c r="M393" t="n">
        <v>0</v>
      </c>
      <c r="N393" t="n">
        <v>0</v>
      </c>
      <c r="O393" t="n">
        <v>0</v>
      </c>
      <c r="P393" t="n">
        <v>0</v>
      </c>
      <c r="Q393" t="n">
        <v>0</v>
      </c>
      <c r="R393" s="2" t="inlineStr"/>
    </row>
    <row r="394" ht="15" customHeight="1">
      <c r="A394" t="inlineStr">
        <is>
          <t>A 9872-2023</t>
        </is>
      </c>
      <c r="B394" s="1" t="n">
        <v>44984</v>
      </c>
      <c r="C394" s="1" t="n">
        <v>45989</v>
      </c>
      <c r="D394" t="inlineStr">
        <is>
          <t>NORRBOTTENS LÄN</t>
        </is>
      </c>
      <c r="E394" t="inlineStr">
        <is>
          <t>JOKKMOKK</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9873-2023</t>
        </is>
      </c>
      <c r="B395" s="1" t="n">
        <v>44984</v>
      </c>
      <c r="C395" s="1" t="n">
        <v>45989</v>
      </c>
      <c r="D395" t="inlineStr">
        <is>
          <t>NORRBOTTENS LÄN</t>
        </is>
      </c>
      <c r="E395" t="inlineStr">
        <is>
          <t>JOKKMOKK</t>
        </is>
      </c>
      <c r="G395" t="n">
        <v>1.6</v>
      </c>
      <c r="H395" t="n">
        <v>0</v>
      </c>
      <c r="I395" t="n">
        <v>0</v>
      </c>
      <c r="J395" t="n">
        <v>0</v>
      </c>
      <c r="K395" t="n">
        <v>0</v>
      </c>
      <c r="L395" t="n">
        <v>0</v>
      </c>
      <c r="M395" t="n">
        <v>0</v>
      </c>
      <c r="N395" t="n">
        <v>0</v>
      </c>
      <c r="O395" t="n">
        <v>0</v>
      </c>
      <c r="P395" t="n">
        <v>0</v>
      </c>
      <c r="Q395" t="n">
        <v>0</v>
      </c>
      <c r="R395" s="2" t="inlineStr"/>
    </row>
    <row r="396" ht="15" customHeight="1">
      <c r="A396" t="inlineStr">
        <is>
          <t>A 9877-2023</t>
        </is>
      </c>
      <c r="B396" s="1" t="n">
        <v>44984.94033564815</v>
      </c>
      <c r="C396" s="1" t="n">
        <v>45989</v>
      </c>
      <c r="D396" t="inlineStr">
        <is>
          <t>NORRBOTTENS LÄN</t>
        </is>
      </c>
      <c r="E396" t="inlineStr">
        <is>
          <t>JOKKMOKK</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17784-2025</t>
        </is>
      </c>
      <c r="B397" s="1" t="n">
        <v>45758</v>
      </c>
      <c r="C397" s="1" t="n">
        <v>45989</v>
      </c>
      <c r="D397" t="inlineStr">
        <is>
          <t>NORRBOTTENS LÄN</t>
        </is>
      </c>
      <c r="E397" t="inlineStr">
        <is>
          <t>JOKKMOKK</t>
        </is>
      </c>
      <c r="F397" t="inlineStr">
        <is>
          <t>SCA</t>
        </is>
      </c>
      <c r="G397" t="n">
        <v>11.2</v>
      </c>
      <c r="H397" t="n">
        <v>0</v>
      </c>
      <c r="I397" t="n">
        <v>0</v>
      </c>
      <c r="J397" t="n">
        <v>0</v>
      </c>
      <c r="K397" t="n">
        <v>0</v>
      </c>
      <c r="L397" t="n">
        <v>0</v>
      </c>
      <c r="M397" t="n">
        <v>0</v>
      </c>
      <c r="N397" t="n">
        <v>0</v>
      </c>
      <c r="O397" t="n">
        <v>0</v>
      </c>
      <c r="P397" t="n">
        <v>0</v>
      </c>
      <c r="Q397" t="n">
        <v>0</v>
      </c>
      <c r="R397" s="2" t="inlineStr"/>
    </row>
    <row r="398" ht="15" customHeight="1">
      <c r="A398" t="inlineStr">
        <is>
          <t>A 16018-2024</t>
        </is>
      </c>
      <c r="B398" s="1" t="n">
        <v>45405.67028935185</v>
      </c>
      <c r="C398" s="1" t="n">
        <v>45989</v>
      </c>
      <c r="D398" t="inlineStr">
        <is>
          <t>NORRBOTTENS LÄN</t>
        </is>
      </c>
      <c r="E398" t="inlineStr">
        <is>
          <t>JOKKMOKK</t>
        </is>
      </c>
      <c r="G398" t="n">
        <v>1.8</v>
      </c>
      <c r="H398" t="n">
        <v>0</v>
      </c>
      <c r="I398" t="n">
        <v>0</v>
      </c>
      <c r="J398" t="n">
        <v>0</v>
      </c>
      <c r="K398" t="n">
        <v>0</v>
      </c>
      <c r="L398" t="n">
        <v>0</v>
      </c>
      <c r="M398" t="n">
        <v>0</v>
      </c>
      <c r="N398" t="n">
        <v>0</v>
      </c>
      <c r="O398" t="n">
        <v>0</v>
      </c>
      <c r="P398" t="n">
        <v>0</v>
      </c>
      <c r="Q398" t="n">
        <v>0</v>
      </c>
      <c r="R398" s="2" t="inlineStr"/>
    </row>
    <row r="399" ht="15" customHeight="1">
      <c r="A399" t="inlineStr">
        <is>
          <t>A 32899-2023</t>
        </is>
      </c>
      <c r="B399" s="1" t="n">
        <v>45124</v>
      </c>
      <c r="C399" s="1" t="n">
        <v>45989</v>
      </c>
      <c r="D399" t="inlineStr">
        <is>
          <t>NORRBOTTENS LÄN</t>
        </is>
      </c>
      <c r="E399" t="inlineStr">
        <is>
          <t>JOKKMOKK</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3055-2025</t>
        </is>
      </c>
      <c r="B400" s="1" t="n">
        <v>45678.61530092593</v>
      </c>
      <c r="C400" s="1" t="n">
        <v>45989</v>
      </c>
      <c r="D400" t="inlineStr">
        <is>
          <t>NORRBOTTENS LÄN</t>
        </is>
      </c>
      <c r="E400" t="inlineStr">
        <is>
          <t>JOKKMOKK</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42639-2024</t>
        </is>
      </c>
      <c r="B401" s="1" t="n">
        <v>45565.91135416667</v>
      </c>
      <c r="C401" s="1" t="n">
        <v>45989</v>
      </c>
      <c r="D401" t="inlineStr">
        <is>
          <t>NORRBOTTENS LÄN</t>
        </is>
      </c>
      <c r="E401" t="inlineStr">
        <is>
          <t>JOKKMOKK</t>
        </is>
      </c>
      <c r="G401" t="n">
        <v>34.5</v>
      </c>
      <c r="H401" t="n">
        <v>0</v>
      </c>
      <c r="I401" t="n">
        <v>0</v>
      </c>
      <c r="J401" t="n">
        <v>0</v>
      </c>
      <c r="K401" t="n">
        <v>0</v>
      </c>
      <c r="L401" t="n">
        <v>0</v>
      </c>
      <c r="M401" t="n">
        <v>0</v>
      </c>
      <c r="N401" t="n">
        <v>0</v>
      </c>
      <c r="O401" t="n">
        <v>0</v>
      </c>
      <c r="P401" t="n">
        <v>0</v>
      </c>
      <c r="Q401" t="n">
        <v>0</v>
      </c>
      <c r="R401" s="2" t="inlineStr"/>
    </row>
    <row r="402" ht="15" customHeight="1">
      <c r="A402" t="inlineStr">
        <is>
          <t>A 52181-2023</t>
        </is>
      </c>
      <c r="B402" s="1" t="n">
        <v>45224</v>
      </c>
      <c r="C402" s="1" t="n">
        <v>45989</v>
      </c>
      <c r="D402" t="inlineStr">
        <is>
          <t>NORRBOTTENS LÄN</t>
        </is>
      </c>
      <c r="E402" t="inlineStr">
        <is>
          <t>JOKKMOKK</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50651-2024</t>
        </is>
      </c>
      <c r="B403" s="1" t="n">
        <v>45601.70364583333</v>
      </c>
      <c r="C403" s="1" t="n">
        <v>45989</v>
      </c>
      <c r="D403" t="inlineStr">
        <is>
          <t>NORRBOTTENS LÄN</t>
        </is>
      </c>
      <c r="E403" t="inlineStr">
        <is>
          <t>JOKKMOKK</t>
        </is>
      </c>
      <c r="F403" t="inlineStr">
        <is>
          <t>Allmännings- och besparingsskogar</t>
        </is>
      </c>
      <c r="G403" t="n">
        <v>6.1</v>
      </c>
      <c r="H403" t="n">
        <v>0</v>
      </c>
      <c r="I403" t="n">
        <v>0</v>
      </c>
      <c r="J403" t="n">
        <v>0</v>
      </c>
      <c r="K403" t="n">
        <v>0</v>
      </c>
      <c r="L403" t="n">
        <v>0</v>
      </c>
      <c r="M403" t="n">
        <v>0</v>
      </c>
      <c r="N403" t="n">
        <v>0</v>
      </c>
      <c r="O403" t="n">
        <v>0</v>
      </c>
      <c r="P403" t="n">
        <v>0</v>
      </c>
      <c r="Q403" t="n">
        <v>0</v>
      </c>
      <c r="R403" s="2" t="inlineStr"/>
    </row>
    <row r="404" ht="15" customHeight="1">
      <c r="A404" t="inlineStr">
        <is>
          <t>A 40432-2024</t>
        </is>
      </c>
      <c r="B404" s="1" t="n">
        <v>45555.47401620371</v>
      </c>
      <c r="C404" s="1" t="n">
        <v>45989</v>
      </c>
      <c r="D404" t="inlineStr">
        <is>
          <t>NORRBOTTENS LÄN</t>
        </is>
      </c>
      <c r="E404" t="inlineStr">
        <is>
          <t>JOKKMOKK</t>
        </is>
      </c>
      <c r="G404" t="n">
        <v>0.5</v>
      </c>
      <c r="H404" t="n">
        <v>0</v>
      </c>
      <c r="I404" t="n">
        <v>0</v>
      </c>
      <c r="J404" t="n">
        <v>0</v>
      </c>
      <c r="K404" t="n">
        <v>0</v>
      </c>
      <c r="L404" t="n">
        <v>0</v>
      </c>
      <c r="M404" t="n">
        <v>0</v>
      </c>
      <c r="N404" t="n">
        <v>0</v>
      </c>
      <c r="O404" t="n">
        <v>0</v>
      </c>
      <c r="P404" t="n">
        <v>0</v>
      </c>
      <c r="Q404" t="n">
        <v>0</v>
      </c>
      <c r="R404" s="2" t="inlineStr"/>
    </row>
    <row r="405" ht="15" customHeight="1">
      <c r="A405" t="inlineStr">
        <is>
          <t>A 7845-2024</t>
        </is>
      </c>
      <c r="B405" s="1" t="n">
        <v>45349</v>
      </c>
      <c r="C405" s="1" t="n">
        <v>45989</v>
      </c>
      <c r="D405" t="inlineStr">
        <is>
          <t>NORRBOTTENS LÄN</t>
        </is>
      </c>
      <c r="E405" t="inlineStr">
        <is>
          <t>JOKKMOKK</t>
        </is>
      </c>
      <c r="G405" t="n">
        <v>3</v>
      </c>
      <c r="H405" t="n">
        <v>0</v>
      </c>
      <c r="I405" t="n">
        <v>0</v>
      </c>
      <c r="J405" t="n">
        <v>0</v>
      </c>
      <c r="K405" t="n">
        <v>0</v>
      </c>
      <c r="L405" t="n">
        <v>0</v>
      </c>
      <c r="M405" t="n">
        <v>0</v>
      </c>
      <c r="N405" t="n">
        <v>0</v>
      </c>
      <c r="O405" t="n">
        <v>0</v>
      </c>
      <c r="P405" t="n">
        <v>0</v>
      </c>
      <c r="Q405" t="n">
        <v>0</v>
      </c>
      <c r="R405" s="2" t="inlineStr"/>
    </row>
    <row r="406" ht="15" customHeight="1">
      <c r="A406" t="inlineStr">
        <is>
          <t>A 11657-2024</t>
        </is>
      </c>
      <c r="B406" s="1" t="n">
        <v>45373</v>
      </c>
      <c r="C406" s="1" t="n">
        <v>45989</v>
      </c>
      <c r="D406" t="inlineStr">
        <is>
          <t>NORRBOTTENS LÄN</t>
        </is>
      </c>
      <c r="E406" t="inlineStr">
        <is>
          <t>JOKKMOKK</t>
        </is>
      </c>
      <c r="G406" t="n">
        <v>14.3</v>
      </c>
      <c r="H406" t="n">
        <v>0</v>
      </c>
      <c r="I406" t="n">
        <v>0</v>
      </c>
      <c r="J406" t="n">
        <v>0</v>
      </c>
      <c r="K406" t="n">
        <v>0</v>
      </c>
      <c r="L406" t="n">
        <v>0</v>
      </c>
      <c r="M406" t="n">
        <v>0</v>
      </c>
      <c r="N406" t="n">
        <v>0</v>
      </c>
      <c r="O406" t="n">
        <v>0</v>
      </c>
      <c r="P406" t="n">
        <v>0</v>
      </c>
      <c r="Q406" t="n">
        <v>0</v>
      </c>
      <c r="R406" s="2" t="inlineStr"/>
    </row>
    <row r="407" ht="15" customHeight="1">
      <c r="A407" t="inlineStr">
        <is>
          <t>A 30292-2023</t>
        </is>
      </c>
      <c r="B407" s="1" t="n">
        <v>45110</v>
      </c>
      <c r="C407" s="1" t="n">
        <v>45989</v>
      </c>
      <c r="D407" t="inlineStr">
        <is>
          <t>NORRBOTTENS LÄN</t>
        </is>
      </c>
      <c r="E407" t="inlineStr">
        <is>
          <t>JOKKMOKK</t>
        </is>
      </c>
      <c r="G407" t="n">
        <v>1.4</v>
      </c>
      <c r="H407" t="n">
        <v>0</v>
      </c>
      <c r="I407" t="n">
        <v>0</v>
      </c>
      <c r="J407" t="n">
        <v>0</v>
      </c>
      <c r="K407" t="n">
        <v>0</v>
      </c>
      <c r="L407" t="n">
        <v>0</v>
      </c>
      <c r="M407" t="n">
        <v>0</v>
      </c>
      <c r="N407" t="n">
        <v>0</v>
      </c>
      <c r="O407" t="n">
        <v>0</v>
      </c>
      <c r="P407" t="n">
        <v>0</v>
      </c>
      <c r="Q407" t="n">
        <v>0</v>
      </c>
      <c r="R407" s="2" t="inlineStr"/>
    </row>
    <row r="408" ht="15" customHeight="1">
      <c r="A408" t="inlineStr">
        <is>
          <t>A 51617-2024</t>
        </is>
      </c>
      <c r="B408" s="1" t="n">
        <v>45604.71908564815</v>
      </c>
      <c r="C408" s="1" t="n">
        <v>45989</v>
      </c>
      <c r="D408" t="inlineStr">
        <is>
          <t>NORRBOTTENS LÄN</t>
        </is>
      </c>
      <c r="E408" t="inlineStr">
        <is>
          <t>JOKKMOKK</t>
        </is>
      </c>
      <c r="F408" t="inlineStr">
        <is>
          <t>SCA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46418-2023</t>
        </is>
      </c>
      <c r="B409" s="1" t="n">
        <v>45197</v>
      </c>
      <c r="C409" s="1" t="n">
        <v>45989</v>
      </c>
      <c r="D409" t="inlineStr">
        <is>
          <t>NORRBOTTENS LÄN</t>
        </is>
      </c>
      <c r="E409" t="inlineStr">
        <is>
          <t>JOKKMOKK</t>
        </is>
      </c>
      <c r="G409" t="n">
        <v>7.4</v>
      </c>
      <c r="H409" t="n">
        <v>0</v>
      </c>
      <c r="I409" t="n">
        <v>0</v>
      </c>
      <c r="J409" t="n">
        <v>0</v>
      </c>
      <c r="K409" t="n">
        <v>0</v>
      </c>
      <c r="L409" t="n">
        <v>0</v>
      </c>
      <c r="M409" t="n">
        <v>0</v>
      </c>
      <c r="N409" t="n">
        <v>0</v>
      </c>
      <c r="O409" t="n">
        <v>0</v>
      </c>
      <c r="P409" t="n">
        <v>0</v>
      </c>
      <c r="Q409" t="n">
        <v>0</v>
      </c>
      <c r="R409" s="2" t="inlineStr"/>
    </row>
    <row r="410" ht="15" customHeight="1">
      <c r="A410" t="inlineStr">
        <is>
          <t>A 60275-2023</t>
        </is>
      </c>
      <c r="B410" s="1" t="n">
        <v>45258.67847222222</v>
      </c>
      <c r="C410" s="1" t="n">
        <v>45989</v>
      </c>
      <c r="D410" t="inlineStr">
        <is>
          <t>NORRBOTTENS LÄN</t>
        </is>
      </c>
      <c r="E410" t="inlineStr">
        <is>
          <t>JOKKMOKK</t>
        </is>
      </c>
      <c r="G410" t="n">
        <v>3.2</v>
      </c>
      <c r="H410" t="n">
        <v>0</v>
      </c>
      <c r="I410" t="n">
        <v>0</v>
      </c>
      <c r="J410" t="n">
        <v>0</v>
      </c>
      <c r="K410" t="n">
        <v>0</v>
      </c>
      <c r="L410" t="n">
        <v>0</v>
      </c>
      <c r="M410" t="n">
        <v>0</v>
      </c>
      <c r="N410" t="n">
        <v>0</v>
      </c>
      <c r="O410" t="n">
        <v>0</v>
      </c>
      <c r="P410" t="n">
        <v>0</v>
      </c>
      <c r="Q410" t="n">
        <v>0</v>
      </c>
      <c r="R410" s="2" t="inlineStr"/>
    </row>
    <row r="411" ht="15" customHeight="1">
      <c r="A411" t="inlineStr">
        <is>
          <t>A 40771-2023</t>
        </is>
      </c>
      <c r="B411" s="1" t="n">
        <v>45170.95657407407</v>
      </c>
      <c r="C411" s="1" t="n">
        <v>45989</v>
      </c>
      <c r="D411" t="inlineStr">
        <is>
          <t>NORRBOTTENS LÄN</t>
        </is>
      </c>
      <c r="E411" t="inlineStr">
        <is>
          <t>JOKKMOKK</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47208-2022</t>
        </is>
      </c>
      <c r="B412" s="1" t="n">
        <v>44851</v>
      </c>
      <c r="C412" s="1" t="n">
        <v>45989</v>
      </c>
      <c r="D412" t="inlineStr">
        <is>
          <t>NORRBOTTENS LÄN</t>
        </is>
      </c>
      <c r="E412" t="inlineStr">
        <is>
          <t>JOKKMOKK</t>
        </is>
      </c>
      <c r="G412" t="n">
        <v>1.2</v>
      </c>
      <c r="H412" t="n">
        <v>0</v>
      </c>
      <c r="I412" t="n">
        <v>0</v>
      </c>
      <c r="J412" t="n">
        <v>0</v>
      </c>
      <c r="K412" t="n">
        <v>0</v>
      </c>
      <c r="L412" t="n">
        <v>0</v>
      </c>
      <c r="M412" t="n">
        <v>0</v>
      </c>
      <c r="N412" t="n">
        <v>0</v>
      </c>
      <c r="O412" t="n">
        <v>0</v>
      </c>
      <c r="P412" t="n">
        <v>0</v>
      </c>
      <c r="Q412" t="n">
        <v>0</v>
      </c>
      <c r="R412" s="2" t="inlineStr"/>
    </row>
    <row r="413" ht="15" customHeight="1">
      <c r="A413" t="inlineStr">
        <is>
          <t>A 1615-2024</t>
        </is>
      </c>
      <c r="B413" s="1" t="n">
        <v>45306</v>
      </c>
      <c r="C413" s="1" t="n">
        <v>45989</v>
      </c>
      <c r="D413" t="inlineStr">
        <is>
          <t>NORRBOTTENS LÄN</t>
        </is>
      </c>
      <c r="E413" t="inlineStr">
        <is>
          <t>JOKKMOKK</t>
        </is>
      </c>
      <c r="G413" t="n">
        <v>10.8</v>
      </c>
      <c r="H413" t="n">
        <v>0</v>
      </c>
      <c r="I413" t="n">
        <v>0</v>
      </c>
      <c r="J413" t="n">
        <v>0</v>
      </c>
      <c r="K413" t="n">
        <v>0</v>
      </c>
      <c r="L413" t="n">
        <v>0</v>
      </c>
      <c r="M413" t="n">
        <v>0</v>
      </c>
      <c r="N413" t="n">
        <v>0</v>
      </c>
      <c r="O413" t="n">
        <v>0</v>
      </c>
      <c r="P413" t="n">
        <v>0</v>
      </c>
      <c r="Q413" t="n">
        <v>0</v>
      </c>
      <c r="R413" s="2" t="inlineStr"/>
    </row>
    <row r="414" ht="15" customHeight="1">
      <c r="A414" t="inlineStr">
        <is>
          <t>A 59849-2023</t>
        </is>
      </c>
      <c r="B414" s="1" t="n">
        <v>45257</v>
      </c>
      <c r="C414" s="1" t="n">
        <v>45989</v>
      </c>
      <c r="D414" t="inlineStr">
        <is>
          <t>NORRBOTTENS LÄN</t>
        </is>
      </c>
      <c r="E414" t="inlineStr">
        <is>
          <t>JOKKMOKK</t>
        </is>
      </c>
      <c r="F414" t="inlineStr">
        <is>
          <t>Allmännings- och besparingsskogar</t>
        </is>
      </c>
      <c r="G414" t="n">
        <v>12.7</v>
      </c>
      <c r="H414" t="n">
        <v>0</v>
      </c>
      <c r="I414" t="n">
        <v>0</v>
      </c>
      <c r="J414" t="n">
        <v>0</v>
      </c>
      <c r="K414" t="n">
        <v>0</v>
      </c>
      <c r="L414" t="n">
        <v>0</v>
      </c>
      <c r="M414" t="n">
        <v>0</v>
      </c>
      <c r="N414" t="n">
        <v>0</v>
      </c>
      <c r="O414" t="n">
        <v>0</v>
      </c>
      <c r="P414" t="n">
        <v>0</v>
      </c>
      <c r="Q414" t="n">
        <v>0</v>
      </c>
      <c r="R414" s="2" t="inlineStr"/>
    </row>
    <row r="415" ht="15" customHeight="1">
      <c r="A415" t="inlineStr">
        <is>
          <t>A 27652-2024</t>
        </is>
      </c>
      <c r="B415" s="1" t="n">
        <v>45474.94982638889</v>
      </c>
      <c r="C415" s="1" t="n">
        <v>45989</v>
      </c>
      <c r="D415" t="inlineStr">
        <is>
          <t>NORRBOTTENS LÄN</t>
        </is>
      </c>
      <c r="E415" t="inlineStr">
        <is>
          <t>JOKKMOKK</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18493-2025</t>
        </is>
      </c>
      <c r="B416" s="1" t="n">
        <v>45763.34474537037</v>
      </c>
      <c r="C416" s="1" t="n">
        <v>45989</v>
      </c>
      <c r="D416" t="inlineStr">
        <is>
          <t>NORRBOTTENS LÄN</t>
        </is>
      </c>
      <c r="E416" t="inlineStr">
        <is>
          <t>JOKKMOKK</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2040-2025</t>
        </is>
      </c>
      <c r="B417" s="1" t="n">
        <v>45671</v>
      </c>
      <c r="C417" s="1" t="n">
        <v>45989</v>
      </c>
      <c r="D417" t="inlineStr">
        <is>
          <t>NORRBOTTENS LÄN</t>
        </is>
      </c>
      <c r="E417" t="inlineStr">
        <is>
          <t>JOKKMOKK</t>
        </is>
      </c>
      <c r="G417" t="n">
        <v>5.1</v>
      </c>
      <c r="H417" t="n">
        <v>0</v>
      </c>
      <c r="I417" t="n">
        <v>0</v>
      </c>
      <c r="J417" t="n">
        <v>0</v>
      </c>
      <c r="K417" t="n">
        <v>0</v>
      </c>
      <c r="L417" t="n">
        <v>0</v>
      </c>
      <c r="M417" t="n">
        <v>0</v>
      </c>
      <c r="N417" t="n">
        <v>0</v>
      </c>
      <c r="O417" t="n">
        <v>0</v>
      </c>
      <c r="P417" t="n">
        <v>0</v>
      </c>
      <c r="Q417" t="n">
        <v>0</v>
      </c>
      <c r="R417" s="2" t="inlineStr"/>
    </row>
    <row r="418" ht="15" customHeight="1">
      <c r="A418" t="inlineStr">
        <is>
          <t>A 18772-2023</t>
        </is>
      </c>
      <c r="B418" s="1" t="n">
        <v>45043</v>
      </c>
      <c r="C418" s="1" t="n">
        <v>45989</v>
      </c>
      <c r="D418" t="inlineStr">
        <is>
          <t>NORRBOTTENS LÄN</t>
        </is>
      </c>
      <c r="E418" t="inlineStr">
        <is>
          <t>JOKKMOKK</t>
        </is>
      </c>
      <c r="F418" t="inlineStr">
        <is>
          <t>SCA</t>
        </is>
      </c>
      <c r="G418" t="n">
        <v>11.9</v>
      </c>
      <c r="H418" t="n">
        <v>0</v>
      </c>
      <c r="I418" t="n">
        <v>0</v>
      </c>
      <c r="J418" t="n">
        <v>0</v>
      </c>
      <c r="K418" t="n">
        <v>0</v>
      </c>
      <c r="L418" t="n">
        <v>0</v>
      </c>
      <c r="M418" t="n">
        <v>0</v>
      </c>
      <c r="N418" t="n">
        <v>0</v>
      </c>
      <c r="O418" t="n">
        <v>0</v>
      </c>
      <c r="P418" t="n">
        <v>0</v>
      </c>
      <c r="Q418" t="n">
        <v>0</v>
      </c>
      <c r="R418" s="2" t="inlineStr"/>
    </row>
    <row r="419" ht="15" customHeight="1">
      <c r="A419" t="inlineStr">
        <is>
          <t>A 9854-2023</t>
        </is>
      </c>
      <c r="B419" s="1" t="n">
        <v>44984</v>
      </c>
      <c r="C419" s="1" t="n">
        <v>45989</v>
      </c>
      <c r="D419" t="inlineStr">
        <is>
          <t>NORRBOTTENS LÄN</t>
        </is>
      </c>
      <c r="E419" t="inlineStr">
        <is>
          <t>JOKKMOKK</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56168-2022</t>
        </is>
      </c>
      <c r="B420" s="1" t="n">
        <v>44889</v>
      </c>
      <c r="C420" s="1" t="n">
        <v>45989</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9865-2023</t>
        </is>
      </c>
      <c r="B421" s="1" t="n">
        <v>44984</v>
      </c>
      <c r="C421" s="1" t="n">
        <v>45989</v>
      </c>
      <c r="D421" t="inlineStr">
        <is>
          <t>NORRBOTTENS LÄN</t>
        </is>
      </c>
      <c r="E421" t="inlineStr">
        <is>
          <t>JOKKMOKK</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36361-2024</t>
        </is>
      </c>
      <c r="B422" s="1" t="n">
        <v>45534.64626157407</v>
      </c>
      <c r="C422" s="1" t="n">
        <v>45989</v>
      </c>
      <c r="D422" t="inlineStr">
        <is>
          <t>NORRBOTTENS LÄN</t>
        </is>
      </c>
      <c r="E422" t="inlineStr">
        <is>
          <t>JOKKMOKK</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45469-2022</t>
        </is>
      </c>
      <c r="B423" s="1" t="n">
        <v>44841</v>
      </c>
      <c r="C423" s="1" t="n">
        <v>45989</v>
      </c>
      <c r="D423" t="inlineStr">
        <is>
          <t>NORRBOTTENS LÄN</t>
        </is>
      </c>
      <c r="E423" t="inlineStr">
        <is>
          <t>JOKKMOKK</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32957-2024</t>
        </is>
      </c>
      <c r="B424" s="1" t="n">
        <v>45517.3762037037</v>
      </c>
      <c r="C424" s="1" t="n">
        <v>45989</v>
      </c>
      <c r="D424" t="inlineStr">
        <is>
          <t>NORRBOTTENS LÄN</t>
        </is>
      </c>
      <c r="E424" t="inlineStr">
        <is>
          <t>JOKKMOKK</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31902-2021</t>
        </is>
      </c>
      <c r="B425" s="1" t="n">
        <v>44370</v>
      </c>
      <c r="C425" s="1" t="n">
        <v>45989</v>
      </c>
      <c r="D425" t="inlineStr">
        <is>
          <t>NORRBOTTENS LÄN</t>
        </is>
      </c>
      <c r="E425" t="inlineStr">
        <is>
          <t>JOKKMOKK</t>
        </is>
      </c>
      <c r="G425" t="n">
        <v>20</v>
      </c>
      <c r="H425" t="n">
        <v>0</v>
      </c>
      <c r="I425" t="n">
        <v>0</v>
      </c>
      <c r="J425" t="n">
        <v>0</v>
      </c>
      <c r="K425" t="n">
        <v>0</v>
      </c>
      <c r="L425" t="n">
        <v>0</v>
      </c>
      <c r="M425" t="n">
        <v>0</v>
      </c>
      <c r="N425" t="n">
        <v>0</v>
      </c>
      <c r="O425" t="n">
        <v>0</v>
      </c>
      <c r="P425" t="n">
        <v>0</v>
      </c>
      <c r="Q425" t="n">
        <v>0</v>
      </c>
      <c r="R425" s="2" t="inlineStr"/>
    </row>
    <row r="426" ht="15" customHeight="1">
      <c r="A426" t="inlineStr">
        <is>
          <t>A 45333-2024</t>
        </is>
      </c>
      <c r="B426" s="1" t="n">
        <v>45576</v>
      </c>
      <c r="C426" s="1" t="n">
        <v>45989</v>
      </c>
      <c r="D426" t="inlineStr">
        <is>
          <t>NORRBOTTENS LÄN</t>
        </is>
      </c>
      <c r="E426" t="inlineStr">
        <is>
          <t>JOKKMOKK</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6778-2023</t>
        </is>
      </c>
      <c r="B427" s="1" t="n">
        <v>44966</v>
      </c>
      <c r="C427" s="1" t="n">
        <v>45989</v>
      </c>
      <c r="D427" t="inlineStr">
        <is>
          <t>NORRBOTTENS LÄN</t>
        </is>
      </c>
      <c r="E427" t="inlineStr">
        <is>
          <t>JOKKMOKK</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45113.95096064815</v>
      </c>
      <c r="C428" s="1" t="n">
        <v>45989</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23019-2023</t>
        </is>
      </c>
      <c r="B429" s="1" t="n">
        <v>45073</v>
      </c>
      <c r="C429" s="1" t="n">
        <v>45989</v>
      </c>
      <c r="D429" t="inlineStr">
        <is>
          <t>NORRBOTTENS LÄN</t>
        </is>
      </c>
      <c r="E429" t="inlineStr">
        <is>
          <t>JOKKMOKK</t>
        </is>
      </c>
      <c r="F429" t="inlineStr">
        <is>
          <t>SCA</t>
        </is>
      </c>
      <c r="G429" t="n">
        <v>6.3</v>
      </c>
      <c r="H429" t="n">
        <v>0</v>
      </c>
      <c r="I429" t="n">
        <v>0</v>
      </c>
      <c r="J429" t="n">
        <v>0</v>
      </c>
      <c r="K429" t="n">
        <v>0</v>
      </c>
      <c r="L429" t="n">
        <v>0</v>
      </c>
      <c r="M429" t="n">
        <v>0</v>
      </c>
      <c r="N429" t="n">
        <v>0</v>
      </c>
      <c r="O429" t="n">
        <v>0</v>
      </c>
      <c r="P429" t="n">
        <v>0</v>
      </c>
      <c r="Q429" t="n">
        <v>0</v>
      </c>
      <c r="R429" s="2" t="inlineStr"/>
    </row>
    <row r="430" ht="15" customHeight="1">
      <c r="A430" t="inlineStr">
        <is>
          <t>A 34062-2021</t>
        </is>
      </c>
      <c r="B430" s="1" t="n">
        <v>44378</v>
      </c>
      <c r="C430" s="1" t="n">
        <v>45989</v>
      </c>
      <c r="D430" t="inlineStr">
        <is>
          <t>NORRBOTTENS LÄN</t>
        </is>
      </c>
      <c r="E430" t="inlineStr">
        <is>
          <t>JOKKMOKK</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4136-2024</t>
        </is>
      </c>
      <c r="B431" s="1" t="n">
        <v>45323</v>
      </c>
      <c r="C431" s="1" t="n">
        <v>45989</v>
      </c>
      <c r="D431" t="inlineStr">
        <is>
          <t>NORRBOTTENS LÄN</t>
        </is>
      </c>
      <c r="E431" t="inlineStr">
        <is>
          <t>JOKKMOKK</t>
        </is>
      </c>
      <c r="G431" t="n">
        <v>27.3</v>
      </c>
      <c r="H431" t="n">
        <v>0</v>
      </c>
      <c r="I431" t="n">
        <v>0</v>
      </c>
      <c r="J431" t="n">
        <v>0</v>
      </c>
      <c r="K431" t="n">
        <v>0</v>
      </c>
      <c r="L431" t="n">
        <v>0</v>
      </c>
      <c r="M431" t="n">
        <v>0</v>
      </c>
      <c r="N431" t="n">
        <v>0</v>
      </c>
      <c r="O431" t="n">
        <v>0</v>
      </c>
      <c r="P431" t="n">
        <v>0</v>
      </c>
      <c r="Q431" t="n">
        <v>0</v>
      </c>
      <c r="R431" s="2" t="inlineStr"/>
    </row>
    <row r="432" ht="15" customHeight="1">
      <c r="A432" t="inlineStr">
        <is>
          <t>A 18537-2023</t>
        </is>
      </c>
      <c r="B432" s="1" t="n">
        <v>45028</v>
      </c>
      <c r="C432" s="1" t="n">
        <v>45989</v>
      </c>
      <c r="D432" t="inlineStr">
        <is>
          <t>NORRBOTTENS LÄN</t>
        </is>
      </c>
      <c r="E432" t="inlineStr">
        <is>
          <t>JOKKMOKK</t>
        </is>
      </c>
      <c r="G432" t="n">
        <v>1</v>
      </c>
      <c r="H432" t="n">
        <v>0</v>
      </c>
      <c r="I432" t="n">
        <v>0</v>
      </c>
      <c r="J432" t="n">
        <v>0</v>
      </c>
      <c r="K432" t="n">
        <v>0</v>
      </c>
      <c r="L432" t="n">
        <v>0</v>
      </c>
      <c r="M432" t="n">
        <v>0</v>
      </c>
      <c r="N432" t="n">
        <v>0</v>
      </c>
      <c r="O432" t="n">
        <v>0</v>
      </c>
      <c r="P432" t="n">
        <v>0</v>
      </c>
      <c r="Q432" t="n">
        <v>0</v>
      </c>
      <c r="R432" s="2" t="inlineStr"/>
    </row>
    <row r="433" ht="15" customHeight="1">
      <c r="A433" t="inlineStr">
        <is>
          <t>A 49474-2024</t>
        </is>
      </c>
      <c r="B433" s="1" t="n">
        <v>45596.34523148148</v>
      </c>
      <c r="C433" s="1" t="n">
        <v>45989</v>
      </c>
      <c r="D433" t="inlineStr">
        <is>
          <t>NORRBOTTENS LÄN</t>
        </is>
      </c>
      <c r="E433" t="inlineStr">
        <is>
          <t>JOKKMOKK</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49679-2024</t>
        </is>
      </c>
      <c r="B434" s="1" t="n">
        <v>45596.6649537037</v>
      </c>
      <c r="C434" s="1" t="n">
        <v>45989</v>
      </c>
      <c r="D434" t="inlineStr">
        <is>
          <t>NORRBOTTENS LÄN</t>
        </is>
      </c>
      <c r="E434" t="inlineStr">
        <is>
          <t>JOKKMOKK</t>
        </is>
      </c>
      <c r="F434" t="inlineStr">
        <is>
          <t>Allmännings- och besparingsskogar</t>
        </is>
      </c>
      <c r="G434" t="n">
        <v>14.1</v>
      </c>
      <c r="H434" t="n">
        <v>0</v>
      </c>
      <c r="I434" t="n">
        <v>0</v>
      </c>
      <c r="J434" t="n">
        <v>0</v>
      </c>
      <c r="K434" t="n">
        <v>0</v>
      </c>
      <c r="L434" t="n">
        <v>0</v>
      </c>
      <c r="M434" t="n">
        <v>0</v>
      </c>
      <c r="N434" t="n">
        <v>0</v>
      </c>
      <c r="O434" t="n">
        <v>0</v>
      </c>
      <c r="P434" t="n">
        <v>0</v>
      </c>
      <c r="Q434" t="n">
        <v>0</v>
      </c>
      <c r="R434" s="2" t="inlineStr"/>
    </row>
    <row r="435" ht="15" customHeight="1">
      <c r="A435" t="inlineStr">
        <is>
          <t>A 18903-2025</t>
        </is>
      </c>
      <c r="B435" s="1" t="n">
        <v>45764.46019675926</v>
      </c>
      <c r="C435" s="1" t="n">
        <v>45989</v>
      </c>
      <c r="D435" t="inlineStr">
        <is>
          <t>NORRBOTTENS LÄN</t>
        </is>
      </c>
      <c r="E435" t="inlineStr">
        <is>
          <t>JOKKMOKK</t>
        </is>
      </c>
      <c r="G435" t="n">
        <v>9.1</v>
      </c>
      <c r="H435" t="n">
        <v>0</v>
      </c>
      <c r="I435" t="n">
        <v>0</v>
      </c>
      <c r="J435" t="n">
        <v>0</v>
      </c>
      <c r="K435" t="n">
        <v>0</v>
      </c>
      <c r="L435" t="n">
        <v>0</v>
      </c>
      <c r="M435" t="n">
        <v>0</v>
      </c>
      <c r="N435" t="n">
        <v>0</v>
      </c>
      <c r="O435" t="n">
        <v>0</v>
      </c>
      <c r="P435" t="n">
        <v>0</v>
      </c>
      <c r="Q435" t="n">
        <v>0</v>
      </c>
      <c r="R435" s="2" t="inlineStr"/>
    </row>
    <row r="436" ht="15" customHeight="1">
      <c r="A436" t="inlineStr">
        <is>
          <t>A 20593-2023</t>
        </is>
      </c>
      <c r="B436" s="1" t="n">
        <v>45057</v>
      </c>
      <c r="C436" s="1" t="n">
        <v>45989</v>
      </c>
      <c r="D436" t="inlineStr">
        <is>
          <t>NORRBOTTENS LÄN</t>
        </is>
      </c>
      <c r="E436" t="inlineStr">
        <is>
          <t>JOKKMOKK</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33014-2023</t>
        </is>
      </c>
      <c r="B437" s="1" t="n">
        <v>45113</v>
      </c>
      <c r="C437" s="1" t="n">
        <v>45989</v>
      </c>
      <c r="D437" t="inlineStr">
        <is>
          <t>NORRBOTTENS LÄN</t>
        </is>
      </c>
      <c r="E437" t="inlineStr">
        <is>
          <t>JOKKMOKK</t>
        </is>
      </c>
      <c r="F437" t="inlineStr">
        <is>
          <t>Övriga statliga verk och myndigheter</t>
        </is>
      </c>
      <c r="G437" t="n">
        <v>7.2</v>
      </c>
      <c r="H437" t="n">
        <v>0</v>
      </c>
      <c r="I437" t="n">
        <v>0</v>
      </c>
      <c r="J437" t="n">
        <v>0</v>
      </c>
      <c r="K437" t="n">
        <v>0</v>
      </c>
      <c r="L437" t="n">
        <v>0</v>
      </c>
      <c r="M437" t="n">
        <v>0</v>
      </c>
      <c r="N437" t="n">
        <v>0</v>
      </c>
      <c r="O437" t="n">
        <v>0</v>
      </c>
      <c r="P437" t="n">
        <v>0</v>
      </c>
      <c r="Q437" t="n">
        <v>0</v>
      </c>
      <c r="R437" s="2" t="inlineStr"/>
    </row>
    <row r="438" ht="15" customHeight="1">
      <c r="A438" t="inlineStr">
        <is>
          <t>A 6437-2025</t>
        </is>
      </c>
      <c r="B438" s="1" t="n">
        <v>45699</v>
      </c>
      <c r="C438" s="1" t="n">
        <v>45989</v>
      </c>
      <c r="D438" t="inlineStr">
        <is>
          <t>NORRBOTTENS LÄN</t>
        </is>
      </c>
      <c r="E438" t="inlineStr">
        <is>
          <t>JOKKMOKK</t>
        </is>
      </c>
      <c r="G438" t="n">
        <v>3.4</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45989</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56199-2021</t>
        </is>
      </c>
      <c r="B440" s="1" t="n">
        <v>44477</v>
      </c>
      <c r="C440" s="1" t="n">
        <v>45989</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50820-2024</t>
        </is>
      </c>
      <c r="B441" s="1" t="n">
        <v>45602</v>
      </c>
      <c r="C441" s="1" t="n">
        <v>45989</v>
      </c>
      <c r="D441" t="inlineStr">
        <is>
          <t>NORRBOTTENS LÄN</t>
        </is>
      </c>
      <c r="E441" t="inlineStr">
        <is>
          <t>JOKKMOKK</t>
        </is>
      </c>
      <c r="F441" t="inlineStr">
        <is>
          <t>Allmännings- och besparingsskogar</t>
        </is>
      </c>
      <c r="G441" t="n">
        <v>4</v>
      </c>
      <c r="H441" t="n">
        <v>0</v>
      </c>
      <c r="I441" t="n">
        <v>0</v>
      </c>
      <c r="J441" t="n">
        <v>0</v>
      </c>
      <c r="K441" t="n">
        <v>0</v>
      </c>
      <c r="L441" t="n">
        <v>0</v>
      </c>
      <c r="M441" t="n">
        <v>0</v>
      </c>
      <c r="N441" t="n">
        <v>0</v>
      </c>
      <c r="O441" t="n">
        <v>0</v>
      </c>
      <c r="P441" t="n">
        <v>0</v>
      </c>
      <c r="Q441" t="n">
        <v>0</v>
      </c>
      <c r="R441" s="2" t="inlineStr"/>
    </row>
    <row r="442" ht="15" customHeight="1">
      <c r="A442" t="inlineStr">
        <is>
          <t>A 2826-2025</t>
        </is>
      </c>
      <c r="B442" s="1" t="n">
        <v>45677.61483796296</v>
      </c>
      <c r="C442" s="1" t="n">
        <v>45989</v>
      </c>
      <c r="D442" t="inlineStr">
        <is>
          <t>NORRBOTTENS LÄN</t>
        </is>
      </c>
      <c r="E442" t="inlineStr">
        <is>
          <t>JOKKMOKK</t>
        </is>
      </c>
      <c r="F442" t="inlineStr">
        <is>
          <t>Övriga statliga verk och myndigheter</t>
        </is>
      </c>
      <c r="G442" t="n">
        <v>10.5</v>
      </c>
      <c r="H442" t="n">
        <v>0</v>
      </c>
      <c r="I442" t="n">
        <v>0</v>
      </c>
      <c r="J442" t="n">
        <v>0</v>
      </c>
      <c r="K442" t="n">
        <v>0</v>
      </c>
      <c r="L442" t="n">
        <v>0</v>
      </c>
      <c r="M442" t="n">
        <v>0</v>
      </c>
      <c r="N442" t="n">
        <v>0</v>
      </c>
      <c r="O442" t="n">
        <v>0</v>
      </c>
      <c r="P442" t="n">
        <v>0</v>
      </c>
      <c r="Q442" t="n">
        <v>0</v>
      </c>
      <c r="R442" s="2" t="inlineStr"/>
    </row>
    <row r="443" ht="15" customHeight="1">
      <c r="A443" t="inlineStr">
        <is>
          <t>A 55491-2024</t>
        </is>
      </c>
      <c r="B443" s="1" t="n">
        <v>45622</v>
      </c>
      <c r="C443" s="1" t="n">
        <v>45989</v>
      </c>
      <c r="D443" t="inlineStr">
        <is>
          <t>NORRBOTTENS LÄN</t>
        </is>
      </c>
      <c r="E443" t="inlineStr">
        <is>
          <t>JOKKMOKK</t>
        </is>
      </c>
      <c r="F443" t="inlineStr">
        <is>
          <t>Allmännings- och besparingsskogar</t>
        </is>
      </c>
      <c r="G443" t="n">
        <v>25.2</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45168.93785879629</v>
      </c>
      <c r="C444" s="1" t="n">
        <v>45989</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23204-2024</t>
        </is>
      </c>
      <c r="B445" s="1" t="n">
        <v>45451</v>
      </c>
      <c r="C445" s="1" t="n">
        <v>45989</v>
      </c>
      <c r="D445" t="inlineStr">
        <is>
          <t>NORRBOTTENS LÄN</t>
        </is>
      </c>
      <c r="E445" t="inlineStr">
        <is>
          <t>JOKKMOKK</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52289-2024</t>
        </is>
      </c>
      <c r="B446" s="1" t="n">
        <v>45608.69555555555</v>
      </c>
      <c r="C446" s="1" t="n">
        <v>45989</v>
      </c>
      <c r="D446" t="inlineStr">
        <is>
          <t>NORRBOTTENS LÄN</t>
        </is>
      </c>
      <c r="E446" t="inlineStr">
        <is>
          <t>JOKKMOKK</t>
        </is>
      </c>
      <c r="F446" t="inlineStr">
        <is>
          <t>Allmännings- och besparingsskogar</t>
        </is>
      </c>
      <c r="G446" t="n">
        <v>11.6</v>
      </c>
      <c r="H446" t="n">
        <v>0</v>
      </c>
      <c r="I446" t="n">
        <v>0</v>
      </c>
      <c r="J446" t="n">
        <v>0</v>
      </c>
      <c r="K446" t="n">
        <v>0</v>
      </c>
      <c r="L446" t="n">
        <v>0</v>
      </c>
      <c r="M446" t="n">
        <v>0</v>
      </c>
      <c r="N446" t="n">
        <v>0</v>
      </c>
      <c r="O446" t="n">
        <v>0</v>
      </c>
      <c r="P446" t="n">
        <v>0</v>
      </c>
      <c r="Q446" t="n">
        <v>0</v>
      </c>
      <c r="R446" s="2" t="inlineStr"/>
    </row>
    <row r="447" ht="15" customHeight="1">
      <c r="A447" t="inlineStr">
        <is>
          <t>A 25720-2023</t>
        </is>
      </c>
      <c r="B447" s="1" t="n">
        <v>45090</v>
      </c>
      <c r="C447" s="1" t="n">
        <v>45989</v>
      </c>
      <c r="D447" t="inlineStr">
        <is>
          <t>NORRBOTTENS LÄN</t>
        </is>
      </c>
      <c r="E447" t="inlineStr">
        <is>
          <t>JOKKMOKK</t>
        </is>
      </c>
      <c r="G447" t="n">
        <v>2.1</v>
      </c>
      <c r="H447" t="n">
        <v>0</v>
      </c>
      <c r="I447" t="n">
        <v>0</v>
      </c>
      <c r="J447" t="n">
        <v>0</v>
      </c>
      <c r="K447" t="n">
        <v>0</v>
      </c>
      <c r="L447" t="n">
        <v>0</v>
      </c>
      <c r="M447" t="n">
        <v>0</v>
      </c>
      <c r="N447" t="n">
        <v>0</v>
      </c>
      <c r="O447" t="n">
        <v>0</v>
      </c>
      <c r="P447" t="n">
        <v>0</v>
      </c>
      <c r="Q447" t="n">
        <v>0</v>
      </c>
      <c r="R447" s="2" t="inlineStr"/>
    </row>
    <row r="448" ht="15" customHeight="1">
      <c r="A448" t="inlineStr">
        <is>
          <t>A 29212-2024</t>
        </is>
      </c>
      <c r="B448" s="1" t="n">
        <v>45482</v>
      </c>
      <c r="C448" s="1" t="n">
        <v>45989</v>
      </c>
      <c r="D448" t="inlineStr">
        <is>
          <t>NORRBOTTENS LÄN</t>
        </is>
      </c>
      <c r="E448" t="inlineStr">
        <is>
          <t>JOKKMOKK</t>
        </is>
      </c>
      <c r="G448" t="n">
        <v>8.5</v>
      </c>
      <c r="H448" t="n">
        <v>0</v>
      </c>
      <c r="I448" t="n">
        <v>0</v>
      </c>
      <c r="J448" t="n">
        <v>0</v>
      </c>
      <c r="K448" t="n">
        <v>0</v>
      </c>
      <c r="L448" t="n">
        <v>0</v>
      </c>
      <c r="M448" t="n">
        <v>0</v>
      </c>
      <c r="N448" t="n">
        <v>0</v>
      </c>
      <c r="O448" t="n">
        <v>0</v>
      </c>
      <c r="P448" t="n">
        <v>0</v>
      </c>
      <c r="Q448" t="n">
        <v>0</v>
      </c>
      <c r="R448" s="2" t="inlineStr"/>
    </row>
    <row r="449" ht="15" customHeight="1">
      <c r="A449" t="inlineStr">
        <is>
          <t>A 32853-2024</t>
        </is>
      </c>
      <c r="B449" s="1" t="n">
        <v>45516.63964120371</v>
      </c>
      <c r="C449" s="1" t="n">
        <v>45989</v>
      </c>
      <c r="D449" t="inlineStr">
        <is>
          <t>NORRBOTTENS LÄN</t>
        </is>
      </c>
      <c r="E449" t="inlineStr">
        <is>
          <t>JOKKMOKK</t>
        </is>
      </c>
      <c r="F449" t="inlineStr">
        <is>
          <t>Sveaskog</t>
        </is>
      </c>
      <c r="G449" t="n">
        <v>40.4</v>
      </c>
      <c r="H449" t="n">
        <v>0</v>
      </c>
      <c r="I449" t="n">
        <v>0</v>
      </c>
      <c r="J449" t="n">
        <v>0</v>
      </c>
      <c r="K449" t="n">
        <v>0</v>
      </c>
      <c r="L449" t="n">
        <v>0</v>
      </c>
      <c r="M449" t="n">
        <v>0</v>
      </c>
      <c r="N449" t="n">
        <v>0</v>
      </c>
      <c r="O449" t="n">
        <v>0</v>
      </c>
      <c r="P449" t="n">
        <v>0</v>
      </c>
      <c r="Q449" t="n">
        <v>0</v>
      </c>
      <c r="R449" s="2" t="inlineStr"/>
    </row>
    <row r="450" ht="15" customHeight="1">
      <c r="A450" t="inlineStr">
        <is>
          <t>A 3206-2025</t>
        </is>
      </c>
      <c r="B450" s="1" t="n">
        <v>45679</v>
      </c>
      <c r="C450" s="1" t="n">
        <v>45989</v>
      </c>
      <c r="D450" t="inlineStr">
        <is>
          <t>NORRBOTTENS LÄN</t>
        </is>
      </c>
      <c r="E450" t="inlineStr">
        <is>
          <t>JOKKMOKK</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36113-2024</t>
        </is>
      </c>
      <c r="B451" s="1" t="n">
        <v>45534.30302083334</v>
      </c>
      <c r="C451" s="1" t="n">
        <v>45989</v>
      </c>
      <c r="D451" t="inlineStr">
        <is>
          <t>NORRBOTTENS LÄN</t>
        </is>
      </c>
      <c r="E451" t="inlineStr">
        <is>
          <t>JOKKMOKK</t>
        </is>
      </c>
      <c r="F451" t="inlineStr">
        <is>
          <t>Sveaskog</t>
        </is>
      </c>
      <c r="G451" t="n">
        <v>3.2</v>
      </c>
      <c r="H451" t="n">
        <v>0</v>
      </c>
      <c r="I451" t="n">
        <v>0</v>
      </c>
      <c r="J451" t="n">
        <v>0</v>
      </c>
      <c r="K451" t="n">
        <v>0</v>
      </c>
      <c r="L451" t="n">
        <v>0</v>
      </c>
      <c r="M451" t="n">
        <v>0</v>
      </c>
      <c r="N451" t="n">
        <v>0</v>
      </c>
      <c r="O451" t="n">
        <v>0</v>
      </c>
      <c r="P451" t="n">
        <v>0</v>
      </c>
      <c r="Q451" t="n">
        <v>0</v>
      </c>
      <c r="R451" s="2" t="inlineStr"/>
    </row>
    <row r="452" ht="15" customHeight="1">
      <c r="A452" t="inlineStr">
        <is>
          <t>A 33827-2024</t>
        </is>
      </c>
      <c r="B452" s="1" t="n">
        <v>45520</v>
      </c>
      <c r="C452" s="1" t="n">
        <v>45989</v>
      </c>
      <c r="D452" t="inlineStr">
        <is>
          <t>NORRBOTTENS LÄN</t>
        </is>
      </c>
      <c r="E452" t="inlineStr">
        <is>
          <t>JOKKMOKK</t>
        </is>
      </c>
      <c r="F452" t="inlineStr">
        <is>
          <t>SCA</t>
        </is>
      </c>
      <c r="G452" t="n">
        <v>12.8</v>
      </c>
      <c r="H452" t="n">
        <v>0</v>
      </c>
      <c r="I452" t="n">
        <v>0</v>
      </c>
      <c r="J452" t="n">
        <v>0</v>
      </c>
      <c r="K452" t="n">
        <v>0</v>
      </c>
      <c r="L452" t="n">
        <v>0</v>
      </c>
      <c r="M452" t="n">
        <v>0</v>
      </c>
      <c r="N452" t="n">
        <v>0</v>
      </c>
      <c r="O452" t="n">
        <v>0</v>
      </c>
      <c r="P452" t="n">
        <v>0</v>
      </c>
      <c r="Q452" t="n">
        <v>0</v>
      </c>
      <c r="R452" s="2" t="inlineStr"/>
    </row>
    <row r="453" ht="15" customHeight="1">
      <c r="A453" t="inlineStr">
        <is>
          <t>A 20270-2025</t>
        </is>
      </c>
      <c r="B453" s="1" t="n">
        <v>45773.71444444444</v>
      </c>
      <c r="C453" s="1" t="n">
        <v>45989</v>
      </c>
      <c r="D453" t="inlineStr">
        <is>
          <t>NORRBOTTENS LÄN</t>
        </is>
      </c>
      <c r="E453" t="inlineStr">
        <is>
          <t>JOKKMOKK</t>
        </is>
      </c>
      <c r="G453" t="n">
        <v>90.09999999999999</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45197.59248842593</v>
      </c>
      <c r="C454" s="1" t="n">
        <v>45989</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52564-2024</t>
        </is>
      </c>
      <c r="B455" s="1" t="n">
        <v>45609</v>
      </c>
      <c r="C455" s="1" t="n">
        <v>45989</v>
      </c>
      <c r="D455" t="inlineStr">
        <is>
          <t>NORRBOTTENS LÄN</t>
        </is>
      </c>
      <c r="E455" t="inlineStr">
        <is>
          <t>JOKKMOKK</t>
        </is>
      </c>
      <c r="F455" t="inlineStr">
        <is>
          <t>Allmännings- och besparingsskogar</t>
        </is>
      </c>
      <c r="G455" t="n">
        <v>16.5</v>
      </c>
      <c r="H455" t="n">
        <v>0</v>
      </c>
      <c r="I455" t="n">
        <v>0</v>
      </c>
      <c r="J455" t="n">
        <v>0</v>
      </c>
      <c r="K455" t="n">
        <v>0</v>
      </c>
      <c r="L455" t="n">
        <v>0</v>
      </c>
      <c r="M455" t="n">
        <v>0</v>
      </c>
      <c r="N455" t="n">
        <v>0</v>
      </c>
      <c r="O455" t="n">
        <v>0</v>
      </c>
      <c r="P455" t="n">
        <v>0</v>
      </c>
      <c r="Q455" t="n">
        <v>0</v>
      </c>
      <c r="R455" s="2" t="inlineStr"/>
    </row>
    <row r="456" ht="15" customHeight="1">
      <c r="A456" t="inlineStr">
        <is>
          <t>A 45505-2022</t>
        </is>
      </c>
      <c r="B456" s="1" t="n">
        <v>44841</v>
      </c>
      <c r="C456" s="1" t="n">
        <v>45989</v>
      </c>
      <c r="D456" t="inlineStr">
        <is>
          <t>NORRBOTTENS LÄN</t>
        </is>
      </c>
      <c r="E456" t="inlineStr">
        <is>
          <t>JOKKMOKK</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16972-2025</t>
        </is>
      </c>
      <c r="B457" s="1" t="n">
        <v>45755.46942129629</v>
      </c>
      <c r="C457" s="1" t="n">
        <v>45989</v>
      </c>
      <c r="D457" t="inlineStr">
        <is>
          <t>NORRBOTTENS LÄN</t>
        </is>
      </c>
      <c r="E457" t="inlineStr">
        <is>
          <t>JOKKMOKK</t>
        </is>
      </c>
      <c r="F457" t="inlineStr">
        <is>
          <t>SCA</t>
        </is>
      </c>
      <c r="G457" t="n">
        <v>4.5</v>
      </c>
      <c r="H457" t="n">
        <v>0</v>
      </c>
      <c r="I457" t="n">
        <v>0</v>
      </c>
      <c r="J457" t="n">
        <v>0</v>
      </c>
      <c r="K457" t="n">
        <v>0</v>
      </c>
      <c r="L457" t="n">
        <v>0</v>
      </c>
      <c r="M457" t="n">
        <v>0</v>
      </c>
      <c r="N457" t="n">
        <v>0</v>
      </c>
      <c r="O457" t="n">
        <v>0</v>
      </c>
      <c r="P457" t="n">
        <v>0</v>
      </c>
      <c r="Q457" t="n">
        <v>0</v>
      </c>
      <c r="R457" s="2" t="inlineStr"/>
    </row>
    <row r="458" ht="15" customHeight="1">
      <c r="A458" t="inlineStr">
        <is>
          <t>A 14815-2024</t>
        </is>
      </c>
      <c r="B458" s="1" t="n">
        <v>45397.95770833334</v>
      </c>
      <c r="C458" s="1" t="n">
        <v>45989</v>
      </c>
      <c r="D458" t="inlineStr">
        <is>
          <t>NORRBOTTENS LÄN</t>
        </is>
      </c>
      <c r="E458" t="inlineStr">
        <is>
          <t>JOKKMOKK</t>
        </is>
      </c>
      <c r="F458" t="inlineStr">
        <is>
          <t>SCA</t>
        </is>
      </c>
      <c r="G458" t="n">
        <v>54.1</v>
      </c>
      <c r="H458" t="n">
        <v>0</v>
      </c>
      <c r="I458" t="n">
        <v>0</v>
      </c>
      <c r="J458" t="n">
        <v>0</v>
      </c>
      <c r="K458" t="n">
        <v>0</v>
      </c>
      <c r="L458" t="n">
        <v>0</v>
      </c>
      <c r="M458" t="n">
        <v>0</v>
      </c>
      <c r="N458" t="n">
        <v>0</v>
      </c>
      <c r="O458" t="n">
        <v>0</v>
      </c>
      <c r="P458" t="n">
        <v>0</v>
      </c>
      <c r="Q458" t="n">
        <v>0</v>
      </c>
      <c r="R458" s="2" t="inlineStr"/>
    </row>
    <row r="459" ht="15" customHeight="1">
      <c r="A459" t="inlineStr">
        <is>
          <t>A 4661-2022</t>
        </is>
      </c>
      <c r="B459" s="1" t="n">
        <v>44589</v>
      </c>
      <c r="C459" s="1" t="n">
        <v>45989</v>
      </c>
      <c r="D459" t="inlineStr">
        <is>
          <t>NORRBOTTENS LÄN</t>
        </is>
      </c>
      <c r="E459" t="inlineStr">
        <is>
          <t>JOKKMOKK</t>
        </is>
      </c>
      <c r="G459" t="n">
        <v>39.5</v>
      </c>
      <c r="H459" t="n">
        <v>0</v>
      </c>
      <c r="I459" t="n">
        <v>0</v>
      </c>
      <c r="J459" t="n">
        <v>0</v>
      </c>
      <c r="K459" t="n">
        <v>0</v>
      </c>
      <c r="L459" t="n">
        <v>0</v>
      </c>
      <c r="M459" t="n">
        <v>0</v>
      </c>
      <c r="N459" t="n">
        <v>0</v>
      </c>
      <c r="O459" t="n">
        <v>0</v>
      </c>
      <c r="P459" t="n">
        <v>0</v>
      </c>
      <c r="Q459" t="n">
        <v>0</v>
      </c>
      <c r="R459" s="2" t="inlineStr"/>
    </row>
    <row r="460" ht="15" customHeight="1">
      <c r="A460" t="inlineStr">
        <is>
          <t>A 29213-2024</t>
        </is>
      </c>
      <c r="B460" s="1" t="n">
        <v>45482</v>
      </c>
      <c r="C460" s="1" t="n">
        <v>45989</v>
      </c>
      <c r="D460" t="inlineStr">
        <is>
          <t>NORRBOTTENS LÄN</t>
        </is>
      </c>
      <c r="E460" t="inlineStr">
        <is>
          <t>JOKKMOKK</t>
        </is>
      </c>
      <c r="G460" t="n">
        <v>55</v>
      </c>
      <c r="H460" t="n">
        <v>0</v>
      </c>
      <c r="I460" t="n">
        <v>0</v>
      </c>
      <c r="J460" t="n">
        <v>0</v>
      </c>
      <c r="K460" t="n">
        <v>0</v>
      </c>
      <c r="L460" t="n">
        <v>0</v>
      </c>
      <c r="M460" t="n">
        <v>0</v>
      </c>
      <c r="N460" t="n">
        <v>0</v>
      </c>
      <c r="O460" t="n">
        <v>0</v>
      </c>
      <c r="P460" t="n">
        <v>0</v>
      </c>
      <c r="Q460" t="n">
        <v>0</v>
      </c>
      <c r="R460" s="2" t="inlineStr"/>
    </row>
    <row r="461" ht="15" customHeight="1">
      <c r="A461" t="inlineStr">
        <is>
          <t>A 40345-2024</t>
        </is>
      </c>
      <c r="B461" s="1" t="n">
        <v>45555.344375</v>
      </c>
      <c r="C461" s="1" t="n">
        <v>45989</v>
      </c>
      <c r="D461" t="inlineStr">
        <is>
          <t>NORRBOTTENS LÄN</t>
        </is>
      </c>
      <c r="E461" t="inlineStr">
        <is>
          <t>JOKKMOKK</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60390-2023</t>
        </is>
      </c>
      <c r="B462" s="1" t="n">
        <v>45259.43483796297</v>
      </c>
      <c r="C462" s="1" t="n">
        <v>45989</v>
      </c>
      <c r="D462" t="inlineStr">
        <is>
          <t>NORRBOTTENS LÄN</t>
        </is>
      </c>
      <c r="E462" t="inlineStr">
        <is>
          <t>JOKKMOKK</t>
        </is>
      </c>
      <c r="F462" t="inlineStr">
        <is>
          <t>Sveaskog</t>
        </is>
      </c>
      <c r="G462" t="n">
        <v>10.9</v>
      </c>
      <c r="H462" t="n">
        <v>0</v>
      </c>
      <c r="I462" t="n">
        <v>0</v>
      </c>
      <c r="J462" t="n">
        <v>0</v>
      </c>
      <c r="K462" t="n">
        <v>0</v>
      </c>
      <c r="L462" t="n">
        <v>0</v>
      </c>
      <c r="M462" t="n">
        <v>0</v>
      </c>
      <c r="N462" t="n">
        <v>0</v>
      </c>
      <c r="O462" t="n">
        <v>0</v>
      </c>
      <c r="P462" t="n">
        <v>0</v>
      </c>
      <c r="Q462" t="n">
        <v>0</v>
      </c>
      <c r="R462" s="2" t="inlineStr"/>
    </row>
    <row r="463" ht="15" customHeight="1">
      <c r="A463" t="inlineStr">
        <is>
          <t>A 30313-2024</t>
        </is>
      </c>
      <c r="B463" s="1" t="n">
        <v>45490</v>
      </c>
      <c r="C463" s="1" t="n">
        <v>45989</v>
      </c>
      <c r="D463" t="inlineStr">
        <is>
          <t>NORRBOTTENS LÄN</t>
        </is>
      </c>
      <c r="E463" t="inlineStr">
        <is>
          <t>JOKKMOKK</t>
        </is>
      </c>
      <c r="G463" t="n">
        <v>3.4</v>
      </c>
      <c r="H463" t="n">
        <v>0</v>
      </c>
      <c r="I463" t="n">
        <v>0</v>
      </c>
      <c r="J463" t="n">
        <v>0</v>
      </c>
      <c r="K463" t="n">
        <v>0</v>
      </c>
      <c r="L463" t="n">
        <v>0</v>
      </c>
      <c r="M463" t="n">
        <v>0</v>
      </c>
      <c r="N463" t="n">
        <v>0</v>
      </c>
      <c r="O463" t="n">
        <v>0</v>
      </c>
      <c r="P463" t="n">
        <v>0</v>
      </c>
      <c r="Q463" t="n">
        <v>0</v>
      </c>
      <c r="R463" s="2" t="inlineStr"/>
    </row>
    <row r="464" ht="15" customHeight="1">
      <c r="A464" t="inlineStr">
        <is>
          <t>A 52882-2023</t>
        </is>
      </c>
      <c r="B464" s="1" t="n">
        <v>45222</v>
      </c>
      <c r="C464" s="1" t="n">
        <v>45989</v>
      </c>
      <c r="D464" t="inlineStr">
        <is>
          <t>NORRBOTTENS LÄN</t>
        </is>
      </c>
      <c r="E464" t="inlineStr">
        <is>
          <t>JOKKMOKK</t>
        </is>
      </c>
      <c r="G464" t="n">
        <v>56.1</v>
      </c>
      <c r="H464" t="n">
        <v>0</v>
      </c>
      <c r="I464" t="n">
        <v>0</v>
      </c>
      <c r="J464" t="n">
        <v>0</v>
      </c>
      <c r="K464" t="n">
        <v>0</v>
      </c>
      <c r="L464" t="n">
        <v>0</v>
      </c>
      <c r="M464" t="n">
        <v>0</v>
      </c>
      <c r="N464" t="n">
        <v>0</v>
      </c>
      <c r="O464" t="n">
        <v>0</v>
      </c>
      <c r="P464" t="n">
        <v>0</v>
      </c>
      <c r="Q464" t="n">
        <v>0</v>
      </c>
      <c r="R464" s="2" t="inlineStr"/>
    </row>
    <row r="465" ht="15" customHeight="1">
      <c r="A465" t="inlineStr">
        <is>
          <t>A 51261-2024</t>
        </is>
      </c>
      <c r="B465" s="1" t="n">
        <v>45603.69465277778</v>
      </c>
      <c r="C465" s="1" t="n">
        <v>45989</v>
      </c>
      <c r="D465" t="inlineStr">
        <is>
          <t>NORRBOTTENS LÄN</t>
        </is>
      </c>
      <c r="E465" t="inlineStr">
        <is>
          <t>JOKKMOKK</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50258-2023</t>
        </is>
      </c>
      <c r="B466" s="1" t="n">
        <v>45216</v>
      </c>
      <c r="C466" s="1" t="n">
        <v>45989</v>
      </c>
      <c r="D466" t="inlineStr">
        <is>
          <t>NORRBOTTENS LÄN</t>
        </is>
      </c>
      <c r="E466" t="inlineStr">
        <is>
          <t>JOKKMOKK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14869-2025</t>
        </is>
      </c>
      <c r="B467" s="1" t="n">
        <v>45743.44828703703</v>
      </c>
      <c r="C467" s="1" t="n">
        <v>45989</v>
      </c>
      <c r="D467" t="inlineStr">
        <is>
          <t>NORRBOTTENS LÄN</t>
        </is>
      </c>
      <c r="E467" t="inlineStr">
        <is>
          <t>JOKKMOKK</t>
        </is>
      </c>
      <c r="G467" t="n">
        <v>4.9</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45989</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61762-2024</t>
        </is>
      </c>
      <c r="B469" s="1" t="n">
        <v>45649</v>
      </c>
      <c r="C469" s="1" t="n">
        <v>45989</v>
      </c>
      <c r="D469" t="inlineStr">
        <is>
          <t>NORRBOTTENS LÄN</t>
        </is>
      </c>
      <c r="E469" t="inlineStr">
        <is>
          <t>JOKKMOKK</t>
        </is>
      </c>
      <c r="F469" t="inlineStr">
        <is>
          <t>Övriga statliga verk och myndigheter</t>
        </is>
      </c>
      <c r="G469" t="n">
        <v>15.4</v>
      </c>
      <c r="H469" t="n">
        <v>0</v>
      </c>
      <c r="I469" t="n">
        <v>0</v>
      </c>
      <c r="J469" t="n">
        <v>0</v>
      </c>
      <c r="K469" t="n">
        <v>0</v>
      </c>
      <c r="L469" t="n">
        <v>0</v>
      </c>
      <c r="M469" t="n">
        <v>0</v>
      </c>
      <c r="N469" t="n">
        <v>0</v>
      </c>
      <c r="O469" t="n">
        <v>0</v>
      </c>
      <c r="P469" t="n">
        <v>0</v>
      </c>
      <c r="Q469" t="n">
        <v>0</v>
      </c>
      <c r="R469" s="2" t="inlineStr"/>
    </row>
    <row r="470" ht="15" customHeight="1">
      <c r="A470" t="inlineStr">
        <is>
          <t>A 30305-2024</t>
        </is>
      </c>
      <c r="B470" s="1" t="n">
        <v>45490</v>
      </c>
      <c r="C470" s="1" t="n">
        <v>45989</v>
      </c>
      <c r="D470" t="inlineStr">
        <is>
          <t>NORRBOTTENS LÄN</t>
        </is>
      </c>
      <c r="E470" t="inlineStr">
        <is>
          <t>JOKKMOKK</t>
        </is>
      </c>
      <c r="G470" t="n">
        <v>1.5</v>
      </c>
      <c r="H470" t="n">
        <v>0</v>
      </c>
      <c r="I470" t="n">
        <v>0</v>
      </c>
      <c r="J470" t="n">
        <v>0</v>
      </c>
      <c r="K470" t="n">
        <v>0</v>
      </c>
      <c r="L470" t="n">
        <v>0</v>
      </c>
      <c r="M470" t="n">
        <v>0</v>
      </c>
      <c r="N470" t="n">
        <v>0</v>
      </c>
      <c r="O470" t="n">
        <v>0</v>
      </c>
      <c r="P470" t="n">
        <v>0</v>
      </c>
      <c r="Q470" t="n">
        <v>0</v>
      </c>
      <c r="R470" s="2" t="inlineStr"/>
    </row>
    <row r="471" ht="15" customHeight="1">
      <c r="A471" t="inlineStr">
        <is>
          <t>A 30308-2024</t>
        </is>
      </c>
      <c r="B471" s="1" t="n">
        <v>45490</v>
      </c>
      <c r="C471" s="1" t="n">
        <v>45989</v>
      </c>
      <c r="D471" t="inlineStr">
        <is>
          <t>NORRBOTTENS LÄN</t>
        </is>
      </c>
      <c r="E471" t="inlineStr">
        <is>
          <t>JOKKMOKK</t>
        </is>
      </c>
      <c r="G471" t="n">
        <v>2.2</v>
      </c>
      <c r="H471" t="n">
        <v>0</v>
      </c>
      <c r="I471" t="n">
        <v>0</v>
      </c>
      <c r="J471" t="n">
        <v>0</v>
      </c>
      <c r="K471" t="n">
        <v>0</v>
      </c>
      <c r="L471" t="n">
        <v>0</v>
      </c>
      <c r="M471" t="n">
        <v>0</v>
      </c>
      <c r="N471" t="n">
        <v>0</v>
      </c>
      <c r="O471" t="n">
        <v>0</v>
      </c>
      <c r="P471" t="n">
        <v>0</v>
      </c>
      <c r="Q471" t="n">
        <v>0</v>
      </c>
      <c r="R471" s="2" t="inlineStr"/>
    </row>
    <row r="472" ht="15" customHeight="1">
      <c r="A472" t="inlineStr">
        <is>
          <t>A 30310-2024</t>
        </is>
      </c>
      <c r="B472" s="1" t="n">
        <v>45490</v>
      </c>
      <c r="C472" s="1" t="n">
        <v>45989</v>
      </c>
      <c r="D472" t="inlineStr">
        <is>
          <t>NORRBOTTENS LÄN</t>
        </is>
      </c>
      <c r="E472" t="inlineStr">
        <is>
          <t>JOKKMOKK</t>
        </is>
      </c>
      <c r="G472" t="n">
        <v>2.3</v>
      </c>
      <c r="H472" t="n">
        <v>0</v>
      </c>
      <c r="I472" t="n">
        <v>0</v>
      </c>
      <c r="J472" t="n">
        <v>0</v>
      </c>
      <c r="K472" t="n">
        <v>0</v>
      </c>
      <c r="L472" t="n">
        <v>0</v>
      </c>
      <c r="M472" t="n">
        <v>0</v>
      </c>
      <c r="N472" t="n">
        <v>0</v>
      </c>
      <c r="O472" t="n">
        <v>0</v>
      </c>
      <c r="P472" t="n">
        <v>0</v>
      </c>
      <c r="Q472" t="n">
        <v>0</v>
      </c>
      <c r="R472" s="2" t="inlineStr"/>
    </row>
    <row r="473" ht="15" customHeight="1">
      <c r="A473" t="inlineStr">
        <is>
          <t>A 30312-2024</t>
        </is>
      </c>
      <c r="B473" s="1" t="n">
        <v>45490</v>
      </c>
      <c r="C473" s="1" t="n">
        <v>45989</v>
      </c>
      <c r="D473" t="inlineStr">
        <is>
          <t>NORRBOTTENS LÄN</t>
        </is>
      </c>
      <c r="E473" t="inlineStr">
        <is>
          <t>JOKKMOKK</t>
        </is>
      </c>
      <c r="G473" t="n">
        <v>1.6</v>
      </c>
      <c r="H473" t="n">
        <v>0</v>
      </c>
      <c r="I473" t="n">
        <v>0</v>
      </c>
      <c r="J473" t="n">
        <v>0</v>
      </c>
      <c r="K473" t="n">
        <v>0</v>
      </c>
      <c r="L473" t="n">
        <v>0</v>
      </c>
      <c r="M473" t="n">
        <v>0</v>
      </c>
      <c r="N473" t="n">
        <v>0</v>
      </c>
      <c r="O473" t="n">
        <v>0</v>
      </c>
      <c r="P473" t="n">
        <v>0</v>
      </c>
      <c r="Q473" t="n">
        <v>0</v>
      </c>
      <c r="R473" s="2" t="inlineStr"/>
    </row>
    <row r="474" ht="15" customHeight="1">
      <c r="A474" t="inlineStr">
        <is>
          <t>A 53172-2024</t>
        </is>
      </c>
      <c r="B474" s="1" t="n">
        <v>45611.65689814815</v>
      </c>
      <c r="C474" s="1" t="n">
        <v>45989</v>
      </c>
      <c r="D474" t="inlineStr">
        <is>
          <t>NORRBOTTENS LÄN</t>
        </is>
      </c>
      <c r="E474" t="inlineStr">
        <is>
          <t>JOKKMOKK</t>
        </is>
      </c>
      <c r="F474" t="inlineStr">
        <is>
          <t>Allmännings- och besparingsskogar</t>
        </is>
      </c>
      <c r="G474" t="n">
        <v>6.5</v>
      </c>
      <c r="H474" t="n">
        <v>0</v>
      </c>
      <c r="I474" t="n">
        <v>0</v>
      </c>
      <c r="J474" t="n">
        <v>0</v>
      </c>
      <c r="K474" t="n">
        <v>0</v>
      </c>
      <c r="L474" t="n">
        <v>0</v>
      </c>
      <c r="M474" t="n">
        <v>0</v>
      </c>
      <c r="N474" t="n">
        <v>0</v>
      </c>
      <c r="O474" t="n">
        <v>0</v>
      </c>
      <c r="P474" t="n">
        <v>0</v>
      </c>
      <c r="Q474" t="n">
        <v>0</v>
      </c>
      <c r="R474" s="2" t="inlineStr"/>
    </row>
    <row r="475" ht="15" customHeight="1">
      <c r="A475" t="inlineStr">
        <is>
          <t>A 2037-2025</t>
        </is>
      </c>
      <c r="B475" s="1" t="n">
        <v>45671</v>
      </c>
      <c r="C475" s="1" t="n">
        <v>45989</v>
      </c>
      <c r="D475" t="inlineStr">
        <is>
          <t>NORRBOTTENS LÄN</t>
        </is>
      </c>
      <c r="E475" t="inlineStr">
        <is>
          <t>JOKKMOKK</t>
        </is>
      </c>
      <c r="G475" t="n">
        <v>5.4</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45989</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51293-2024</t>
        </is>
      </c>
      <c r="B477" s="1" t="n">
        <v>45603.92878472222</v>
      </c>
      <c r="C477" s="1" t="n">
        <v>45989</v>
      </c>
      <c r="D477" t="inlineStr">
        <is>
          <t>NORRBOTTENS LÄN</t>
        </is>
      </c>
      <c r="E477" t="inlineStr">
        <is>
          <t>JOKKMOKK</t>
        </is>
      </c>
      <c r="G477" t="n">
        <v>2.5</v>
      </c>
      <c r="H477" t="n">
        <v>0</v>
      </c>
      <c r="I477" t="n">
        <v>0</v>
      </c>
      <c r="J477" t="n">
        <v>0</v>
      </c>
      <c r="K477" t="n">
        <v>0</v>
      </c>
      <c r="L477" t="n">
        <v>0</v>
      </c>
      <c r="M477" t="n">
        <v>0</v>
      </c>
      <c r="N477" t="n">
        <v>0</v>
      </c>
      <c r="O477" t="n">
        <v>0</v>
      </c>
      <c r="P477" t="n">
        <v>0</v>
      </c>
      <c r="Q477" t="n">
        <v>0</v>
      </c>
      <c r="R477" s="2" t="inlineStr"/>
    </row>
    <row r="478" ht="15" customHeight="1">
      <c r="A478" t="inlineStr">
        <is>
          <t>A 23203-2024</t>
        </is>
      </c>
      <c r="B478" s="1" t="n">
        <v>45451</v>
      </c>
      <c r="C478" s="1" t="n">
        <v>45989</v>
      </c>
      <c r="D478" t="inlineStr">
        <is>
          <t>NORRBOTTENS LÄN</t>
        </is>
      </c>
      <c r="E478" t="inlineStr">
        <is>
          <t>JOKKMOKK</t>
        </is>
      </c>
      <c r="F478" t="inlineStr">
        <is>
          <t>SCA</t>
        </is>
      </c>
      <c r="G478" t="n">
        <v>3.3</v>
      </c>
      <c r="H478" t="n">
        <v>0</v>
      </c>
      <c r="I478" t="n">
        <v>0</v>
      </c>
      <c r="J478" t="n">
        <v>0</v>
      </c>
      <c r="K478" t="n">
        <v>0</v>
      </c>
      <c r="L478" t="n">
        <v>0</v>
      </c>
      <c r="M478" t="n">
        <v>0</v>
      </c>
      <c r="N478" t="n">
        <v>0</v>
      </c>
      <c r="O478" t="n">
        <v>0</v>
      </c>
      <c r="P478" t="n">
        <v>0</v>
      </c>
      <c r="Q478" t="n">
        <v>0</v>
      </c>
      <c r="R478" s="2" t="inlineStr"/>
    </row>
    <row r="479">
      <c r="A479" t="inlineStr">
        <is>
          <t>A 23317-2025</t>
        </is>
      </c>
      <c r="B479" s="1" t="n">
        <v>45791.61278935185</v>
      </c>
      <c r="C479" s="1" t="n">
        <v>45989</v>
      </c>
      <c r="D479" t="inlineStr">
        <is>
          <t>NORRBOTTENS LÄN</t>
        </is>
      </c>
      <c r="E479" t="inlineStr">
        <is>
          <t>JOKKMOKK</t>
        </is>
      </c>
      <c r="F479" t="inlineStr">
        <is>
          <t>Sveaskog</t>
        </is>
      </c>
      <c r="G479" t="n">
        <v>22.4</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2025-11-28T10:21:39Z</dcterms:created>
  <dcterms:modified xmlns:dcterms="http://purl.org/dc/terms/" xmlns:xsi="http://www.w3.org/2001/XMLSchema-instance" xsi:type="dcterms:W3CDTF">2025-11-28T10:21:39Z</dcterms:modified>
</cp:coreProperties>
</file>