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45795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45795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45795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45795</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45795</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45795</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45795</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45795</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45795</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45795</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45795</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45795</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45795</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45795</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45795</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45795</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45795</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45795</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45795</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45795</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45795</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45795</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45795</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45795</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45795</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45795</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45795</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45795</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45795</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45795</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45795</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45795</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45795</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45795</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45795</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45795</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45795</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45795</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45795</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45795</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45795</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45795</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45795</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45795</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45795</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45795</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45795</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45795</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45795</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45795</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45795</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45795</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45795</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45795</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45795</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45795</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45795</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45795</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45795</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45795</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45795</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45795</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45795</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45795</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45795</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45795</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45795</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45795</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45795</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45795</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45795</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45795</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45795</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45795</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45795</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45795</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45795</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45795</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22747-2025</t>
        </is>
      </c>
      <c r="B80" s="1" t="n">
        <v>45789</v>
      </c>
      <c r="C80" s="1" t="n">
        <v>45795</v>
      </c>
      <c r="D80" t="inlineStr">
        <is>
          <t>NORRBOTTENS LÄN</t>
        </is>
      </c>
      <c r="E80" t="inlineStr">
        <is>
          <t>JOKKMOKK</t>
        </is>
      </c>
      <c r="F80" t="inlineStr">
        <is>
          <t>Sveaskog</t>
        </is>
      </c>
      <c r="G80" t="n">
        <v>2.3</v>
      </c>
      <c r="H80" t="n">
        <v>0</v>
      </c>
      <c r="I80" t="n">
        <v>0</v>
      </c>
      <c r="J80" t="n">
        <v>1</v>
      </c>
      <c r="K80" t="n">
        <v>2</v>
      </c>
      <c r="L80" t="n">
        <v>0</v>
      </c>
      <c r="M80" t="n">
        <v>0</v>
      </c>
      <c r="N80" t="n">
        <v>0</v>
      </c>
      <c r="O80" t="n">
        <v>3</v>
      </c>
      <c r="P80" t="n">
        <v>2</v>
      </c>
      <c r="Q80" t="n">
        <v>3</v>
      </c>
      <c r="R80" s="2" t="inlineStr">
        <is>
          <t>Smalfotad taggsvamp
Tajgataggsvamp
Orange taggsvamp</t>
        </is>
      </c>
      <c r="S80">
        <f>HYPERLINK("https://klasma.github.io/Logging_252510/artfynd/A 22747-2025 artfynd.xlsx", "A 22747-2025")</f>
        <v/>
      </c>
      <c r="T80">
        <f>HYPERLINK("https://klasma.github.io/Logging_252510/kartor/A 22747-2025 karta.png", "A 22747-2025")</f>
        <v/>
      </c>
      <c r="V80">
        <f>HYPERLINK("https://klasma.github.io/Logging_252510/klagomål/A 22747-2025 FSC-klagomål.docx", "A 22747-2025")</f>
        <v/>
      </c>
      <c r="W80">
        <f>HYPERLINK("https://klasma.github.io/Logging_252510/klagomålsmail/A 22747-2025 FSC-klagomål mail.docx", "A 22747-2025")</f>
        <v/>
      </c>
      <c r="X80">
        <f>HYPERLINK("https://klasma.github.io/Logging_252510/tillsyn/A 22747-2025 tillsynsbegäran.docx", "A 22747-2025")</f>
        <v/>
      </c>
      <c r="Y80">
        <f>HYPERLINK("https://klasma.github.io/Logging_252510/tillsynsmail/A 22747-2025 tillsynsbegäran mail.docx", "A 22747-2025")</f>
        <v/>
      </c>
    </row>
    <row r="81" ht="15" customHeight="1">
      <c r="A81" t="inlineStr">
        <is>
          <t>A 24408-2022</t>
        </is>
      </c>
      <c r="B81" s="1" t="n">
        <v>44726</v>
      </c>
      <c r="C81" s="1" t="n">
        <v>45795</v>
      </c>
      <c r="D81" t="inlineStr">
        <is>
          <t>NORRBOTTENS LÄN</t>
        </is>
      </c>
      <c r="E81" t="inlineStr">
        <is>
          <t>JOKKMOKK</t>
        </is>
      </c>
      <c r="F81" t="inlineStr">
        <is>
          <t>Övriga statliga verk och myndigheter</t>
        </is>
      </c>
      <c r="G81" t="n">
        <v>4.8</v>
      </c>
      <c r="H81" t="n">
        <v>0</v>
      </c>
      <c r="I81" t="n">
        <v>0</v>
      </c>
      <c r="J81" t="n">
        <v>2</v>
      </c>
      <c r="K81" t="n">
        <v>0</v>
      </c>
      <c r="L81" t="n">
        <v>0</v>
      </c>
      <c r="M81" t="n">
        <v>0</v>
      </c>
      <c r="N81" t="n">
        <v>0</v>
      </c>
      <c r="O81" t="n">
        <v>2</v>
      </c>
      <c r="P81" t="n">
        <v>0</v>
      </c>
      <c r="Q81" t="n">
        <v>2</v>
      </c>
      <c r="R81" s="2" t="inlineStr">
        <is>
          <t>Gammelgransskål
Knottrig blåslav</t>
        </is>
      </c>
      <c r="S81">
        <f>HYPERLINK("https://klasma.github.io/Logging_2510/artfynd/A 24408-2022 artfynd.xlsx", "A 24408-2022")</f>
        <v/>
      </c>
      <c r="T81">
        <f>HYPERLINK("https://klasma.github.io/Logging_2510/kartor/A 24408-2022 karta.png", "A 24408-2022")</f>
        <v/>
      </c>
      <c r="V81">
        <f>HYPERLINK("https://klasma.github.io/Logging_2510/klagomål/A 24408-2022 FSC-klagomål.docx", "A 24408-2022")</f>
        <v/>
      </c>
      <c r="W81">
        <f>HYPERLINK("https://klasma.github.io/Logging_2510/klagomålsmail/A 24408-2022 FSC-klagomål mail.docx", "A 24408-2022")</f>
        <v/>
      </c>
      <c r="X81">
        <f>HYPERLINK("https://klasma.github.io/Logging_2510/tillsyn/A 24408-2022 tillsynsbegäran.docx", "A 24408-2022")</f>
        <v/>
      </c>
      <c r="Y81">
        <f>HYPERLINK("https://klasma.github.io/Logging_2510/tillsynsmail/A 24408-2022 tillsynsbegäran mail.docx", "A 24408-2022")</f>
        <v/>
      </c>
    </row>
    <row r="82" ht="15" customHeight="1">
      <c r="A82" t="inlineStr">
        <is>
          <t>A 50237-2022</t>
        </is>
      </c>
      <c r="B82" s="1" t="n">
        <v>44865</v>
      </c>
      <c r="C82" s="1" t="n">
        <v>45795</v>
      </c>
      <c r="D82" t="inlineStr">
        <is>
          <t>NORRBOTTENS LÄN</t>
        </is>
      </c>
      <c r="E82" t="inlineStr">
        <is>
          <t>JOKKMOKK</t>
        </is>
      </c>
      <c r="F82" t="inlineStr">
        <is>
          <t>Sveaskog</t>
        </is>
      </c>
      <c r="G82" t="n">
        <v>13.4</v>
      </c>
      <c r="H82" t="n">
        <v>1</v>
      </c>
      <c r="I82" t="n">
        <v>1</v>
      </c>
      <c r="J82" t="n">
        <v>0</v>
      </c>
      <c r="K82" t="n">
        <v>0</v>
      </c>
      <c r="L82" t="n">
        <v>0</v>
      </c>
      <c r="M82" t="n">
        <v>0</v>
      </c>
      <c r="N82" t="n">
        <v>0</v>
      </c>
      <c r="O82" t="n">
        <v>0</v>
      </c>
      <c r="P82" t="n">
        <v>0</v>
      </c>
      <c r="Q82" t="n">
        <v>2</v>
      </c>
      <c r="R82" s="2" t="inlineStr">
        <is>
          <t>Vedticka
Lavskrika</t>
        </is>
      </c>
      <c r="S82">
        <f>HYPERLINK("https://klasma.github.io/Logging_2510/artfynd/A 50237-2022 artfynd.xlsx", "A 50237-2022")</f>
        <v/>
      </c>
      <c r="T82">
        <f>HYPERLINK("https://klasma.github.io/Logging_2510/kartor/A 50237-2022 karta.png", "A 50237-2022")</f>
        <v/>
      </c>
      <c r="V82">
        <f>HYPERLINK("https://klasma.github.io/Logging_2510/klagomål/A 50237-2022 FSC-klagomål.docx", "A 50237-2022")</f>
        <v/>
      </c>
      <c r="W82">
        <f>HYPERLINK("https://klasma.github.io/Logging_2510/klagomålsmail/A 50237-2022 FSC-klagomål mail.docx", "A 50237-2022")</f>
        <v/>
      </c>
      <c r="X82">
        <f>HYPERLINK("https://klasma.github.io/Logging_2510/tillsyn/A 50237-2022 tillsynsbegäran.docx", "A 50237-2022")</f>
        <v/>
      </c>
      <c r="Y82">
        <f>HYPERLINK("https://klasma.github.io/Logging_2510/tillsynsmail/A 50237-2022 tillsynsbegäran mail.docx", "A 50237-2022")</f>
        <v/>
      </c>
      <c r="Z82">
        <f>HYPERLINK("https://klasma.github.io/Logging_2510/fåglar/A 50237-2022 prioriterade fågelarter.docx", "A 50237-2022")</f>
        <v/>
      </c>
    </row>
    <row r="83" ht="15" customHeight="1">
      <c r="A83" t="inlineStr">
        <is>
          <t>A 27018-2023</t>
        </is>
      </c>
      <c r="B83" s="1" t="n">
        <v>45094</v>
      </c>
      <c r="C83" s="1" t="n">
        <v>45795</v>
      </c>
      <c r="D83" t="inlineStr">
        <is>
          <t>NORRBOTTENS LÄN</t>
        </is>
      </c>
      <c r="E83" t="inlineStr">
        <is>
          <t>JOKKMOKK</t>
        </is>
      </c>
      <c r="F83" t="inlineStr">
        <is>
          <t>SCA</t>
        </is>
      </c>
      <c r="G83" t="n">
        <v>4.9</v>
      </c>
      <c r="H83" t="n">
        <v>0</v>
      </c>
      <c r="I83" t="n">
        <v>2</v>
      </c>
      <c r="J83" t="n">
        <v>0</v>
      </c>
      <c r="K83" t="n">
        <v>0</v>
      </c>
      <c r="L83" t="n">
        <v>0</v>
      </c>
      <c r="M83" t="n">
        <v>0</v>
      </c>
      <c r="N83" t="n">
        <v>0</v>
      </c>
      <c r="O83" t="n">
        <v>0</v>
      </c>
      <c r="P83" t="n">
        <v>0</v>
      </c>
      <c r="Q83" t="n">
        <v>2</v>
      </c>
      <c r="R83" s="2" t="inlineStr">
        <is>
          <t>Skinnlav
Vedticka</t>
        </is>
      </c>
      <c r="S83">
        <f>HYPERLINK("https://klasma.github.io/Logging_2510/artfynd/A 27018-2023 artfynd.xlsx", "A 27018-2023")</f>
        <v/>
      </c>
      <c r="T83">
        <f>HYPERLINK("https://klasma.github.io/Logging_2510/kartor/A 27018-2023 karta.png", "A 27018-2023")</f>
        <v/>
      </c>
      <c r="V83">
        <f>HYPERLINK("https://klasma.github.io/Logging_2510/klagomål/A 27018-2023 FSC-klagomål.docx", "A 27018-2023")</f>
        <v/>
      </c>
      <c r="W83">
        <f>HYPERLINK("https://klasma.github.io/Logging_2510/klagomålsmail/A 27018-2023 FSC-klagomål mail.docx", "A 27018-2023")</f>
        <v/>
      </c>
      <c r="X83">
        <f>HYPERLINK("https://klasma.github.io/Logging_2510/tillsyn/A 27018-2023 tillsynsbegäran.docx", "A 27018-2023")</f>
        <v/>
      </c>
      <c r="Y83">
        <f>HYPERLINK("https://klasma.github.io/Logging_2510/tillsynsmail/A 27018-2023 tillsynsbegäran mail.docx", "A 27018-2023")</f>
        <v/>
      </c>
    </row>
    <row r="84" ht="15" customHeight="1">
      <c r="A84" t="inlineStr">
        <is>
          <t>A 32982-2023</t>
        </is>
      </c>
      <c r="B84" s="1" t="n">
        <v>45113</v>
      </c>
      <c r="C84" s="1" t="n">
        <v>45795</v>
      </c>
      <c r="D84" t="inlineStr">
        <is>
          <t>NORRBOTTENS LÄN</t>
        </is>
      </c>
      <c r="E84" t="inlineStr">
        <is>
          <t>JOKKMOKK</t>
        </is>
      </c>
      <c r="F84" t="inlineStr">
        <is>
          <t>Övriga statliga verk och myndigheter</t>
        </is>
      </c>
      <c r="G84" t="n">
        <v>21</v>
      </c>
      <c r="H84" t="n">
        <v>0</v>
      </c>
      <c r="I84" t="n">
        <v>0</v>
      </c>
      <c r="J84" t="n">
        <v>0</v>
      </c>
      <c r="K84" t="n">
        <v>2</v>
      </c>
      <c r="L84" t="n">
        <v>0</v>
      </c>
      <c r="M84" t="n">
        <v>0</v>
      </c>
      <c r="N84" t="n">
        <v>0</v>
      </c>
      <c r="O84" t="n">
        <v>2</v>
      </c>
      <c r="P84" t="n">
        <v>2</v>
      </c>
      <c r="Q84" t="n">
        <v>2</v>
      </c>
      <c r="R84" s="2" t="inlineStr">
        <is>
          <t>Smalfotad taggsvamp
Tajgataggsvamp</t>
        </is>
      </c>
      <c r="S84">
        <f>HYPERLINK("https://klasma.github.io/Logging_2510/artfynd/A 32982-2023 artfynd.xlsx", "A 32982-2023")</f>
        <v/>
      </c>
      <c r="T84">
        <f>HYPERLINK("https://klasma.github.io/Logging_2510/kartor/A 32982-2023 karta.png", "A 32982-2023")</f>
        <v/>
      </c>
      <c r="V84">
        <f>HYPERLINK("https://klasma.github.io/Logging_2510/klagomål/A 32982-2023 FSC-klagomål.docx", "A 32982-2023")</f>
        <v/>
      </c>
      <c r="W84">
        <f>HYPERLINK("https://klasma.github.io/Logging_2510/klagomålsmail/A 32982-2023 FSC-klagomål mail.docx", "A 32982-2023")</f>
        <v/>
      </c>
      <c r="X84">
        <f>HYPERLINK("https://klasma.github.io/Logging_2510/tillsyn/A 32982-2023 tillsynsbegäran.docx", "A 32982-2023")</f>
        <v/>
      </c>
      <c r="Y84">
        <f>HYPERLINK("https://klasma.github.io/Logging_2510/tillsynsmail/A 32982-2023 tillsynsbegäran mail.docx", "A 32982-2023")</f>
        <v/>
      </c>
    </row>
    <row r="85" ht="15" customHeight="1">
      <c r="A85" t="inlineStr">
        <is>
          <t>A 33146-2023</t>
        </is>
      </c>
      <c r="B85" s="1" t="n">
        <v>45114</v>
      </c>
      <c r="C85" s="1" t="n">
        <v>45795</v>
      </c>
      <c r="D85" t="inlineStr">
        <is>
          <t>NORRBOTTENS LÄN</t>
        </is>
      </c>
      <c r="E85" t="inlineStr">
        <is>
          <t>JOKKMOKK</t>
        </is>
      </c>
      <c r="F85" t="inlineStr">
        <is>
          <t>Övriga statliga verk och myndigheter</t>
        </is>
      </c>
      <c r="G85" t="n">
        <v>14.5</v>
      </c>
      <c r="H85" t="n">
        <v>0</v>
      </c>
      <c r="I85" t="n">
        <v>0</v>
      </c>
      <c r="J85" t="n">
        <v>2</v>
      </c>
      <c r="K85" t="n">
        <v>0</v>
      </c>
      <c r="L85" t="n">
        <v>0</v>
      </c>
      <c r="M85" t="n">
        <v>0</v>
      </c>
      <c r="N85" t="n">
        <v>0</v>
      </c>
      <c r="O85" t="n">
        <v>2</v>
      </c>
      <c r="P85" t="n">
        <v>0</v>
      </c>
      <c r="Q85" t="n">
        <v>2</v>
      </c>
      <c r="R85" s="2" t="inlineStr">
        <is>
          <t>Kolflarnlav
Mörk kolflarnlav</t>
        </is>
      </c>
      <c r="S85">
        <f>HYPERLINK("https://klasma.github.io/Logging_2510/artfynd/A 33146-2023 artfynd.xlsx", "A 33146-2023")</f>
        <v/>
      </c>
      <c r="T85">
        <f>HYPERLINK("https://klasma.github.io/Logging_2510/kartor/A 33146-2023 karta.png", "A 33146-2023")</f>
        <v/>
      </c>
      <c r="V85">
        <f>HYPERLINK("https://klasma.github.io/Logging_2510/klagomål/A 33146-2023 FSC-klagomål.docx", "A 33146-2023")</f>
        <v/>
      </c>
      <c r="W85">
        <f>HYPERLINK("https://klasma.github.io/Logging_2510/klagomålsmail/A 33146-2023 FSC-klagomål mail.docx", "A 33146-2023")</f>
        <v/>
      </c>
      <c r="X85">
        <f>HYPERLINK("https://klasma.github.io/Logging_2510/tillsyn/A 33146-2023 tillsynsbegäran.docx", "A 33146-2023")</f>
        <v/>
      </c>
      <c r="Y85">
        <f>HYPERLINK("https://klasma.github.io/Logging_2510/tillsynsmail/A 33146-2023 tillsynsbegäran mail.docx", "A 33146-2023")</f>
        <v/>
      </c>
    </row>
    <row r="86" ht="15" customHeight="1">
      <c r="A86" t="inlineStr">
        <is>
          <t>A 1890-2024</t>
        </is>
      </c>
      <c r="B86" s="1" t="n">
        <v>45308</v>
      </c>
      <c r="C86" s="1" t="n">
        <v>45795</v>
      </c>
      <c r="D86" t="inlineStr">
        <is>
          <t>NORRBOTTENS LÄN</t>
        </is>
      </c>
      <c r="E86" t="inlineStr">
        <is>
          <t>JOKKMOKK</t>
        </is>
      </c>
      <c r="F86" t="inlineStr">
        <is>
          <t>Sveaskog</t>
        </is>
      </c>
      <c r="G86" t="n">
        <v>2.9</v>
      </c>
      <c r="H86" t="n">
        <v>0</v>
      </c>
      <c r="I86" t="n">
        <v>0</v>
      </c>
      <c r="J86" t="n">
        <v>2</v>
      </c>
      <c r="K86" t="n">
        <v>0</v>
      </c>
      <c r="L86" t="n">
        <v>0</v>
      </c>
      <c r="M86" t="n">
        <v>0</v>
      </c>
      <c r="N86" t="n">
        <v>0</v>
      </c>
      <c r="O86" t="n">
        <v>2</v>
      </c>
      <c r="P86" t="n">
        <v>0</v>
      </c>
      <c r="Q86" t="n">
        <v>2</v>
      </c>
      <c r="R86" s="2" t="inlineStr">
        <is>
          <t>Kolflarnlav
Tallticka</t>
        </is>
      </c>
      <c r="S86">
        <f>HYPERLINK("https://klasma.github.io/Logging_2510/artfynd/A 1890-2024 artfynd.xlsx", "A 1890-2024")</f>
        <v/>
      </c>
      <c r="T86">
        <f>HYPERLINK("https://klasma.github.io/Logging_2510/kartor/A 1890-2024 karta.png", "A 1890-2024")</f>
        <v/>
      </c>
      <c r="V86">
        <f>HYPERLINK("https://klasma.github.io/Logging_2510/klagomål/A 1890-2024 FSC-klagomål.docx", "A 1890-2024")</f>
        <v/>
      </c>
      <c r="W86">
        <f>HYPERLINK("https://klasma.github.io/Logging_2510/klagomålsmail/A 1890-2024 FSC-klagomål mail.docx", "A 1890-2024")</f>
        <v/>
      </c>
      <c r="X86">
        <f>HYPERLINK("https://klasma.github.io/Logging_2510/tillsyn/A 1890-2024 tillsynsbegäran.docx", "A 1890-2024")</f>
        <v/>
      </c>
      <c r="Y86">
        <f>HYPERLINK("https://klasma.github.io/Logging_2510/tillsynsmail/A 1890-2024 tillsynsbegäran mail.docx", "A 1890-2024")</f>
        <v/>
      </c>
    </row>
    <row r="87" ht="15" customHeight="1">
      <c r="A87" t="inlineStr">
        <is>
          <t>A 49491-2024</t>
        </is>
      </c>
      <c r="B87" s="1" t="n">
        <v>45596</v>
      </c>
      <c r="C87" s="1" t="n">
        <v>45795</v>
      </c>
      <c r="D87" t="inlineStr">
        <is>
          <t>NORRBOTTENS LÄN</t>
        </is>
      </c>
      <c r="E87" t="inlineStr">
        <is>
          <t>JOKKMOKK</t>
        </is>
      </c>
      <c r="F87" t="inlineStr">
        <is>
          <t>SCA</t>
        </is>
      </c>
      <c r="G87" t="n">
        <v>3.9</v>
      </c>
      <c r="H87" t="n">
        <v>0</v>
      </c>
      <c r="I87" t="n">
        <v>0</v>
      </c>
      <c r="J87" t="n">
        <v>2</v>
      </c>
      <c r="K87" t="n">
        <v>0</v>
      </c>
      <c r="L87" t="n">
        <v>0</v>
      </c>
      <c r="M87" t="n">
        <v>0</v>
      </c>
      <c r="N87" t="n">
        <v>0</v>
      </c>
      <c r="O87" t="n">
        <v>2</v>
      </c>
      <c r="P87" t="n">
        <v>0</v>
      </c>
      <c r="Q87" t="n">
        <v>2</v>
      </c>
      <c r="R87" s="2" t="inlineStr">
        <is>
          <t>Gammelgransskål
Garnlav</t>
        </is>
      </c>
      <c r="S87">
        <f>HYPERLINK("https://klasma.github.io/Logging_2510/artfynd/A 49491-2024 artfynd.xlsx", "A 49491-2024")</f>
        <v/>
      </c>
      <c r="T87">
        <f>HYPERLINK("https://klasma.github.io/Logging_2510/kartor/A 49491-2024 karta.png", "A 49491-2024")</f>
        <v/>
      </c>
      <c r="V87">
        <f>HYPERLINK("https://klasma.github.io/Logging_2510/klagomål/A 49491-2024 FSC-klagomål.docx", "A 49491-2024")</f>
        <v/>
      </c>
      <c r="W87">
        <f>HYPERLINK("https://klasma.github.io/Logging_2510/klagomålsmail/A 49491-2024 FSC-klagomål mail.docx", "A 49491-2024")</f>
        <v/>
      </c>
      <c r="X87">
        <f>HYPERLINK("https://klasma.github.io/Logging_2510/tillsyn/A 49491-2024 tillsynsbegäran.docx", "A 49491-2024")</f>
        <v/>
      </c>
      <c r="Y87">
        <f>HYPERLINK("https://klasma.github.io/Logging_2510/tillsynsmail/A 49491-2024 tillsynsbegäran mail.docx", "A 49491-2024")</f>
        <v/>
      </c>
    </row>
    <row r="88" ht="15" customHeight="1">
      <c r="A88" t="inlineStr">
        <is>
          <t>A 53366-2024</t>
        </is>
      </c>
      <c r="B88" s="1" t="n">
        <v>45614</v>
      </c>
      <c r="C88" s="1" t="n">
        <v>45795</v>
      </c>
      <c r="D88" t="inlineStr">
        <is>
          <t>NORRBOTTENS LÄN</t>
        </is>
      </c>
      <c r="E88" t="inlineStr">
        <is>
          <t>JOKKMOKK</t>
        </is>
      </c>
      <c r="F88" t="inlineStr">
        <is>
          <t>Sveaskog</t>
        </is>
      </c>
      <c r="G88" t="n">
        <v>4.5</v>
      </c>
      <c r="H88" t="n">
        <v>0</v>
      </c>
      <c r="I88" t="n">
        <v>0</v>
      </c>
      <c r="J88" t="n">
        <v>2</v>
      </c>
      <c r="K88" t="n">
        <v>0</v>
      </c>
      <c r="L88" t="n">
        <v>0</v>
      </c>
      <c r="M88" t="n">
        <v>0</v>
      </c>
      <c r="N88" t="n">
        <v>0</v>
      </c>
      <c r="O88" t="n">
        <v>2</v>
      </c>
      <c r="P88" t="n">
        <v>0</v>
      </c>
      <c r="Q88" t="n">
        <v>2</v>
      </c>
      <c r="R88" s="2" t="inlineStr">
        <is>
          <t>Kolflarnlav
Skrovlig taggsvamp</t>
        </is>
      </c>
      <c r="S88">
        <f>HYPERLINK("https://klasma.github.io/Logging_2510/artfynd/A 53366-2024 artfynd.xlsx", "A 53366-2024")</f>
        <v/>
      </c>
      <c r="T88">
        <f>HYPERLINK("https://klasma.github.io/Logging_2510/kartor/A 53366-2024 karta.png", "A 53366-2024")</f>
        <v/>
      </c>
      <c r="V88">
        <f>HYPERLINK("https://klasma.github.io/Logging_2510/klagomål/A 53366-2024 FSC-klagomål.docx", "A 53366-2024")</f>
        <v/>
      </c>
      <c r="W88">
        <f>HYPERLINK("https://klasma.github.io/Logging_2510/klagomålsmail/A 53366-2024 FSC-klagomål mail.docx", "A 53366-2024")</f>
        <v/>
      </c>
      <c r="X88">
        <f>HYPERLINK("https://klasma.github.io/Logging_2510/tillsyn/A 53366-2024 tillsynsbegäran.docx", "A 53366-2024")</f>
        <v/>
      </c>
      <c r="Y88">
        <f>HYPERLINK("https://klasma.github.io/Logging_2510/tillsynsmail/A 53366-2024 tillsynsbegäran mail.docx", "A 53366-2024")</f>
        <v/>
      </c>
    </row>
    <row r="89" ht="15" customHeight="1">
      <c r="A89" t="inlineStr">
        <is>
          <t>A 461-2025</t>
        </is>
      </c>
      <c r="B89" s="1" t="n">
        <v>45664</v>
      </c>
      <c r="C89" s="1" t="n">
        <v>45795</v>
      </c>
      <c r="D89" t="inlineStr">
        <is>
          <t>NORRBOTTENS LÄN</t>
        </is>
      </c>
      <c r="E89" t="inlineStr">
        <is>
          <t>JOKKMOKK</t>
        </is>
      </c>
      <c r="F89" t="inlineStr">
        <is>
          <t>Övriga statliga verk och myndigheter</t>
        </is>
      </c>
      <c r="G89" t="n">
        <v>7.6</v>
      </c>
      <c r="H89" t="n">
        <v>0</v>
      </c>
      <c r="I89" t="n">
        <v>0</v>
      </c>
      <c r="J89" t="n">
        <v>2</v>
      </c>
      <c r="K89" t="n">
        <v>0</v>
      </c>
      <c r="L89" t="n">
        <v>0</v>
      </c>
      <c r="M89" t="n">
        <v>0</v>
      </c>
      <c r="N89" t="n">
        <v>0</v>
      </c>
      <c r="O89" t="n">
        <v>2</v>
      </c>
      <c r="P89" t="n">
        <v>0</v>
      </c>
      <c r="Q89" t="n">
        <v>2</v>
      </c>
      <c r="R89" s="2" t="inlineStr">
        <is>
          <t>Blå taggsvamp
Mörk kolflarnlav</t>
        </is>
      </c>
      <c r="S89">
        <f>HYPERLINK("https://klasma.github.io/Logging_2510/artfynd/A 461-2025 artfynd.xlsx", "A 461-2025")</f>
        <v/>
      </c>
      <c r="T89">
        <f>HYPERLINK("https://klasma.github.io/Logging_2510/kartor/A 461-2025 karta.png", "A 461-2025")</f>
        <v/>
      </c>
      <c r="V89">
        <f>HYPERLINK("https://klasma.github.io/Logging_2510/klagomål/A 461-2025 FSC-klagomål.docx", "A 461-2025")</f>
        <v/>
      </c>
      <c r="W89">
        <f>HYPERLINK("https://klasma.github.io/Logging_2510/klagomålsmail/A 461-2025 FSC-klagomål mail.docx", "A 461-2025")</f>
        <v/>
      </c>
      <c r="X89">
        <f>HYPERLINK("https://klasma.github.io/Logging_2510/tillsyn/A 461-2025 tillsynsbegäran.docx", "A 461-2025")</f>
        <v/>
      </c>
      <c r="Y89">
        <f>HYPERLINK("https://klasma.github.io/Logging_2510/tillsynsmail/A 461-2025 tillsynsbegäran mail.docx", "A 461-2025")</f>
        <v/>
      </c>
    </row>
    <row r="90" ht="15" customHeight="1">
      <c r="A90" t="inlineStr">
        <is>
          <t>A 15827-2025</t>
        </is>
      </c>
      <c r="B90" s="1" t="n">
        <v>45748</v>
      </c>
      <c r="C90" s="1" t="n">
        <v>45795</v>
      </c>
      <c r="D90" t="inlineStr">
        <is>
          <t>NORRBOTTENS LÄN</t>
        </is>
      </c>
      <c r="E90" t="inlineStr">
        <is>
          <t>JOKKMOKK</t>
        </is>
      </c>
      <c r="G90" t="n">
        <v>23</v>
      </c>
      <c r="H90" t="n">
        <v>0</v>
      </c>
      <c r="I90" t="n">
        <v>0</v>
      </c>
      <c r="J90" t="n">
        <v>2</v>
      </c>
      <c r="K90" t="n">
        <v>0</v>
      </c>
      <c r="L90" t="n">
        <v>0</v>
      </c>
      <c r="M90" t="n">
        <v>0</v>
      </c>
      <c r="N90" t="n">
        <v>0</v>
      </c>
      <c r="O90" t="n">
        <v>2</v>
      </c>
      <c r="P90" t="n">
        <v>0</v>
      </c>
      <c r="Q90" t="n">
        <v>2</v>
      </c>
      <c r="R90" s="2" t="inlineStr">
        <is>
          <t>Dvärgbägarlav
Vaddporing</t>
        </is>
      </c>
      <c r="S90">
        <f>HYPERLINK("https://klasma.github.io/Logging_252510/artfynd/A 15827-2025 artfynd.xlsx", "A 15827-2025")</f>
        <v/>
      </c>
      <c r="T90">
        <f>HYPERLINK("https://klasma.github.io/Logging_252510/kartor/A 15827-2025 karta.png", "A 15827-2025")</f>
        <v/>
      </c>
      <c r="V90">
        <f>HYPERLINK("https://klasma.github.io/Logging_252510/klagomål/A 15827-2025 FSC-klagomål.docx", "A 15827-2025")</f>
        <v/>
      </c>
      <c r="W90">
        <f>HYPERLINK("https://klasma.github.io/Logging_252510/klagomålsmail/A 15827-2025 FSC-klagomål mail.docx", "A 15827-2025")</f>
        <v/>
      </c>
      <c r="X90">
        <f>HYPERLINK("https://klasma.github.io/Logging_252510/tillsyn/A 15827-2025 tillsynsbegäran.docx", "A 15827-2025")</f>
        <v/>
      </c>
      <c r="Y90">
        <f>HYPERLINK("https://klasma.github.io/Logging_252510/tillsynsmail/A 15827-2025 tillsynsbegäran mail.docx", "A 15827-2025")</f>
        <v/>
      </c>
    </row>
    <row r="91" ht="15" customHeight="1">
      <c r="A91" t="inlineStr">
        <is>
          <t>A 33473-2019</t>
        </is>
      </c>
      <c r="B91" s="1" t="n">
        <v>43650</v>
      </c>
      <c r="C91" s="1" t="n">
        <v>45795</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33473-2019 artfynd.xlsx", "A 33473-2019")</f>
        <v/>
      </c>
      <c r="T91">
        <f>HYPERLINK("https://klasma.github.io/Logging_2510/kartor/A 33473-2019 karta.png", "A 33473-2019")</f>
        <v/>
      </c>
      <c r="V91">
        <f>HYPERLINK("https://klasma.github.io/Logging_2510/klagomål/A 33473-2019 FSC-klagomål.docx", "A 33473-2019")</f>
        <v/>
      </c>
      <c r="W91">
        <f>HYPERLINK("https://klasma.github.io/Logging_2510/klagomålsmail/A 33473-2019 FSC-klagomål mail.docx", "A 33473-2019")</f>
        <v/>
      </c>
      <c r="X91">
        <f>HYPERLINK("https://klasma.github.io/Logging_2510/tillsyn/A 33473-2019 tillsynsbegäran.docx", "A 33473-2019")</f>
        <v/>
      </c>
      <c r="Y91">
        <f>HYPERLINK("https://klasma.github.io/Logging_2510/tillsynsmail/A 33473-2019 tillsynsbegäran mail.docx", "A 33473-2019")</f>
        <v/>
      </c>
    </row>
    <row r="92" ht="15" customHeight="1">
      <c r="A92" t="inlineStr">
        <is>
          <t>A 33820-2019</t>
        </is>
      </c>
      <c r="B92" s="1" t="n">
        <v>43651</v>
      </c>
      <c r="C92" s="1" t="n">
        <v>45795</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33820-2019 artfynd.xlsx", "A 33820-2019")</f>
        <v/>
      </c>
      <c r="T92">
        <f>HYPERLINK("https://klasma.github.io/Logging_2510/kartor/A 33820-2019 karta.png", "A 33820-2019")</f>
        <v/>
      </c>
      <c r="V92">
        <f>HYPERLINK("https://klasma.github.io/Logging_2510/klagomål/A 33820-2019 FSC-klagomål.docx", "A 33820-2019")</f>
        <v/>
      </c>
      <c r="W92">
        <f>HYPERLINK("https://klasma.github.io/Logging_2510/klagomålsmail/A 33820-2019 FSC-klagomål mail.docx", "A 33820-2019")</f>
        <v/>
      </c>
      <c r="X92">
        <f>HYPERLINK("https://klasma.github.io/Logging_2510/tillsyn/A 33820-2019 tillsynsbegäran.docx", "A 33820-2019")</f>
        <v/>
      </c>
      <c r="Y92">
        <f>HYPERLINK("https://klasma.github.io/Logging_2510/tillsynsmail/A 33820-2019 tillsynsbegäran mail.docx", "A 33820-2019")</f>
        <v/>
      </c>
    </row>
    <row r="93" ht="15" customHeight="1">
      <c r="A93" t="inlineStr">
        <is>
          <t>A 51875-2020</t>
        </is>
      </c>
      <c r="B93" s="1" t="n">
        <v>44109</v>
      </c>
      <c r="C93" s="1" t="n">
        <v>45795</v>
      </c>
      <c r="D93" t="inlineStr">
        <is>
          <t>NORRBOTTENS LÄN</t>
        </is>
      </c>
      <c r="E93" t="inlineStr">
        <is>
          <t>JOKKMOKK</t>
        </is>
      </c>
      <c r="F93" t="inlineStr">
        <is>
          <t>Allmännings- och besparingsskogar</t>
        </is>
      </c>
      <c r="G93" t="n">
        <v>28</v>
      </c>
      <c r="H93" t="n">
        <v>0</v>
      </c>
      <c r="I93" t="n">
        <v>0</v>
      </c>
      <c r="J93" t="n">
        <v>1</v>
      </c>
      <c r="K93" t="n">
        <v>0</v>
      </c>
      <c r="L93" t="n">
        <v>0</v>
      </c>
      <c r="M93" t="n">
        <v>0</v>
      </c>
      <c r="N93" t="n">
        <v>0</v>
      </c>
      <c r="O93" t="n">
        <v>1</v>
      </c>
      <c r="P93" t="n">
        <v>0</v>
      </c>
      <c r="Q93" t="n">
        <v>1</v>
      </c>
      <c r="R93" s="2" t="inlineStr">
        <is>
          <t>Vitplätt</t>
        </is>
      </c>
      <c r="S93">
        <f>HYPERLINK("https://klasma.github.io/Logging_2510/artfynd/A 51875-2020 artfynd.xlsx", "A 51875-2020")</f>
        <v/>
      </c>
      <c r="T93">
        <f>HYPERLINK("https://klasma.github.io/Logging_2510/kartor/A 51875-2020 karta.png", "A 51875-2020")</f>
        <v/>
      </c>
      <c r="V93">
        <f>HYPERLINK("https://klasma.github.io/Logging_2510/klagomål/A 51875-2020 FSC-klagomål.docx", "A 51875-2020")</f>
        <v/>
      </c>
      <c r="W93">
        <f>HYPERLINK("https://klasma.github.io/Logging_2510/klagomålsmail/A 51875-2020 FSC-klagomål mail.docx", "A 51875-2020")</f>
        <v/>
      </c>
      <c r="X93">
        <f>HYPERLINK("https://klasma.github.io/Logging_2510/tillsyn/A 51875-2020 tillsynsbegäran.docx", "A 51875-2020")</f>
        <v/>
      </c>
      <c r="Y93">
        <f>HYPERLINK("https://klasma.github.io/Logging_2510/tillsynsmail/A 51875-2020 tillsynsbegäran mail.docx", "A 51875-2020")</f>
        <v/>
      </c>
    </row>
    <row r="94" ht="15" customHeight="1">
      <c r="A94" t="inlineStr">
        <is>
          <t>A 36594-2021</t>
        </is>
      </c>
      <c r="B94" s="1" t="n">
        <v>44391</v>
      </c>
      <c r="C94" s="1" t="n">
        <v>45795</v>
      </c>
      <c r="D94" t="inlineStr">
        <is>
          <t>NORRBOTTENS LÄN</t>
        </is>
      </c>
      <c r="E94" t="inlineStr">
        <is>
          <t>JOKKMOKK</t>
        </is>
      </c>
      <c r="F94" t="inlineStr">
        <is>
          <t>Sveaskog</t>
        </is>
      </c>
      <c r="G94" t="n">
        <v>5.8</v>
      </c>
      <c r="H94" t="n">
        <v>1</v>
      </c>
      <c r="I94" t="n">
        <v>0</v>
      </c>
      <c r="J94" t="n">
        <v>0</v>
      </c>
      <c r="K94" t="n">
        <v>1</v>
      </c>
      <c r="L94" t="n">
        <v>0</v>
      </c>
      <c r="M94" t="n">
        <v>0</v>
      </c>
      <c r="N94" t="n">
        <v>0</v>
      </c>
      <c r="O94" t="n">
        <v>1</v>
      </c>
      <c r="P94" t="n">
        <v>1</v>
      </c>
      <c r="Q94" t="n">
        <v>1</v>
      </c>
      <c r="R94" s="2" t="inlineStr">
        <is>
          <t>Doftticka</t>
        </is>
      </c>
      <c r="S94">
        <f>HYPERLINK("https://klasma.github.io/Logging_2510/artfynd/A 36594-2021 artfynd.xlsx", "A 36594-2021")</f>
        <v/>
      </c>
      <c r="T94">
        <f>HYPERLINK("https://klasma.github.io/Logging_2510/kartor/A 36594-2021 karta.png", "A 36594-2021")</f>
        <v/>
      </c>
      <c r="V94">
        <f>HYPERLINK("https://klasma.github.io/Logging_2510/klagomål/A 36594-2021 FSC-klagomål.docx", "A 36594-2021")</f>
        <v/>
      </c>
      <c r="W94">
        <f>HYPERLINK("https://klasma.github.io/Logging_2510/klagomålsmail/A 36594-2021 FSC-klagomål mail.docx", "A 36594-2021")</f>
        <v/>
      </c>
      <c r="X94">
        <f>HYPERLINK("https://klasma.github.io/Logging_2510/tillsyn/A 36594-2021 tillsynsbegäran.docx", "A 36594-2021")</f>
        <v/>
      </c>
      <c r="Y94">
        <f>HYPERLINK("https://klasma.github.io/Logging_2510/tillsynsmail/A 36594-2021 tillsynsbegäran mail.docx", "A 36594-2021")</f>
        <v/>
      </c>
    </row>
    <row r="95" ht="15" customHeight="1">
      <c r="A95" t="inlineStr">
        <is>
          <t>A 72480-2021</t>
        </is>
      </c>
      <c r="B95" s="1" t="n">
        <v>44545</v>
      </c>
      <c r="C95" s="1" t="n">
        <v>45795</v>
      </c>
      <c r="D95" t="inlineStr">
        <is>
          <t>NORRBOTTENS LÄN</t>
        </is>
      </c>
      <c r="E95" t="inlineStr">
        <is>
          <t>JOKKMOKK</t>
        </is>
      </c>
      <c r="G95" t="n">
        <v>8.800000000000001</v>
      </c>
      <c r="H95" t="n">
        <v>0</v>
      </c>
      <c r="I95" t="n">
        <v>0</v>
      </c>
      <c r="J95" t="n">
        <v>1</v>
      </c>
      <c r="K95" t="n">
        <v>0</v>
      </c>
      <c r="L95" t="n">
        <v>0</v>
      </c>
      <c r="M95" t="n">
        <v>0</v>
      </c>
      <c r="N95" t="n">
        <v>0</v>
      </c>
      <c r="O95" t="n">
        <v>1</v>
      </c>
      <c r="P95" t="n">
        <v>0</v>
      </c>
      <c r="Q95" t="n">
        <v>1</v>
      </c>
      <c r="R95" s="2" t="inlineStr">
        <is>
          <t>Dvärgbägarlav</t>
        </is>
      </c>
      <c r="S95">
        <f>HYPERLINK("https://klasma.github.io/Logging_2510/artfynd/A 72480-2021 artfynd.xlsx", "A 72480-2021")</f>
        <v/>
      </c>
      <c r="T95">
        <f>HYPERLINK("https://klasma.github.io/Logging_2510/kartor/A 72480-2021 karta.png", "A 72480-2021")</f>
        <v/>
      </c>
      <c r="V95">
        <f>HYPERLINK("https://klasma.github.io/Logging_2510/klagomål/A 72480-2021 FSC-klagomål.docx", "A 72480-2021")</f>
        <v/>
      </c>
      <c r="W95">
        <f>HYPERLINK("https://klasma.github.io/Logging_2510/klagomålsmail/A 72480-2021 FSC-klagomål mail.docx", "A 72480-2021")</f>
        <v/>
      </c>
      <c r="X95">
        <f>HYPERLINK("https://klasma.github.io/Logging_2510/tillsyn/A 72480-2021 tillsynsbegäran.docx", "A 72480-2021")</f>
        <v/>
      </c>
      <c r="Y95">
        <f>HYPERLINK("https://klasma.github.io/Logging_2510/tillsynsmail/A 72480-2021 tillsynsbegäran mail.docx", "A 72480-2021")</f>
        <v/>
      </c>
    </row>
    <row r="96" ht="15" customHeight="1">
      <c r="A96" t="inlineStr">
        <is>
          <t>A 47505-2022</t>
        </is>
      </c>
      <c r="B96" s="1" t="n">
        <v>44853</v>
      </c>
      <c r="C96" s="1" t="n">
        <v>45795</v>
      </c>
      <c r="D96" t="inlineStr">
        <is>
          <t>NORRBOTTENS LÄN</t>
        </is>
      </c>
      <c r="E96" t="inlineStr">
        <is>
          <t>JOKKMOKK</t>
        </is>
      </c>
      <c r="F96" t="inlineStr">
        <is>
          <t>Sveaskog</t>
        </is>
      </c>
      <c r="G96" t="n">
        <v>2.7</v>
      </c>
      <c r="H96" t="n">
        <v>1</v>
      </c>
      <c r="I96" t="n">
        <v>0</v>
      </c>
      <c r="J96" t="n">
        <v>0</v>
      </c>
      <c r="K96" t="n">
        <v>0</v>
      </c>
      <c r="L96" t="n">
        <v>0</v>
      </c>
      <c r="M96" t="n">
        <v>0</v>
      </c>
      <c r="N96" t="n">
        <v>0</v>
      </c>
      <c r="O96" t="n">
        <v>0</v>
      </c>
      <c r="P96" t="n">
        <v>0</v>
      </c>
      <c r="Q96" t="n">
        <v>1</v>
      </c>
      <c r="R96" s="2" t="inlineStr">
        <is>
          <t>Lavskrika</t>
        </is>
      </c>
      <c r="S96">
        <f>HYPERLINK("https://klasma.github.io/Logging_2510/artfynd/A 47505-2022 artfynd.xlsx", "A 47505-2022")</f>
        <v/>
      </c>
      <c r="T96">
        <f>HYPERLINK("https://klasma.github.io/Logging_2510/kartor/A 47505-2022 karta.png", "A 47505-2022")</f>
        <v/>
      </c>
      <c r="V96">
        <f>HYPERLINK("https://klasma.github.io/Logging_2510/klagomål/A 47505-2022 FSC-klagomål.docx", "A 47505-2022")</f>
        <v/>
      </c>
      <c r="W96">
        <f>HYPERLINK("https://klasma.github.io/Logging_2510/klagomålsmail/A 47505-2022 FSC-klagomål mail.docx", "A 47505-2022")</f>
        <v/>
      </c>
      <c r="X96">
        <f>HYPERLINK("https://klasma.github.io/Logging_2510/tillsyn/A 47505-2022 tillsynsbegäran.docx", "A 47505-2022")</f>
        <v/>
      </c>
      <c r="Y96">
        <f>HYPERLINK("https://klasma.github.io/Logging_2510/tillsynsmail/A 47505-2022 tillsynsbegäran mail.docx", "A 47505-2022")</f>
        <v/>
      </c>
      <c r="Z96">
        <f>HYPERLINK("https://klasma.github.io/Logging_2510/fåglar/A 47505-2022 prioriterade fågelarter.docx", "A 47505-2022")</f>
        <v/>
      </c>
    </row>
    <row r="97" ht="15" customHeight="1">
      <c r="A97" t="inlineStr">
        <is>
          <t>A 5824-2023</t>
        </is>
      </c>
      <c r="B97" s="1" t="n">
        <v>44958</v>
      </c>
      <c r="C97" s="1" t="n">
        <v>45795</v>
      </c>
      <c r="D97" t="inlineStr">
        <is>
          <t>NORRBOTTENS LÄN</t>
        </is>
      </c>
      <c r="E97" t="inlineStr">
        <is>
          <t>JOKKMOKK</t>
        </is>
      </c>
      <c r="G97" t="n">
        <v>6.7</v>
      </c>
      <c r="H97" t="n">
        <v>0</v>
      </c>
      <c r="I97" t="n">
        <v>0</v>
      </c>
      <c r="J97" t="n">
        <v>1</v>
      </c>
      <c r="K97" t="n">
        <v>0</v>
      </c>
      <c r="L97" t="n">
        <v>0</v>
      </c>
      <c r="M97" t="n">
        <v>0</v>
      </c>
      <c r="N97" t="n">
        <v>0</v>
      </c>
      <c r="O97" t="n">
        <v>1</v>
      </c>
      <c r="P97" t="n">
        <v>0</v>
      </c>
      <c r="Q97" t="n">
        <v>1</v>
      </c>
      <c r="R97" s="2" t="inlineStr">
        <is>
          <t>Granticka</t>
        </is>
      </c>
      <c r="S97">
        <f>HYPERLINK("https://klasma.github.io/Logging_2510/artfynd/A 5824-2023 artfynd.xlsx", "A 5824-2023")</f>
        <v/>
      </c>
      <c r="T97">
        <f>HYPERLINK("https://klasma.github.io/Logging_2510/kartor/A 5824-2023 karta.png", "A 5824-2023")</f>
        <v/>
      </c>
      <c r="V97">
        <f>HYPERLINK("https://klasma.github.io/Logging_2510/klagomål/A 5824-2023 FSC-klagomål.docx", "A 5824-2023")</f>
        <v/>
      </c>
      <c r="W97">
        <f>HYPERLINK("https://klasma.github.io/Logging_2510/klagomålsmail/A 5824-2023 FSC-klagomål mail.docx", "A 5824-2023")</f>
        <v/>
      </c>
      <c r="X97">
        <f>HYPERLINK("https://klasma.github.io/Logging_2510/tillsyn/A 5824-2023 tillsynsbegäran.docx", "A 5824-2023")</f>
        <v/>
      </c>
      <c r="Y97">
        <f>HYPERLINK("https://klasma.github.io/Logging_2510/tillsynsmail/A 5824-2023 tillsynsbegäran mail.docx", "A 5824-2023")</f>
        <v/>
      </c>
    </row>
    <row r="98" ht="15" customHeight="1">
      <c r="A98" t="inlineStr">
        <is>
          <t>A 23026-2023</t>
        </is>
      </c>
      <c r="B98" s="1" t="n">
        <v>45073</v>
      </c>
      <c r="C98" s="1" t="n">
        <v>45795</v>
      </c>
      <c r="D98" t="inlineStr">
        <is>
          <t>NORRBOTTENS LÄN</t>
        </is>
      </c>
      <c r="E98" t="inlineStr">
        <is>
          <t>JOKKMOKK</t>
        </is>
      </c>
      <c r="F98" t="inlineStr">
        <is>
          <t>SCA</t>
        </is>
      </c>
      <c r="G98" t="n">
        <v>3.1</v>
      </c>
      <c r="H98" t="n">
        <v>0</v>
      </c>
      <c r="I98" t="n">
        <v>1</v>
      </c>
      <c r="J98" t="n">
        <v>0</v>
      </c>
      <c r="K98" t="n">
        <v>0</v>
      </c>
      <c r="L98" t="n">
        <v>0</v>
      </c>
      <c r="M98" t="n">
        <v>0</v>
      </c>
      <c r="N98" t="n">
        <v>0</v>
      </c>
      <c r="O98" t="n">
        <v>0</v>
      </c>
      <c r="P98" t="n">
        <v>0</v>
      </c>
      <c r="Q98" t="n">
        <v>1</v>
      </c>
      <c r="R98" s="2" t="inlineStr">
        <is>
          <t>Bollvitmossa</t>
        </is>
      </c>
      <c r="S98">
        <f>HYPERLINK("https://klasma.github.io/Logging_2510/artfynd/A 23026-2023 artfynd.xlsx", "A 23026-2023")</f>
        <v/>
      </c>
      <c r="T98">
        <f>HYPERLINK("https://klasma.github.io/Logging_2510/kartor/A 23026-2023 karta.png", "A 23026-2023")</f>
        <v/>
      </c>
      <c r="V98">
        <f>HYPERLINK("https://klasma.github.io/Logging_2510/klagomål/A 23026-2023 FSC-klagomål.docx", "A 23026-2023")</f>
        <v/>
      </c>
      <c r="W98">
        <f>HYPERLINK("https://klasma.github.io/Logging_2510/klagomålsmail/A 23026-2023 FSC-klagomål mail.docx", "A 23026-2023")</f>
        <v/>
      </c>
      <c r="X98">
        <f>HYPERLINK("https://klasma.github.io/Logging_2510/tillsyn/A 23026-2023 tillsynsbegäran.docx", "A 23026-2023")</f>
        <v/>
      </c>
      <c r="Y98">
        <f>HYPERLINK("https://klasma.github.io/Logging_2510/tillsynsmail/A 23026-2023 tillsynsbegäran mail.docx", "A 23026-2023")</f>
        <v/>
      </c>
    </row>
    <row r="99" ht="15" customHeight="1">
      <c r="A99" t="inlineStr">
        <is>
          <t>A 28089-2023</t>
        </is>
      </c>
      <c r="B99" s="1" t="n">
        <v>45099</v>
      </c>
      <c r="C99" s="1" t="n">
        <v>45795</v>
      </c>
      <c r="D99" t="inlineStr">
        <is>
          <t>NORRBOTTENS LÄN</t>
        </is>
      </c>
      <c r="E99" t="inlineStr">
        <is>
          <t>JOKKMOKK</t>
        </is>
      </c>
      <c r="F99" t="inlineStr">
        <is>
          <t>Sveaskog</t>
        </is>
      </c>
      <c r="G99" t="n">
        <v>2.1</v>
      </c>
      <c r="H99" t="n">
        <v>0</v>
      </c>
      <c r="I99" t="n">
        <v>0</v>
      </c>
      <c r="J99" t="n">
        <v>1</v>
      </c>
      <c r="K99" t="n">
        <v>0</v>
      </c>
      <c r="L99" t="n">
        <v>0</v>
      </c>
      <c r="M99" t="n">
        <v>0</v>
      </c>
      <c r="N99" t="n">
        <v>0</v>
      </c>
      <c r="O99" t="n">
        <v>1</v>
      </c>
      <c r="P99" t="n">
        <v>0</v>
      </c>
      <c r="Q99" t="n">
        <v>1</v>
      </c>
      <c r="R99" s="2" t="inlineStr">
        <is>
          <t>Kolflarnlav</t>
        </is>
      </c>
      <c r="S99">
        <f>HYPERLINK("https://klasma.github.io/Logging_2510/artfynd/A 28089-2023 artfynd.xlsx", "A 28089-2023")</f>
        <v/>
      </c>
      <c r="T99">
        <f>HYPERLINK("https://klasma.github.io/Logging_2510/kartor/A 28089-2023 karta.png", "A 28089-2023")</f>
        <v/>
      </c>
      <c r="V99">
        <f>HYPERLINK("https://klasma.github.io/Logging_2510/klagomål/A 28089-2023 FSC-klagomål.docx", "A 28089-2023")</f>
        <v/>
      </c>
      <c r="W99">
        <f>HYPERLINK("https://klasma.github.io/Logging_2510/klagomålsmail/A 28089-2023 FSC-klagomål mail.docx", "A 28089-2023")</f>
        <v/>
      </c>
      <c r="X99">
        <f>HYPERLINK("https://klasma.github.io/Logging_2510/tillsyn/A 28089-2023 tillsynsbegäran.docx", "A 28089-2023")</f>
        <v/>
      </c>
      <c r="Y99">
        <f>HYPERLINK("https://klasma.github.io/Logging_2510/tillsynsmail/A 28089-2023 tillsynsbegäran mail.docx", "A 28089-2023")</f>
        <v/>
      </c>
    </row>
    <row r="100" ht="15" customHeight="1">
      <c r="A100" t="inlineStr">
        <is>
          <t>A 29626-2023</t>
        </is>
      </c>
      <c r="B100" s="1" t="n">
        <v>45107</v>
      </c>
      <c r="C100" s="1" t="n">
        <v>45795</v>
      </c>
      <c r="D100" t="inlineStr">
        <is>
          <t>NORRBOTTENS LÄN</t>
        </is>
      </c>
      <c r="E100" t="inlineStr">
        <is>
          <t>JOKKMOKK</t>
        </is>
      </c>
      <c r="F100" t="inlineStr">
        <is>
          <t>SCA</t>
        </is>
      </c>
      <c r="G100" t="n">
        <v>3.2</v>
      </c>
      <c r="H100" t="n">
        <v>0</v>
      </c>
      <c r="I100" t="n">
        <v>1</v>
      </c>
      <c r="J100" t="n">
        <v>0</v>
      </c>
      <c r="K100" t="n">
        <v>0</v>
      </c>
      <c r="L100" t="n">
        <v>0</v>
      </c>
      <c r="M100" t="n">
        <v>0</v>
      </c>
      <c r="N100" t="n">
        <v>0</v>
      </c>
      <c r="O100" t="n">
        <v>0</v>
      </c>
      <c r="P100" t="n">
        <v>0</v>
      </c>
      <c r="Q100" t="n">
        <v>1</v>
      </c>
      <c r="R100" s="2" t="inlineStr">
        <is>
          <t>Norrlandslav</t>
        </is>
      </c>
      <c r="S100">
        <f>HYPERLINK("https://klasma.github.io/Logging_2510/artfynd/A 29626-2023 artfynd.xlsx", "A 29626-2023")</f>
        <v/>
      </c>
      <c r="T100">
        <f>HYPERLINK("https://klasma.github.io/Logging_2510/kartor/A 29626-2023 karta.png", "A 29626-2023")</f>
        <v/>
      </c>
      <c r="V100">
        <f>HYPERLINK("https://klasma.github.io/Logging_2510/klagomål/A 29626-2023 FSC-klagomål.docx", "A 29626-2023")</f>
        <v/>
      </c>
      <c r="W100">
        <f>HYPERLINK("https://klasma.github.io/Logging_2510/klagomålsmail/A 29626-2023 FSC-klagomål mail.docx", "A 29626-2023")</f>
        <v/>
      </c>
      <c r="X100">
        <f>HYPERLINK("https://klasma.github.io/Logging_2510/tillsyn/A 29626-2023 tillsynsbegäran.docx", "A 29626-2023")</f>
        <v/>
      </c>
      <c r="Y100">
        <f>HYPERLINK("https://klasma.github.io/Logging_2510/tillsynsmail/A 29626-2023 tillsynsbegäran mail.docx", "A 29626-2023")</f>
        <v/>
      </c>
    </row>
    <row r="101" ht="15" customHeight="1">
      <c r="A101" t="inlineStr">
        <is>
          <t>A 31490-2023</t>
        </is>
      </c>
      <c r="B101" s="1" t="n">
        <v>45114</v>
      </c>
      <c r="C101" s="1" t="n">
        <v>45795</v>
      </c>
      <c r="D101" t="inlineStr">
        <is>
          <t>NORRBOTTENS LÄN</t>
        </is>
      </c>
      <c r="E101" t="inlineStr">
        <is>
          <t>JOKKMOKK</t>
        </is>
      </c>
      <c r="F101" t="inlineStr">
        <is>
          <t>Allmännings- och besparingsskogar</t>
        </is>
      </c>
      <c r="G101" t="n">
        <v>7.7</v>
      </c>
      <c r="H101" t="n">
        <v>0</v>
      </c>
      <c r="I101" t="n">
        <v>1</v>
      </c>
      <c r="J101" t="n">
        <v>0</v>
      </c>
      <c r="K101" t="n">
        <v>0</v>
      </c>
      <c r="L101" t="n">
        <v>0</v>
      </c>
      <c r="M101" t="n">
        <v>0</v>
      </c>
      <c r="N101" t="n">
        <v>0</v>
      </c>
      <c r="O101" t="n">
        <v>0</v>
      </c>
      <c r="P101" t="n">
        <v>0</v>
      </c>
      <c r="Q101" t="n">
        <v>1</v>
      </c>
      <c r="R101" s="2" t="inlineStr">
        <is>
          <t>Norrlandslav</t>
        </is>
      </c>
      <c r="S101">
        <f>HYPERLINK("https://klasma.github.io/Logging_2510/artfynd/A 31490-2023 artfynd.xlsx", "A 31490-2023")</f>
        <v/>
      </c>
      <c r="T101">
        <f>HYPERLINK("https://klasma.github.io/Logging_2510/kartor/A 31490-2023 karta.png", "A 31490-2023")</f>
        <v/>
      </c>
      <c r="V101">
        <f>HYPERLINK("https://klasma.github.io/Logging_2510/klagomål/A 31490-2023 FSC-klagomål.docx", "A 31490-2023")</f>
        <v/>
      </c>
      <c r="W101">
        <f>HYPERLINK("https://klasma.github.io/Logging_2510/klagomålsmail/A 31490-2023 FSC-klagomål mail.docx", "A 31490-2023")</f>
        <v/>
      </c>
      <c r="X101">
        <f>HYPERLINK("https://klasma.github.io/Logging_2510/tillsyn/A 31490-2023 tillsynsbegäran.docx", "A 31490-2023")</f>
        <v/>
      </c>
      <c r="Y101">
        <f>HYPERLINK("https://klasma.github.io/Logging_2510/tillsynsmail/A 31490-2023 tillsynsbegäran mail.docx", "A 31490-2023")</f>
        <v/>
      </c>
    </row>
    <row r="102" ht="15" customHeight="1">
      <c r="A102" t="inlineStr">
        <is>
          <t>A 40466-2023</t>
        </is>
      </c>
      <c r="B102" s="1" t="n">
        <v>45170</v>
      </c>
      <c r="C102" s="1" t="n">
        <v>45795</v>
      </c>
      <c r="D102" t="inlineStr">
        <is>
          <t>NORRBOTTENS LÄN</t>
        </is>
      </c>
      <c r="E102" t="inlineStr">
        <is>
          <t>JOKKMOKK</t>
        </is>
      </c>
      <c r="F102" t="inlineStr">
        <is>
          <t>Sveaskog</t>
        </is>
      </c>
      <c r="G102" t="n">
        <v>1.5</v>
      </c>
      <c r="H102" t="n">
        <v>0</v>
      </c>
      <c r="I102" t="n">
        <v>0</v>
      </c>
      <c r="J102" t="n">
        <v>1</v>
      </c>
      <c r="K102" t="n">
        <v>0</v>
      </c>
      <c r="L102" t="n">
        <v>0</v>
      </c>
      <c r="M102" t="n">
        <v>0</v>
      </c>
      <c r="N102" t="n">
        <v>0</v>
      </c>
      <c r="O102" t="n">
        <v>1</v>
      </c>
      <c r="P102" t="n">
        <v>0</v>
      </c>
      <c r="Q102" t="n">
        <v>1</v>
      </c>
      <c r="R102" s="2" t="inlineStr">
        <is>
          <t>Motaggsvamp</t>
        </is>
      </c>
      <c r="S102">
        <f>HYPERLINK("https://klasma.github.io/Logging_2510/artfynd/A 40466-2023 artfynd.xlsx", "A 40466-2023")</f>
        <v/>
      </c>
      <c r="T102">
        <f>HYPERLINK("https://klasma.github.io/Logging_2510/kartor/A 40466-2023 karta.png", "A 40466-2023")</f>
        <v/>
      </c>
      <c r="V102">
        <f>HYPERLINK("https://klasma.github.io/Logging_2510/klagomål/A 40466-2023 FSC-klagomål.docx", "A 40466-2023")</f>
        <v/>
      </c>
      <c r="W102">
        <f>HYPERLINK("https://klasma.github.io/Logging_2510/klagomålsmail/A 40466-2023 FSC-klagomål mail.docx", "A 40466-2023")</f>
        <v/>
      </c>
      <c r="X102">
        <f>HYPERLINK("https://klasma.github.io/Logging_2510/tillsyn/A 40466-2023 tillsynsbegäran.docx", "A 40466-2023")</f>
        <v/>
      </c>
      <c r="Y102">
        <f>HYPERLINK("https://klasma.github.io/Logging_2510/tillsynsmail/A 40466-2023 tillsynsbegäran mail.docx", "A 40466-2023")</f>
        <v/>
      </c>
    </row>
    <row r="103" ht="15" customHeight="1">
      <c r="A103" t="inlineStr">
        <is>
          <t>A 51580-2023</t>
        </is>
      </c>
      <c r="B103" s="1" t="n">
        <v>45222</v>
      </c>
      <c r="C103" s="1" t="n">
        <v>45795</v>
      </c>
      <c r="D103" t="inlineStr">
        <is>
          <t>NORRBOTTENS LÄN</t>
        </is>
      </c>
      <c r="E103" t="inlineStr">
        <is>
          <t>JOKKMOKK</t>
        </is>
      </c>
      <c r="G103" t="n">
        <v>11.1</v>
      </c>
      <c r="H103" t="n">
        <v>1</v>
      </c>
      <c r="I103" t="n">
        <v>0</v>
      </c>
      <c r="J103" t="n">
        <v>0</v>
      </c>
      <c r="K103" t="n">
        <v>1</v>
      </c>
      <c r="L103" t="n">
        <v>0</v>
      </c>
      <c r="M103" t="n">
        <v>0</v>
      </c>
      <c r="N103" t="n">
        <v>0</v>
      </c>
      <c r="O103" t="n">
        <v>1</v>
      </c>
      <c r="P103" t="n">
        <v>1</v>
      </c>
      <c r="Q103" t="n">
        <v>1</v>
      </c>
      <c r="R103" s="2" t="inlineStr">
        <is>
          <t>Norna</t>
        </is>
      </c>
      <c r="S103">
        <f>HYPERLINK("https://klasma.github.io/Logging_2510/artfynd/A 51580-2023 artfynd.xlsx", "A 51580-2023")</f>
        <v/>
      </c>
      <c r="T103">
        <f>HYPERLINK("https://klasma.github.io/Logging_2510/kartor/A 51580-2023 karta.png", "A 51580-2023")</f>
        <v/>
      </c>
      <c r="V103">
        <f>HYPERLINK("https://klasma.github.io/Logging_2510/klagomål/A 51580-2023 FSC-klagomål.docx", "A 51580-2023")</f>
        <v/>
      </c>
      <c r="W103">
        <f>HYPERLINK("https://klasma.github.io/Logging_2510/klagomålsmail/A 51580-2023 FSC-klagomål mail.docx", "A 51580-2023")</f>
        <v/>
      </c>
      <c r="X103">
        <f>HYPERLINK("https://klasma.github.io/Logging_2510/tillsyn/A 51580-2023 tillsynsbegäran.docx", "A 51580-2023")</f>
        <v/>
      </c>
      <c r="Y103">
        <f>HYPERLINK("https://klasma.github.io/Logging_2510/tillsynsmail/A 51580-2023 tillsynsbegäran mail.docx", "A 51580-2023")</f>
        <v/>
      </c>
    </row>
    <row r="104" ht="15" customHeight="1">
      <c r="A104" t="inlineStr">
        <is>
          <t>A 52537-2023</t>
        </is>
      </c>
      <c r="B104" s="1" t="n">
        <v>45225</v>
      </c>
      <c r="C104" s="1" t="n">
        <v>45795</v>
      </c>
      <c r="D104" t="inlineStr">
        <is>
          <t>NORRBOTTENS LÄN</t>
        </is>
      </c>
      <c r="E104" t="inlineStr">
        <is>
          <t>JOKKMOKK</t>
        </is>
      </c>
      <c r="F104" t="inlineStr">
        <is>
          <t>Övriga statliga verk och myndigheter</t>
        </is>
      </c>
      <c r="G104" t="n">
        <v>15.3</v>
      </c>
      <c r="H104" t="n">
        <v>0</v>
      </c>
      <c r="I104" t="n">
        <v>0</v>
      </c>
      <c r="J104" t="n">
        <v>1</v>
      </c>
      <c r="K104" t="n">
        <v>0</v>
      </c>
      <c r="L104" t="n">
        <v>0</v>
      </c>
      <c r="M104" t="n">
        <v>0</v>
      </c>
      <c r="N104" t="n">
        <v>0</v>
      </c>
      <c r="O104" t="n">
        <v>1</v>
      </c>
      <c r="P104" t="n">
        <v>0</v>
      </c>
      <c r="Q104" t="n">
        <v>1</v>
      </c>
      <c r="R104" s="2" t="inlineStr">
        <is>
          <t>Reliktbock</t>
        </is>
      </c>
      <c r="S104">
        <f>HYPERLINK("https://klasma.github.io/Logging_2510/artfynd/A 52537-2023 artfynd.xlsx", "A 52537-2023")</f>
        <v/>
      </c>
      <c r="T104">
        <f>HYPERLINK("https://klasma.github.io/Logging_2510/kartor/A 52537-2023 karta.png", "A 52537-2023")</f>
        <v/>
      </c>
      <c r="V104">
        <f>HYPERLINK("https://klasma.github.io/Logging_2510/klagomål/A 52537-2023 FSC-klagomål.docx", "A 52537-2023")</f>
        <v/>
      </c>
      <c r="W104">
        <f>HYPERLINK("https://klasma.github.io/Logging_2510/klagomålsmail/A 52537-2023 FSC-klagomål mail.docx", "A 52537-2023")</f>
        <v/>
      </c>
      <c r="X104">
        <f>HYPERLINK("https://klasma.github.io/Logging_2510/tillsyn/A 52537-2023 tillsynsbegäran.docx", "A 52537-2023")</f>
        <v/>
      </c>
      <c r="Y104">
        <f>HYPERLINK("https://klasma.github.io/Logging_2510/tillsynsmail/A 52537-2023 tillsynsbegäran mail.docx", "A 52537-2023")</f>
        <v/>
      </c>
    </row>
    <row r="105" ht="15" customHeight="1">
      <c r="A105" t="inlineStr">
        <is>
          <t>A 58068-2023</t>
        </is>
      </c>
      <c r="B105" s="1" t="n">
        <v>45247</v>
      </c>
      <c r="C105" s="1" t="n">
        <v>45795</v>
      </c>
      <c r="D105" t="inlineStr">
        <is>
          <t>NORRBOTTENS LÄN</t>
        </is>
      </c>
      <c r="E105" t="inlineStr">
        <is>
          <t>JOKKMOKK</t>
        </is>
      </c>
      <c r="G105" t="n">
        <v>3.1</v>
      </c>
      <c r="H105" t="n">
        <v>0</v>
      </c>
      <c r="I105" t="n">
        <v>1</v>
      </c>
      <c r="J105" t="n">
        <v>0</v>
      </c>
      <c r="K105" t="n">
        <v>0</v>
      </c>
      <c r="L105" t="n">
        <v>0</v>
      </c>
      <c r="M105" t="n">
        <v>0</v>
      </c>
      <c r="N105" t="n">
        <v>0</v>
      </c>
      <c r="O105" t="n">
        <v>0</v>
      </c>
      <c r="P105" t="n">
        <v>0</v>
      </c>
      <c r="Q105" t="n">
        <v>1</v>
      </c>
      <c r="R105" s="2" t="inlineStr">
        <is>
          <t>Källmossa</t>
        </is>
      </c>
      <c r="S105">
        <f>HYPERLINK("https://klasma.github.io/Logging_2510/artfynd/A 58068-2023 artfynd.xlsx", "A 58068-2023")</f>
        <v/>
      </c>
      <c r="T105">
        <f>HYPERLINK("https://klasma.github.io/Logging_2510/kartor/A 58068-2023 karta.png", "A 58068-2023")</f>
        <v/>
      </c>
      <c r="V105">
        <f>HYPERLINK("https://klasma.github.io/Logging_2510/klagomål/A 58068-2023 FSC-klagomål.docx", "A 58068-2023")</f>
        <v/>
      </c>
      <c r="W105">
        <f>HYPERLINK("https://klasma.github.io/Logging_2510/klagomålsmail/A 58068-2023 FSC-klagomål mail.docx", "A 58068-2023")</f>
        <v/>
      </c>
      <c r="X105">
        <f>HYPERLINK("https://klasma.github.io/Logging_2510/tillsyn/A 58068-2023 tillsynsbegäran.docx", "A 58068-2023")</f>
        <v/>
      </c>
      <c r="Y105">
        <f>HYPERLINK("https://klasma.github.io/Logging_2510/tillsynsmail/A 58068-2023 tillsynsbegäran mail.docx", "A 58068-2023")</f>
        <v/>
      </c>
    </row>
    <row r="106" ht="15" customHeight="1">
      <c r="A106" t="inlineStr">
        <is>
          <t>A 29679-2024</t>
        </is>
      </c>
      <c r="B106" s="1" t="n">
        <v>45485</v>
      </c>
      <c r="C106" s="1" t="n">
        <v>45795</v>
      </c>
      <c r="D106" t="inlineStr">
        <is>
          <t>NORRBOTTENS LÄN</t>
        </is>
      </c>
      <c r="E106" t="inlineStr">
        <is>
          <t>JOKKMOKK</t>
        </is>
      </c>
      <c r="F106" t="inlineStr">
        <is>
          <t>SCA</t>
        </is>
      </c>
      <c r="G106" t="n">
        <v>16.1</v>
      </c>
      <c r="H106" t="n">
        <v>0</v>
      </c>
      <c r="I106" t="n">
        <v>0</v>
      </c>
      <c r="J106" t="n">
        <v>1</v>
      </c>
      <c r="K106" t="n">
        <v>0</v>
      </c>
      <c r="L106" t="n">
        <v>0</v>
      </c>
      <c r="M106" t="n">
        <v>0</v>
      </c>
      <c r="N106" t="n">
        <v>0</v>
      </c>
      <c r="O106" t="n">
        <v>1</v>
      </c>
      <c r="P106" t="n">
        <v>0</v>
      </c>
      <c r="Q106" t="n">
        <v>1</v>
      </c>
      <c r="R106" s="2" t="inlineStr">
        <is>
          <t>Kolflarnlav</t>
        </is>
      </c>
      <c r="S106">
        <f>HYPERLINK("https://klasma.github.io/Logging_2510/artfynd/A 29679-2024 artfynd.xlsx", "A 29679-2024")</f>
        <v/>
      </c>
      <c r="T106">
        <f>HYPERLINK("https://klasma.github.io/Logging_2510/kartor/A 29679-2024 karta.png", "A 29679-2024")</f>
        <v/>
      </c>
      <c r="V106">
        <f>HYPERLINK("https://klasma.github.io/Logging_2510/klagomål/A 29679-2024 FSC-klagomål.docx", "A 29679-2024")</f>
        <v/>
      </c>
      <c r="W106">
        <f>HYPERLINK("https://klasma.github.io/Logging_2510/klagomålsmail/A 29679-2024 FSC-klagomål mail.docx", "A 29679-2024")</f>
        <v/>
      </c>
      <c r="X106">
        <f>HYPERLINK("https://klasma.github.io/Logging_2510/tillsyn/A 29679-2024 tillsynsbegäran.docx", "A 29679-2024")</f>
        <v/>
      </c>
      <c r="Y106">
        <f>HYPERLINK("https://klasma.github.io/Logging_2510/tillsynsmail/A 29679-2024 tillsynsbegäran mail.docx", "A 29679-2024")</f>
        <v/>
      </c>
    </row>
    <row r="107" ht="15" customHeight="1">
      <c r="A107" t="inlineStr">
        <is>
          <t>A 36111-2024</t>
        </is>
      </c>
      <c r="B107" s="1" t="n">
        <v>45534</v>
      </c>
      <c r="C107" s="1" t="n">
        <v>45795</v>
      </c>
      <c r="D107" t="inlineStr">
        <is>
          <t>NORRBOTTENS LÄN</t>
        </is>
      </c>
      <c r="E107" t="inlineStr">
        <is>
          <t>JOKKMOKK</t>
        </is>
      </c>
      <c r="F107" t="inlineStr">
        <is>
          <t>Sveaskog</t>
        </is>
      </c>
      <c r="G107" t="n">
        <v>1.7</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36111-2024 artfynd.xlsx", "A 36111-2024")</f>
        <v/>
      </c>
      <c r="T107">
        <f>HYPERLINK("https://klasma.github.io/Logging_2510/kartor/A 36111-2024 karta.png", "A 36111-2024")</f>
        <v/>
      </c>
      <c r="V107">
        <f>HYPERLINK("https://klasma.github.io/Logging_2510/klagomål/A 36111-2024 FSC-klagomål.docx", "A 36111-2024")</f>
        <v/>
      </c>
      <c r="W107">
        <f>HYPERLINK("https://klasma.github.io/Logging_2510/klagomålsmail/A 36111-2024 FSC-klagomål mail.docx", "A 36111-2024")</f>
        <v/>
      </c>
      <c r="X107">
        <f>HYPERLINK("https://klasma.github.io/Logging_2510/tillsyn/A 36111-2024 tillsynsbegäran.docx", "A 36111-2024")</f>
        <v/>
      </c>
      <c r="Y107">
        <f>HYPERLINK("https://klasma.github.io/Logging_2510/tillsynsmail/A 36111-2024 tillsynsbegäran mail.docx", "A 36111-2024")</f>
        <v/>
      </c>
    </row>
    <row r="108" ht="15" customHeight="1">
      <c r="A108" t="inlineStr">
        <is>
          <t>A 36112-2024</t>
        </is>
      </c>
      <c r="B108" s="1" t="n">
        <v>45534</v>
      </c>
      <c r="C108" s="1" t="n">
        <v>45795</v>
      </c>
      <c r="D108" t="inlineStr">
        <is>
          <t>NORRBOTTENS LÄN</t>
        </is>
      </c>
      <c r="E108" t="inlineStr">
        <is>
          <t>JOKKMOKK</t>
        </is>
      </c>
      <c r="F108" t="inlineStr">
        <is>
          <t>Sveaskog</t>
        </is>
      </c>
      <c r="G108" t="n">
        <v>2.7</v>
      </c>
      <c r="H108" t="n">
        <v>0</v>
      </c>
      <c r="I108" t="n">
        <v>0</v>
      </c>
      <c r="J108" t="n">
        <v>1</v>
      </c>
      <c r="K108" t="n">
        <v>0</v>
      </c>
      <c r="L108" t="n">
        <v>0</v>
      </c>
      <c r="M108" t="n">
        <v>0</v>
      </c>
      <c r="N108" t="n">
        <v>0</v>
      </c>
      <c r="O108" t="n">
        <v>1</v>
      </c>
      <c r="P108" t="n">
        <v>0</v>
      </c>
      <c r="Q108" t="n">
        <v>1</v>
      </c>
      <c r="R108" s="2" t="inlineStr">
        <is>
          <t>Tallriska</t>
        </is>
      </c>
      <c r="S108">
        <f>HYPERLINK("https://klasma.github.io/Logging_2510/artfynd/A 36112-2024 artfynd.xlsx", "A 36112-2024")</f>
        <v/>
      </c>
      <c r="T108">
        <f>HYPERLINK("https://klasma.github.io/Logging_2510/kartor/A 36112-2024 karta.png", "A 36112-2024")</f>
        <v/>
      </c>
      <c r="V108">
        <f>HYPERLINK("https://klasma.github.io/Logging_2510/klagomål/A 36112-2024 FSC-klagomål.docx", "A 36112-2024")</f>
        <v/>
      </c>
      <c r="W108">
        <f>HYPERLINK("https://klasma.github.io/Logging_2510/klagomålsmail/A 36112-2024 FSC-klagomål mail.docx", "A 36112-2024")</f>
        <v/>
      </c>
      <c r="X108">
        <f>HYPERLINK("https://klasma.github.io/Logging_2510/tillsyn/A 36112-2024 tillsynsbegäran.docx", "A 36112-2024")</f>
        <v/>
      </c>
      <c r="Y108">
        <f>HYPERLINK("https://klasma.github.io/Logging_2510/tillsynsmail/A 36112-2024 tillsynsbegäran mail.docx", "A 36112-2024")</f>
        <v/>
      </c>
    </row>
    <row r="109" ht="15" customHeight="1">
      <c r="A109" t="inlineStr">
        <is>
          <t>A 40126-2024</t>
        </is>
      </c>
      <c r="B109" s="1" t="n">
        <v>45554</v>
      </c>
      <c r="C109" s="1" t="n">
        <v>45795</v>
      </c>
      <c r="D109" t="inlineStr">
        <is>
          <t>NORRBOTTENS LÄN</t>
        </is>
      </c>
      <c r="E109" t="inlineStr">
        <is>
          <t>JOKKMOKK</t>
        </is>
      </c>
      <c r="F109" t="inlineStr">
        <is>
          <t>Sveaskog</t>
        </is>
      </c>
      <c r="G109" t="n">
        <v>4.1</v>
      </c>
      <c r="H109" t="n">
        <v>1</v>
      </c>
      <c r="I109" t="n">
        <v>0</v>
      </c>
      <c r="J109" t="n">
        <v>0</v>
      </c>
      <c r="K109" t="n">
        <v>1</v>
      </c>
      <c r="L109" t="n">
        <v>0</v>
      </c>
      <c r="M109" t="n">
        <v>0</v>
      </c>
      <c r="N109" t="n">
        <v>0</v>
      </c>
      <c r="O109" t="n">
        <v>1</v>
      </c>
      <c r="P109" t="n">
        <v>1</v>
      </c>
      <c r="Q109" t="n">
        <v>1</v>
      </c>
      <c r="R109" s="2" t="inlineStr">
        <is>
          <t>Doftticka</t>
        </is>
      </c>
      <c r="S109">
        <f>HYPERLINK("https://klasma.github.io/Logging_2510/artfynd/A 40126-2024 artfynd.xlsx", "A 40126-2024")</f>
        <v/>
      </c>
      <c r="T109">
        <f>HYPERLINK("https://klasma.github.io/Logging_2510/kartor/A 40126-2024 karta.png", "A 40126-2024")</f>
        <v/>
      </c>
      <c r="V109">
        <f>HYPERLINK("https://klasma.github.io/Logging_2510/klagomål/A 40126-2024 FSC-klagomål.docx", "A 40126-2024")</f>
        <v/>
      </c>
      <c r="W109">
        <f>HYPERLINK("https://klasma.github.io/Logging_2510/klagomålsmail/A 40126-2024 FSC-klagomål mail.docx", "A 40126-2024")</f>
        <v/>
      </c>
      <c r="X109">
        <f>HYPERLINK("https://klasma.github.io/Logging_2510/tillsyn/A 40126-2024 tillsynsbegäran.docx", "A 40126-2024")</f>
        <v/>
      </c>
      <c r="Y109">
        <f>HYPERLINK("https://klasma.github.io/Logging_2510/tillsynsmail/A 40126-2024 tillsynsbegäran mail.docx", "A 40126-2024")</f>
        <v/>
      </c>
    </row>
    <row r="110" ht="15" customHeight="1">
      <c r="A110" t="inlineStr">
        <is>
          <t>A 43039-2024</t>
        </is>
      </c>
      <c r="B110" s="1" t="n">
        <v>45567</v>
      </c>
      <c r="C110" s="1" t="n">
        <v>45795</v>
      </c>
      <c r="D110" t="inlineStr">
        <is>
          <t>NORRBOTTENS LÄN</t>
        </is>
      </c>
      <c r="E110" t="inlineStr">
        <is>
          <t>JOKKMOKK</t>
        </is>
      </c>
      <c r="F110" t="inlineStr">
        <is>
          <t>Sveaskog</t>
        </is>
      </c>
      <c r="G110" t="n">
        <v>8.199999999999999</v>
      </c>
      <c r="H110" t="n">
        <v>1</v>
      </c>
      <c r="I110" t="n">
        <v>0</v>
      </c>
      <c r="J110" t="n">
        <v>0</v>
      </c>
      <c r="K110" t="n">
        <v>1</v>
      </c>
      <c r="L110" t="n">
        <v>0</v>
      </c>
      <c r="M110" t="n">
        <v>0</v>
      </c>
      <c r="N110" t="n">
        <v>0</v>
      </c>
      <c r="O110" t="n">
        <v>1</v>
      </c>
      <c r="P110" t="n">
        <v>1</v>
      </c>
      <c r="Q110" t="n">
        <v>1</v>
      </c>
      <c r="R110" s="2" t="inlineStr">
        <is>
          <t>Doftticka</t>
        </is>
      </c>
      <c r="S110">
        <f>HYPERLINK("https://klasma.github.io/Logging_2510/artfynd/A 43039-2024 artfynd.xlsx", "A 43039-2024")</f>
        <v/>
      </c>
      <c r="T110">
        <f>HYPERLINK("https://klasma.github.io/Logging_2510/kartor/A 43039-2024 karta.png", "A 43039-2024")</f>
        <v/>
      </c>
      <c r="V110">
        <f>HYPERLINK("https://klasma.github.io/Logging_2510/klagomål/A 43039-2024 FSC-klagomål.docx", "A 43039-2024")</f>
        <v/>
      </c>
      <c r="W110">
        <f>HYPERLINK("https://klasma.github.io/Logging_2510/klagomålsmail/A 43039-2024 FSC-klagomål mail.docx", "A 43039-2024")</f>
        <v/>
      </c>
      <c r="X110">
        <f>HYPERLINK("https://klasma.github.io/Logging_2510/tillsyn/A 43039-2024 tillsynsbegäran.docx", "A 43039-2024")</f>
        <v/>
      </c>
      <c r="Y110">
        <f>HYPERLINK("https://klasma.github.io/Logging_2510/tillsynsmail/A 43039-2024 tillsynsbegäran mail.docx", "A 43039-2024")</f>
        <v/>
      </c>
    </row>
    <row r="111" ht="15" customHeight="1">
      <c r="A111" t="inlineStr">
        <is>
          <t>A 43023-2024</t>
        </is>
      </c>
      <c r="B111" s="1" t="n">
        <v>45567</v>
      </c>
      <c r="C111" s="1" t="n">
        <v>45795</v>
      </c>
      <c r="D111" t="inlineStr">
        <is>
          <t>NORRBOTTENS LÄN</t>
        </is>
      </c>
      <c r="E111" t="inlineStr">
        <is>
          <t>JOKKMOKK</t>
        </is>
      </c>
      <c r="F111" t="inlineStr">
        <is>
          <t>Sveaskog</t>
        </is>
      </c>
      <c r="G111" t="n">
        <v>11.1</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43023-2024 artfynd.xlsx", "A 43023-2024")</f>
        <v/>
      </c>
      <c r="T111">
        <f>HYPERLINK("https://klasma.github.io/Logging_2510/kartor/A 43023-2024 karta.png", "A 43023-2024")</f>
        <v/>
      </c>
      <c r="V111">
        <f>HYPERLINK("https://klasma.github.io/Logging_2510/klagomål/A 43023-2024 FSC-klagomål.docx", "A 43023-2024")</f>
        <v/>
      </c>
      <c r="W111">
        <f>HYPERLINK("https://klasma.github.io/Logging_2510/klagomålsmail/A 43023-2024 FSC-klagomål mail.docx", "A 43023-2024")</f>
        <v/>
      </c>
      <c r="X111">
        <f>HYPERLINK("https://klasma.github.io/Logging_2510/tillsyn/A 43023-2024 tillsynsbegäran.docx", "A 43023-2024")</f>
        <v/>
      </c>
      <c r="Y111">
        <f>HYPERLINK("https://klasma.github.io/Logging_2510/tillsynsmail/A 43023-2024 tillsynsbegäran mail.docx", "A 43023-2024")</f>
        <v/>
      </c>
    </row>
    <row r="112" ht="15" customHeight="1">
      <c r="A112" t="inlineStr">
        <is>
          <t>A 44147-2024</t>
        </is>
      </c>
      <c r="B112" s="1" t="n">
        <v>45572</v>
      </c>
      <c r="C112" s="1" t="n">
        <v>45795</v>
      </c>
      <c r="D112" t="inlineStr">
        <is>
          <t>NORRBOTTENS LÄN</t>
        </is>
      </c>
      <c r="E112" t="inlineStr">
        <is>
          <t>JOKKMOKK</t>
        </is>
      </c>
      <c r="F112" t="inlineStr">
        <is>
          <t>Sveaskog</t>
        </is>
      </c>
      <c r="G112" t="n">
        <v>6.2</v>
      </c>
      <c r="H112" t="n">
        <v>1</v>
      </c>
      <c r="I112" t="n">
        <v>1</v>
      </c>
      <c r="J112" t="n">
        <v>0</v>
      </c>
      <c r="K112" t="n">
        <v>0</v>
      </c>
      <c r="L112" t="n">
        <v>0</v>
      </c>
      <c r="M112" t="n">
        <v>0</v>
      </c>
      <c r="N112" t="n">
        <v>0</v>
      </c>
      <c r="O112" t="n">
        <v>0</v>
      </c>
      <c r="P112" t="n">
        <v>0</v>
      </c>
      <c r="Q112" t="n">
        <v>1</v>
      </c>
      <c r="R112" s="2" t="inlineStr">
        <is>
          <t>Plattlummer</t>
        </is>
      </c>
      <c r="S112">
        <f>HYPERLINK("https://klasma.github.io/Logging_2510/artfynd/A 44147-2024 artfynd.xlsx", "A 44147-2024")</f>
        <v/>
      </c>
      <c r="T112">
        <f>HYPERLINK("https://klasma.github.io/Logging_2510/kartor/A 44147-2024 karta.png", "A 44147-2024")</f>
        <v/>
      </c>
      <c r="V112">
        <f>HYPERLINK("https://klasma.github.io/Logging_2510/klagomål/A 44147-2024 FSC-klagomål.docx", "A 44147-2024")</f>
        <v/>
      </c>
      <c r="W112">
        <f>HYPERLINK("https://klasma.github.io/Logging_2510/klagomålsmail/A 44147-2024 FSC-klagomål mail.docx", "A 44147-2024")</f>
        <v/>
      </c>
      <c r="X112">
        <f>HYPERLINK("https://klasma.github.io/Logging_2510/tillsyn/A 44147-2024 tillsynsbegäran.docx", "A 44147-2024")</f>
        <v/>
      </c>
      <c r="Y112">
        <f>HYPERLINK("https://klasma.github.io/Logging_2510/tillsynsmail/A 44147-2024 tillsynsbegäran mail.docx", "A 44147-2024")</f>
        <v/>
      </c>
    </row>
    <row r="113" ht="15" customHeight="1">
      <c r="A113" t="inlineStr">
        <is>
          <t>A 46388-2024</t>
        </is>
      </c>
      <c r="B113" s="1" t="n">
        <v>45582</v>
      </c>
      <c r="C113" s="1" t="n">
        <v>45795</v>
      </c>
      <c r="D113" t="inlineStr">
        <is>
          <t>NORRBOTTENS LÄN</t>
        </is>
      </c>
      <c r="E113" t="inlineStr">
        <is>
          <t>JOKKMOKK</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HYPERLINK("https://klasma.github.io/Logging_2510/artfynd/A 46388-2024 artfynd.xlsx", "A 46388-2024")</f>
        <v/>
      </c>
      <c r="T113">
        <f>HYPERLINK("https://klasma.github.io/Logging_2510/kartor/A 46388-2024 karta.png", "A 46388-2024")</f>
        <v/>
      </c>
      <c r="V113">
        <f>HYPERLINK("https://klasma.github.io/Logging_2510/klagomål/A 46388-2024 FSC-klagomål.docx", "A 46388-2024")</f>
        <v/>
      </c>
      <c r="W113">
        <f>HYPERLINK("https://klasma.github.io/Logging_2510/klagomålsmail/A 46388-2024 FSC-klagomål mail.docx", "A 46388-2024")</f>
        <v/>
      </c>
      <c r="X113">
        <f>HYPERLINK("https://klasma.github.io/Logging_2510/tillsyn/A 46388-2024 tillsynsbegäran.docx", "A 46388-2024")</f>
        <v/>
      </c>
      <c r="Y113">
        <f>HYPERLINK("https://klasma.github.io/Logging_2510/tillsynsmail/A 46388-2024 tillsynsbegäran mail.docx", "A 46388-2024")</f>
        <v/>
      </c>
    </row>
    <row r="114" ht="15" customHeight="1">
      <c r="A114" t="inlineStr">
        <is>
          <t>A 49525-2024</t>
        </is>
      </c>
      <c r="B114" s="1" t="n">
        <v>45596</v>
      </c>
      <c r="C114" s="1" t="n">
        <v>45795</v>
      </c>
      <c r="D114" t="inlineStr">
        <is>
          <t>NORRBOTTENS LÄN</t>
        </is>
      </c>
      <c r="E114" t="inlineStr">
        <is>
          <t>JOKKMOKK</t>
        </is>
      </c>
      <c r="F114" t="inlineStr">
        <is>
          <t>SCA</t>
        </is>
      </c>
      <c r="G114" t="n">
        <v>2.5</v>
      </c>
      <c r="H114" t="n">
        <v>0</v>
      </c>
      <c r="I114" t="n">
        <v>0</v>
      </c>
      <c r="J114" t="n">
        <v>0</v>
      </c>
      <c r="K114" t="n">
        <v>1</v>
      </c>
      <c r="L114" t="n">
        <v>0</v>
      </c>
      <c r="M114" t="n">
        <v>0</v>
      </c>
      <c r="N114" t="n">
        <v>0</v>
      </c>
      <c r="O114" t="n">
        <v>1</v>
      </c>
      <c r="P114" t="n">
        <v>1</v>
      </c>
      <c r="Q114" t="n">
        <v>1</v>
      </c>
      <c r="R114" s="2" t="inlineStr">
        <is>
          <t>Ringlav</t>
        </is>
      </c>
      <c r="S114">
        <f>HYPERLINK("https://klasma.github.io/Logging_2510/artfynd/A 49525-2024 artfynd.xlsx", "A 49525-2024")</f>
        <v/>
      </c>
      <c r="T114">
        <f>HYPERLINK("https://klasma.github.io/Logging_2510/kartor/A 49525-2024 karta.png", "A 49525-2024")</f>
        <v/>
      </c>
      <c r="V114">
        <f>HYPERLINK("https://klasma.github.io/Logging_2510/klagomål/A 49525-2024 FSC-klagomål.docx", "A 49525-2024")</f>
        <v/>
      </c>
      <c r="W114">
        <f>HYPERLINK("https://klasma.github.io/Logging_2510/klagomålsmail/A 49525-2024 FSC-klagomål mail.docx", "A 49525-2024")</f>
        <v/>
      </c>
      <c r="X114">
        <f>HYPERLINK("https://klasma.github.io/Logging_2510/tillsyn/A 49525-2024 tillsynsbegäran.docx", "A 49525-2024")</f>
        <v/>
      </c>
      <c r="Y114">
        <f>HYPERLINK("https://klasma.github.io/Logging_2510/tillsynsmail/A 49525-2024 tillsynsbegäran mail.docx", "A 49525-2024")</f>
        <v/>
      </c>
    </row>
    <row r="115" ht="15" customHeight="1">
      <c r="A115" t="inlineStr">
        <is>
          <t>A 50121-2024</t>
        </is>
      </c>
      <c r="B115" s="1" t="n">
        <v>45600</v>
      </c>
      <c r="C115" s="1" t="n">
        <v>45795</v>
      </c>
      <c r="D115" t="inlineStr">
        <is>
          <t>NORRBOTTENS LÄN</t>
        </is>
      </c>
      <c r="E115" t="inlineStr">
        <is>
          <t>JOKKMOKK</t>
        </is>
      </c>
      <c r="G115" t="n">
        <v>2.3</v>
      </c>
      <c r="H115" t="n">
        <v>1</v>
      </c>
      <c r="I115" t="n">
        <v>0</v>
      </c>
      <c r="J115" t="n">
        <v>1</v>
      </c>
      <c r="K115" t="n">
        <v>0</v>
      </c>
      <c r="L115" t="n">
        <v>0</v>
      </c>
      <c r="M115" t="n">
        <v>0</v>
      </c>
      <c r="N115" t="n">
        <v>0</v>
      </c>
      <c r="O115" t="n">
        <v>1</v>
      </c>
      <c r="P115" t="n">
        <v>0</v>
      </c>
      <c r="Q115" t="n">
        <v>1</v>
      </c>
      <c r="R115" s="2" t="inlineStr">
        <is>
          <t>Buskskvätta</t>
        </is>
      </c>
      <c r="S115">
        <f>HYPERLINK("https://klasma.github.io/Logging_2510/artfynd/A 50121-2024 artfynd.xlsx", "A 50121-2024")</f>
        <v/>
      </c>
      <c r="T115">
        <f>HYPERLINK("https://klasma.github.io/Logging_2510/kartor/A 50121-2024 karta.png", "A 50121-2024")</f>
        <v/>
      </c>
      <c r="V115">
        <f>HYPERLINK("https://klasma.github.io/Logging_2510/klagomål/A 50121-2024 FSC-klagomål.docx", "A 50121-2024")</f>
        <v/>
      </c>
      <c r="W115">
        <f>HYPERLINK("https://klasma.github.io/Logging_2510/klagomålsmail/A 50121-2024 FSC-klagomål mail.docx", "A 50121-2024")</f>
        <v/>
      </c>
      <c r="X115">
        <f>HYPERLINK("https://klasma.github.io/Logging_2510/tillsyn/A 50121-2024 tillsynsbegäran.docx", "A 50121-2024")</f>
        <v/>
      </c>
      <c r="Y115">
        <f>HYPERLINK("https://klasma.github.io/Logging_2510/tillsynsmail/A 50121-2024 tillsynsbegäran mail.docx", "A 50121-2024")</f>
        <v/>
      </c>
      <c r="Z115">
        <f>HYPERLINK("https://klasma.github.io/Logging_2510/fåglar/A 50121-2024 prioriterade fågelarter.docx", "A 50121-2024")</f>
        <v/>
      </c>
    </row>
    <row r="116" ht="15" customHeight="1">
      <c r="A116" t="inlineStr">
        <is>
          <t>A 51497-2024</t>
        </is>
      </c>
      <c r="B116" s="1" t="n">
        <v>45604</v>
      </c>
      <c r="C116" s="1" t="n">
        <v>45795</v>
      </c>
      <c r="D116" t="inlineStr">
        <is>
          <t>NORRBOTTENS LÄN</t>
        </is>
      </c>
      <c r="E116" t="inlineStr">
        <is>
          <t>JOKKMOKK</t>
        </is>
      </c>
      <c r="G116" t="n">
        <v>16.6</v>
      </c>
      <c r="H116" t="n">
        <v>0</v>
      </c>
      <c r="I116" t="n">
        <v>0</v>
      </c>
      <c r="J116" t="n">
        <v>1</v>
      </c>
      <c r="K116" t="n">
        <v>0</v>
      </c>
      <c r="L116" t="n">
        <v>0</v>
      </c>
      <c r="M116" t="n">
        <v>0</v>
      </c>
      <c r="N116" t="n">
        <v>0</v>
      </c>
      <c r="O116" t="n">
        <v>1</v>
      </c>
      <c r="P116" t="n">
        <v>0</v>
      </c>
      <c r="Q116" t="n">
        <v>1</v>
      </c>
      <c r="R116" s="2" t="inlineStr">
        <is>
          <t>Tallticka</t>
        </is>
      </c>
      <c r="S116">
        <f>HYPERLINK("https://klasma.github.io/Logging_2510/artfynd/A 51497-2024 artfynd.xlsx", "A 51497-2024")</f>
        <v/>
      </c>
      <c r="T116">
        <f>HYPERLINK("https://klasma.github.io/Logging_2510/kartor/A 51497-2024 karta.png", "A 51497-2024")</f>
        <v/>
      </c>
      <c r="V116">
        <f>HYPERLINK("https://klasma.github.io/Logging_2510/klagomål/A 51497-2024 FSC-klagomål.docx", "A 51497-2024")</f>
        <v/>
      </c>
      <c r="W116">
        <f>HYPERLINK("https://klasma.github.io/Logging_2510/klagomålsmail/A 51497-2024 FSC-klagomål mail.docx", "A 51497-2024")</f>
        <v/>
      </c>
      <c r="X116">
        <f>HYPERLINK("https://klasma.github.io/Logging_2510/tillsyn/A 51497-2024 tillsynsbegäran.docx", "A 51497-2024")</f>
        <v/>
      </c>
      <c r="Y116">
        <f>HYPERLINK("https://klasma.github.io/Logging_2510/tillsynsmail/A 51497-2024 tillsynsbegäran mail.docx", "A 51497-2024")</f>
        <v/>
      </c>
    </row>
    <row r="117" ht="15" customHeight="1">
      <c r="A117" t="inlineStr">
        <is>
          <t>A 52260-2024</t>
        </is>
      </c>
      <c r="B117" s="1" t="n">
        <v>45608</v>
      </c>
      <c r="C117" s="1" t="n">
        <v>45795</v>
      </c>
      <c r="D117" t="inlineStr">
        <is>
          <t>NORRBOTTENS LÄN</t>
        </is>
      </c>
      <c r="E117" t="inlineStr">
        <is>
          <t>JOKKMOKK</t>
        </is>
      </c>
      <c r="F117" t="inlineStr">
        <is>
          <t>Allmännings- och besparingsskogar</t>
        </is>
      </c>
      <c r="G117" t="n">
        <v>11.6</v>
      </c>
      <c r="H117" t="n">
        <v>0</v>
      </c>
      <c r="I117" t="n">
        <v>0</v>
      </c>
      <c r="J117" t="n">
        <v>1</v>
      </c>
      <c r="K117" t="n">
        <v>0</v>
      </c>
      <c r="L117" t="n">
        <v>0</v>
      </c>
      <c r="M117" t="n">
        <v>0</v>
      </c>
      <c r="N117" t="n">
        <v>0</v>
      </c>
      <c r="O117" t="n">
        <v>1</v>
      </c>
      <c r="P117" t="n">
        <v>0</v>
      </c>
      <c r="Q117" t="n">
        <v>1</v>
      </c>
      <c r="R117" s="2" t="inlineStr">
        <is>
          <t>Tallticka</t>
        </is>
      </c>
      <c r="S117">
        <f>HYPERLINK("https://klasma.github.io/Logging_2510/artfynd/A 52260-2024 artfynd.xlsx", "A 52260-2024")</f>
        <v/>
      </c>
      <c r="T117">
        <f>HYPERLINK("https://klasma.github.io/Logging_2510/kartor/A 52260-2024 karta.png", "A 52260-2024")</f>
        <v/>
      </c>
      <c r="V117">
        <f>HYPERLINK("https://klasma.github.io/Logging_2510/klagomål/A 52260-2024 FSC-klagomål.docx", "A 52260-2024")</f>
        <v/>
      </c>
      <c r="W117">
        <f>HYPERLINK("https://klasma.github.io/Logging_2510/klagomålsmail/A 52260-2024 FSC-klagomål mail.docx", "A 52260-2024")</f>
        <v/>
      </c>
      <c r="X117">
        <f>HYPERLINK("https://klasma.github.io/Logging_2510/tillsyn/A 52260-2024 tillsynsbegäran.docx", "A 52260-2024")</f>
        <v/>
      </c>
      <c r="Y117">
        <f>HYPERLINK("https://klasma.github.io/Logging_2510/tillsynsmail/A 52260-2024 tillsynsbegäran mail.docx", "A 52260-2024")</f>
        <v/>
      </c>
    </row>
    <row r="118" ht="15" customHeight="1">
      <c r="A118" t="inlineStr">
        <is>
          <t>A 52994-2024</t>
        </is>
      </c>
      <c r="B118" s="1" t="n">
        <v>45611</v>
      </c>
      <c r="C118" s="1" t="n">
        <v>45795</v>
      </c>
      <c r="D118" t="inlineStr">
        <is>
          <t>NORRBOTTENS LÄN</t>
        </is>
      </c>
      <c r="E118" t="inlineStr">
        <is>
          <t>JOKKMOKK</t>
        </is>
      </c>
      <c r="F118" t="inlineStr">
        <is>
          <t>Sveaskog</t>
        </is>
      </c>
      <c r="G118" t="n">
        <v>17.1</v>
      </c>
      <c r="H118" t="n">
        <v>0</v>
      </c>
      <c r="I118" t="n">
        <v>0</v>
      </c>
      <c r="J118" t="n">
        <v>1</v>
      </c>
      <c r="K118" t="n">
        <v>0</v>
      </c>
      <c r="L118" t="n">
        <v>0</v>
      </c>
      <c r="M118" t="n">
        <v>0</v>
      </c>
      <c r="N118" t="n">
        <v>0</v>
      </c>
      <c r="O118" t="n">
        <v>1</v>
      </c>
      <c r="P118" t="n">
        <v>0</v>
      </c>
      <c r="Q118" t="n">
        <v>1</v>
      </c>
      <c r="R118" s="2" t="inlineStr">
        <is>
          <t>Blå taggsvamp</t>
        </is>
      </c>
      <c r="S118">
        <f>HYPERLINK("https://klasma.github.io/Logging_2510/artfynd/A 52994-2024 artfynd.xlsx", "A 52994-2024")</f>
        <v/>
      </c>
      <c r="T118">
        <f>HYPERLINK("https://klasma.github.io/Logging_2510/kartor/A 52994-2024 karta.png", "A 52994-2024")</f>
        <v/>
      </c>
      <c r="V118">
        <f>HYPERLINK("https://klasma.github.io/Logging_2510/klagomål/A 52994-2024 FSC-klagomål.docx", "A 52994-2024")</f>
        <v/>
      </c>
      <c r="W118">
        <f>HYPERLINK("https://klasma.github.io/Logging_2510/klagomålsmail/A 52994-2024 FSC-klagomål mail.docx", "A 52994-2024")</f>
        <v/>
      </c>
      <c r="X118">
        <f>HYPERLINK("https://klasma.github.io/Logging_2510/tillsyn/A 52994-2024 tillsynsbegäran.docx", "A 52994-2024")</f>
        <v/>
      </c>
      <c r="Y118">
        <f>HYPERLINK("https://klasma.github.io/Logging_2510/tillsynsmail/A 52994-2024 tillsynsbegäran mail.docx", "A 52994-2024")</f>
        <v/>
      </c>
    </row>
    <row r="119" ht="15" customHeight="1">
      <c r="A119" t="inlineStr">
        <is>
          <t>A 18282-2019</t>
        </is>
      </c>
      <c r="B119" s="1" t="n">
        <v>43558</v>
      </c>
      <c r="C119" s="1" t="n">
        <v>45795</v>
      </c>
      <c r="D119" t="inlineStr">
        <is>
          <t>NORRBOTTENS LÄN</t>
        </is>
      </c>
      <c r="E119" t="inlineStr">
        <is>
          <t>JOKKMOKK</t>
        </is>
      </c>
      <c r="G119" t="n">
        <v>1.3</v>
      </c>
      <c r="H119" t="n">
        <v>0</v>
      </c>
      <c r="I119" t="n">
        <v>0</v>
      </c>
      <c r="J119" t="n">
        <v>0</v>
      </c>
      <c r="K119" t="n">
        <v>0</v>
      </c>
      <c r="L119" t="n">
        <v>0</v>
      </c>
      <c r="M119" t="n">
        <v>0</v>
      </c>
      <c r="N119" t="n">
        <v>0</v>
      </c>
      <c r="O119" t="n">
        <v>0</v>
      </c>
      <c r="P119" t="n">
        <v>0</v>
      </c>
      <c r="Q119" t="n">
        <v>0</v>
      </c>
      <c r="R119" s="2" t="inlineStr"/>
    </row>
    <row r="120" ht="15" customHeight="1">
      <c r="A120" t="inlineStr">
        <is>
          <t>A 25606-2019</t>
        </is>
      </c>
      <c r="B120" s="1" t="n">
        <v>43602</v>
      </c>
      <c r="C120" s="1" t="n">
        <v>45795</v>
      </c>
      <c r="D120" t="inlineStr">
        <is>
          <t>NORRBOTTENS LÄN</t>
        </is>
      </c>
      <c r="E120" t="inlineStr">
        <is>
          <t>JOKKMOKK</t>
        </is>
      </c>
      <c r="F120" t="inlineStr">
        <is>
          <t>Allmännings- och besparingsskogar</t>
        </is>
      </c>
      <c r="G120" t="n">
        <v>17.9</v>
      </c>
      <c r="H120" t="n">
        <v>0</v>
      </c>
      <c r="I120" t="n">
        <v>0</v>
      </c>
      <c r="J120" t="n">
        <v>0</v>
      </c>
      <c r="K120" t="n">
        <v>0</v>
      </c>
      <c r="L120" t="n">
        <v>0</v>
      </c>
      <c r="M120" t="n">
        <v>0</v>
      </c>
      <c r="N120" t="n">
        <v>0</v>
      </c>
      <c r="O120" t="n">
        <v>0</v>
      </c>
      <c r="P120" t="n">
        <v>0</v>
      </c>
      <c r="Q120" t="n">
        <v>0</v>
      </c>
      <c r="R120" s="2" t="inlineStr"/>
    </row>
    <row r="121" ht="15" customHeight="1">
      <c r="A121" t="inlineStr">
        <is>
          <t>A 25351-2019</t>
        </is>
      </c>
      <c r="B121" s="1" t="n">
        <v>43606</v>
      </c>
      <c r="C121" s="1" t="n">
        <v>45795</v>
      </c>
      <c r="D121" t="inlineStr">
        <is>
          <t>NORRBOTTENS LÄN</t>
        </is>
      </c>
      <c r="E121" t="inlineStr">
        <is>
          <t>JOKKMOKK</t>
        </is>
      </c>
      <c r="F121" t="inlineStr">
        <is>
          <t>Sveaskog</t>
        </is>
      </c>
      <c r="G121" t="n">
        <v>47.8</v>
      </c>
      <c r="H121" t="n">
        <v>0</v>
      </c>
      <c r="I121" t="n">
        <v>0</v>
      </c>
      <c r="J121" t="n">
        <v>0</v>
      </c>
      <c r="K121" t="n">
        <v>0</v>
      </c>
      <c r="L121" t="n">
        <v>0</v>
      </c>
      <c r="M121" t="n">
        <v>0</v>
      </c>
      <c r="N121" t="n">
        <v>0</v>
      </c>
      <c r="O121" t="n">
        <v>0</v>
      </c>
      <c r="P121" t="n">
        <v>0</v>
      </c>
      <c r="Q121" t="n">
        <v>0</v>
      </c>
      <c r="R121" s="2" t="inlineStr"/>
    </row>
    <row r="122" ht="15" customHeight="1">
      <c r="A122" t="inlineStr">
        <is>
          <t>A 25352-2019</t>
        </is>
      </c>
      <c r="B122" s="1" t="n">
        <v>43606</v>
      </c>
      <c r="C122" s="1" t="n">
        <v>45795</v>
      </c>
      <c r="D122" t="inlineStr">
        <is>
          <t>NORRBOTTENS LÄN</t>
        </is>
      </c>
      <c r="E122" t="inlineStr">
        <is>
          <t>JOKKMOKK</t>
        </is>
      </c>
      <c r="F122" t="inlineStr">
        <is>
          <t>Sveaskog</t>
        </is>
      </c>
      <c r="G122" t="n">
        <v>60.5</v>
      </c>
      <c r="H122" t="n">
        <v>0</v>
      </c>
      <c r="I122" t="n">
        <v>0</v>
      </c>
      <c r="J122" t="n">
        <v>0</v>
      </c>
      <c r="K122" t="n">
        <v>0</v>
      </c>
      <c r="L122" t="n">
        <v>0</v>
      </c>
      <c r="M122" t="n">
        <v>0</v>
      </c>
      <c r="N122" t="n">
        <v>0</v>
      </c>
      <c r="O122" t="n">
        <v>0</v>
      </c>
      <c r="P122" t="n">
        <v>0</v>
      </c>
      <c r="Q122" t="n">
        <v>0</v>
      </c>
      <c r="R122" s="2" t="inlineStr"/>
    </row>
    <row r="123" ht="15" customHeight="1">
      <c r="A123" t="inlineStr">
        <is>
          <t>A 25981-2019</t>
        </is>
      </c>
      <c r="B123" s="1" t="n">
        <v>43608</v>
      </c>
      <c r="C123" s="1" t="n">
        <v>45795</v>
      </c>
      <c r="D123" t="inlineStr">
        <is>
          <t>NORRBOTTENS LÄN</t>
        </is>
      </c>
      <c r="E123" t="inlineStr">
        <is>
          <t>JOKKMOKK</t>
        </is>
      </c>
      <c r="G123" t="n">
        <v>2.6</v>
      </c>
      <c r="H123" t="n">
        <v>0</v>
      </c>
      <c r="I123" t="n">
        <v>0</v>
      </c>
      <c r="J123" t="n">
        <v>0</v>
      </c>
      <c r="K123" t="n">
        <v>0</v>
      </c>
      <c r="L123" t="n">
        <v>0</v>
      </c>
      <c r="M123" t="n">
        <v>0</v>
      </c>
      <c r="N123" t="n">
        <v>0</v>
      </c>
      <c r="O123" t="n">
        <v>0</v>
      </c>
      <c r="P123" t="n">
        <v>0</v>
      </c>
      <c r="Q123" t="n">
        <v>0</v>
      </c>
      <c r="R123" s="2" t="inlineStr"/>
    </row>
    <row r="124" ht="15" customHeight="1">
      <c r="A124" t="inlineStr">
        <is>
          <t>A 27041-2019</t>
        </is>
      </c>
      <c r="B124" s="1" t="n">
        <v>43614</v>
      </c>
      <c r="C124" s="1" t="n">
        <v>45795</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28379-2019</t>
        </is>
      </c>
      <c r="B125" s="1" t="n">
        <v>43626</v>
      </c>
      <c r="C125" s="1" t="n">
        <v>45795</v>
      </c>
      <c r="D125" t="inlineStr">
        <is>
          <t>NORRBOTTENS LÄN</t>
        </is>
      </c>
      <c r="E125" t="inlineStr">
        <is>
          <t>JOKKMOKK</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29447-2019</t>
        </is>
      </c>
      <c r="B126" s="1" t="n">
        <v>43626</v>
      </c>
      <c r="C126" s="1" t="n">
        <v>45795</v>
      </c>
      <c r="D126" t="inlineStr">
        <is>
          <t>NORRBOTTENS LÄN</t>
        </is>
      </c>
      <c r="E126" t="inlineStr">
        <is>
          <t>JOKKMOKK</t>
        </is>
      </c>
      <c r="G126" t="n">
        <v>1.5</v>
      </c>
      <c r="H126" t="n">
        <v>0</v>
      </c>
      <c r="I126" t="n">
        <v>0</v>
      </c>
      <c r="J126" t="n">
        <v>0</v>
      </c>
      <c r="K126" t="n">
        <v>0</v>
      </c>
      <c r="L126" t="n">
        <v>0</v>
      </c>
      <c r="M126" t="n">
        <v>0</v>
      </c>
      <c r="N126" t="n">
        <v>0</v>
      </c>
      <c r="O126" t="n">
        <v>0</v>
      </c>
      <c r="P126" t="n">
        <v>0</v>
      </c>
      <c r="Q126" t="n">
        <v>0</v>
      </c>
      <c r="R126" s="2" t="inlineStr"/>
    </row>
    <row r="127" ht="15" customHeight="1">
      <c r="A127" t="inlineStr">
        <is>
          <t>A 30042-2019</t>
        </is>
      </c>
      <c r="B127" s="1" t="n">
        <v>43633</v>
      </c>
      <c r="C127" s="1" t="n">
        <v>45795</v>
      </c>
      <c r="D127" t="inlineStr">
        <is>
          <t>NORRBOTTENS LÄN</t>
        </is>
      </c>
      <c r="E127" t="inlineStr">
        <is>
          <t>JOKKMOKK</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30264-2019</t>
        </is>
      </c>
      <c r="B128" s="1" t="n">
        <v>43633</v>
      </c>
      <c r="C128" s="1" t="n">
        <v>45795</v>
      </c>
      <c r="D128" t="inlineStr">
        <is>
          <t>NORRBOTTENS LÄN</t>
        </is>
      </c>
      <c r="E128" t="inlineStr">
        <is>
          <t>JOKKMOKK</t>
        </is>
      </c>
      <c r="G128" t="n">
        <v>1.4</v>
      </c>
      <c r="H128" t="n">
        <v>0</v>
      </c>
      <c r="I128" t="n">
        <v>0</v>
      </c>
      <c r="J128" t="n">
        <v>0</v>
      </c>
      <c r="K128" t="n">
        <v>0</v>
      </c>
      <c r="L128" t="n">
        <v>0</v>
      </c>
      <c r="M128" t="n">
        <v>0</v>
      </c>
      <c r="N128" t="n">
        <v>0</v>
      </c>
      <c r="O128" t="n">
        <v>0</v>
      </c>
      <c r="P128" t="n">
        <v>0</v>
      </c>
      <c r="Q128" t="n">
        <v>0</v>
      </c>
      <c r="R128" s="2" t="inlineStr"/>
    </row>
    <row r="129" ht="15" customHeight="1">
      <c r="A129" t="inlineStr">
        <is>
          <t>A 31895-2019</t>
        </is>
      </c>
      <c r="B129" s="1" t="n">
        <v>43642</v>
      </c>
      <c r="C129" s="1" t="n">
        <v>45795</v>
      </c>
      <c r="D129" t="inlineStr">
        <is>
          <t>NORRBOTTENS LÄN</t>
        </is>
      </c>
      <c r="E129" t="inlineStr">
        <is>
          <t>JOKKMOKK</t>
        </is>
      </c>
      <c r="G129" t="n">
        <v>0.8</v>
      </c>
      <c r="H129" t="n">
        <v>0</v>
      </c>
      <c r="I129" t="n">
        <v>0</v>
      </c>
      <c r="J129" t="n">
        <v>0</v>
      </c>
      <c r="K129" t="n">
        <v>0</v>
      </c>
      <c r="L129" t="n">
        <v>0</v>
      </c>
      <c r="M129" t="n">
        <v>0</v>
      </c>
      <c r="N129" t="n">
        <v>0</v>
      </c>
      <c r="O129" t="n">
        <v>0</v>
      </c>
      <c r="P129" t="n">
        <v>0</v>
      </c>
      <c r="Q129" t="n">
        <v>0</v>
      </c>
      <c r="R129" s="2" t="inlineStr"/>
    </row>
    <row r="130" ht="15" customHeight="1">
      <c r="A130" t="inlineStr">
        <is>
          <t>A 31896-2019</t>
        </is>
      </c>
      <c r="B130" s="1" t="n">
        <v>43642</v>
      </c>
      <c r="C130" s="1" t="n">
        <v>45795</v>
      </c>
      <c r="D130" t="inlineStr">
        <is>
          <t>NORRBOTTENS LÄN</t>
        </is>
      </c>
      <c r="E130" t="inlineStr">
        <is>
          <t>JOKKMOKK</t>
        </is>
      </c>
      <c r="G130" t="n">
        <v>7.1</v>
      </c>
      <c r="H130" t="n">
        <v>0</v>
      </c>
      <c r="I130" t="n">
        <v>0</v>
      </c>
      <c r="J130" t="n">
        <v>0</v>
      </c>
      <c r="K130" t="n">
        <v>0</v>
      </c>
      <c r="L130" t="n">
        <v>0</v>
      </c>
      <c r="M130" t="n">
        <v>0</v>
      </c>
      <c r="N130" t="n">
        <v>0</v>
      </c>
      <c r="O130" t="n">
        <v>0</v>
      </c>
      <c r="P130" t="n">
        <v>0</v>
      </c>
      <c r="Q130" t="n">
        <v>0</v>
      </c>
      <c r="R130" s="2" t="inlineStr"/>
    </row>
    <row r="131" ht="15" customHeight="1">
      <c r="A131" t="inlineStr">
        <is>
          <t>A 32476-2019</t>
        </is>
      </c>
      <c r="B131" s="1" t="n">
        <v>43644</v>
      </c>
      <c r="C131" s="1" t="n">
        <v>45795</v>
      </c>
      <c r="D131" t="inlineStr">
        <is>
          <t>NORRBOTTENS LÄN</t>
        </is>
      </c>
      <c r="E131" t="inlineStr">
        <is>
          <t>JOKKMOKK</t>
        </is>
      </c>
      <c r="F131" t="inlineStr">
        <is>
          <t>Naturvårdsverket</t>
        </is>
      </c>
      <c r="G131" t="n">
        <v>13.1</v>
      </c>
      <c r="H131" t="n">
        <v>0</v>
      </c>
      <c r="I131" t="n">
        <v>0</v>
      </c>
      <c r="J131" t="n">
        <v>0</v>
      </c>
      <c r="K131" t="n">
        <v>0</v>
      </c>
      <c r="L131" t="n">
        <v>0</v>
      </c>
      <c r="M131" t="n">
        <v>0</v>
      </c>
      <c r="N131" t="n">
        <v>0</v>
      </c>
      <c r="O131" t="n">
        <v>0</v>
      </c>
      <c r="P131" t="n">
        <v>0</v>
      </c>
      <c r="Q131" t="n">
        <v>0</v>
      </c>
      <c r="R131" s="2" t="inlineStr"/>
    </row>
    <row r="132" ht="15" customHeight="1">
      <c r="A132" t="inlineStr">
        <is>
          <t>A 33212-2019</t>
        </is>
      </c>
      <c r="B132" s="1" t="n">
        <v>43649</v>
      </c>
      <c r="C132" s="1" t="n">
        <v>45795</v>
      </c>
      <c r="D132" t="inlineStr">
        <is>
          <t>NORRBOTTENS LÄN</t>
        </is>
      </c>
      <c r="E132" t="inlineStr">
        <is>
          <t>JOKKMOKK</t>
        </is>
      </c>
      <c r="G132" t="n">
        <v>7.3</v>
      </c>
      <c r="H132" t="n">
        <v>0</v>
      </c>
      <c r="I132" t="n">
        <v>0</v>
      </c>
      <c r="J132" t="n">
        <v>0</v>
      </c>
      <c r="K132" t="n">
        <v>0</v>
      </c>
      <c r="L132" t="n">
        <v>0</v>
      </c>
      <c r="M132" t="n">
        <v>0</v>
      </c>
      <c r="N132" t="n">
        <v>0</v>
      </c>
      <c r="O132" t="n">
        <v>0</v>
      </c>
      <c r="P132" t="n">
        <v>0</v>
      </c>
      <c r="Q132" t="n">
        <v>0</v>
      </c>
      <c r="R132" s="2" t="inlineStr"/>
    </row>
    <row r="133" ht="15" customHeight="1">
      <c r="A133" t="inlineStr">
        <is>
          <t>A 33211-2019</t>
        </is>
      </c>
      <c r="B133" s="1" t="n">
        <v>43649</v>
      </c>
      <c r="C133" s="1" t="n">
        <v>45795</v>
      </c>
      <c r="D133" t="inlineStr">
        <is>
          <t>NORRBOTTENS LÄN</t>
        </is>
      </c>
      <c r="E133" t="inlineStr">
        <is>
          <t>JOKKMOKK</t>
        </is>
      </c>
      <c r="G133" t="n">
        <v>7.6</v>
      </c>
      <c r="H133" t="n">
        <v>0</v>
      </c>
      <c r="I133" t="n">
        <v>0</v>
      </c>
      <c r="J133" t="n">
        <v>0</v>
      </c>
      <c r="K133" t="n">
        <v>0</v>
      </c>
      <c r="L133" t="n">
        <v>0</v>
      </c>
      <c r="M133" t="n">
        <v>0</v>
      </c>
      <c r="N133" t="n">
        <v>0</v>
      </c>
      <c r="O133" t="n">
        <v>0</v>
      </c>
      <c r="P133" t="n">
        <v>0</v>
      </c>
      <c r="Q133" t="n">
        <v>0</v>
      </c>
      <c r="R133" s="2" t="inlineStr"/>
    </row>
    <row r="134" ht="15" customHeight="1">
      <c r="A134" t="inlineStr">
        <is>
          <t>A 33756-2019</t>
        </is>
      </c>
      <c r="B134" s="1" t="n">
        <v>43651</v>
      </c>
      <c r="C134" s="1" t="n">
        <v>45795</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33821-2019</t>
        </is>
      </c>
      <c r="B135" s="1" t="n">
        <v>43651</v>
      </c>
      <c r="C135" s="1" t="n">
        <v>45795</v>
      </c>
      <c r="D135" t="inlineStr">
        <is>
          <t>NORRBOTTENS LÄN</t>
        </is>
      </c>
      <c r="E135" t="inlineStr">
        <is>
          <t>JOKKMOKK</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45795</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45795</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45795</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45795</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45795</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45795</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45795</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45795</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45795</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45795</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45795</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45795</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45795</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45795</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45795</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45795</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45795</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45795</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45795</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45795</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45795</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45795</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45795</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45795</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45795</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45795</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45795</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45795</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45795</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45795</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45795</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45795</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45795</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45795</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45795</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45795</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45795</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45795</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45795</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45795</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45795</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45795</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45795</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45795</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45795</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45795</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45795</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45795</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45795</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45795</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45795</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45795</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24055-2020</t>
        </is>
      </c>
      <c r="B188" s="1" t="n">
        <v>43971</v>
      </c>
      <c r="C188" s="1" t="n">
        <v>45795</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24422-2020</t>
        </is>
      </c>
      <c r="B189" s="1" t="n">
        <v>43976</v>
      </c>
      <c r="C189" s="1" t="n">
        <v>45795</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25163-2020</t>
        </is>
      </c>
      <c r="B190" s="1" t="n">
        <v>43980</v>
      </c>
      <c r="C190" s="1" t="n">
        <v>45795</v>
      </c>
      <c r="D190" t="inlineStr">
        <is>
          <t>NORRBOTTENS LÄN</t>
        </is>
      </c>
      <c r="E190" t="inlineStr">
        <is>
          <t>JOKKMOKK</t>
        </is>
      </c>
      <c r="F190" t="inlineStr">
        <is>
          <t>Sveaskog</t>
        </is>
      </c>
      <c r="G190" t="n">
        <v>17.4</v>
      </c>
      <c r="H190" t="n">
        <v>0</v>
      </c>
      <c r="I190" t="n">
        <v>0</v>
      </c>
      <c r="J190" t="n">
        <v>0</v>
      </c>
      <c r="K190" t="n">
        <v>0</v>
      </c>
      <c r="L190" t="n">
        <v>0</v>
      </c>
      <c r="M190" t="n">
        <v>0</v>
      </c>
      <c r="N190" t="n">
        <v>0</v>
      </c>
      <c r="O190" t="n">
        <v>0</v>
      </c>
      <c r="P190" t="n">
        <v>0</v>
      </c>
      <c r="Q190" t="n">
        <v>0</v>
      </c>
      <c r="R190" s="2" t="inlineStr"/>
    </row>
    <row r="191" ht="15" customHeight="1">
      <c r="A191" t="inlineStr">
        <is>
          <t>A 25305-2020</t>
        </is>
      </c>
      <c r="B191" s="1" t="n">
        <v>43980</v>
      </c>
      <c r="C191" s="1" t="n">
        <v>45795</v>
      </c>
      <c r="D191" t="inlineStr">
        <is>
          <t>NORRBOTTENS LÄN</t>
        </is>
      </c>
      <c r="E191" t="inlineStr">
        <is>
          <t>JOKKMOKK</t>
        </is>
      </c>
      <c r="F191" t="inlineStr">
        <is>
          <t>Sveaskog</t>
        </is>
      </c>
      <c r="G191" t="n">
        <v>5</v>
      </c>
      <c r="H191" t="n">
        <v>0</v>
      </c>
      <c r="I191" t="n">
        <v>0</v>
      </c>
      <c r="J191" t="n">
        <v>0</v>
      </c>
      <c r="K191" t="n">
        <v>0</v>
      </c>
      <c r="L191" t="n">
        <v>0</v>
      </c>
      <c r="M191" t="n">
        <v>0</v>
      </c>
      <c r="N191" t="n">
        <v>0</v>
      </c>
      <c r="O191" t="n">
        <v>0</v>
      </c>
      <c r="P191" t="n">
        <v>0</v>
      </c>
      <c r="Q191" t="n">
        <v>0</v>
      </c>
      <c r="R191" s="2" t="inlineStr"/>
    </row>
    <row r="192" ht="15" customHeight="1">
      <c r="A192" t="inlineStr">
        <is>
          <t>A 27058-2020</t>
        </is>
      </c>
      <c r="B192" s="1" t="n">
        <v>43987</v>
      </c>
      <c r="C192" s="1" t="n">
        <v>45795</v>
      </c>
      <c r="D192" t="inlineStr">
        <is>
          <t>NORRBOTTENS LÄN</t>
        </is>
      </c>
      <c r="E192" t="inlineStr">
        <is>
          <t>JOKKMOKK</t>
        </is>
      </c>
      <c r="F192" t="inlineStr">
        <is>
          <t>Allmännings- och besparingsskogar</t>
        </is>
      </c>
      <c r="G192" t="n">
        <v>29</v>
      </c>
      <c r="H192" t="n">
        <v>0</v>
      </c>
      <c r="I192" t="n">
        <v>0</v>
      </c>
      <c r="J192" t="n">
        <v>0</v>
      </c>
      <c r="K192" t="n">
        <v>0</v>
      </c>
      <c r="L192" t="n">
        <v>0</v>
      </c>
      <c r="M192" t="n">
        <v>0</v>
      </c>
      <c r="N192" t="n">
        <v>0</v>
      </c>
      <c r="O192" t="n">
        <v>0</v>
      </c>
      <c r="P192" t="n">
        <v>0</v>
      </c>
      <c r="Q192" t="n">
        <v>0</v>
      </c>
      <c r="R192" s="2" t="inlineStr"/>
    </row>
    <row r="193" ht="15" customHeight="1">
      <c r="A193" t="inlineStr">
        <is>
          <t>A 27165-2020</t>
        </is>
      </c>
      <c r="B193" s="1" t="n">
        <v>43991</v>
      </c>
      <c r="C193" s="1" t="n">
        <v>45795</v>
      </c>
      <c r="D193" t="inlineStr">
        <is>
          <t>NORRBOTTENS LÄN</t>
        </is>
      </c>
      <c r="E193" t="inlineStr">
        <is>
          <t>JOKKMOKK</t>
        </is>
      </c>
      <c r="F193" t="inlineStr">
        <is>
          <t>Sveaskog</t>
        </is>
      </c>
      <c r="G193" t="n">
        <v>10.3</v>
      </c>
      <c r="H193" t="n">
        <v>0</v>
      </c>
      <c r="I193" t="n">
        <v>0</v>
      </c>
      <c r="J193" t="n">
        <v>0</v>
      </c>
      <c r="K193" t="n">
        <v>0</v>
      </c>
      <c r="L193" t="n">
        <v>0</v>
      </c>
      <c r="M193" t="n">
        <v>0</v>
      </c>
      <c r="N193" t="n">
        <v>0</v>
      </c>
      <c r="O193" t="n">
        <v>0</v>
      </c>
      <c r="P193" t="n">
        <v>0</v>
      </c>
      <c r="Q193" t="n">
        <v>0</v>
      </c>
      <c r="R193" s="2" t="inlineStr"/>
    </row>
    <row r="194" ht="15" customHeight="1">
      <c r="A194" t="inlineStr">
        <is>
          <t>A 29798-2020</t>
        </is>
      </c>
      <c r="B194" s="1" t="n">
        <v>44005</v>
      </c>
      <c r="C194" s="1" t="n">
        <v>45795</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30809-2020</t>
        </is>
      </c>
      <c r="B195" s="1" t="n">
        <v>44011</v>
      </c>
      <c r="C195" s="1" t="n">
        <v>45795</v>
      </c>
      <c r="D195" t="inlineStr">
        <is>
          <t>NORRBOTTENS LÄN</t>
        </is>
      </c>
      <c r="E195" t="inlineStr">
        <is>
          <t>JOKKMOKK</t>
        </is>
      </c>
      <c r="F195" t="inlineStr">
        <is>
          <t>Sveaskog</t>
        </is>
      </c>
      <c r="G195" t="n">
        <v>0.4</v>
      </c>
      <c r="H195" t="n">
        <v>0</v>
      </c>
      <c r="I195" t="n">
        <v>0</v>
      </c>
      <c r="J195" t="n">
        <v>0</v>
      </c>
      <c r="K195" t="n">
        <v>0</v>
      </c>
      <c r="L195" t="n">
        <v>0</v>
      </c>
      <c r="M195" t="n">
        <v>0</v>
      </c>
      <c r="N195" t="n">
        <v>0</v>
      </c>
      <c r="O195" t="n">
        <v>0</v>
      </c>
      <c r="P195" t="n">
        <v>0</v>
      </c>
      <c r="Q195" t="n">
        <v>0</v>
      </c>
      <c r="R195" s="2" t="inlineStr"/>
    </row>
    <row r="196" ht="15" customHeight="1">
      <c r="A196" t="inlineStr">
        <is>
          <t>A 33730-2020</t>
        </is>
      </c>
      <c r="B196" s="1" t="n">
        <v>44022</v>
      </c>
      <c r="C196" s="1" t="n">
        <v>45795</v>
      </c>
      <c r="D196" t="inlineStr">
        <is>
          <t>NORRBOTTENS LÄN</t>
        </is>
      </c>
      <c r="E196" t="inlineStr">
        <is>
          <t>JOKKMOKK</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34445-2020</t>
        </is>
      </c>
      <c r="B197" s="1" t="n">
        <v>44029</v>
      </c>
      <c r="C197" s="1" t="n">
        <v>45795</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38254-2020</t>
        </is>
      </c>
      <c r="B198" s="1" t="n">
        <v>44060</v>
      </c>
      <c r="C198" s="1" t="n">
        <v>45795</v>
      </c>
      <c r="D198" t="inlineStr">
        <is>
          <t>NORRBOTTENS LÄN</t>
        </is>
      </c>
      <c r="E198" t="inlineStr">
        <is>
          <t>JOKKMOKK</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38638-2020</t>
        </is>
      </c>
      <c r="B199" s="1" t="n">
        <v>44061</v>
      </c>
      <c r="C199" s="1" t="n">
        <v>45795</v>
      </c>
      <c r="D199" t="inlineStr">
        <is>
          <t>NORRBOTTENS LÄN</t>
        </is>
      </c>
      <c r="E199" t="inlineStr">
        <is>
          <t>JOKKMOKK</t>
        </is>
      </c>
      <c r="F199" t="inlineStr">
        <is>
          <t>Övriga Aktiebolag</t>
        </is>
      </c>
      <c r="G199" t="n">
        <v>22.2</v>
      </c>
      <c r="H199" t="n">
        <v>0</v>
      </c>
      <c r="I199" t="n">
        <v>0</v>
      </c>
      <c r="J199" t="n">
        <v>0</v>
      </c>
      <c r="K199" t="n">
        <v>0</v>
      </c>
      <c r="L199" t="n">
        <v>0</v>
      </c>
      <c r="M199" t="n">
        <v>0</v>
      </c>
      <c r="N199" t="n">
        <v>0</v>
      </c>
      <c r="O199" t="n">
        <v>0</v>
      </c>
      <c r="P199" t="n">
        <v>0</v>
      </c>
      <c r="Q199" t="n">
        <v>0</v>
      </c>
      <c r="R199" s="2" t="inlineStr"/>
    </row>
    <row r="200" ht="15" customHeight="1">
      <c r="A200" t="inlineStr">
        <is>
          <t>A 38711-2020</t>
        </is>
      </c>
      <c r="B200" s="1" t="n">
        <v>44061</v>
      </c>
      <c r="C200" s="1" t="n">
        <v>45795</v>
      </c>
      <c r="D200" t="inlineStr">
        <is>
          <t>NORRBOTTENS LÄN</t>
        </is>
      </c>
      <c r="E200" t="inlineStr">
        <is>
          <t>JOKKMOKK</t>
        </is>
      </c>
      <c r="F200" t="inlineStr">
        <is>
          <t>Övriga statliga verk och myndigheter</t>
        </is>
      </c>
      <c r="G200" t="n">
        <v>16.1</v>
      </c>
      <c r="H200" t="n">
        <v>0</v>
      </c>
      <c r="I200" t="n">
        <v>0</v>
      </c>
      <c r="J200" t="n">
        <v>0</v>
      </c>
      <c r="K200" t="n">
        <v>0</v>
      </c>
      <c r="L200" t="n">
        <v>0</v>
      </c>
      <c r="M200" t="n">
        <v>0</v>
      </c>
      <c r="N200" t="n">
        <v>0</v>
      </c>
      <c r="O200" t="n">
        <v>0</v>
      </c>
      <c r="P200" t="n">
        <v>0</v>
      </c>
      <c r="Q200" t="n">
        <v>0</v>
      </c>
      <c r="R200" s="2" t="inlineStr"/>
    </row>
    <row r="201" ht="15" customHeight="1">
      <c r="A201" t="inlineStr">
        <is>
          <t>A 39085-2020</t>
        </is>
      </c>
      <c r="B201" s="1" t="n">
        <v>44062</v>
      </c>
      <c r="C201" s="1" t="n">
        <v>45795</v>
      </c>
      <c r="D201" t="inlineStr">
        <is>
          <t>NORRBOTTENS LÄN</t>
        </is>
      </c>
      <c r="E201" t="inlineStr">
        <is>
          <t>JOKKMOKK</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40110-2020</t>
        </is>
      </c>
      <c r="B202" s="1" t="n">
        <v>44067</v>
      </c>
      <c r="C202" s="1" t="n">
        <v>45795</v>
      </c>
      <c r="D202" t="inlineStr">
        <is>
          <t>NORRBOTTENS LÄN</t>
        </is>
      </c>
      <c r="E202" t="inlineStr">
        <is>
          <t>JOKKMOKK</t>
        </is>
      </c>
      <c r="F202" t="inlineStr">
        <is>
          <t>Övriga Aktiebolag</t>
        </is>
      </c>
      <c r="G202" t="n">
        <v>14.4</v>
      </c>
      <c r="H202" t="n">
        <v>0</v>
      </c>
      <c r="I202" t="n">
        <v>0</v>
      </c>
      <c r="J202" t="n">
        <v>0</v>
      </c>
      <c r="K202" t="n">
        <v>0</v>
      </c>
      <c r="L202" t="n">
        <v>0</v>
      </c>
      <c r="M202" t="n">
        <v>0</v>
      </c>
      <c r="N202" t="n">
        <v>0</v>
      </c>
      <c r="O202" t="n">
        <v>0</v>
      </c>
      <c r="P202" t="n">
        <v>0</v>
      </c>
      <c r="Q202" t="n">
        <v>0</v>
      </c>
      <c r="R202" s="2" t="inlineStr"/>
    </row>
    <row r="203" ht="15" customHeight="1">
      <c r="A203" t="inlineStr">
        <is>
          <t>A 46097-2020</t>
        </is>
      </c>
      <c r="B203" s="1" t="n">
        <v>44088</v>
      </c>
      <c r="C203" s="1" t="n">
        <v>45795</v>
      </c>
      <c r="D203" t="inlineStr">
        <is>
          <t>NORRBOTTENS LÄN</t>
        </is>
      </c>
      <c r="E203" t="inlineStr">
        <is>
          <t>JOKKMOKK</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46779-2020</t>
        </is>
      </c>
      <c r="B204" s="1" t="n">
        <v>44090</v>
      </c>
      <c r="C204" s="1" t="n">
        <v>45795</v>
      </c>
      <c r="D204" t="inlineStr">
        <is>
          <t>NORRBOTTENS LÄN</t>
        </is>
      </c>
      <c r="E204" t="inlineStr">
        <is>
          <t>JOKKMOKK</t>
        </is>
      </c>
      <c r="F204" t="inlineStr">
        <is>
          <t>Allmännings- och besparingsskogar</t>
        </is>
      </c>
      <c r="G204" t="n">
        <v>21.7</v>
      </c>
      <c r="H204" t="n">
        <v>0</v>
      </c>
      <c r="I204" t="n">
        <v>0</v>
      </c>
      <c r="J204" t="n">
        <v>0</v>
      </c>
      <c r="K204" t="n">
        <v>0</v>
      </c>
      <c r="L204" t="n">
        <v>0</v>
      </c>
      <c r="M204" t="n">
        <v>0</v>
      </c>
      <c r="N204" t="n">
        <v>0</v>
      </c>
      <c r="O204" t="n">
        <v>0</v>
      </c>
      <c r="P204" t="n">
        <v>0</v>
      </c>
      <c r="Q204" t="n">
        <v>0</v>
      </c>
      <c r="R204" s="2" t="inlineStr"/>
    </row>
    <row r="205" ht="15" customHeight="1">
      <c r="A205" t="inlineStr">
        <is>
          <t>A 46375-2020</t>
        </is>
      </c>
      <c r="B205" s="1" t="n">
        <v>44092</v>
      </c>
      <c r="C205" s="1" t="n">
        <v>45795</v>
      </c>
      <c r="D205" t="inlineStr">
        <is>
          <t>NORRBOTTENS LÄN</t>
        </is>
      </c>
      <c r="E205" t="inlineStr">
        <is>
          <t>JOKKMOKK</t>
        </is>
      </c>
      <c r="F205" t="inlineStr">
        <is>
          <t>SCA</t>
        </is>
      </c>
      <c r="G205" t="n">
        <v>25.4</v>
      </c>
      <c r="H205" t="n">
        <v>0</v>
      </c>
      <c r="I205" t="n">
        <v>0</v>
      </c>
      <c r="J205" t="n">
        <v>0</v>
      </c>
      <c r="K205" t="n">
        <v>0</v>
      </c>
      <c r="L205" t="n">
        <v>0</v>
      </c>
      <c r="M205" t="n">
        <v>0</v>
      </c>
      <c r="N205" t="n">
        <v>0</v>
      </c>
      <c r="O205" t="n">
        <v>0</v>
      </c>
      <c r="P205" t="n">
        <v>0</v>
      </c>
      <c r="Q205" t="n">
        <v>0</v>
      </c>
      <c r="R205" s="2" t="inlineStr"/>
    </row>
    <row r="206" ht="15" customHeight="1">
      <c r="A206" t="inlineStr">
        <is>
          <t>A 47397-2020</t>
        </is>
      </c>
      <c r="B206" s="1" t="n">
        <v>44095</v>
      </c>
      <c r="C206" s="1" t="n">
        <v>45795</v>
      </c>
      <c r="D206" t="inlineStr">
        <is>
          <t>NORRBOTTENS LÄN</t>
        </is>
      </c>
      <c r="E206" t="inlineStr">
        <is>
          <t>JOKKMOKK</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47252-2020</t>
        </is>
      </c>
      <c r="B207" s="1" t="n">
        <v>44096</v>
      </c>
      <c r="C207" s="1" t="n">
        <v>45795</v>
      </c>
      <c r="D207" t="inlineStr">
        <is>
          <t>NORRBOTTENS LÄN</t>
        </is>
      </c>
      <c r="E207" t="inlineStr">
        <is>
          <t>JOKKMOKK</t>
        </is>
      </c>
      <c r="F207" t="inlineStr">
        <is>
          <t>Övriga Aktiebolag</t>
        </is>
      </c>
      <c r="G207" t="n">
        <v>3.5</v>
      </c>
      <c r="H207" t="n">
        <v>0</v>
      </c>
      <c r="I207" t="n">
        <v>0</v>
      </c>
      <c r="J207" t="n">
        <v>0</v>
      </c>
      <c r="K207" t="n">
        <v>0</v>
      </c>
      <c r="L207" t="n">
        <v>0</v>
      </c>
      <c r="M207" t="n">
        <v>0</v>
      </c>
      <c r="N207" t="n">
        <v>0</v>
      </c>
      <c r="O207" t="n">
        <v>0</v>
      </c>
      <c r="P207" t="n">
        <v>0</v>
      </c>
      <c r="Q207" t="n">
        <v>0</v>
      </c>
      <c r="R207" s="2" t="inlineStr"/>
    </row>
    <row r="208" ht="15" customHeight="1">
      <c r="A208" t="inlineStr">
        <is>
          <t>A 48338-2020</t>
        </is>
      </c>
      <c r="B208" s="1" t="n">
        <v>44098</v>
      </c>
      <c r="C208" s="1" t="n">
        <v>45795</v>
      </c>
      <c r="D208" t="inlineStr">
        <is>
          <t>NORRBOTTENS LÄN</t>
        </is>
      </c>
      <c r="E208" t="inlineStr">
        <is>
          <t>JOKKMOKK</t>
        </is>
      </c>
      <c r="F208" t="inlineStr">
        <is>
          <t>Allmännings- och besparingsskogar</t>
        </is>
      </c>
      <c r="G208" t="n">
        <v>3.4</v>
      </c>
      <c r="H208" t="n">
        <v>0</v>
      </c>
      <c r="I208" t="n">
        <v>0</v>
      </c>
      <c r="J208" t="n">
        <v>0</v>
      </c>
      <c r="K208" t="n">
        <v>0</v>
      </c>
      <c r="L208" t="n">
        <v>0</v>
      </c>
      <c r="M208" t="n">
        <v>0</v>
      </c>
      <c r="N208" t="n">
        <v>0</v>
      </c>
      <c r="O208" t="n">
        <v>0</v>
      </c>
      <c r="P208" t="n">
        <v>0</v>
      </c>
      <c r="Q208" t="n">
        <v>0</v>
      </c>
      <c r="R208" s="2" t="inlineStr"/>
    </row>
    <row r="209" ht="15" customHeight="1">
      <c r="A209" t="inlineStr">
        <is>
          <t>A 48463-2020</t>
        </is>
      </c>
      <c r="B209" s="1" t="n">
        <v>44102</v>
      </c>
      <c r="C209" s="1" t="n">
        <v>45795</v>
      </c>
      <c r="D209" t="inlineStr">
        <is>
          <t>NORRBOTTENS LÄN</t>
        </is>
      </c>
      <c r="E209" t="inlineStr">
        <is>
          <t>JOKKMOKK</t>
        </is>
      </c>
      <c r="G209" t="n">
        <v>7.5</v>
      </c>
      <c r="H209" t="n">
        <v>0</v>
      </c>
      <c r="I209" t="n">
        <v>0</v>
      </c>
      <c r="J209" t="n">
        <v>0</v>
      </c>
      <c r="K209" t="n">
        <v>0</v>
      </c>
      <c r="L209" t="n">
        <v>0</v>
      </c>
      <c r="M209" t="n">
        <v>0</v>
      </c>
      <c r="N209" t="n">
        <v>0</v>
      </c>
      <c r="O209" t="n">
        <v>0</v>
      </c>
      <c r="P209" t="n">
        <v>0</v>
      </c>
      <c r="Q209" t="n">
        <v>0</v>
      </c>
      <c r="R209" s="2" t="inlineStr"/>
    </row>
    <row r="210" ht="15" customHeight="1">
      <c r="A210" t="inlineStr">
        <is>
          <t>A 51438-2020</t>
        </is>
      </c>
      <c r="B210" s="1" t="n">
        <v>44113</v>
      </c>
      <c r="C210" s="1" t="n">
        <v>45795</v>
      </c>
      <c r="D210" t="inlineStr">
        <is>
          <t>NORRBOTTENS LÄN</t>
        </is>
      </c>
      <c r="E210" t="inlineStr">
        <is>
          <t>JOKKMOKK</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51436-2020</t>
        </is>
      </c>
      <c r="B211" s="1" t="n">
        <v>44113</v>
      </c>
      <c r="C211" s="1" t="n">
        <v>45795</v>
      </c>
      <c r="D211" t="inlineStr">
        <is>
          <t>NORRBOTTENS LÄN</t>
        </is>
      </c>
      <c r="E211" t="inlineStr">
        <is>
          <t>JOKKMOKK</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52043-2020</t>
        </is>
      </c>
      <c r="B212" s="1" t="n">
        <v>44116</v>
      </c>
      <c r="C212" s="1" t="n">
        <v>45795</v>
      </c>
      <c r="D212" t="inlineStr">
        <is>
          <t>NORRBOTTENS LÄN</t>
        </is>
      </c>
      <c r="E212" t="inlineStr">
        <is>
          <t>JOKKMOKK</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52047-2020</t>
        </is>
      </c>
      <c r="B213" s="1" t="n">
        <v>44117</v>
      </c>
      <c r="C213" s="1" t="n">
        <v>45795</v>
      </c>
      <c r="D213" t="inlineStr">
        <is>
          <t>NORRBOTTENS LÄN</t>
        </is>
      </c>
      <c r="E213" t="inlineStr">
        <is>
          <t>JOKKMOKK</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54863-2020</t>
        </is>
      </c>
      <c r="B214" s="1" t="n">
        <v>44126</v>
      </c>
      <c r="C214" s="1" t="n">
        <v>45795</v>
      </c>
      <c r="D214" t="inlineStr">
        <is>
          <t>NORRBOTTENS LÄN</t>
        </is>
      </c>
      <c r="E214" t="inlineStr">
        <is>
          <t>JOKKMOKK</t>
        </is>
      </c>
      <c r="F214" t="inlineStr">
        <is>
          <t>Allmännings- och besparingsskogar</t>
        </is>
      </c>
      <c r="G214" t="n">
        <v>43.3</v>
      </c>
      <c r="H214" t="n">
        <v>0</v>
      </c>
      <c r="I214" t="n">
        <v>0</v>
      </c>
      <c r="J214" t="n">
        <v>0</v>
      </c>
      <c r="K214" t="n">
        <v>0</v>
      </c>
      <c r="L214" t="n">
        <v>0</v>
      </c>
      <c r="M214" t="n">
        <v>0</v>
      </c>
      <c r="N214" t="n">
        <v>0</v>
      </c>
      <c r="O214" t="n">
        <v>0</v>
      </c>
      <c r="P214" t="n">
        <v>0</v>
      </c>
      <c r="Q214" t="n">
        <v>0</v>
      </c>
      <c r="R214" s="2" t="inlineStr"/>
    </row>
    <row r="215" ht="15" customHeight="1">
      <c r="A215" t="inlineStr">
        <is>
          <t>A 56851-2020</t>
        </is>
      </c>
      <c r="B215" s="1" t="n">
        <v>44133</v>
      </c>
      <c r="C215" s="1" t="n">
        <v>45795</v>
      </c>
      <c r="D215" t="inlineStr">
        <is>
          <t>NORRBOTTENS LÄN</t>
        </is>
      </c>
      <c r="E215" t="inlineStr">
        <is>
          <t>JOKKMOKK</t>
        </is>
      </c>
      <c r="F215" t="inlineStr">
        <is>
          <t>Övriga Aktiebolag</t>
        </is>
      </c>
      <c r="G215" t="n">
        <v>10.7</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45795</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57737-2020</t>
        </is>
      </c>
      <c r="B217" s="1" t="n">
        <v>44140</v>
      </c>
      <c r="C217" s="1" t="n">
        <v>45795</v>
      </c>
      <c r="D217" t="inlineStr">
        <is>
          <t>NORRBOTTENS LÄN</t>
        </is>
      </c>
      <c r="E217" t="inlineStr">
        <is>
          <t>JOKKMOKK</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58578-2020</t>
        </is>
      </c>
      <c r="B218" s="1" t="n">
        <v>44144</v>
      </c>
      <c r="C218" s="1" t="n">
        <v>45795</v>
      </c>
      <c r="D218" t="inlineStr">
        <is>
          <t>NORRBOTTENS LÄN</t>
        </is>
      </c>
      <c r="E218" t="inlineStr">
        <is>
          <t>JOKKMOKK</t>
        </is>
      </c>
      <c r="F218" t="inlineStr">
        <is>
          <t>Övriga statliga verk och myndigheter</t>
        </is>
      </c>
      <c r="G218" t="n">
        <v>20.4</v>
      </c>
      <c r="H218" t="n">
        <v>0</v>
      </c>
      <c r="I218" t="n">
        <v>0</v>
      </c>
      <c r="J218" t="n">
        <v>0</v>
      </c>
      <c r="K218" t="n">
        <v>0</v>
      </c>
      <c r="L218" t="n">
        <v>0</v>
      </c>
      <c r="M218" t="n">
        <v>0</v>
      </c>
      <c r="N218" t="n">
        <v>0</v>
      </c>
      <c r="O218" t="n">
        <v>0</v>
      </c>
      <c r="P218" t="n">
        <v>0</v>
      </c>
      <c r="Q218" t="n">
        <v>0</v>
      </c>
      <c r="R218" s="2" t="inlineStr"/>
    </row>
    <row r="219" ht="15" customHeight="1">
      <c r="A219" t="inlineStr">
        <is>
          <t>A 59103-2020</t>
        </is>
      </c>
      <c r="B219" s="1" t="n">
        <v>44147</v>
      </c>
      <c r="C219" s="1" t="n">
        <v>45795</v>
      </c>
      <c r="D219" t="inlineStr">
        <is>
          <t>NORRBOTTENS LÄN</t>
        </is>
      </c>
      <c r="E219" t="inlineStr">
        <is>
          <t>JOKKMOKK</t>
        </is>
      </c>
      <c r="F219" t="inlineStr">
        <is>
          <t>Allmännings- och besparingsskogar</t>
        </is>
      </c>
      <c r="G219" t="n">
        <v>1</v>
      </c>
      <c r="H219" t="n">
        <v>0</v>
      </c>
      <c r="I219" t="n">
        <v>0</v>
      </c>
      <c r="J219" t="n">
        <v>0</v>
      </c>
      <c r="K219" t="n">
        <v>0</v>
      </c>
      <c r="L219" t="n">
        <v>0</v>
      </c>
      <c r="M219" t="n">
        <v>0</v>
      </c>
      <c r="N219" t="n">
        <v>0</v>
      </c>
      <c r="O219" t="n">
        <v>0</v>
      </c>
      <c r="P219" t="n">
        <v>0</v>
      </c>
      <c r="Q219" t="n">
        <v>0</v>
      </c>
      <c r="R219" s="2" t="inlineStr"/>
    </row>
    <row r="220" ht="15" customHeight="1">
      <c r="A220" t="inlineStr">
        <is>
          <t>A 60142-2020</t>
        </is>
      </c>
      <c r="B220" s="1" t="n">
        <v>44151</v>
      </c>
      <c r="C220" s="1" t="n">
        <v>45795</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62038-2020</t>
        </is>
      </c>
      <c r="B221" s="1" t="n">
        <v>44158</v>
      </c>
      <c r="C221" s="1" t="n">
        <v>45795</v>
      </c>
      <c r="D221" t="inlineStr">
        <is>
          <t>NORRBOTTENS LÄN</t>
        </is>
      </c>
      <c r="E221" t="inlineStr">
        <is>
          <t>JOKKMOKK</t>
        </is>
      </c>
      <c r="F221" t="inlineStr">
        <is>
          <t>Övriga Aktiebolag</t>
        </is>
      </c>
      <c r="G221" t="n">
        <v>7.3</v>
      </c>
      <c r="H221" t="n">
        <v>0</v>
      </c>
      <c r="I221" t="n">
        <v>0</v>
      </c>
      <c r="J221" t="n">
        <v>0</v>
      </c>
      <c r="K221" t="n">
        <v>0</v>
      </c>
      <c r="L221" t="n">
        <v>0</v>
      </c>
      <c r="M221" t="n">
        <v>0</v>
      </c>
      <c r="N221" t="n">
        <v>0</v>
      </c>
      <c r="O221" t="n">
        <v>0</v>
      </c>
      <c r="P221" t="n">
        <v>0</v>
      </c>
      <c r="Q221" t="n">
        <v>0</v>
      </c>
      <c r="R221" s="2" t="inlineStr"/>
    </row>
    <row r="222" ht="15" customHeight="1">
      <c r="A222" t="inlineStr">
        <is>
          <t>A 62233-2020</t>
        </is>
      </c>
      <c r="B222" s="1" t="n">
        <v>44159</v>
      </c>
      <c r="C222" s="1" t="n">
        <v>45795</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62757-2020</t>
        </is>
      </c>
      <c r="B223" s="1" t="n">
        <v>44161</v>
      </c>
      <c r="C223" s="1" t="n">
        <v>45795</v>
      </c>
      <c r="D223" t="inlineStr">
        <is>
          <t>NORRBOTTENS LÄN</t>
        </is>
      </c>
      <c r="E223" t="inlineStr">
        <is>
          <t>JOKKMOKK</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62759-2020</t>
        </is>
      </c>
      <c r="B224" s="1" t="n">
        <v>44161</v>
      </c>
      <c r="C224" s="1" t="n">
        <v>45795</v>
      </c>
      <c r="D224" t="inlineStr">
        <is>
          <t>NORRBOTTENS LÄN</t>
        </is>
      </c>
      <c r="E224" t="inlineStr">
        <is>
          <t>JOKKMOKK</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65652-2020</t>
        </is>
      </c>
      <c r="B225" s="1" t="n">
        <v>44172</v>
      </c>
      <c r="C225" s="1" t="n">
        <v>45795</v>
      </c>
      <c r="D225" t="inlineStr">
        <is>
          <t>NORRBOTTENS LÄN</t>
        </is>
      </c>
      <c r="E225" t="inlineStr">
        <is>
          <t>JOKKMOKK</t>
        </is>
      </c>
      <c r="G225" t="n">
        <v>6.2</v>
      </c>
      <c r="H225" t="n">
        <v>0</v>
      </c>
      <c r="I225" t="n">
        <v>0</v>
      </c>
      <c r="J225" t="n">
        <v>0</v>
      </c>
      <c r="K225" t="n">
        <v>0</v>
      </c>
      <c r="L225" t="n">
        <v>0</v>
      </c>
      <c r="M225" t="n">
        <v>0</v>
      </c>
      <c r="N225" t="n">
        <v>0</v>
      </c>
      <c r="O225" t="n">
        <v>0</v>
      </c>
      <c r="P225" t="n">
        <v>0</v>
      </c>
      <c r="Q225" t="n">
        <v>0</v>
      </c>
      <c r="R225" s="2" t="inlineStr"/>
    </row>
    <row r="226" ht="15" customHeight="1">
      <c r="A226" t="inlineStr">
        <is>
          <t>A 65648-2020</t>
        </is>
      </c>
      <c r="B226" s="1" t="n">
        <v>44172</v>
      </c>
      <c r="C226" s="1" t="n">
        <v>45795</v>
      </c>
      <c r="D226" t="inlineStr">
        <is>
          <t>NORRBOTTENS LÄN</t>
        </is>
      </c>
      <c r="E226" t="inlineStr">
        <is>
          <t>JOKKMOKK</t>
        </is>
      </c>
      <c r="G226" t="n">
        <v>1.8</v>
      </c>
      <c r="H226" t="n">
        <v>0</v>
      </c>
      <c r="I226" t="n">
        <v>0</v>
      </c>
      <c r="J226" t="n">
        <v>0</v>
      </c>
      <c r="K226" t="n">
        <v>0</v>
      </c>
      <c r="L226" t="n">
        <v>0</v>
      </c>
      <c r="M226" t="n">
        <v>0</v>
      </c>
      <c r="N226" t="n">
        <v>0</v>
      </c>
      <c r="O226" t="n">
        <v>0</v>
      </c>
      <c r="P226" t="n">
        <v>0</v>
      </c>
      <c r="Q226" t="n">
        <v>0</v>
      </c>
      <c r="R226" s="2" t="inlineStr"/>
    </row>
    <row r="227" ht="15" customHeight="1">
      <c r="A227" t="inlineStr">
        <is>
          <t>A 65343-2020</t>
        </is>
      </c>
      <c r="B227" s="1" t="n">
        <v>44173</v>
      </c>
      <c r="C227" s="1" t="n">
        <v>45795</v>
      </c>
      <c r="D227" t="inlineStr">
        <is>
          <t>NORRBOTTENS LÄN</t>
        </is>
      </c>
      <c r="E227" t="inlineStr">
        <is>
          <t>JOKKMOKK</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65542-2020</t>
        </is>
      </c>
      <c r="B228" s="1" t="n">
        <v>44173</v>
      </c>
      <c r="C228" s="1" t="n">
        <v>45795</v>
      </c>
      <c r="D228" t="inlineStr">
        <is>
          <t>NORRBOTTENS LÄN</t>
        </is>
      </c>
      <c r="E228" t="inlineStr">
        <is>
          <t>JOKKMOKK</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68583-2020</t>
        </is>
      </c>
      <c r="B229" s="1" t="n">
        <v>44186</v>
      </c>
      <c r="C229" s="1" t="n">
        <v>45795</v>
      </c>
      <c r="D229" t="inlineStr">
        <is>
          <t>NORRBOTTENS LÄN</t>
        </is>
      </c>
      <c r="E229" t="inlineStr">
        <is>
          <t>JOKKMOKK</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68636-2020</t>
        </is>
      </c>
      <c r="B230" s="1" t="n">
        <v>44186</v>
      </c>
      <c r="C230" s="1" t="n">
        <v>45795</v>
      </c>
      <c r="D230" t="inlineStr">
        <is>
          <t>NORRBOTTENS LÄN</t>
        </is>
      </c>
      <c r="E230" t="inlineStr">
        <is>
          <t>JOKKMOKK</t>
        </is>
      </c>
      <c r="F230" t="inlineStr">
        <is>
          <t>SCA</t>
        </is>
      </c>
      <c r="G230" t="n">
        <v>42.3</v>
      </c>
      <c r="H230" t="n">
        <v>0</v>
      </c>
      <c r="I230" t="n">
        <v>0</v>
      </c>
      <c r="J230" t="n">
        <v>0</v>
      </c>
      <c r="K230" t="n">
        <v>0</v>
      </c>
      <c r="L230" t="n">
        <v>0</v>
      </c>
      <c r="M230" t="n">
        <v>0</v>
      </c>
      <c r="N230" t="n">
        <v>0</v>
      </c>
      <c r="O230" t="n">
        <v>0</v>
      </c>
      <c r="P230" t="n">
        <v>0</v>
      </c>
      <c r="Q230" t="n">
        <v>0</v>
      </c>
      <c r="R230" s="2" t="inlineStr"/>
    </row>
    <row r="231" ht="15" customHeight="1">
      <c r="A231" t="inlineStr">
        <is>
          <t>A 7273-2021</t>
        </is>
      </c>
      <c r="B231" s="1" t="n">
        <v>44238</v>
      </c>
      <c r="C231" s="1" t="n">
        <v>45795</v>
      </c>
      <c r="D231" t="inlineStr">
        <is>
          <t>NORRBOTTENS LÄN</t>
        </is>
      </c>
      <c r="E231" t="inlineStr">
        <is>
          <t>JOKKMOKK</t>
        </is>
      </c>
      <c r="F231" t="inlineStr">
        <is>
          <t>Övriga statliga verk och myndigheter</t>
        </is>
      </c>
      <c r="G231" t="n">
        <v>19.8</v>
      </c>
      <c r="H231" t="n">
        <v>0</v>
      </c>
      <c r="I231" t="n">
        <v>0</v>
      </c>
      <c r="J231" t="n">
        <v>0</v>
      </c>
      <c r="K231" t="n">
        <v>0</v>
      </c>
      <c r="L231" t="n">
        <v>0</v>
      </c>
      <c r="M231" t="n">
        <v>0</v>
      </c>
      <c r="N231" t="n">
        <v>0</v>
      </c>
      <c r="O231" t="n">
        <v>0</v>
      </c>
      <c r="P231" t="n">
        <v>0</v>
      </c>
      <c r="Q231" t="n">
        <v>0</v>
      </c>
      <c r="R231" s="2" t="inlineStr"/>
    </row>
    <row r="232" ht="15" customHeight="1">
      <c r="A232" t="inlineStr">
        <is>
          <t>A 8350-2021</t>
        </is>
      </c>
      <c r="B232" s="1" t="n">
        <v>44244</v>
      </c>
      <c r="C232" s="1" t="n">
        <v>45795</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8357-2021</t>
        </is>
      </c>
      <c r="B233" s="1" t="n">
        <v>44244</v>
      </c>
      <c r="C233" s="1" t="n">
        <v>45795</v>
      </c>
      <c r="D233" t="inlineStr">
        <is>
          <t>NORRBOTTENS LÄN</t>
        </is>
      </c>
      <c r="E233" t="inlineStr">
        <is>
          <t>JOKKMOKK</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8358-2021</t>
        </is>
      </c>
      <c r="B234" s="1" t="n">
        <v>44244</v>
      </c>
      <c r="C234" s="1" t="n">
        <v>45795</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8360-2021</t>
        </is>
      </c>
      <c r="B235" s="1" t="n">
        <v>44244</v>
      </c>
      <c r="C235" s="1" t="n">
        <v>45795</v>
      </c>
      <c r="D235" t="inlineStr">
        <is>
          <t>NORRBOTTENS LÄN</t>
        </is>
      </c>
      <c r="E235" t="inlineStr">
        <is>
          <t>JOKKMOKK</t>
        </is>
      </c>
      <c r="F235" t="inlineStr">
        <is>
          <t>SCA</t>
        </is>
      </c>
      <c r="G235" t="n">
        <v>5</v>
      </c>
      <c r="H235" t="n">
        <v>0</v>
      </c>
      <c r="I235" t="n">
        <v>0</v>
      </c>
      <c r="J235" t="n">
        <v>0</v>
      </c>
      <c r="K235" t="n">
        <v>0</v>
      </c>
      <c r="L235" t="n">
        <v>0</v>
      </c>
      <c r="M235" t="n">
        <v>0</v>
      </c>
      <c r="N235" t="n">
        <v>0</v>
      </c>
      <c r="O235" t="n">
        <v>0</v>
      </c>
      <c r="P235" t="n">
        <v>0</v>
      </c>
      <c r="Q235" t="n">
        <v>0</v>
      </c>
      <c r="R235" s="2" t="inlineStr"/>
    </row>
    <row r="236" ht="15" customHeight="1">
      <c r="A236" t="inlineStr">
        <is>
          <t>A 8354-2021</t>
        </is>
      </c>
      <c r="B236" s="1" t="n">
        <v>44244</v>
      </c>
      <c r="C236" s="1" t="n">
        <v>45795</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8641-2021</t>
        </is>
      </c>
      <c r="B237" s="1" t="n">
        <v>44245</v>
      </c>
      <c r="C237" s="1" t="n">
        <v>45795</v>
      </c>
      <c r="D237" t="inlineStr">
        <is>
          <t>NORRBOTTENS LÄN</t>
        </is>
      </c>
      <c r="E237" t="inlineStr">
        <is>
          <t>JOKKMOKK</t>
        </is>
      </c>
      <c r="F237" t="inlineStr">
        <is>
          <t>SCA</t>
        </is>
      </c>
      <c r="G237" t="n">
        <v>5.7</v>
      </c>
      <c r="H237" t="n">
        <v>0</v>
      </c>
      <c r="I237" t="n">
        <v>0</v>
      </c>
      <c r="J237" t="n">
        <v>0</v>
      </c>
      <c r="K237" t="n">
        <v>0</v>
      </c>
      <c r="L237" t="n">
        <v>0</v>
      </c>
      <c r="M237" t="n">
        <v>0</v>
      </c>
      <c r="N237" t="n">
        <v>0</v>
      </c>
      <c r="O237" t="n">
        <v>0</v>
      </c>
      <c r="P237" t="n">
        <v>0</v>
      </c>
      <c r="Q237" t="n">
        <v>0</v>
      </c>
      <c r="R237" s="2" t="inlineStr"/>
    </row>
    <row r="238" ht="15" customHeight="1">
      <c r="A238" t="inlineStr">
        <is>
          <t>A 8855-2021</t>
        </is>
      </c>
      <c r="B238" s="1" t="n">
        <v>44246</v>
      </c>
      <c r="C238" s="1" t="n">
        <v>45795</v>
      </c>
      <c r="D238" t="inlineStr">
        <is>
          <t>NORRBOTTENS LÄN</t>
        </is>
      </c>
      <c r="E238" t="inlineStr">
        <is>
          <t>JOKKMOKK</t>
        </is>
      </c>
      <c r="F238" t="inlineStr">
        <is>
          <t>SCA</t>
        </is>
      </c>
      <c r="G238" t="n">
        <v>14.3</v>
      </c>
      <c r="H238" t="n">
        <v>0</v>
      </c>
      <c r="I238" t="n">
        <v>0</v>
      </c>
      <c r="J238" t="n">
        <v>0</v>
      </c>
      <c r="K238" t="n">
        <v>0</v>
      </c>
      <c r="L238" t="n">
        <v>0</v>
      </c>
      <c r="M238" t="n">
        <v>0</v>
      </c>
      <c r="N238" t="n">
        <v>0</v>
      </c>
      <c r="O238" t="n">
        <v>0</v>
      </c>
      <c r="P238" t="n">
        <v>0</v>
      </c>
      <c r="Q238" t="n">
        <v>0</v>
      </c>
      <c r="R238" s="2" t="inlineStr"/>
    </row>
    <row r="239" ht="15" customHeight="1">
      <c r="A239" t="inlineStr">
        <is>
          <t>A 28319-2021</t>
        </is>
      </c>
      <c r="B239" s="1" t="n">
        <v>44355</v>
      </c>
      <c r="C239" s="1" t="n">
        <v>45795</v>
      </c>
      <c r="D239" t="inlineStr">
        <is>
          <t>NORRBOTTENS LÄN</t>
        </is>
      </c>
      <c r="E239" t="inlineStr">
        <is>
          <t>JOKKMOKK</t>
        </is>
      </c>
      <c r="F239" t="inlineStr">
        <is>
          <t>Övriga statliga verk och myndigheter</t>
        </is>
      </c>
      <c r="G239" t="n">
        <v>40</v>
      </c>
      <c r="H239" t="n">
        <v>0</v>
      </c>
      <c r="I239" t="n">
        <v>0</v>
      </c>
      <c r="J239" t="n">
        <v>0</v>
      </c>
      <c r="K239" t="n">
        <v>0</v>
      </c>
      <c r="L239" t="n">
        <v>0</v>
      </c>
      <c r="M239" t="n">
        <v>0</v>
      </c>
      <c r="N239" t="n">
        <v>0</v>
      </c>
      <c r="O239" t="n">
        <v>0</v>
      </c>
      <c r="P239" t="n">
        <v>0</v>
      </c>
      <c r="Q239" t="n">
        <v>0</v>
      </c>
      <c r="R239" s="2" t="inlineStr"/>
    </row>
    <row r="240" ht="15" customHeight="1">
      <c r="A240" t="inlineStr">
        <is>
          <t>A 29073-2021</t>
        </is>
      </c>
      <c r="B240" s="1" t="n">
        <v>44358</v>
      </c>
      <c r="C240" s="1" t="n">
        <v>45795</v>
      </c>
      <c r="D240" t="inlineStr">
        <is>
          <t>NORRBOTTENS LÄN</t>
        </is>
      </c>
      <c r="E240" t="inlineStr">
        <is>
          <t>JOKKMOKK</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29955-2021</t>
        </is>
      </c>
      <c r="B241" s="1" t="n">
        <v>44362</v>
      </c>
      <c r="C241" s="1" t="n">
        <v>45795</v>
      </c>
      <c r="D241" t="inlineStr">
        <is>
          <t>NORRBOTTENS LÄN</t>
        </is>
      </c>
      <c r="E241" t="inlineStr">
        <is>
          <t>JOKKMOKK</t>
        </is>
      </c>
      <c r="G241" t="n">
        <v>14.1</v>
      </c>
      <c r="H241" t="n">
        <v>0</v>
      </c>
      <c r="I241" t="n">
        <v>0</v>
      </c>
      <c r="J241" t="n">
        <v>0</v>
      </c>
      <c r="K241" t="n">
        <v>0</v>
      </c>
      <c r="L241" t="n">
        <v>0</v>
      </c>
      <c r="M241" t="n">
        <v>0</v>
      </c>
      <c r="N241" t="n">
        <v>0</v>
      </c>
      <c r="O241" t="n">
        <v>0</v>
      </c>
      <c r="P241" t="n">
        <v>0</v>
      </c>
      <c r="Q241" t="n">
        <v>0</v>
      </c>
      <c r="R241" s="2" t="inlineStr"/>
    </row>
    <row r="242" ht="15" customHeight="1">
      <c r="A242" t="inlineStr">
        <is>
          <t>A 31767-2021</t>
        </is>
      </c>
      <c r="B242" s="1" t="n">
        <v>44369</v>
      </c>
      <c r="C242" s="1" t="n">
        <v>45795</v>
      </c>
      <c r="D242" t="inlineStr">
        <is>
          <t>NORRBOTTENS LÄN</t>
        </is>
      </c>
      <c r="E242" t="inlineStr">
        <is>
          <t>JOKKMOKK</t>
        </is>
      </c>
      <c r="F242" t="inlineStr">
        <is>
          <t>Övriga statliga verk och myndigheter</t>
        </is>
      </c>
      <c r="G242" t="n">
        <v>12.1</v>
      </c>
      <c r="H242" t="n">
        <v>0</v>
      </c>
      <c r="I242" t="n">
        <v>0</v>
      </c>
      <c r="J242" t="n">
        <v>0</v>
      </c>
      <c r="K242" t="n">
        <v>0</v>
      </c>
      <c r="L242" t="n">
        <v>0</v>
      </c>
      <c r="M242" t="n">
        <v>0</v>
      </c>
      <c r="N242" t="n">
        <v>0</v>
      </c>
      <c r="O242" t="n">
        <v>0</v>
      </c>
      <c r="P242" t="n">
        <v>0</v>
      </c>
      <c r="Q242" t="n">
        <v>0</v>
      </c>
      <c r="R242" s="2" t="inlineStr"/>
    </row>
    <row r="243" ht="15" customHeight="1">
      <c r="A243" t="inlineStr">
        <is>
          <t>A 31902-2021</t>
        </is>
      </c>
      <c r="B243" s="1" t="n">
        <v>44370</v>
      </c>
      <c r="C243" s="1" t="n">
        <v>45795</v>
      </c>
      <c r="D243" t="inlineStr">
        <is>
          <t>NORRBOTTENS LÄN</t>
        </is>
      </c>
      <c r="E243" t="inlineStr">
        <is>
          <t>JOKKMOKK</t>
        </is>
      </c>
      <c r="G243" t="n">
        <v>20</v>
      </c>
      <c r="H243" t="n">
        <v>0</v>
      </c>
      <c r="I243" t="n">
        <v>0</v>
      </c>
      <c r="J243" t="n">
        <v>0</v>
      </c>
      <c r="K243" t="n">
        <v>0</v>
      </c>
      <c r="L243" t="n">
        <v>0</v>
      </c>
      <c r="M243" t="n">
        <v>0</v>
      </c>
      <c r="N243" t="n">
        <v>0</v>
      </c>
      <c r="O243" t="n">
        <v>0</v>
      </c>
      <c r="P243" t="n">
        <v>0</v>
      </c>
      <c r="Q243" t="n">
        <v>0</v>
      </c>
      <c r="R243" s="2" t="inlineStr"/>
    </row>
    <row r="244" ht="15" customHeight="1">
      <c r="A244" t="inlineStr">
        <is>
          <t>A 32751-2021</t>
        </is>
      </c>
      <c r="B244" s="1" t="n">
        <v>44375</v>
      </c>
      <c r="C244" s="1" t="n">
        <v>45795</v>
      </c>
      <c r="D244" t="inlineStr">
        <is>
          <t>NORRBOTTENS LÄN</t>
        </is>
      </c>
      <c r="E244" t="inlineStr">
        <is>
          <t>JOKKMOKK</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34062-2021</t>
        </is>
      </c>
      <c r="B245" s="1" t="n">
        <v>44378</v>
      </c>
      <c r="C245" s="1" t="n">
        <v>45795</v>
      </c>
      <c r="D245" t="inlineStr">
        <is>
          <t>NORRBOTTENS LÄN</t>
        </is>
      </c>
      <c r="E245" t="inlineStr">
        <is>
          <t>JOKKMOKK</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34084-2021</t>
        </is>
      </c>
      <c r="B246" s="1" t="n">
        <v>44378</v>
      </c>
      <c r="C246" s="1" t="n">
        <v>45795</v>
      </c>
      <c r="D246" t="inlineStr">
        <is>
          <t>NORRBOTTENS LÄN</t>
        </is>
      </c>
      <c r="E246" t="inlineStr">
        <is>
          <t>JOKKMOKK</t>
        </is>
      </c>
      <c r="G246" t="n">
        <v>9.6</v>
      </c>
      <c r="H246" t="n">
        <v>0</v>
      </c>
      <c r="I246" t="n">
        <v>0</v>
      </c>
      <c r="J246" t="n">
        <v>0</v>
      </c>
      <c r="K246" t="n">
        <v>0</v>
      </c>
      <c r="L246" t="n">
        <v>0</v>
      </c>
      <c r="M246" t="n">
        <v>0</v>
      </c>
      <c r="N246" t="n">
        <v>0</v>
      </c>
      <c r="O246" t="n">
        <v>0</v>
      </c>
      <c r="P246" t="n">
        <v>0</v>
      </c>
      <c r="Q246" t="n">
        <v>0</v>
      </c>
      <c r="R246" s="2" t="inlineStr"/>
    </row>
    <row r="247" ht="15" customHeight="1">
      <c r="A247" t="inlineStr">
        <is>
          <t>A 34752-2021</t>
        </is>
      </c>
      <c r="B247" s="1" t="n">
        <v>44382</v>
      </c>
      <c r="C247" s="1" t="n">
        <v>45795</v>
      </c>
      <c r="D247" t="inlineStr">
        <is>
          <t>NORRBOTTENS LÄN</t>
        </is>
      </c>
      <c r="E247" t="inlineStr">
        <is>
          <t>JOKKMOKK</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36607-2021</t>
        </is>
      </c>
      <c r="B248" s="1" t="n">
        <v>44391</v>
      </c>
      <c r="C248" s="1" t="n">
        <v>45795</v>
      </c>
      <c r="D248" t="inlineStr">
        <is>
          <t>NORRBOTTENS LÄN</t>
        </is>
      </c>
      <c r="E248" t="inlineStr">
        <is>
          <t>JOKKMOKK</t>
        </is>
      </c>
      <c r="F248" t="inlineStr">
        <is>
          <t>Allmännings- och besparingsskogar</t>
        </is>
      </c>
      <c r="G248" t="n">
        <v>9.5</v>
      </c>
      <c r="H248" t="n">
        <v>0</v>
      </c>
      <c r="I248" t="n">
        <v>0</v>
      </c>
      <c r="J248" t="n">
        <v>0</v>
      </c>
      <c r="K248" t="n">
        <v>0</v>
      </c>
      <c r="L248" t="n">
        <v>0</v>
      </c>
      <c r="M248" t="n">
        <v>0</v>
      </c>
      <c r="N248" t="n">
        <v>0</v>
      </c>
      <c r="O248" t="n">
        <v>0</v>
      </c>
      <c r="P248" t="n">
        <v>0</v>
      </c>
      <c r="Q248" t="n">
        <v>0</v>
      </c>
      <c r="R248" s="2" t="inlineStr"/>
    </row>
    <row r="249" ht="15" customHeight="1">
      <c r="A249" t="inlineStr">
        <is>
          <t>A 37114-2021</t>
        </is>
      </c>
      <c r="B249" s="1" t="n">
        <v>44393</v>
      </c>
      <c r="C249" s="1" t="n">
        <v>45795</v>
      </c>
      <c r="D249" t="inlineStr">
        <is>
          <t>NORRBOTTENS LÄN</t>
        </is>
      </c>
      <c r="E249" t="inlineStr">
        <is>
          <t>JOKKMOKK</t>
        </is>
      </c>
      <c r="F249" t="inlineStr">
        <is>
          <t>Övriga statliga verk och myndigheter</t>
        </is>
      </c>
      <c r="G249" t="n">
        <v>30</v>
      </c>
      <c r="H249" t="n">
        <v>0</v>
      </c>
      <c r="I249" t="n">
        <v>0</v>
      </c>
      <c r="J249" t="n">
        <v>0</v>
      </c>
      <c r="K249" t="n">
        <v>0</v>
      </c>
      <c r="L249" t="n">
        <v>0</v>
      </c>
      <c r="M249" t="n">
        <v>0</v>
      </c>
      <c r="N249" t="n">
        <v>0</v>
      </c>
      <c r="O249" t="n">
        <v>0</v>
      </c>
      <c r="P249" t="n">
        <v>0</v>
      </c>
      <c r="Q249" t="n">
        <v>0</v>
      </c>
      <c r="R249" s="2" t="inlineStr"/>
    </row>
    <row r="250" ht="15" customHeight="1">
      <c r="A250" t="inlineStr">
        <is>
          <t>A 38039-2021</t>
        </is>
      </c>
      <c r="B250" s="1" t="n">
        <v>44404</v>
      </c>
      <c r="C250" s="1" t="n">
        <v>45795</v>
      </c>
      <c r="D250" t="inlineStr">
        <is>
          <t>NORRBOTTENS LÄN</t>
        </is>
      </c>
      <c r="E250" t="inlineStr">
        <is>
          <t>JOKKMOKK</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39784-2021</t>
        </is>
      </c>
      <c r="B251" s="1" t="n">
        <v>44417</v>
      </c>
      <c r="C251" s="1" t="n">
        <v>45795</v>
      </c>
      <c r="D251" t="inlineStr">
        <is>
          <t>NORRBOTTENS LÄN</t>
        </is>
      </c>
      <c r="E251" t="inlineStr">
        <is>
          <t>JOKKMOKK</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41923-2021</t>
        </is>
      </c>
      <c r="B252" s="1" t="n">
        <v>44425</v>
      </c>
      <c r="C252" s="1" t="n">
        <v>45795</v>
      </c>
      <c r="D252" t="inlineStr">
        <is>
          <t>NORRBOTTENS LÄN</t>
        </is>
      </c>
      <c r="E252" t="inlineStr">
        <is>
          <t>JOKKMOKK</t>
        </is>
      </c>
      <c r="F252" t="inlineStr">
        <is>
          <t>Övriga statliga verk och myndigheter</t>
        </is>
      </c>
      <c r="G252" t="n">
        <v>22</v>
      </c>
      <c r="H252" t="n">
        <v>0</v>
      </c>
      <c r="I252" t="n">
        <v>0</v>
      </c>
      <c r="J252" t="n">
        <v>0</v>
      </c>
      <c r="K252" t="n">
        <v>0</v>
      </c>
      <c r="L252" t="n">
        <v>0</v>
      </c>
      <c r="M252" t="n">
        <v>0</v>
      </c>
      <c r="N252" t="n">
        <v>0</v>
      </c>
      <c r="O252" t="n">
        <v>0</v>
      </c>
      <c r="P252" t="n">
        <v>0</v>
      </c>
      <c r="Q252" t="n">
        <v>0</v>
      </c>
      <c r="R252" s="2" t="inlineStr"/>
    </row>
    <row r="253" ht="15" customHeight="1">
      <c r="A253" t="inlineStr">
        <is>
          <t>A 43014-2021</t>
        </is>
      </c>
      <c r="B253" s="1" t="n">
        <v>44431</v>
      </c>
      <c r="C253" s="1" t="n">
        <v>45795</v>
      </c>
      <c r="D253" t="inlineStr">
        <is>
          <t>NORRBOTTENS LÄN</t>
        </is>
      </c>
      <c r="E253" t="inlineStr">
        <is>
          <t>JOKKMOKK</t>
        </is>
      </c>
      <c r="G253" t="n">
        <v>2.8</v>
      </c>
      <c r="H253" t="n">
        <v>0</v>
      </c>
      <c r="I253" t="n">
        <v>0</v>
      </c>
      <c r="J253" t="n">
        <v>0</v>
      </c>
      <c r="K253" t="n">
        <v>0</v>
      </c>
      <c r="L253" t="n">
        <v>0</v>
      </c>
      <c r="M253" t="n">
        <v>0</v>
      </c>
      <c r="N253" t="n">
        <v>0</v>
      </c>
      <c r="O253" t="n">
        <v>0</v>
      </c>
      <c r="P253" t="n">
        <v>0</v>
      </c>
      <c r="Q253" t="n">
        <v>0</v>
      </c>
      <c r="R253" s="2" t="inlineStr"/>
    </row>
    <row r="254" ht="15" customHeight="1">
      <c r="A254" t="inlineStr">
        <is>
          <t>A 43720-2021</t>
        </is>
      </c>
      <c r="B254" s="1" t="n">
        <v>44433</v>
      </c>
      <c r="C254" s="1" t="n">
        <v>45795</v>
      </c>
      <c r="D254" t="inlineStr">
        <is>
          <t>NORRBOTTENS LÄN</t>
        </is>
      </c>
      <c r="E254" t="inlineStr">
        <is>
          <t>JOKKMOKK</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43780-2021</t>
        </is>
      </c>
      <c r="B255" s="1" t="n">
        <v>44433</v>
      </c>
      <c r="C255" s="1" t="n">
        <v>45795</v>
      </c>
      <c r="D255" t="inlineStr">
        <is>
          <t>NORRBOTTENS LÄN</t>
        </is>
      </c>
      <c r="E255" t="inlineStr">
        <is>
          <t>JOKKMOKK</t>
        </is>
      </c>
      <c r="G255" t="n">
        <v>2.7</v>
      </c>
      <c r="H255" t="n">
        <v>0</v>
      </c>
      <c r="I255" t="n">
        <v>0</v>
      </c>
      <c r="J255" t="n">
        <v>0</v>
      </c>
      <c r="K255" t="n">
        <v>0</v>
      </c>
      <c r="L255" t="n">
        <v>0</v>
      </c>
      <c r="M255" t="n">
        <v>0</v>
      </c>
      <c r="N255" t="n">
        <v>0</v>
      </c>
      <c r="O255" t="n">
        <v>0</v>
      </c>
      <c r="P255" t="n">
        <v>0</v>
      </c>
      <c r="Q255" t="n">
        <v>0</v>
      </c>
      <c r="R255" s="2" t="inlineStr"/>
    </row>
    <row r="256" ht="15" customHeight="1">
      <c r="A256" t="inlineStr">
        <is>
          <t>A 43785-2021</t>
        </is>
      </c>
      <c r="B256" s="1" t="n">
        <v>44433</v>
      </c>
      <c r="C256" s="1" t="n">
        <v>45795</v>
      </c>
      <c r="D256" t="inlineStr">
        <is>
          <t>NORRBOTTENS LÄN</t>
        </is>
      </c>
      <c r="E256" t="inlineStr">
        <is>
          <t>JOKKMOKK</t>
        </is>
      </c>
      <c r="G256" t="n">
        <v>3.8</v>
      </c>
      <c r="H256" t="n">
        <v>0</v>
      </c>
      <c r="I256" t="n">
        <v>0</v>
      </c>
      <c r="J256" t="n">
        <v>0</v>
      </c>
      <c r="K256" t="n">
        <v>0</v>
      </c>
      <c r="L256" t="n">
        <v>0</v>
      </c>
      <c r="M256" t="n">
        <v>0</v>
      </c>
      <c r="N256" t="n">
        <v>0</v>
      </c>
      <c r="O256" t="n">
        <v>0</v>
      </c>
      <c r="P256" t="n">
        <v>0</v>
      </c>
      <c r="Q256" t="n">
        <v>0</v>
      </c>
      <c r="R256" s="2" t="inlineStr"/>
    </row>
    <row r="257" ht="15" customHeight="1">
      <c r="A257" t="inlineStr">
        <is>
          <t>A 43783-2021</t>
        </is>
      </c>
      <c r="B257" s="1" t="n">
        <v>44433</v>
      </c>
      <c r="C257" s="1" t="n">
        <v>45795</v>
      </c>
      <c r="D257" t="inlineStr">
        <is>
          <t>NORRBOTTENS LÄN</t>
        </is>
      </c>
      <c r="E257" t="inlineStr">
        <is>
          <t>JOKKMOKK</t>
        </is>
      </c>
      <c r="G257" t="n">
        <v>2.3</v>
      </c>
      <c r="H257" t="n">
        <v>0</v>
      </c>
      <c r="I257" t="n">
        <v>0</v>
      </c>
      <c r="J257" t="n">
        <v>0</v>
      </c>
      <c r="K257" t="n">
        <v>0</v>
      </c>
      <c r="L257" t="n">
        <v>0</v>
      </c>
      <c r="M257" t="n">
        <v>0</v>
      </c>
      <c r="N257" t="n">
        <v>0</v>
      </c>
      <c r="O257" t="n">
        <v>0</v>
      </c>
      <c r="P257" t="n">
        <v>0</v>
      </c>
      <c r="Q257" t="n">
        <v>0</v>
      </c>
      <c r="R257" s="2" t="inlineStr"/>
    </row>
    <row r="258" ht="15" customHeight="1">
      <c r="A258" t="inlineStr">
        <is>
          <t>A 43781-2021</t>
        </is>
      </c>
      <c r="B258" s="1" t="n">
        <v>44433</v>
      </c>
      <c r="C258" s="1" t="n">
        <v>45795</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44646-2021</t>
        </is>
      </c>
      <c r="B259" s="1" t="n">
        <v>44437</v>
      </c>
      <c r="C259" s="1" t="n">
        <v>45795</v>
      </c>
      <c r="D259" t="inlineStr">
        <is>
          <t>NORRBOTTENS LÄN</t>
        </is>
      </c>
      <c r="E259" t="inlineStr">
        <is>
          <t>JOKKMOKK</t>
        </is>
      </c>
      <c r="G259" t="n">
        <v>10</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45795</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49482-2021</t>
        </is>
      </c>
      <c r="B261" s="1" t="n">
        <v>44454</v>
      </c>
      <c r="C261" s="1" t="n">
        <v>45795</v>
      </c>
      <c r="D261" t="inlineStr">
        <is>
          <t>NORRBOTTENS LÄN</t>
        </is>
      </c>
      <c r="E261" t="inlineStr">
        <is>
          <t>JOKKMOKK</t>
        </is>
      </c>
      <c r="F261" t="inlineStr">
        <is>
          <t>SCA</t>
        </is>
      </c>
      <c r="G261" t="n">
        <v>20.4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45795</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56199-2021</t>
        </is>
      </c>
      <c r="B263" s="1" t="n">
        <v>44477</v>
      </c>
      <c r="C263" s="1" t="n">
        <v>45795</v>
      </c>
      <c r="D263" t="inlineStr">
        <is>
          <t>NORRBOTTENS LÄN</t>
        </is>
      </c>
      <c r="E263" t="inlineStr">
        <is>
          <t>JOKKMOKK</t>
        </is>
      </c>
      <c r="G263" t="n">
        <v>1</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45795</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56523-2021</t>
        </is>
      </c>
      <c r="B265" s="1" t="n">
        <v>44477</v>
      </c>
      <c r="C265" s="1" t="n">
        <v>45795</v>
      </c>
      <c r="D265" t="inlineStr">
        <is>
          <t>NORRBOTTENS LÄN</t>
        </is>
      </c>
      <c r="E265" t="inlineStr">
        <is>
          <t>JOKKMOKK</t>
        </is>
      </c>
      <c r="G265" t="n">
        <v>6.6</v>
      </c>
      <c r="H265" t="n">
        <v>0</v>
      </c>
      <c r="I265" t="n">
        <v>0</v>
      </c>
      <c r="J265" t="n">
        <v>0</v>
      </c>
      <c r="K265" t="n">
        <v>0</v>
      </c>
      <c r="L265" t="n">
        <v>0</v>
      </c>
      <c r="M265" t="n">
        <v>0</v>
      </c>
      <c r="N265" t="n">
        <v>0</v>
      </c>
      <c r="O265" t="n">
        <v>0</v>
      </c>
      <c r="P265" t="n">
        <v>0</v>
      </c>
      <c r="Q265" t="n">
        <v>0</v>
      </c>
      <c r="R265" s="2" t="inlineStr"/>
    </row>
    <row r="266" ht="15" customHeight="1">
      <c r="A266" t="inlineStr">
        <is>
          <t>A 59189-2021</t>
        </is>
      </c>
      <c r="B266" s="1" t="n">
        <v>44490</v>
      </c>
      <c r="C266" s="1" t="n">
        <v>45795</v>
      </c>
      <c r="D266" t="inlineStr">
        <is>
          <t>NORRBOTTENS LÄN</t>
        </is>
      </c>
      <c r="E266" t="inlineStr">
        <is>
          <t>JOKKMOKK</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59849-2021</t>
        </is>
      </c>
      <c r="B267" s="1" t="n">
        <v>44493</v>
      </c>
      <c r="C267" s="1" t="n">
        <v>45795</v>
      </c>
      <c r="D267" t="inlineStr">
        <is>
          <t>NORRBOTTENS LÄN</t>
        </is>
      </c>
      <c r="E267" t="inlineStr">
        <is>
          <t>JOKKMOKK</t>
        </is>
      </c>
      <c r="F267" t="inlineStr">
        <is>
          <t>Övriga Aktiebolag</t>
        </is>
      </c>
      <c r="G267" t="n">
        <v>11.7</v>
      </c>
      <c r="H267" t="n">
        <v>0</v>
      </c>
      <c r="I267" t="n">
        <v>0</v>
      </c>
      <c r="J267" t="n">
        <v>0</v>
      </c>
      <c r="K267" t="n">
        <v>0</v>
      </c>
      <c r="L267" t="n">
        <v>0</v>
      </c>
      <c r="M267" t="n">
        <v>0</v>
      </c>
      <c r="N267" t="n">
        <v>0</v>
      </c>
      <c r="O267" t="n">
        <v>0</v>
      </c>
      <c r="P267" t="n">
        <v>0</v>
      </c>
      <c r="Q267" t="n">
        <v>0</v>
      </c>
      <c r="R267" s="2" t="inlineStr"/>
    </row>
    <row r="268" ht="15" customHeight="1">
      <c r="A268" t="inlineStr">
        <is>
          <t>A 68780-2021</t>
        </is>
      </c>
      <c r="B268" s="1" t="n">
        <v>44529</v>
      </c>
      <c r="C268" s="1" t="n">
        <v>45795</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69883-2021</t>
        </is>
      </c>
      <c r="B269" s="1" t="n">
        <v>44532</v>
      </c>
      <c r="C269" s="1" t="n">
        <v>45795</v>
      </c>
      <c r="D269" t="inlineStr">
        <is>
          <t>NORRBOTTENS LÄN</t>
        </is>
      </c>
      <c r="E269" t="inlineStr">
        <is>
          <t>JOKKMOKK</t>
        </is>
      </c>
      <c r="G269" t="n">
        <v>12.5</v>
      </c>
      <c r="H269" t="n">
        <v>0</v>
      </c>
      <c r="I269" t="n">
        <v>0</v>
      </c>
      <c r="J269" t="n">
        <v>0</v>
      </c>
      <c r="K269" t="n">
        <v>0</v>
      </c>
      <c r="L269" t="n">
        <v>0</v>
      </c>
      <c r="M269" t="n">
        <v>0</v>
      </c>
      <c r="N269" t="n">
        <v>0</v>
      </c>
      <c r="O269" t="n">
        <v>0</v>
      </c>
      <c r="P269" t="n">
        <v>0</v>
      </c>
      <c r="Q269" t="n">
        <v>0</v>
      </c>
      <c r="R269" s="2" t="inlineStr"/>
    </row>
    <row r="270" ht="15" customHeight="1">
      <c r="A270" t="inlineStr">
        <is>
          <t>A 71368-2021</t>
        </is>
      </c>
      <c r="B270" s="1" t="n">
        <v>44539</v>
      </c>
      <c r="C270" s="1" t="n">
        <v>45795</v>
      </c>
      <c r="D270" t="inlineStr">
        <is>
          <t>NORRBOTTENS LÄN</t>
        </is>
      </c>
      <c r="E270" t="inlineStr">
        <is>
          <t>JOKKMOKK</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71369-2021</t>
        </is>
      </c>
      <c r="B271" s="1" t="n">
        <v>44539</v>
      </c>
      <c r="C271" s="1" t="n">
        <v>45795</v>
      </c>
      <c r="D271" t="inlineStr">
        <is>
          <t>NORRBOTTENS LÄN</t>
        </is>
      </c>
      <c r="E271" t="inlineStr">
        <is>
          <t>JOKKMOKK</t>
        </is>
      </c>
      <c r="F271" t="inlineStr">
        <is>
          <t>SCA</t>
        </is>
      </c>
      <c r="G271" t="n">
        <v>15.7</v>
      </c>
      <c r="H271" t="n">
        <v>0</v>
      </c>
      <c r="I271" t="n">
        <v>0</v>
      </c>
      <c r="J271" t="n">
        <v>0</v>
      </c>
      <c r="K271" t="n">
        <v>0</v>
      </c>
      <c r="L271" t="n">
        <v>0</v>
      </c>
      <c r="M271" t="n">
        <v>0</v>
      </c>
      <c r="N271" t="n">
        <v>0</v>
      </c>
      <c r="O271" t="n">
        <v>0</v>
      </c>
      <c r="P271" t="n">
        <v>0</v>
      </c>
      <c r="Q271" t="n">
        <v>0</v>
      </c>
      <c r="R271" s="2" t="inlineStr"/>
    </row>
    <row r="272" ht="15" customHeight="1">
      <c r="A272" t="inlineStr">
        <is>
          <t>A 71370-2021</t>
        </is>
      </c>
      <c r="B272" s="1" t="n">
        <v>44539</v>
      </c>
      <c r="C272" s="1" t="n">
        <v>45795</v>
      </c>
      <c r="D272" t="inlineStr">
        <is>
          <t>NORRBOTTENS LÄN</t>
        </is>
      </c>
      <c r="E272" t="inlineStr">
        <is>
          <t>JOKKMOKK</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71371-2021</t>
        </is>
      </c>
      <c r="B273" s="1" t="n">
        <v>44539</v>
      </c>
      <c r="C273" s="1" t="n">
        <v>45795</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71402-2021</t>
        </is>
      </c>
      <c r="B274" s="1" t="n">
        <v>44540</v>
      </c>
      <c r="C274" s="1" t="n">
        <v>45795</v>
      </c>
      <c r="D274" t="inlineStr">
        <is>
          <t>NORRBOTTENS LÄN</t>
        </is>
      </c>
      <c r="E274" t="inlineStr">
        <is>
          <t>JOKKMOKK</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71921-2021</t>
        </is>
      </c>
      <c r="B275" s="1" t="n">
        <v>44543</v>
      </c>
      <c r="C275" s="1" t="n">
        <v>45795</v>
      </c>
      <c r="D275" t="inlineStr">
        <is>
          <t>NORRBOTTENS LÄN</t>
        </is>
      </c>
      <c r="E275" t="inlineStr">
        <is>
          <t>JOKKMOKK</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71932-2021</t>
        </is>
      </c>
      <c r="B276" s="1" t="n">
        <v>44543</v>
      </c>
      <c r="C276" s="1" t="n">
        <v>45795</v>
      </c>
      <c r="D276" t="inlineStr">
        <is>
          <t>NORRBOTTENS LÄN</t>
        </is>
      </c>
      <c r="E276" t="inlineStr">
        <is>
          <t>JOKKMOKK</t>
        </is>
      </c>
      <c r="G276" t="n">
        <v>2</v>
      </c>
      <c r="H276" t="n">
        <v>0</v>
      </c>
      <c r="I276" t="n">
        <v>0</v>
      </c>
      <c r="J276" t="n">
        <v>0</v>
      </c>
      <c r="K276" t="n">
        <v>0</v>
      </c>
      <c r="L276" t="n">
        <v>0</v>
      </c>
      <c r="M276" t="n">
        <v>0</v>
      </c>
      <c r="N276" t="n">
        <v>0</v>
      </c>
      <c r="O276" t="n">
        <v>0</v>
      </c>
      <c r="P276" t="n">
        <v>0</v>
      </c>
      <c r="Q276" t="n">
        <v>0</v>
      </c>
      <c r="R276" s="2" t="inlineStr"/>
    </row>
    <row r="277" ht="15" customHeight="1">
      <c r="A277" t="inlineStr">
        <is>
          <t>A 71937-2021</t>
        </is>
      </c>
      <c r="B277" s="1" t="n">
        <v>44543</v>
      </c>
      <c r="C277" s="1" t="n">
        <v>45795</v>
      </c>
      <c r="D277" t="inlineStr">
        <is>
          <t>NORRBOTTENS LÄN</t>
        </is>
      </c>
      <c r="E277" t="inlineStr">
        <is>
          <t>JOKKMOKK</t>
        </is>
      </c>
      <c r="F277" t="inlineStr">
        <is>
          <t>Naturvårdsverket</t>
        </is>
      </c>
      <c r="G277" t="n">
        <v>11</v>
      </c>
      <c r="H277" t="n">
        <v>0</v>
      </c>
      <c r="I277" t="n">
        <v>0</v>
      </c>
      <c r="J277" t="n">
        <v>0</v>
      </c>
      <c r="K277" t="n">
        <v>0</v>
      </c>
      <c r="L277" t="n">
        <v>0</v>
      </c>
      <c r="M277" t="n">
        <v>0</v>
      </c>
      <c r="N277" t="n">
        <v>0</v>
      </c>
      <c r="O277" t="n">
        <v>0</v>
      </c>
      <c r="P277" t="n">
        <v>0</v>
      </c>
      <c r="Q277" t="n">
        <v>0</v>
      </c>
      <c r="R277" s="2" t="inlineStr"/>
    </row>
    <row r="278" ht="15" customHeight="1">
      <c r="A278" t="inlineStr">
        <is>
          <t>A 71948-2021</t>
        </is>
      </c>
      <c r="B278" s="1" t="n">
        <v>44543</v>
      </c>
      <c r="C278" s="1" t="n">
        <v>45795</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71955-2021</t>
        </is>
      </c>
      <c r="B279" s="1" t="n">
        <v>44543</v>
      </c>
      <c r="C279" s="1" t="n">
        <v>45795</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71927-2021</t>
        </is>
      </c>
      <c r="B280" s="1" t="n">
        <v>44543</v>
      </c>
      <c r="C280" s="1" t="n">
        <v>45795</v>
      </c>
      <c r="D280" t="inlineStr">
        <is>
          <t>NORRBOTTENS LÄN</t>
        </is>
      </c>
      <c r="E280" t="inlineStr">
        <is>
          <t>JOKKMOKK</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71936-2021</t>
        </is>
      </c>
      <c r="B281" s="1" t="n">
        <v>44543</v>
      </c>
      <c r="C281" s="1" t="n">
        <v>45795</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71947-2021</t>
        </is>
      </c>
      <c r="B282" s="1" t="n">
        <v>44543</v>
      </c>
      <c r="C282" s="1" t="n">
        <v>45795</v>
      </c>
      <c r="D282" t="inlineStr">
        <is>
          <t>NORRBOTTENS LÄN</t>
        </is>
      </c>
      <c r="E282" t="inlineStr">
        <is>
          <t>JOKKMOKK</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71954-2021</t>
        </is>
      </c>
      <c r="B283" s="1" t="n">
        <v>44543</v>
      </c>
      <c r="C283" s="1" t="n">
        <v>45795</v>
      </c>
      <c r="D283" t="inlineStr">
        <is>
          <t>NORRBOTTENS LÄN</t>
        </is>
      </c>
      <c r="E283" t="inlineStr">
        <is>
          <t>JOKKMOKK</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71922-2021</t>
        </is>
      </c>
      <c r="B284" s="1" t="n">
        <v>44543</v>
      </c>
      <c r="C284" s="1" t="n">
        <v>45795</v>
      </c>
      <c r="D284" t="inlineStr">
        <is>
          <t>NORRBOTTENS LÄN</t>
        </is>
      </c>
      <c r="E284" t="inlineStr">
        <is>
          <t>JOKKMOKK</t>
        </is>
      </c>
      <c r="F284" t="inlineStr">
        <is>
          <t>SCA</t>
        </is>
      </c>
      <c r="G284" t="n">
        <v>6.8</v>
      </c>
      <c r="H284" t="n">
        <v>0</v>
      </c>
      <c r="I284" t="n">
        <v>0</v>
      </c>
      <c r="J284" t="n">
        <v>0</v>
      </c>
      <c r="K284" t="n">
        <v>0</v>
      </c>
      <c r="L284" t="n">
        <v>0</v>
      </c>
      <c r="M284" t="n">
        <v>0</v>
      </c>
      <c r="N284" t="n">
        <v>0</v>
      </c>
      <c r="O284" t="n">
        <v>0</v>
      </c>
      <c r="P284" t="n">
        <v>0</v>
      </c>
      <c r="Q284" t="n">
        <v>0</v>
      </c>
      <c r="R284" s="2" t="inlineStr"/>
    </row>
    <row r="285" ht="15" customHeight="1">
      <c r="A285" t="inlineStr">
        <is>
          <t>A 71926-2021</t>
        </is>
      </c>
      <c r="B285" s="1" t="n">
        <v>44543</v>
      </c>
      <c r="C285" s="1" t="n">
        <v>45795</v>
      </c>
      <c r="D285" t="inlineStr">
        <is>
          <t>NORRBOTTENS LÄN</t>
        </is>
      </c>
      <c r="E285" t="inlineStr">
        <is>
          <t>JOKKMOKK</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71944-2021</t>
        </is>
      </c>
      <c r="B286" s="1" t="n">
        <v>44543</v>
      </c>
      <c r="C286" s="1" t="n">
        <v>45795</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71950-2021</t>
        </is>
      </c>
      <c r="B287" s="1" t="n">
        <v>44543</v>
      </c>
      <c r="C287" s="1" t="n">
        <v>45795</v>
      </c>
      <c r="D287" t="inlineStr">
        <is>
          <t>NORRBOTTENS LÄN</t>
        </is>
      </c>
      <c r="E287" t="inlineStr">
        <is>
          <t>JOKKMOKK</t>
        </is>
      </c>
      <c r="F287" t="inlineStr">
        <is>
          <t>Naturvårdsverket</t>
        </is>
      </c>
      <c r="G287" t="n">
        <v>13.3</v>
      </c>
      <c r="H287" t="n">
        <v>0</v>
      </c>
      <c r="I287" t="n">
        <v>0</v>
      </c>
      <c r="J287" t="n">
        <v>0</v>
      </c>
      <c r="K287" t="n">
        <v>0</v>
      </c>
      <c r="L287" t="n">
        <v>0</v>
      </c>
      <c r="M287" t="n">
        <v>0</v>
      </c>
      <c r="N287" t="n">
        <v>0</v>
      </c>
      <c r="O287" t="n">
        <v>0</v>
      </c>
      <c r="P287" t="n">
        <v>0</v>
      </c>
      <c r="Q287" t="n">
        <v>0</v>
      </c>
      <c r="R287" s="2" t="inlineStr"/>
    </row>
    <row r="288" ht="15" customHeight="1">
      <c r="A288" t="inlineStr">
        <is>
          <t>A 72242-2021</t>
        </is>
      </c>
      <c r="B288" s="1" t="n">
        <v>44544</v>
      </c>
      <c r="C288" s="1" t="n">
        <v>45795</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73393-2021</t>
        </is>
      </c>
      <c r="B289" s="1" t="n">
        <v>44550</v>
      </c>
      <c r="C289" s="1" t="n">
        <v>45795</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1633-2022</t>
        </is>
      </c>
      <c r="B290" s="1" t="n">
        <v>44573</v>
      </c>
      <c r="C290" s="1" t="n">
        <v>45795</v>
      </c>
      <c r="D290" t="inlineStr">
        <is>
          <t>NORRBOTTENS LÄN</t>
        </is>
      </c>
      <c r="E290" t="inlineStr">
        <is>
          <t>JOKKMOKK</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1631-2022</t>
        </is>
      </c>
      <c r="B291" s="1" t="n">
        <v>44573</v>
      </c>
      <c r="C291" s="1" t="n">
        <v>45795</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1872-2022</t>
        </is>
      </c>
      <c r="B292" s="1" t="n">
        <v>44574</v>
      </c>
      <c r="C292" s="1" t="n">
        <v>45795</v>
      </c>
      <c r="D292" t="inlineStr">
        <is>
          <t>NORRBOTTENS LÄN</t>
        </is>
      </c>
      <c r="E292" t="inlineStr">
        <is>
          <t>JOKKMOKK</t>
        </is>
      </c>
      <c r="F292" t="inlineStr">
        <is>
          <t>SCA</t>
        </is>
      </c>
      <c r="G292" t="n">
        <v>10.4</v>
      </c>
      <c r="H292" t="n">
        <v>0</v>
      </c>
      <c r="I292" t="n">
        <v>0</v>
      </c>
      <c r="J292" t="n">
        <v>0</v>
      </c>
      <c r="K292" t="n">
        <v>0</v>
      </c>
      <c r="L292" t="n">
        <v>0</v>
      </c>
      <c r="M292" t="n">
        <v>0</v>
      </c>
      <c r="N292" t="n">
        <v>0</v>
      </c>
      <c r="O292" t="n">
        <v>0</v>
      </c>
      <c r="P292" t="n">
        <v>0</v>
      </c>
      <c r="Q292" t="n">
        <v>0</v>
      </c>
      <c r="R292" s="2" t="inlineStr"/>
    </row>
    <row r="293" ht="15" customHeight="1">
      <c r="A293" t="inlineStr">
        <is>
          <t>A 3772-2022</t>
        </is>
      </c>
      <c r="B293" s="1" t="n">
        <v>44586</v>
      </c>
      <c r="C293" s="1" t="n">
        <v>45795</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3771-2022</t>
        </is>
      </c>
      <c r="B294" s="1" t="n">
        <v>44586</v>
      </c>
      <c r="C294" s="1" t="n">
        <v>45795</v>
      </c>
      <c r="D294" t="inlineStr">
        <is>
          <t>NORRBOTTENS LÄN</t>
        </is>
      </c>
      <c r="E294" t="inlineStr">
        <is>
          <t>JOKKMOKK</t>
        </is>
      </c>
      <c r="F294" t="inlineStr">
        <is>
          <t>SCA</t>
        </is>
      </c>
      <c r="G294" t="n">
        <v>10</v>
      </c>
      <c r="H294" t="n">
        <v>0</v>
      </c>
      <c r="I294" t="n">
        <v>0</v>
      </c>
      <c r="J294" t="n">
        <v>0</v>
      </c>
      <c r="K294" t="n">
        <v>0</v>
      </c>
      <c r="L294" t="n">
        <v>0</v>
      </c>
      <c r="M294" t="n">
        <v>0</v>
      </c>
      <c r="N294" t="n">
        <v>0</v>
      </c>
      <c r="O294" t="n">
        <v>0</v>
      </c>
      <c r="P294" t="n">
        <v>0</v>
      </c>
      <c r="Q294" t="n">
        <v>0</v>
      </c>
      <c r="R294" s="2" t="inlineStr"/>
    </row>
    <row r="295" ht="15" customHeight="1">
      <c r="A295" t="inlineStr">
        <is>
          <t>A 3776-2022</t>
        </is>
      </c>
      <c r="B295" s="1" t="n">
        <v>44586</v>
      </c>
      <c r="C295" s="1" t="n">
        <v>45795</v>
      </c>
      <c r="D295" t="inlineStr">
        <is>
          <t>NORRBOTTENS LÄN</t>
        </is>
      </c>
      <c r="E295" t="inlineStr">
        <is>
          <t>JOKKMOKK</t>
        </is>
      </c>
      <c r="F295" t="inlineStr">
        <is>
          <t>SCA</t>
        </is>
      </c>
      <c r="G295" t="n">
        <v>8</v>
      </c>
      <c r="H295" t="n">
        <v>0</v>
      </c>
      <c r="I295" t="n">
        <v>0</v>
      </c>
      <c r="J295" t="n">
        <v>0</v>
      </c>
      <c r="K295" t="n">
        <v>0</v>
      </c>
      <c r="L295" t="n">
        <v>0</v>
      </c>
      <c r="M295" t="n">
        <v>0</v>
      </c>
      <c r="N295" t="n">
        <v>0</v>
      </c>
      <c r="O295" t="n">
        <v>0</v>
      </c>
      <c r="P295" t="n">
        <v>0</v>
      </c>
      <c r="Q295" t="n">
        <v>0</v>
      </c>
      <c r="R295" s="2" t="inlineStr"/>
    </row>
    <row r="296" ht="15" customHeight="1">
      <c r="A296" t="inlineStr">
        <is>
          <t>A 3778-2022</t>
        </is>
      </c>
      <c r="B296" s="1" t="n">
        <v>44586</v>
      </c>
      <c r="C296" s="1" t="n">
        <v>45795</v>
      </c>
      <c r="D296" t="inlineStr">
        <is>
          <t>NORRBOTTENS LÄN</t>
        </is>
      </c>
      <c r="E296" t="inlineStr">
        <is>
          <t>JOKKMOKK</t>
        </is>
      </c>
      <c r="G296" t="n">
        <v>13.2</v>
      </c>
      <c r="H296" t="n">
        <v>0</v>
      </c>
      <c r="I296" t="n">
        <v>0</v>
      </c>
      <c r="J296" t="n">
        <v>0</v>
      </c>
      <c r="K296" t="n">
        <v>0</v>
      </c>
      <c r="L296" t="n">
        <v>0</v>
      </c>
      <c r="M296" t="n">
        <v>0</v>
      </c>
      <c r="N296" t="n">
        <v>0</v>
      </c>
      <c r="O296" t="n">
        <v>0</v>
      </c>
      <c r="P296" t="n">
        <v>0</v>
      </c>
      <c r="Q296" t="n">
        <v>0</v>
      </c>
      <c r="R296" s="2" t="inlineStr"/>
    </row>
    <row r="297" ht="15" customHeight="1">
      <c r="A297" t="inlineStr">
        <is>
          <t>A 3787-2022</t>
        </is>
      </c>
      <c r="B297" s="1" t="n">
        <v>44586</v>
      </c>
      <c r="C297" s="1" t="n">
        <v>45795</v>
      </c>
      <c r="D297" t="inlineStr">
        <is>
          <t>NORRBOTTENS LÄN</t>
        </is>
      </c>
      <c r="E297" t="inlineStr">
        <is>
          <t>JOKKMOKK</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3783-2022</t>
        </is>
      </c>
      <c r="B298" s="1" t="n">
        <v>44586</v>
      </c>
      <c r="C298" s="1" t="n">
        <v>45795</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3784-2022</t>
        </is>
      </c>
      <c r="B299" s="1" t="n">
        <v>44586</v>
      </c>
      <c r="C299" s="1" t="n">
        <v>45795</v>
      </c>
      <c r="D299" t="inlineStr">
        <is>
          <t>NORRBOTTENS LÄN</t>
        </is>
      </c>
      <c r="E299" t="inlineStr">
        <is>
          <t>JOKKMOKK</t>
        </is>
      </c>
      <c r="F299" t="inlineStr">
        <is>
          <t>SCA</t>
        </is>
      </c>
      <c r="G299" t="n">
        <v>10.4</v>
      </c>
      <c r="H299" t="n">
        <v>0</v>
      </c>
      <c r="I299" t="n">
        <v>0</v>
      </c>
      <c r="J299" t="n">
        <v>0</v>
      </c>
      <c r="K299" t="n">
        <v>0</v>
      </c>
      <c r="L299" t="n">
        <v>0</v>
      </c>
      <c r="M299" t="n">
        <v>0</v>
      </c>
      <c r="N299" t="n">
        <v>0</v>
      </c>
      <c r="O299" t="n">
        <v>0</v>
      </c>
      <c r="P299" t="n">
        <v>0</v>
      </c>
      <c r="Q299" t="n">
        <v>0</v>
      </c>
      <c r="R299" s="2" t="inlineStr"/>
    </row>
    <row r="300" ht="15" customHeight="1">
      <c r="A300" t="inlineStr">
        <is>
          <t>A 4022-2022</t>
        </is>
      </c>
      <c r="B300" s="1" t="n">
        <v>44587</v>
      </c>
      <c r="C300" s="1" t="n">
        <v>45795</v>
      </c>
      <c r="D300" t="inlineStr">
        <is>
          <t>NORRBOTTENS LÄN</t>
        </is>
      </c>
      <c r="E300" t="inlineStr">
        <is>
          <t>JOKKMOKK</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4517-2022</t>
        </is>
      </c>
      <c r="B301" s="1" t="n">
        <v>44589</v>
      </c>
      <c r="C301" s="1" t="n">
        <v>45795</v>
      </c>
      <c r="D301" t="inlineStr">
        <is>
          <t>NORRBOTTENS LÄN</t>
        </is>
      </c>
      <c r="E301" t="inlineStr">
        <is>
          <t>JOKKMOKK</t>
        </is>
      </c>
      <c r="G301" t="n">
        <v>0.8</v>
      </c>
      <c r="H301" t="n">
        <v>0</v>
      </c>
      <c r="I301" t="n">
        <v>0</v>
      </c>
      <c r="J301" t="n">
        <v>0</v>
      </c>
      <c r="K301" t="n">
        <v>0</v>
      </c>
      <c r="L301" t="n">
        <v>0</v>
      </c>
      <c r="M301" t="n">
        <v>0</v>
      </c>
      <c r="N301" t="n">
        <v>0</v>
      </c>
      <c r="O301" t="n">
        <v>0</v>
      </c>
      <c r="P301" t="n">
        <v>0</v>
      </c>
      <c r="Q301" t="n">
        <v>0</v>
      </c>
      <c r="R301" s="2" t="inlineStr"/>
    </row>
    <row r="302" ht="15" customHeight="1">
      <c r="A302" t="inlineStr">
        <is>
          <t>A 4661-2022</t>
        </is>
      </c>
      <c r="B302" s="1" t="n">
        <v>44589</v>
      </c>
      <c r="C302" s="1" t="n">
        <v>45795</v>
      </c>
      <c r="D302" t="inlineStr">
        <is>
          <t>NORRBOTTENS LÄN</t>
        </is>
      </c>
      <c r="E302" t="inlineStr">
        <is>
          <t>JOKKMOKK</t>
        </is>
      </c>
      <c r="G302" t="n">
        <v>39.5</v>
      </c>
      <c r="H302" t="n">
        <v>0</v>
      </c>
      <c r="I302" t="n">
        <v>0</v>
      </c>
      <c r="J302" t="n">
        <v>0</v>
      </c>
      <c r="K302" t="n">
        <v>0</v>
      </c>
      <c r="L302" t="n">
        <v>0</v>
      </c>
      <c r="M302" t="n">
        <v>0</v>
      </c>
      <c r="N302" t="n">
        <v>0</v>
      </c>
      <c r="O302" t="n">
        <v>0</v>
      </c>
      <c r="P302" t="n">
        <v>0</v>
      </c>
      <c r="Q302" t="n">
        <v>0</v>
      </c>
      <c r="R302" s="2" t="inlineStr"/>
    </row>
    <row r="303" ht="15" customHeight="1">
      <c r="A303" t="inlineStr">
        <is>
          <t>A 12576-2022</t>
        </is>
      </c>
      <c r="B303" s="1" t="n">
        <v>44638</v>
      </c>
      <c r="C303" s="1" t="n">
        <v>45795</v>
      </c>
      <c r="D303" t="inlineStr">
        <is>
          <t>NORRBOTTENS LÄN</t>
        </is>
      </c>
      <c r="E303" t="inlineStr">
        <is>
          <t>JOKKMOKK</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15714-2022</t>
        </is>
      </c>
      <c r="B304" s="1" t="n">
        <v>44663</v>
      </c>
      <c r="C304" s="1" t="n">
        <v>45795</v>
      </c>
      <c r="D304" t="inlineStr">
        <is>
          <t>NORRBOTTENS LÄN</t>
        </is>
      </c>
      <c r="E304" t="inlineStr">
        <is>
          <t>JOKKMOKK</t>
        </is>
      </c>
      <c r="G304" t="n">
        <v>1.6</v>
      </c>
      <c r="H304" t="n">
        <v>0</v>
      </c>
      <c r="I304" t="n">
        <v>0</v>
      </c>
      <c r="J304" t="n">
        <v>0</v>
      </c>
      <c r="K304" t="n">
        <v>0</v>
      </c>
      <c r="L304" t="n">
        <v>0</v>
      </c>
      <c r="M304" t="n">
        <v>0</v>
      </c>
      <c r="N304" t="n">
        <v>0</v>
      </c>
      <c r="O304" t="n">
        <v>0</v>
      </c>
      <c r="P304" t="n">
        <v>0</v>
      </c>
      <c r="Q304" t="n">
        <v>0</v>
      </c>
      <c r="R304" s="2" t="inlineStr"/>
    </row>
    <row r="305" ht="15" customHeight="1">
      <c r="A305" t="inlineStr">
        <is>
          <t>A 17000-2022</t>
        </is>
      </c>
      <c r="B305" s="1" t="n">
        <v>44676</v>
      </c>
      <c r="C305" s="1" t="n">
        <v>45795</v>
      </c>
      <c r="D305" t="inlineStr">
        <is>
          <t>NORRBOTTENS LÄN</t>
        </is>
      </c>
      <c r="E305" t="inlineStr">
        <is>
          <t>JOKKMOKK</t>
        </is>
      </c>
      <c r="G305" t="n">
        <v>36.6</v>
      </c>
      <c r="H305" t="n">
        <v>0</v>
      </c>
      <c r="I305" t="n">
        <v>0</v>
      </c>
      <c r="J305" t="n">
        <v>0</v>
      </c>
      <c r="K305" t="n">
        <v>0</v>
      </c>
      <c r="L305" t="n">
        <v>0</v>
      </c>
      <c r="M305" t="n">
        <v>0</v>
      </c>
      <c r="N305" t="n">
        <v>0</v>
      </c>
      <c r="O305" t="n">
        <v>0</v>
      </c>
      <c r="P305" t="n">
        <v>0</v>
      </c>
      <c r="Q305" t="n">
        <v>0</v>
      </c>
      <c r="R305" s="2" t="inlineStr"/>
    </row>
    <row r="306" ht="15" customHeight="1">
      <c r="A306" t="inlineStr">
        <is>
          <t>A 18248-2022</t>
        </is>
      </c>
      <c r="B306" s="1" t="n">
        <v>44685</v>
      </c>
      <c r="C306" s="1" t="n">
        <v>45795</v>
      </c>
      <c r="D306" t="inlineStr">
        <is>
          <t>NORRBOTTENS LÄN</t>
        </is>
      </c>
      <c r="E306" t="inlineStr">
        <is>
          <t>JOKKMOKK</t>
        </is>
      </c>
      <c r="F306" t="inlineStr">
        <is>
          <t>Övriga statliga verk och myndigheter</t>
        </is>
      </c>
      <c r="G306" t="n">
        <v>1</v>
      </c>
      <c r="H306" t="n">
        <v>0</v>
      </c>
      <c r="I306" t="n">
        <v>0</v>
      </c>
      <c r="J306" t="n">
        <v>0</v>
      </c>
      <c r="K306" t="n">
        <v>0</v>
      </c>
      <c r="L306" t="n">
        <v>0</v>
      </c>
      <c r="M306" t="n">
        <v>0</v>
      </c>
      <c r="N306" t="n">
        <v>0</v>
      </c>
      <c r="O306" t="n">
        <v>0</v>
      </c>
      <c r="P306" t="n">
        <v>0</v>
      </c>
      <c r="Q306" t="n">
        <v>0</v>
      </c>
      <c r="R306" s="2" t="inlineStr"/>
    </row>
    <row r="307" ht="15" customHeight="1">
      <c r="A307" t="inlineStr">
        <is>
          <t>A 21236-2022</t>
        </is>
      </c>
      <c r="B307" s="1" t="n">
        <v>44705</v>
      </c>
      <c r="C307" s="1" t="n">
        <v>45795</v>
      </c>
      <c r="D307" t="inlineStr">
        <is>
          <t>NORRBOTTENS LÄN</t>
        </is>
      </c>
      <c r="E307" t="inlineStr">
        <is>
          <t>JOKKMOKK</t>
        </is>
      </c>
      <c r="G307" t="n">
        <v>2.2</v>
      </c>
      <c r="H307" t="n">
        <v>0</v>
      </c>
      <c r="I307" t="n">
        <v>0</v>
      </c>
      <c r="J307" t="n">
        <v>0</v>
      </c>
      <c r="K307" t="n">
        <v>0</v>
      </c>
      <c r="L307" t="n">
        <v>0</v>
      </c>
      <c r="M307" t="n">
        <v>0</v>
      </c>
      <c r="N307" t="n">
        <v>0</v>
      </c>
      <c r="O307" t="n">
        <v>0</v>
      </c>
      <c r="P307" t="n">
        <v>0</v>
      </c>
      <c r="Q307" t="n">
        <v>0</v>
      </c>
      <c r="R307" s="2" t="inlineStr"/>
    </row>
    <row r="308" ht="15" customHeight="1">
      <c r="A308" t="inlineStr">
        <is>
          <t>A 27781-2022</t>
        </is>
      </c>
      <c r="B308" s="1" t="n">
        <v>44743</v>
      </c>
      <c r="C308" s="1" t="n">
        <v>45795</v>
      </c>
      <c r="D308" t="inlineStr">
        <is>
          <t>NORRBOTTENS LÄN</t>
        </is>
      </c>
      <c r="E308" t="inlineStr">
        <is>
          <t>JOKKMOKK</t>
        </is>
      </c>
      <c r="F308" t="inlineStr">
        <is>
          <t>Sveaskog</t>
        </is>
      </c>
      <c r="G308" t="n">
        <v>0.1</v>
      </c>
      <c r="H308" t="n">
        <v>0</v>
      </c>
      <c r="I308" t="n">
        <v>0</v>
      </c>
      <c r="J308" t="n">
        <v>0</v>
      </c>
      <c r="K308" t="n">
        <v>0</v>
      </c>
      <c r="L308" t="n">
        <v>0</v>
      </c>
      <c r="M308" t="n">
        <v>0</v>
      </c>
      <c r="N308" t="n">
        <v>0</v>
      </c>
      <c r="O308" t="n">
        <v>0</v>
      </c>
      <c r="P308" t="n">
        <v>0</v>
      </c>
      <c r="Q308" t="n">
        <v>0</v>
      </c>
      <c r="R308" s="2" t="inlineStr"/>
    </row>
    <row r="309" ht="15" customHeight="1">
      <c r="A309" t="inlineStr">
        <is>
          <t>A 28079-2022</t>
        </is>
      </c>
      <c r="B309" s="1" t="n">
        <v>44746</v>
      </c>
      <c r="C309" s="1" t="n">
        <v>45795</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28370-2022</t>
        </is>
      </c>
      <c r="B310" s="1" t="n">
        <v>44747</v>
      </c>
      <c r="C310" s="1" t="n">
        <v>45795</v>
      </c>
      <c r="D310" t="inlineStr">
        <is>
          <t>NORRBOTTENS LÄN</t>
        </is>
      </c>
      <c r="E310" t="inlineStr">
        <is>
          <t>JOKKMOKK</t>
        </is>
      </c>
      <c r="F310" t="inlineStr">
        <is>
          <t>Övriga Aktiebolag</t>
        </is>
      </c>
      <c r="G310" t="n">
        <v>10.2</v>
      </c>
      <c r="H310" t="n">
        <v>0</v>
      </c>
      <c r="I310" t="n">
        <v>0</v>
      </c>
      <c r="J310" t="n">
        <v>0</v>
      </c>
      <c r="K310" t="n">
        <v>0</v>
      </c>
      <c r="L310" t="n">
        <v>0</v>
      </c>
      <c r="M310" t="n">
        <v>0</v>
      </c>
      <c r="N310" t="n">
        <v>0</v>
      </c>
      <c r="O310" t="n">
        <v>0</v>
      </c>
      <c r="P310" t="n">
        <v>0</v>
      </c>
      <c r="Q310" t="n">
        <v>0</v>
      </c>
      <c r="R310" s="2" t="inlineStr"/>
    </row>
    <row r="311" ht="15" customHeight="1">
      <c r="A311" t="inlineStr">
        <is>
          <t>A 28350-2022</t>
        </is>
      </c>
      <c r="B311" s="1" t="n">
        <v>44747</v>
      </c>
      <c r="C311" s="1" t="n">
        <v>45795</v>
      </c>
      <c r="D311" t="inlineStr">
        <is>
          <t>NORRBOTTENS LÄN</t>
        </is>
      </c>
      <c r="E311" t="inlineStr">
        <is>
          <t>JOKKMOKK</t>
        </is>
      </c>
      <c r="F311" t="inlineStr">
        <is>
          <t>Övriga Aktiebolag</t>
        </is>
      </c>
      <c r="G311" t="n">
        <v>48.8</v>
      </c>
      <c r="H311" t="n">
        <v>0</v>
      </c>
      <c r="I311" t="n">
        <v>0</v>
      </c>
      <c r="J311" t="n">
        <v>0</v>
      </c>
      <c r="K311" t="n">
        <v>0</v>
      </c>
      <c r="L311" t="n">
        <v>0</v>
      </c>
      <c r="M311" t="n">
        <v>0</v>
      </c>
      <c r="N311" t="n">
        <v>0</v>
      </c>
      <c r="O311" t="n">
        <v>0</v>
      </c>
      <c r="P311" t="n">
        <v>0</v>
      </c>
      <c r="Q311" t="n">
        <v>0</v>
      </c>
      <c r="R311" s="2" t="inlineStr"/>
    </row>
    <row r="312" ht="15" customHeight="1">
      <c r="A312" t="inlineStr">
        <is>
          <t>A 30588-2022</t>
        </is>
      </c>
      <c r="B312" s="1" t="n">
        <v>44762</v>
      </c>
      <c r="C312" s="1" t="n">
        <v>45795</v>
      </c>
      <c r="D312" t="inlineStr">
        <is>
          <t>NORRBOTTENS LÄN</t>
        </is>
      </c>
      <c r="E312" t="inlineStr">
        <is>
          <t>JOKKMOKK</t>
        </is>
      </c>
      <c r="F312" t="inlineStr">
        <is>
          <t>Övriga statliga verk och myndigheter</t>
        </is>
      </c>
      <c r="G312" t="n">
        <v>11.7</v>
      </c>
      <c r="H312" t="n">
        <v>0</v>
      </c>
      <c r="I312" t="n">
        <v>0</v>
      </c>
      <c r="J312" t="n">
        <v>0</v>
      </c>
      <c r="K312" t="n">
        <v>0</v>
      </c>
      <c r="L312" t="n">
        <v>0</v>
      </c>
      <c r="M312" t="n">
        <v>0</v>
      </c>
      <c r="N312" t="n">
        <v>0</v>
      </c>
      <c r="O312" t="n">
        <v>0</v>
      </c>
      <c r="P312" t="n">
        <v>0</v>
      </c>
      <c r="Q312" t="n">
        <v>0</v>
      </c>
      <c r="R312" s="2" t="inlineStr"/>
    </row>
    <row r="313" ht="15" customHeight="1">
      <c r="A313" t="inlineStr">
        <is>
          <t>A 30679-2022</t>
        </is>
      </c>
      <c r="B313" s="1" t="n">
        <v>44762</v>
      </c>
      <c r="C313" s="1" t="n">
        <v>45795</v>
      </c>
      <c r="D313" t="inlineStr">
        <is>
          <t>NORRBOTTENS LÄN</t>
        </is>
      </c>
      <c r="E313" t="inlineStr">
        <is>
          <t>JOKKMOKK</t>
        </is>
      </c>
      <c r="F313" t="inlineStr">
        <is>
          <t>Övriga statliga verk och myndigheter</t>
        </is>
      </c>
      <c r="G313" t="n">
        <v>3.3</v>
      </c>
      <c r="H313" t="n">
        <v>0</v>
      </c>
      <c r="I313" t="n">
        <v>0</v>
      </c>
      <c r="J313" t="n">
        <v>0</v>
      </c>
      <c r="K313" t="n">
        <v>0</v>
      </c>
      <c r="L313" t="n">
        <v>0</v>
      </c>
      <c r="M313" t="n">
        <v>0</v>
      </c>
      <c r="N313" t="n">
        <v>0</v>
      </c>
      <c r="O313" t="n">
        <v>0</v>
      </c>
      <c r="P313" t="n">
        <v>0</v>
      </c>
      <c r="Q313" t="n">
        <v>0</v>
      </c>
      <c r="R313" s="2" t="inlineStr"/>
    </row>
    <row r="314" ht="15" customHeight="1">
      <c r="A314" t="inlineStr">
        <is>
          <t>A 30610-2022</t>
        </is>
      </c>
      <c r="B314" s="1" t="n">
        <v>44762</v>
      </c>
      <c r="C314" s="1" t="n">
        <v>45795</v>
      </c>
      <c r="D314" t="inlineStr">
        <is>
          <t>NORRBOTTENS LÄN</t>
        </is>
      </c>
      <c r="E314" t="inlineStr">
        <is>
          <t>JOKKMOKK</t>
        </is>
      </c>
      <c r="F314" t="inlineStr">
        <is>
          <t>Övriga statliga verk och myndigheter</t>
        </is>
      </c>
      <c r="G314" t="n">
        <v>43.3</v>
      </c>
      <c r="H314" t="n">
        <v>0</v>
      </c>
      <c r="I314" t="n">
        <v>0</v>
      </c>
      <c r="J314" t="n">
        <v>0</v>
      </c>
      <c r="K314" t="n">
        <v>0</v>
      </c>
      <c r="L314" t="n">
        <v>0</v>
      </c>
      <c r="M314" t="n">
        <v>0</v>
      </c>
      <c r="N314" t="n">
        <v>0</v>
      </c>
      <c r="O314" t="n">
        <v>0</v>
      </c>
      <c r="P314" t="n">
        <v>0</v>
      </c>
      <c r="Q314" t="n">
        <v>0</v>
      </c>
      <c r="R314" s="2" t="inlineStr"/>
    </row>
    <row r="315" ht="15" customHeight="1">
      <c r="A315" t="inlineStr">
        <is>
          <t>A 31643-2022</t>
        </is>
      </c>
      <c r="B315" s="1" t="n">
        <v>44775</v>
      </c>
      <c r="C315" s="1" t="n">
        <v>45795</v>
      </c>
      <c r="D315" t="inlineStr">
        <is>
          <t>NORRBOTTENS LÄN</t>
        </is>
      </c>
      <c r="E315" t="inlineStr">
        <is>
          <t>JOKKMOKK</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34548-2022</t>
        </is>
      </c>
      <c r="B316" s="1" t="n">
        <v>44794</v>
      </c>
      <c r="C316" s="1" t="n">
        <v>45795</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35876-2022</t>
        </is>
      </c>
      <c r="B317" s="1" t="n">
        <v>44802</v>
      </c>
      <c r="C317" s="1" t="n">
        <v>45795</v>
      </c>
      <c r="D317" t="inlineStr">
        <is>
          <t>NORRBOTTENS LÄN</t>
        </is>
      </c>
      <c r="E317" t="inlineStr">
        <is>
          <t>JOKKMOKK</t>
        </is>
      </c>
      <c r="G317" t="n">
        <v>9.5</v>
      </c>
      <c r="H317" t="n">
        <v>0</v>
      </c>
      <c r="I317" t="n">
        <v>0</v>
      </c>
      <c r="J317" t="n">
        <v>0</v>
      </c>
      <c r="K317" t="n">
        <v>0</v>
      </c>
      <c r="L317" t="n">
        <v>0</v>
      </c>
      <c r="M317" t="n">
        <v>0</v>
      </c>
      <c r="N317" t="n">
        <v>0</v>
      </c>
      <c r="O317" t="n">
        <v>0</v>
      </c>
      <c r="P317" t="n">
        <v>0</v>
      </c>
      <c r="Q317" t="n">
        <v>0</v>
      </c>
      <c r="R317" s="2" t="inlineStr"/>
    </row>
    <row r="318" ht="15" customHeight="1">
      <c r="A318" t="inlineStr">
        <is>
          <t>A 37798-2022</t>
        </is>
      </c>
      <c r="B318" s="1" t="n">
        <v>44810</v>
      </c>
      <c r="C318" s="1" t="n">
        <v>45795</v>
      </c>
      <c r="D318" t="inlineStr">
        <is>
          <t>NORRBOTTENS LÄN</t>
        </is>
      </c>
      <c r="E318" t="inlineStr">
        <is>
          <t>JOKKMOKK</t>
        </is>
      </c>
      <c r="G318" t="n">
        <v>0.3</v>
      </c>
      <c r="H318" t="n">
        <v>0</v>
      </c>
      <c r="I318" t="n">
        <v>0</v>
      </c>
      <c r="J318" t="n">
        <v>0</v>
      </c>
      <c r="K318" t="n">
        <v>0</v>
      </c>
      <c r="L318" t="n">
        <v>0</v>
      </c>
      <c r="M318" t="n">
        <v>0</v>
      </c>
      <c r="N318" t="n">
        <v>0</v>
      </c>
      <c r="O318" t="n">
        <v>0</v>
      </c>
      <c r="P318" t="n">
        <v>0</v>
      </c>
      <c r="Q318" t="n">
        <v>0</v>
      </c>
      <c r="R318" s="2" t="inlineStr"/>
    </row>
    <row r="319" ht="15" customHeight="1">
      <c r="A319" t="inlineStr">
        <is>
          <t>A 40473-2022</t>
        </is>
      </c>
      <c r="B319" s="1" t="n">
        <v>44819</v>
      </c>
      <c r="C319" s="1" t="n">
        <v>45795</v>
      </c>
      <c r="D319" t="inlineStr">
        <is>
          <t>NORRBOTTENS LÄN</t>
        </is>
      </c>
      <c r="E319" t="inlineStr">
        <is>
          <t>JOKKMOKK</t>
        </is>
      </c>
      <c r="G319" t="n">
        <v>3.5</v>
      </c>
      <c r="H319" t="n">
        <v>0</v>
      </c>
      <c r="I319" t="n">
        <v>0</v>
      </c>
      <c r="J319" t="n">
        <v>0</v>
      </c>
      <c r="K319" t="n">
        <v>0</v>
      </c>
      <c r="L319" t="n">
        <v>0</v>
      </c>
      <c r="M319" t="n">
        <v>0</v>
      </c>
      <c r="N319" t="n">
        <v>0</v>
      </c>
      <c r="O319" t="n">
        <v>0</v>
      </c>
      <c r="P319" t="n">
        <v>0</v>
      </c>
      <c r="Q319" t="n">
        <v>0</v>
      </c>
      <c r="R319" s="2" t="inlineStr"/>
    </row>
    <row r="320" ht="15" customHeight="1">
      <c r="A320" t="inlineStr">
        <is>
          <t>A 40129-2022</t>
        </is>
      </c>
      <c r="B320" s="1" t="n">
        <v>44820</v>
      </c>
      <c r="C320" s="1" t="n">
        <v>45795</v>
      </c>
      <c r="D320" t="inlineStr">
        <is>
          <t>NORRBOTTENS LÄN</t>
        </is>
      </c>
      <c r="E320" t="inlineStr">
        <is>
          <t>JOKKMOKK</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40248-2022</t>
        </is>
      </c>
      <c r="B321" s="1" t="n">
        <v>44820</v>
      </c>
      <c r="C321" s="1" t="n">
        <v>45795</v>
      </c>
      <c r="D321" t="inlineStr">
        <is>
          <t>NORRBOTTENS LÄN</t>
        </is>
      </c>
      <c r="E321" t="inlineStr">
        <is>
          <t>JOKKMOKK</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40251-2022</t>
        </is>
      </c>
      <c r="B322" s="1" t="n">
        <v>44820</v>
      </c>
      <c r="C322" s="1" t="n">
        <v>45795</v>
      </c>
      <c r="D322" t="inlineStr">
        <is>
          <t>NORRBOTTENS LÄN</t>
        </is>
      </c>
      <c r="E322" t="inlineStr">
        <is>
          <t>JOKKMOKK</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40836-2022</t>
        </is>
      </c>
      <c r="B323" s="1" t="n">
        <v>44824</v>
      </c>
      <c r="C323" s="1" t="n">
        <v>45795</v>
      </c>
      <c r="D323" t="inlineStr">
        <is>
          <t>NORRBOTTENS LÄN</t>
        </is>
      </c>
      <c r="E323" t="inlineStr">
        <is>
          <t>JOKKMOKK</t>
        </is>
      </c>
      <c r="F323" t="inlineStr">
        <is>
          <t>SCA</t>
        </is>
      </c>
      <c r="G323" t="n">
        <v>229.8</v>
      </c>
      <c r="H323" t="n">
        <v>0</v>
      </c>
      <c r="I323" t="n">
        <v>0</v>
      </c>
      <c r="J323" t="n">
        <v>0</v>
      </c>
      <c r="K323" t="n">
        <v>0</v>
      </c>
      <c r="L323" t="n">
        <v>0</v>
      </c>
      <c r="M323" t="n">
        <v>0</v>
      </c>
      <c r="N323" t="n">
        <v>0</v>
      </c>
      <c r="O323" t="n">
        <v>0</v>
      </c>
      <c r="P323" t="n">
        <v>0</v>
      </c>
      <c r="Q323" t="n">
        <v>0</v>
      </c>
      <c r="R323" s="2" t="inlineStr"/>
    </row>
    <row r="324" ht="15" customHeight="1">
      <c r="A324" t="inlineStr">
        <is>
          <t>A 40833-2022</t>
        </is>
      </c>
      <c r="B324" s="1" t="n">
        <v>44824</v>
      </c>
      <c r="C324" s="1" t="n">
        <v>45795</v>
      </c>
      <c r="D324" t="inlineStr">
        <is>
          <t>NORRBOTTENS LÄN</t>
        </is>
      </c>
      <c r="E324" t="inlineStr">
        <is>
          <t>JOKKMOKK</t>
        </is>
      </c>
      <c r="F324" t="inlineStr">
        <is>
          <t>SCA</t>
        </is>
      </c>
      <c r="G324" t="n">
        <v>122.1</v>
      </c>
      <c r="H324" t="n">
        <v>0</v>
      </c>
      <c r="I324" t="n">
        <v>0</v>
      </c>
      <c r="J324" t="n">
        <v>0</v>
      </c>
      <c r="K324" t="n">
        <v>0</v>
      </c>
      <c r="L324" t="n">
        <v>0</v>
      </c>
      <c r="M324" t="n">
        <v>0</v>
      </c>
      <c r="N324" t="n">
        <v>0</v>
      </c>
      <c r="O324" t="n">
        <v>0</v>
      </c>
      <c r="P324" t="n">
        <v>0</v>
      </c>
      <c r="Q324" t="n">
        <v>0</v>
      </c>
      <c r="R324" s="2" t="inlineStr"/>
    </row>
    <row r="325" ht="15" customHeight="1">
      <c r="A325" t="inlineStr">
        <is>
          <t>A 41030-2022</t>
        </is>
      </c>
      <c r="B325" s="1" t="n">
        <v>44824</v>
      </c>
      <c r="C325" s="1" t="n">
        <v>45795</v>
      </c>
      <c r="D325" t="inlineStr">
        <is>
          <t>NORRBOTTENS LÄN</t>
        </is>
      </c>
      <c r="E325" t="inlineStr">
        <is>
          <t>JOKKMOKK</t>
        </is>
      </c>
      <c r="F325" t="inlineStr">
        <is>
          <t>Övriga Aktiebolag</t>
        </is>
      </c>
      <c r="G325" t="n">
        <v>11.3</v>
      </c>
      <c r="H325" t="n">
        <v>0</v>
      </c>
      <c r="I325" t="n">
        <v>0</v>
      </c>
      <c r="J325" t="n">
        <v>0</v>
      </c>
      <c r="K325" t="n">
        <v>0</v>
      </c>
      <c r="L325" t="n">
        <v>0</v>
      </c>
      <c r="M325" t="n">
        <v>0</v>
      </c>
      <c r="N325" t="n">
        <v>0</v>
      </c>
      <c r="O325" t="n">
        <v>0</v>
      </c>
      <c r="P325" t="n">
        <v>0</v>
      </c>
      <c r="Q325" t="n">
        <v>0</v>
      </c>
      <c r="R325" s="2" t="inlineStr"/>
    </row>
    <row r="326" ht="15" customHeight="1">
      <c r="A326" t="inlineStr">
        <is>
          <t>A 40834-2022</t>
        </is>
      </c>
      <c r="B326" s="1" t="n">
        <v>44824</v>
      </c>
      <c r="C326" s="1" t="n">
        <v>45795</v>
      </c>
      <c r="D326" t="inlineStr">
        <is>
          <t>NORRBOTTENS LÄN</t>
        </is>
      </c>
      <c r="E326" t="inlineStr">
        <is>
          <t>JOKKMOKK</t>
        </is>
      </c>
      <c r="F326" t="inlineStr">
        <is>
          <t>SCA</t>
        </is>
      </c>
      <c r="G326" t="n">
        <v>106.1</v>
      </c>
      <c r="H326" t="n">
        <v>0</v>
      </c>
      <c r="I326" t="n">
        <v>0</v>
      </c>
      <c r="J326" t="n">
        <v>0</v>
      </c>
      <c r="K326" t="n">
        <v>0</v>
      </c>
      <c r="L326" t="n">
        <v>0</v>
      </c>
      <c r="M326" t="n">
        <v>0</v>
      </c>
      <c r="N326" t="n">
        <v>0</v>
      </c>
      <c r="O326" t="n">
        <v>0</v>
      </c>
      <c r="P326" t="n">
        <v>0</v>
      </c>
      <c r="Q326" t="n">
        <v>0</v>
      </c>
      <c r="R326" s="2" t="inlineStr"/>
    </row>
    <row r="327" ht="15" customHeight="1">
      <c r="A327" t="inlineStr">
        <is>
          <t>A 41579-2022</t>
        </is>
      </c>
      <c r="B327" s="1" t="n">
        <v>44827</v>
      </c>
      <c r="C327" s="1" t="n">
        <v>45795</v>
      </c>
      <c r="D327" t="inlineStr">
        <is>
          <t>NORRBOTTENS LÄN</t>
        </is>
      </c>
      <c r="E327" t="inlineStr">
        <is>
          <t>JOKKMOKK</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42258-2022</t>
        </is>
      </c>
      <c r="B328" s="1" t="n">
        <v>44831</v>
      </c>
      <c r="C328" s="1" t="n">
        <v>45795</v>
      </c>
      <c r="D328" t="inlineStr">
        <is>
          <t>NORRBOTTENS LÄN</t>
        </is>
      </c>
      <c r="E328" t="inlineStr">
        <is>
          <t>JOKKMOKK</t>
        </is>
      </c>
      <c r="F328" t="inlineStr">
        <is>
          <t>Allmännings- och besparingsskogar</t>
        </is>
      </c>
      <c r="G328" t="n">
        <v>0.5</v>
      </c>
      <c r="H328" t="n">
        <v>0</v>
      </c>
      <c r="I328" t="n">
        <v>0</v>
      </c>
      <c r="J328" t="n">
        <v>0</v>
      </c>
      <c r="K328" t="n">
        <v>0</v>
      </c>
      <c r="L328" t="n">
        <v>0</v>
      </c>
      <c r="M328" t="n">
        <v>0</v>
      </c>
      <c r="N328" t="n">
        <v>0</v>
      </c>
      <c r="O328" t="n">
        <v>0</v>
      </c>
      <c r="P328" t="n">
        <v>0</v>
      </c>
      <c r="Q328" t="n">
        <v>0</v>
      </c>
      <c r="R328" s="2" t="inlineStr"/>
    </row>
    <row r="329" ht="15" customHeight="1">
      <c r="A329" t="inlineStr">
        <is>
          <t>A 42256-2022</t>
        </is>
      </c>
      <c r="B329" s="1" t="n">
        <v>44831</v>
      </c>
      <c r="C329" s="1" t="n">
        <v>45795</v>
      </c>
      <c r="D329" t="inlineStr">
        <is>
          <t>NORRBOTTENS LÄN</t>
        </is>
      </c>
      <c r="E329" t="inlineStr">
        <is>
          <t>JOKKMOKK</t>
        </is>
      </c>
      <c r="F329" t="inlineStr">
        <is>
          <t>Allmännings- och besparingsskogar</t>
        </is>
      </c>
      <c r="G329" t="n">
        <v>0.7</v>
      </c>
      <c r="H329" t="n">
        <v>0</v>
      </c>
      <c r="I329" t="n">
        <v>0</v>
      </c>
      <c r="J329" t="n">
        <v>0</v>
      </c>
      <c r="K329" t="n">
        <v>0</v>
      </c>
      <c r="L329" t="n">
        <v>0</v>
      </c>
      <c r="M329" t="n">
        <v>0</v>
      </c>
      <c r="N329" t="n">
        <v>0</v>
      </c>
      <c r="O329" t="n">
        <v>0</v>
      </c>
      <c r="P329" t="n">
        <v>0</v>
      </c>
      <c r="Q329" t="n">
        <v>0</v>
      </c>
      <c r="R329" s="2" t="inlineStr"/>
    </row>
    <row r="330" ht="15" customHeight="1">
      <c r="A330" t="inlineStr">
        <is>
          <t>A 42257-2022</t>
        </is>
      </c>
      <c r="B330" s="1" t="n">
        <v>44831</v>
      </c>
      <c r="C330" s="1" t="n">
        <v>45795</v>
      </c>
      <c r="D330" t="inlineStr">
        <is>
          <t>NORRBOTTENS LÄN</t>
        </is>
      </c>
      <c r="E330" t="inlineStr">
        <is>
          <t>JOKKMOKK</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42263-2022</t>
        </is>
      </c>
      <c r="B331" s="1" t="n">
        <v>44830</v>
      </c>
      <c r="C331" s="1" t="n">
        <v>45795</v>
      </c>
      <c r="D331" t="inlineStr">
        <is>
          <t>NORRBOTTENS LÄN</t>
        </is>
      </c>
      <c r="E331" t="inlineStr">
        <is>
          <t>JOKKMOKK</t>
        </is>
      </c>
      <c r="F331" t="inlineStr">
        <is>
          <t>Allmännings- och besparingsskogar</t>
        </is>
      </c>
      <c r="G331" t="n">
        <v>10.6</v>
      </c>
      <c r="H331" t="n">
        <v>0</v>
      </c>
      <c r="I331" t="n">
        <v>0</v>
      </c>
      <c r="J331" t="n">
        <v>0</v>
      </c>
      <c r="K331" t="n">
        <v>0</v>
      </c>
      <c r="L331" t="n">
        <v>0</v>
      </c>
      <c r="M331" t="n">
        <v>0</v>
      </c>
      <c r="N331" t="n">
        <v>0</v>
      </c>
      <c r="O331" t="n">
        <v>0</v>
      </c>
      <c r="P331" t="n">
        <v>0</v>
      </c>
      <c r="Q331" t="n">
        <v>0</v>
      </c>
      <c r="R331" s="2" t="inlineStr"/>
    </row>
    <row r="332" ht="15" customHeight="1">
      <c r="A332" t="inlineStr">
        <is>
          <t>A 43878-2022</t>
        </is>
      </c>
      <c r="B332" s="1" t="n">
        <v>44838</v>
      </c>
      <c r="C332" s="1" t="n">
        <v>45795</v>
      </c>
      <c r="D332" t="inlineStr">
        <is>
          <t>NORRBOTTENS LÄN</t>
        </is>
      </c>
      <c r="E332" t="inlineStr">
        <is>
          <t>JOKKMOKK</t>
        </is>
      </c>
      <c r="F332" t="inlineStr">
        <is>
          <t>Allmännings- och besparingsskogar</t>
        </is>
      </c>
      <c r="G332" t="n">
        <v>30.9</v>
      </c>
      <c r="H332" t="n">
        <v>0</v>
      </c>
      <c r="I332" t="n">
        <v>0</v>
      </c>
      <c r="J332" t="n">
        <v>0</v>
      </c>
      <c r="K332" t="n">
        <v>0</v>
      </c>
      <c r="L332" t="n">
        <v>0</v>
      </c>
      <c r="M332" t="n">
        <v>0</v>
      </c>
      <c r="N332" t="n">
        <v>0</v>
      </c>
      <c r="O332" t="n">
        <v>0</v>
      </c>
      <c r="P332" t="n">
        <v>0</v>
      </c>
      <c r="Q332" t="n">
        <v>0</v>
      </c>
      <c r="R332" s="2" t="inlineStr"/>
    </row>
    <row r="333" ht="15" customHeight="1">
      <c r="A333" t="inlineStr">
        <is>
          <t>A 44335-2022</t>
        </is>
      </c>
      <c r="B333" s="1" t="n">
        <v>44839</v>
      </c>
      <c r="C333" s="1" t="n">
        <v>45795</v>
      </c>
      <c r="D333" t="inlineStr">
        <is>
          <t>NORRBOTTENS LÄN</t>
        </is>
      </c>
      <c r="E333" t="inlineStr">
        <is>
          <t>JOKKMOKK</t>
        </is>
      </c>
      <c r="F333" t="inlineStr">
        <is>
          <t>Allmännings- och besparingsskogar</t>
        </is>
      </c>
      <c r="G333" t="n">
        <v>8.4</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45795</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45512-2022</t>
        </is>
      </c>
      <c r="B335" s="1" t="n">
        <v>44841</v>
      </c>
      <c r="C335" s="1" t="n">
        <v>45795</v>
      </c>
      <c r="D335" t="inlineStr">
        <is>
          <t>NORRBOTTENS LÄN</t>
        </is>
      </c>
      <c r="E335" t="inlineStr">
        <is>
          <t>JOKKMOKK</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45795</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45505-2022</t>
        </is>
      </c>
      <c r="B337" s="1" t="n">
        <v>44841</v>
      </c>
      <c r="C337" s="1" t="n">
        <v>45795</v>
      </c>
      <c r="D337" t="inlineStr">
        <is>
          <t>NORRBOTTENS LÄN</t>
        </is>
      </c>
      <c r="E337" t="inlineStr">
        <is>
          <t>JOKKMOKK</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45510-2022</t>
        </is>
      </c>
      <c r="B338" s="1" t="n">
        <v>44841</v>
      </c>
      <c r="C338" s="1" t="n">
        <v>45795</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46957-2022</t>
        </is>
      </c>
      <c r="B339" s="1" t="n">
        <v>44851</v>
      </c>
      <c r="C339" s="1" t="n">
        <v>45795</v>
      </c>
      <c r="D339" t="inlineStr">
        <is>
          <t>NORRBOTTENS LÄN</t>
        </is>
      </c>
      <c r="E339" t="inlineStr">
        <is>
          <t>JOKKMOKK</t>
        </is>
      </c>
      <c r="G339" t="n">
        <v>11.2</v>
      </c>
      <c r="H339" t="n">
        <v>0</v>
      </c>
      <c r="I339" t="n">
        <v>0</v>
      </c>
      <c r="J339" t="n">
        <v>0</v>
      </c>
      <c r="K339" t="n">
        <v>0</v>
      </c>
      <c r="L339" t="n">
        <v>0</v>
      </c>
      <c r="M339" t="n">
        <v>0</v>
      </c>
      <c r="N339" t="n">
        <v>0</v>
      </c>
      <c r="O339" t="n">
        <v>0</v>
      </c>
      <c r="P339" t="n">
        <v>0</v>
      </c>
      <c r="Q339" t="n">
        <v>0</v>
      </c>
      <c r="R339" s="2" t="inlineStr"/>
    </row>
    <row r="340" ht="15" customHeight="1">
      <c r="A340" t="inlineStr">
        <is>
          <t>A 47208-2022</t>
        </is>
      </c>
      <c r="B340" s="1" t="n">
        <v>44851</v>
      </c>
      <c r="C340" s="1" t="n">
        <v>45795</v>
      </c>
      <c r="D340" t="inlineStr">
        <is>
          <t>NORRBOTTENS LÄN</t>
        </is>
      </c>
      <c r="E340" t="inlineStr">
        <is>
          <t>JOKKMOKK</t>
        </is>
      </c>
      <c r="G340" t="n">
        <v>1.2</v>
      </c>
      <c r="H340" t="n">
        <v>0</v>
      </c>
      <c r="I340" t="n">
        <v>0</v>
      </c>
      <c r="J340" t="n">
        <v>0</v>
      </c>
      <c r="K340" t="n">
        <v>0</v>
      </c>
      <c r="L340" t="n">
        <v>0</v>
      </c>
      <c r="M340" t="n">
        <v>0</v>
      </c>
      <c r="N340" t="n">
        <v>0</v>
      </c>
      <c r="O340" t="n">
        <v>0</v>
      </c>
      <c r="P340" t="n">
        <v>0</v>
      </c>
      <c r="Q340" t="n">
        <v>0</v>
      </c>
      <c r="R340" s="2" t="inlineStr"/>
    </row>
    <row r="341" ht="15" customHeight="1">
      <c r="A341" t="inlineStr">
        <is>
          <t>A 48586-2022</t>
        </is>
      </c>
      <c r="B341" s="1" t="n">
        <v>44854</v>
      </c>
      <c r="C341" s="1" t="n">
        <v>45795</v>
      </c>
      <c r="D341" t="inlineStr">
        <is>
          <t>NORRBOTTENS LÄN</t>
        </is>
      </c>
      <c r="E341" t="inlineStr">
        <is>
          <t>JOKKMOKK</t>
        </is>
      </c>
      <c r="F341" t="inlineStr">
        <is>
          <t>Övriga statliga verk och myndigheter</t>
        </is>
      </c>
      <c r="G341" t="n">
        <v>26.1</v>
      </c>
      <c r="H341" t="n">
        <v>0</v>
      </c>
      <c r="I341" t="n">
        <v>0</v>
      </c>
      <c r="J341" t="n">
        <v>0</v>
      </c>
      <c r="K341" t="n">
        <v>0</v>
      </c>
      <c r="L341" t="n">
        <v>0</v>
      </c>
      <c r="M341" t="n">
        <v>0</v>
      </c>
      <c r="N341" t="n">
        <v>0</v>
      </c>
      <c r="O341" t="n">
        <v>0</v>
      </c>
      <c r="P341" t="n">
        <v>0</v>
      </c>
      <c r="Q341" t="n">
        <v>0</v>
      </c>
      <c r="R341" s="2" t="inlineStr"/>
    </row>
    <row r="342" ht="15" customHeight="1">
      <c r="A342" t="inlineStr">
        <is>
          <t>A 50716-2022</t>
        </is>
      </c>
      <c r="B342" s="1" t="n">
        <v>44862</v>
      </c>
      <c r="C342" s="1" t="n">
        <v>45795</v>
      </c>
      <c r="D342" t="inlineStr">
        <is>
          <t>NORRBOTTENS LÄN</t>
        </is>
      </c>
      <c r="E342" t="inlineStr">
        <is>
          <t>JOKKMOKK</t>
        </is>
      </c>
      <c r="G342" t="n">
        <v>30.2</v>
      </c>
      <c r="H342" t="n">
        <v>0</v>
      </c>
      <c r="I342" t="n">
        <v>0</v>
      </c>
      <c r="J342" t="n">
        <v>0</v>
      </c>
      <c r="K342" t="n">
        <v>0</v>
      </c>
      <c r="L342" t="n">
        <v>0</v>
      </c>
      <c r="M342" t="n">
        <v>0</v>
      </c>
      <c r="N342" t="n">
        <v>0</v>
      </c>
      <c r="O342" t="n">
        <v>0</v>
      </c>
      <c r="P342" t="n">
        <v>0</v>
      </c>
      <c r="Q342" t="n">
        <v>0</v>
      </c>
      <c r="R342" s="2" t="inlineStr"/>
    </row>
    <row r="343" ht="15" customHeight="1">
      <c r="A343" t="inlineStr">
        <is>
          <t>A 50568-2022</t>
        </is>
      </c>
      <c r="B343" s="1" t="n">
        <v>44866</v>
      </c>
      <c r="C343" s="1" t="n">
        <v>45795</v>
      </c>
      <c r="D343" t="inlineStr">
        <is>
          <t>NORRBOTTENS LÄN</t>
        </is>
      </c>
      <c r="E343" t="inlineStr">
        <is>
          <t>JOKKMOKK</t>
        </is>
      </c>
      <c r="F343" t="inlineStr">
        <is>
          <t>Sveaskog</t>
        </is>
      </c>
      <c r="G343" t="n">
        <v>6.2</v>
      </c>
      <c r="H343" t="n">
        <v>0</v>
      </c>
      <c r="I343" t="n">
        <v>0</v>
      </c>
      <c r="J343" t="n">
        <v>0</v>
      </c>
      <c r="K343" t="n">
        <v>0</v>
      </c>
      <c r="L343" t="n">
        <v>0</v>
      </c>
      <c r="M343" t="n">
        <v>0</v>
      </c>
      <c r="N343" t="n">
        <v>0</v>
      </c>
      <c r="O343" t="n">
        <v>0</v>
      </c>
      <c r="P343" t="n">
        <v>0</v>
      </c>
      <c r="Q343" t="n">
        <v>0</v>
      </c>
      <c r="R343" s="2" t="inlineStr"/>
    </row>
    <row r="344" ht="15" customHeight="1">
      <c r="A344" t="inlineStr">
        <is>
          <t>A 51304-2022</t>
        </is>
      </c>
      <c r="B344" s="1" t="n">
        <v>44868</v>
      </c>
      <c r="C344" s="1" t="n">
        <v>45795</v>
      </c>
      <c r="D344" t="inlineStr">
        <is>
          <t>NORRBOTTENS LÄN</t>
        </is>
      </c>
      <c r="E344" t="inlineStr">
        <is>
          <t>JOKKMOKK</t>
        </is>
      </c>
      <c r="G344" t="n">
        <v>1.5</v>
      </c>
      <c r="H344" t="n">
        <v>0</v>
      </c>
      <c r="I344" t="n">
        <v>0</v>
      </c>
      <c r="J344" t="n">
        <v>0</v>
      </c>
      <c r="K344" t="n">
        <v>0</v>
      </c>
      <c r="L344" t="n">
        <v>0</v>
      </c>
      <c r="M344" t="n">
        <v>0</v>
      </c>
      <c r="N344" t="n">
        <v>0</v>
      </c>
      <c r="O344" t="n">
        <v>0</v>
      </c>
      <c r="P344" t="n">
        <v>0</v>
      </c>
      <c r="Q344" t="n">
        <v>0</v>
      </c>
      <c r="R344" s="2" t="inlineStr"/>
    </row>
    <row r="345" ht="15" customHeight="1">
      <c r="A345" t="inlineStr">
        <is>
          <t>A 51220-2022</t>
        </is>
      </c>
      <c r="B345" s="1" t="n">
        <v>44868</v>
      </c>
      <c r="C345" s="1" t="n">
        <v>45795</v>
      </c>
      <c r="D345" t="inlineStr">
        <is>
          <t>NORRBOTTENS LÄN</t>
        </is>
      </c>
      <c r="E345" t="inlineStr">
        <is>
          <t>JOKKMOKK</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53100-2022</t>
        </is>
      </c>
      <c r="B346" s="1" t="n">
        <v>44873</v>
      </c>
      <c r="C346" s="1" t="n">
        <v>45795</v>
      </c>
      <c r="D346" t="inlineStr">
        <is>
          <t>NORRBOTTENS LÄN</t>
        </is>
      </c>
      <c r="E346" t="inlineStr">
        <is>
          <t>JOKKMOKK</t>
        </is>
      </c>
      <c r="F346" t="inlineStr">
        <is>
          <t>Övriga statliga verk och myndigheter</t>
        </is>
      </c>
      <c r="G346" t="n">
        <v>37.1</v>
      </c>
      <c r="H346" t="n">
        <v>0</v>
      </c>
      <c r="I346" t="n">
        <v>0</v>
      </c>
      <c r="J346" t="n">
        <v>0</v>
      </c>
      <c r="K346" t="n">
        <v>0</v>
      </c>
      <c r="L346" t="n">
        <v>0</v>
      </c>
      <c r="M346" t="n">
        <v>0</v>
      </c>
      <c r="N346" t="n">
        <v>0</v>
      </c>
      <c r="O346" t="n">
        <v>0</v>
      </c>
      <c r="P346" t="n">
        <v>0</v>
      </c>
      <c r="Q346" t="n">
        <v>0</v>
      </c>
      <c r="R346" s="2" t="inlineStr"/>
    </row>
    <row r="347" ht="15" customHeight="1">
      <c r="A347" t="inlineStr">
        <is>
          <t>A 52730-2022</t>
        </is>
      </c>
      <c r="B347" s="1" t="n">
        <v>44874</v>
      </c>
      <c r="C347" s="1" t="n">
        <v>45795</v>
      </c>
      <c r="D347" t="inlineStr">
        <is>
          <t>NORRBOTTENS LÄN</t>
        </is>
      </c>
      <c r="E347" t="inlineStr">
        <is>
          <t>JOKKMOKK</t>
        </is>
      </c>
      <c r="F347" t="inlineStr">
        <is>
          <t>SCA</t>
        </is>
      </c>
      <c r="G347" t="n">
        <v>29.2</v>
      </c>
      <c r="H347" t="n">
        <v>0</v>
      </c>
      <c r="I347" t="n">
        <v>0</v>
      </c>
      <c r="J347" t="n">
        <v>0</v>
      </c>
      <c r="K347" t="n">
        <v>0</v>
      </c>
      <c r="L347" t="n">
        <v>0</v>
      </c>
      <c r="M347" t="n">
        <v>0</v>
      </c>
      <c r="N347" t="n">
        <v>0</v>
      </c>
      <c r="O347" t="n">
        <v>0</v>
      </c>
      <c r="P347" t="n">
        <v>0</v>
      </c>
      <c r="Q347" t="n">
        <v>0</v>
      </c>
      <c r="R347" s="2" t="inlineStr"/>
    </row>
    <row r="348" ht="15" customHeight="1">
      <c r="A348" t="inlineStr">
        <is>
          <t>A 56168-2022</t>
        </is>
      </c>
      <c r="B348" s="1" t="n">
        <v>44889</v>
      </c>
      <c r="C348" s="1" t="n">
        <v>45795</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56691-2022</t>
        </is>
      </c>
      <c r="B349" s="1" t="n">
        <v>44893</v>
      </c>
      <c r="C349" s="1" t="n">
        <v>45795</v>
      </c>
      <c r="D349" t="inlineStr">
        <is>
          <t>NORRBOTTENS LÄN</t>
        </is>
      </c>
      <c r="E349" t="inlineStr">
        <is>
          <t>JOKKMOKK</t>
        </is>
      </c>
      <c r="F349" t="inlineStr">
        <is>
          <t>Sveaskog</t>
        </is>
      </c>
      <c r="G349" t="n">
        <v>10</v>
      </c>
      <c r="H349" t="n">
        <v>0</v>
      </c>
      <c r="I349" t="n">
        <v>0</v>
      </c>
      <c r="J349" t="n">
        <v>0</v>
      </c>
      <c r="K349" t="n">
        <v>0</v>
      </c>
      <c r="L349" t="n">
        <v>0</v>
      </c>
      <c r="M349" t="n">
        <v>0</v>
      </c>
      <c r="N349" t="n">
        <v>0</v>
      </c>
      <c r="O349" t="n">
        <v>0</v>
      </c>
      <c r="P349" t="n">
        <v>0</v>
      </c>
      <c r="Q349" t="n">
        <v>0</v>
      </c>
      <c r="R349" s="2" t="inlineStr"/>
    </row>
    <row r="350" ht="15" customHeight="1">
      <c r="A350" t="inlineStr">
        <is>
          <t>A 57672-2022</t>
        </is>
      </c>
      <c r="B350" s="1" t="n">
        <v>44897</v>
      </c>
      <c r="C350" s="1" t="n">
        <v>45795</v>
      </c>
      <c r="D350" t="inlineStr">
        <is>
          <t>NORRBOTTENS LÄN</t>
        </is>
      </c>
      <c r="E350" t="inlineStr">
        <is>
          <t>JOKKMOKK</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61531-2022</t>
        </is>
      </c>
      <c r="B351" s="1" t="n">
        <v>44916</v>
      </c>
      <c r="C351" s="1" t="n">
        <v>45795</v>
      </c>
      <c r="D351" t="inlineStr">
        <is>
          <t>NORRBOTTENS LÄN</t>
        </is>
      </c>
      <c r="E351" t="inlineStr">
        <is>
          <t>JOKKMOKK</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62078-2022</t>
        </is>
      </c>
      <c r="B352" s="1" t="n">
        <v>44918</v>
      </c>
      <c r="C352" s="1" t="n">
        <v>45795</v>
      </c>
      <c r="D352" t="inlineStr">
        <is>
          <t>NORRBOTTENS LÄN</t>
        </is>
      </c>
      <c r="E352" t="inlineStr">
        <is>
          <t>JOKKMOKK</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1119-2023</t>
        </is>
      </c>
      <c r="B353" s="1" t="n">
        <v>44930</v>
      </c>
      <c r="C353" s="1" t="n">
        <v>45795</v>
      </c>
      <c r="D353" t="inlineStr">
        <is>
          <t>NORRBOTTENS LÄN</t>
        </is>
      </c>
      <c r="E353" t="inlineStr">
        <is>
          <t>JOKKMOKK</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6464-2023</t>
        </is>
      </c>
      <c r="B354" s="1" t="n">
        <v>44965</v>
      </c>
      <c r="C354" s="1" t="n">
        <v>45795</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6779-2023</t>
        </is>
      </c>
      <c r="B355" s="1" t="n">
        <v>44966</v>
      </c>
      <c r="C355" s="1" t="n">
        <v>45795</v>
      </c>
      <c r="D355" t="inlineStr">
        <is>
          <t>NORRBOTTENS LÄN</t>
        </is>
      </c>
      <c r="E355" t="inlineStr">
        <is>
          <t>JOKKMOKK</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6778-2023</t>
        </is>
      </c>
      <c r="B356" s="1" t="n">
        <v>44966</v>
      </c>
      <c r="C356" s="1" t="n">
        <v>45795</v>
      </c>
      <c r="D356" t="inlineStr">
        <is>
          <t>NORRBOTTENS LÄN</t>
        </is>
      </c>
      <c r="E356" t="inlineStr">
        <is>
          <t>JOKKMOKK</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6777-2023</t>
        </is>
      </c>
      <c r="B357" s="1" t="n">
        <v>44966</v>
      </c>
      <c r="C357" s="1" t="n">
        <v>45795</v>
      </c>
      <c r="D357" t="inlineStr">
        <is>
          <t>NORRBOTTENS LÄN</t>
        </is>
      </c>
      <c r="E357" t="inlineStr">
        <is>
          <t>JOKKMOKK</t>
        </is>
      </c>
      <c r="G357" t="n">
        <v>2.2</v>
      </c>
      <c r="H357" t="n">
        <v>0</v>
      </c>
      <c r="I357" t="n">
        <v>0</v>
      </c>
      <c r="J357" t="n">
        <v>0</v>
      </c>
      <c r="K357" t="n">
        <v>0</v>
      </c>
      <c r="L357" t="n">
        <v>0</v>
      </c>
      <c r="M357" t="n">
        <v>0</v>
      </c>
      <c r="N357" t="n">
        <v>0</v>
      </c>
      <c r="O357" t="n">
        <v>0</v>
      </c>
      <c r="P357" t="n">
        <v>0</v>
      </c>
      <c r="Q357" t="n">
        <v>0</v>
      </c>
      <c r="R357" s="2" t="inlineStr"/>
    </row>
    <row r="358" ht="15" customHeight="1">
      <c r="A358" t="inlineStr">
        <is>
          <t>A 8471-2023</t>
        </is>
      </c>
      <c r="B358" s="1" t="n">
        <v>44977</v>
      </c>
      <c r="C358" s="1" t="n">
        <v>45795</v>
      </c>
      <c r="D358" t="inlineStr">
        <is>
          <t>NORRBOTTENS LÄN</t>
        </is>
      </c>
      <c r="E358" t="inlineStr">
        <is>
          <t>JOKKMOKK</t>
        </is>
      </c>
      <c r="G358" t="n">
        <v>0.5</v>
      </c>
      <c r="H358" t="n">
        <v>0</v>
      </c>
      <c r="I358" t="n">
        <v>0</v>
      </c>
      <c r="J358" t="n">
        <v>0</v>
      </c>
      <c r="K358" t="n">
        <v>0</v>
      </c>
      <c r="L358" t="n">
        <v>0</v>
      </c>
      <c r="M358" t="n">
        <v>0</v>
      </c>
      <c r="N358" t="n">
        <v>0</v>
      </c>
      <c r="O358" t="n">
        <v>0</v>
      </c>
      <c r="P358" t="n">
        <v>0</v>
      </c>
      <c r="Q358" t="n">
        <v>0</v>
      </c>
      <c r="R358" s="2" t="inlineStr"/>
    </row>
    <row r="359" ht="15" customHeight="1">
      <c r="A359" t="inlineStr">
        <is>
          <t>A 8472-2023</t>
        </is>
      </c>
      <c r="B359" s="1" t="n">
        <v>44977</v>
      </c>
      <c r="C359" s="1" t="n">
        <v>45795</v>
      </c>
      <c r="D359" t="inlineStr">
        <is>
          <t>NORRBOTTENS LÄN</t>
        </is>
      </c>
      <c r="E359" t="inlineStr">
        <is>
          <t>JOKKMOKK</t>
        </is>
      </c>
      <c r="G359" t="n">
        <v>0.7</v>
      </c>
      <c r="H359" t="n">
        <v>0</v>
      </c>
      <c r="I359" t="n">
        <v>0</v>
      </c>
      <c r="J359" t="n">
        <v>0</v>
      </c>
      <c r="K359" t="n">
        <v>0</v>
      </c>
      <c r="L359" t="n">
        <v>0</v>
      </c>
      <c r="M359" t="n">
        <v>0</v>
      </c>
      <c r="N359" t="n">
        <v>0</v>
      </c>
      <c r="O359" t="n">
        <v>0</v>
      </c>
      <c r="P359" t="n">
        <v>0</v>
      </c>
      <c r="Q359" t="n">
        <v>0</v>
      </c>
      <c r="R359" s="2" t="inlineStr"/>
    </row>
    <row r="360" ht="15" customHeight="1">
      <c r="A360" t="inlineStr">
        <is>
          <t>A 9352-2023</t>
        </is>
      </c>
      <c r="B360" s="1" t="n">
        <v>44980</v>
      </c>
      <c r="C360" s="1" t="n">
        <v>45795</v>
      </c>
      <c r="D360" t="inlineStr">
        <is>
          <t>NORRBOTTENS LÄN</t>
        </is>
      </c>
      <c r="E360" t="inlineStr">
        <is>
          <t>JOKKMOKK</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45795</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45795</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10422-2023</t>
        </is>
      </c>
      <c r="B363" s="1" t="n">
        <v>44981</v>
      </c>
      <c r="C363" s="1" t="n">
        <v>45795</v>
      </c>
      <c r="D363" t="inlineStr">
        <is>
          <t>NORRBOTTENS LÄN</t>
        </is>
      </c>
      <c r="E363" t="inlineStr">
        <is>
          <t>JOKKMOKK</t>
        </is>
      </c>
      <c r="G363" t="n">
        <v>3.5</v>
      </c>
      <c r="H363" t="n">
        <v>0</v>
      </c>
      <c r="I363" t="n">
        <v>0</v>
      </c>
      <c r="J363" t="n">
        <v>0</v>
      </c>
      <c r="K363" t="n">
        <v>0</v>
      </c>
      <c r="L363" t="n">
        <v>0</v>
      </c>
      <c r="M363" t="n">
        <v>0</v>
      </c>
      <c r="N363" t="n">
        <v>0</v>
      </c>
      <c r="O363" t="n">
        <v>0</v>
      </c>
      <c r="P363" t="n">
        <v>0</v>
      </c>
      <c r="Q363" t="n">
        <v>0</v>
      </c>
      <c r="R363" s="2" t="inlineStr"/>
    </row>
    <row r="364" ht="15" customHeight="1">
      <c r="A364" t="inlineStr">
        <is>
          <t>A 9860-2023</t>
        </is>
      </c>
      <c r="B364" s="1" t="n">
        <v>44984</v>
      </c>
      <c r="C364" s="1" t="n">
        <v>45795</v>
      </c>
      <c r="D364" t="inlineStr">
        <is>
          <t>NORRBOTTENS LÄN</t>
        </is>
      </c>
      <c r="E364" t="inlineStr">
        <is>
          <t>JOKKMOKK</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9854-2023</t>
        </is>
      </c>
      <c r="B365" s="1" t="n">
        <v>44984</v>
      </c>
      <c r="C365" s="1" t="n">
        <v>45795</v>
      </c>
      <c r="D365" t="inlineStr">
        <is>
          <t>NORRBOTTENS LÄN</t>
        </is>
      </c>
      <c r="E365" t="inlineStr">
        <is>
          <t>JOKKMOKK</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9863-2023</t>
        </is>
      </c>
      <c r="B366" s="1" t="n">
        <v>44984</v>
      </c>
      <c r="C366" s="1" t="n">
        <v>45795</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9870-2023</t>
        </is>
      </c>
      <c r="B367" s="1" t="n">
        <v>44984</v>
      </c>
      <c r="C367" s="1" t="n">
        <v>45795</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9865-2023</t>
        </is>
      </c>
      <c r="B368" s="1" t="n">
        <v>44984</v>
      </c>
      <c r="C368" s="1" t="n">
        <v>45795</v>
      </c>
      <c r="D368" t="inlineStr">
        <is>
          <t>NORRBOTTENS LÄN</t>
        </is>
      </c>
      <c r="E368" t="inlineStr">
        <is>
          <t>JOKKMOKK</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9872-2023</t>
        </is>
      </c>
      <c r="B369" s="1" t="n">
        <v>44984</v>
      </c>
      <c r="C369" s="1" t="n">
        <v>45795</v>
      </c>
      <c r="D369" t="inlineStr">
        <is>
          <t>NORRBOTTENS LÄN</t>
        </is>
      </c>
      <c r="E369" t="inlineStr">
        <is>
          <t>JOKKMOKK</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9877-2023</t>
        </is>
      </c>
      <c r="B370" s="1" t="n">
        <v>44984</v>
      </c>
      <c r="C370" s="1" t="n">
        <v>45795</v>
      </c>
      <c r="D370" t="inlineStr">
        <is>
          <t>NORRBOTTENS LÄN</t>
        </is>
      </c>
      <c r="E370" t="inlineStr">
        <is>
          <t>JOKKMOKK</t>
        </is>
      </c>
      <c r="F370" t="inlineStr">
        <is>
          <t>SCA</t>
        </is>
      </c>
      <c r="G370" t="n">
        <v>5.4</v>
      </c>
      <c r="H370" t="n">
        <v>0</v>
      </c>
      <c r="I370" t="n">
        <v>0</v>
      </c>
      <c r="J370" t="n">
        <v>0</v>
      </c>
      <c r="K370" t="n">
        <v>0</v>
      </c>
      <c r="L370" t="n">
        <v>0</v>
      </c>
      <c r="M370" t="n">
        <v>0</v>
      </c>
      <c r="N370" t="n">
        <v>0</v>
      </c>
      <c r="O370" t="n">
        <v>0</v>
      </c>
      <c r="P370" t="n">
        <v>0</v>
      </c>
      <c r="Q370" t="n">
        <v>0</v>
      </c>
      <c r="R370" s="2" t="inlineStr"/>
    </row>
    <row r="371" ht="15" customHeight="1">
      <c r="A371" t="inlineStr">
        <is>
          <t>A 9874-2023</t>
        </is>
      </c>
      <c r="B371" s="1" t="n">
        <v>44984</v>
      </c>
      <c r="C371" s="1" t="n">
        <v>45795</v>
      </c>
      <c r="D371" t="inlineStr">
        <is>
          <t>NORRBOTTENS LÄN</t>
        </is>
      </c>
      <c r="E371" t="inlineStr">
        <is>
          <t>JOKKMOKK</t>
        </is>
      </c>
      <c r="G371" t="n">
        <v>1.7</v>
      </c>
      <c r="H371" t="n">
        <v>0</v>
      </c>
      <c r="I371" t="n">
        <v>0</v>
      </c>
      <c r="J371" t="n">
        <v>0</v>
      </c>
      <c r="K371" t="n">
        <v>0</v>
      </c>
      <c r="L371" t="n">
        <v>0</v>
      </c>
      <c r="M371" t="n">
        <v>0</v>
      </c>
      <c r="N371" t="n">
        <v>0</v>
      </c>
      <c r="O371" t="n">
        <v>0</v>
      </c>
      <c r="P371" t="n">
        <v>0</v>
      </c>
      <c r="Q371" t="n">
        <v>0</v>
      </c>
      <c r="R371" s="2" t="inlineStr"/>
    </row>
    <row r="372" ht="15" customHeight="1">
      <c r="A372" t="inlineStr">
        <is>
          <t>A 9852-2023</t>
        </is>
      </c>
      <c r="B372" s="1" t="n">
        <v>44984</v>
      </c>
      <c r="C372" s="1" t="n">
        <v>45795</v>
      </c>
      <c r="D372" t="inlineStr">
        <is>
          <t>NORRBOTTENS LÄN</t>
        </is>
      </c>
      <c r="E372" t="inlineStr">
        <is>
          <t>JOKKMOKK</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9866-2023</t>
        </is>
      </c>
      <c r="B373" s="1" t="n">
        <v>44984</v>
      </c>
      <c r="C373" s="1" t="n">
        <v>45795</v>
      </c>
      <c r="D373" t="inlineStr">
        <is>
          <t>NORRBOTTENS LÄN</t>
        </is>
      </c>
      <c r="E373" t="inlineStr">
        <is>
          <t>JOKKMOKK</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9869-2023</t>
        </is>
      </c>
      <c r="B374" s="1" t="n">
        <v>44984</v>
      </c>
      <c r="C374" s="1" t="n">
        <v>45795</v>
      </c>
      <c r="D374" t="inlineStr">
        <is>
          <t>NORRBOTTENS LÄN</t>
        </is>
      </c>
      <c r="E374" t="inlineStr">
        <is>
          <t>JOKKMOKK</t>
        </is>
      </c>
      <c r="G374" t="n">
        <v>8.4</v>
      </c>
      <c r="H374" t="n">
        <v>0</v>
      </c>
      <c r="I374" t="n">
        <v>0</v>
      </c>
      <c r="J374" t="n">
        <v>0</v>
      </c>
      <c r="K374" t="n">
        <v>0</v>
      </c>
      <c r="L374" t="n">
        <v>0</v>
      </c>
      <c r="M374" t="n">
        <v>0</v>
      </c>
      <c r="N374" t="n">
        <v>0</v>
      </c>
      <c r="O374" t="n">
        <v>0</v>
      </c>
      <c r="P374" t="n">
        <v>0</v>
      </c>
      <c r="Q374" t="n">
        <v>0</v>
      </c>
      <c r="R374" s="2" t="inlineStr"/>
    </row>
    <row r="375" ht="15" customHeight="1">
      <c r="A375" t="inlineStr">
        <is>
          <t>A 9873-2023</t>
        </is>
      </c>
      <c r="B375" s="1" t="n">
        <v>44984</v>
      </c>
      <c r="C375" s="1" t="n">
        <v>45795</v>
      </c>
      <c r="D375" t="inlineStr">
        <is>
          <t>NORRBOTTENS LÄN</t>
        </is>
      </c>
      <c r="E375" t="inlineStr">
        <is>
          <t>JOKKMOKK</t>
        </is>
      </c>
      <c r="G375" t="n">
        <v>1.6</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45795</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9859-2023</t>
        </is>
      </c>
      <c r="B377" s="1" t="n">
        <v>44984</v>
      </c>
      <c r="C377" s="1" t="n">
        <v>45795</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9864-2023</t>
        </is>
      </c>
      <c r="B378" s="1" t="n">
        <v>44984</v>
      </c>
      <c r="C378" s="1" t="n">
        <v>45795</v>
      </c>
      <c r="D378" t="inlineStr">
        <is>
          <t>NORRBOTTENS LÄN</t>
        </is>
      </c>
      <c r="E378" t="inlineStr">
        <is>
          <t>JOKKMOKK</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9875-2023</t>
        </is>
      </c>
      <c r="B379" s="1" t="n">
        <v>44984</v>
      </c>
      <c r="C379" s="1" t="n">
        <v>45795</v>
      </c>
      <c r="D379" t="inlineStr">
        <is>
          <t>NORRBOTTENS LÄN</t>
        </is>
      </c>
      <c r="E379" t="inlineStr">
        <is>
          <t>JOKKMOKK</t>
        </is>
      </c>
      <c r="G379" t="n">
        <v>0.6</v>
      </c>
      <c r="H379" t="n">
        <v>0</v>
      </c>
      <c r="I379" t="n">
        <v>0</v>
      </c>
      <c r="J379" t="n">
        <v>0</v>
      </c>
      <c r="K379" t="n">
        <v>0</v>
      </c>
      <c r="L379" t="n">
        <v>0</v>
      </c>
      <c r="M379" t="n">
        <v>0</v>
      </c>
      <c r="N379" t="n">
        <v>0</v>
      </c>
      <c r="O379" t="n">
        <v>0</v>
      </c>
      <c r="P379" t="n">
        <v>0</v>
      </c>
      <c r="Q379" t="n">
        <v>0</v>
      </c>
      <c r="R379" s="2" t="inlineStr"/>
    </row>
    <row r="380" ht="15" customHeight="1">
      <c r="A380" t="inlineStr">
        <is>
          <t>A 12686-2023</t>
        </is>
      </c>
      <c r="B380" s="1" t="n">
        <v>44999</v>
      </c>
      <c r="C380" s="1" t="n">
        <v>45795</v>
      </c>
      <c r="D380" t="inlineStr">
        <is>
          <t>NORRBOTTENS LÄN</t>
        </is>
      </c>
      <c r="E380" t="inlineStr">
        <is>
          <t>JOKKMOKK</t>
        </is>
      </c>
      <c r="G380" t="n">
        <v>36.7</v>
      </c>
      <c r="H380" t="n">
        <v>0</v>
      </c>
      <c r="I380" t="n">
        <v>0</v>
      </c>
      <c r="J380" t="n">
        <v>0</v>
      </c>
      <c r="K380" t="n">
        <v>0</v>
      </c>
      <c r="L380" t="n">
        <v>0</v>
      </c>
      <c r="M380" t="n">
        <v>0</v>
      </c>
      <c r="N380" t="n">
        <v>0</v>
      </c>
      <c r="O380" t="n">
        <v>0</v>
      </c>
      <c r="P380" t="n">
        <v>0</v>
      </c>
      <c r="Q380" t="n">
        <v>0</v>
      </c>
      <c r="R380" s="2" t="inlineStr"/>
    </row>
    <row r="381" ht="15" customHeight="1">
      <c r="A381" t="inlineStr">
        <is>
          <t>A 16336-2023</t>
        </is>
      </c>
      <c r="B381" s="1" t="n">
        <v>45022</v>
      </c>
      <c r="C381" s="1" t="n">
        <v>45795</v>
      </c>
      <c r="D381" t="inlineStr">
        <is>
          <t>NORRBOTTENS LÄN</t>
        </is>
      </c>
      <c r="E381" t="inlineStr">
        <is>
          <t>JOKKMOKK</t>
        </is>
      </c>
      <c r="F381" t="inlineStr">
        <is>
          <t>Övriga statliga verk och myndigheter</t>
        </is>
      </c>
      <c r="G381" t="n">
        <v>130.2</v>
      </c>
      <c r="H381" t="n">
        <v>0</v>
      </c>
      <c r="I381" t="n">
        <v>0</v>
      </c>
      <c r="J381" t="n">
        <v>0</v>
      </c>
      <c r="K381" t="n">
        <v>0</v>
      </c>
      <c r="L381" t="n">
        <v>0</v>
      </c>
      <c r="M381" t="n">
        <v>0</v>
      </c>
      <c r="N381" t="n">
        <v>0</v>
      </c>
      <c r="O381" t="n">
        <v>0</v>
      </c>
      <c r="P381" t="n">
        <v>0</v>
      </c>
      <c r="Q381" t="n">
        <v>0</v>
      </c>
      <c r="R381" s="2" t="inlineStr"/>
    </row>
    <row r="382" ht="15" customHeight="1">
      <c r="A382" t="inlineStr">
        <is>
          <t>A 16864-2023</t>
        </is>
      </c>
      <c r="B382" s="1" t="n">
        <v>45028</v>
      </c>
      <c r="C382" s="1" t="n">
        <v>45795</v>
      </c>
      <c r="D382" t="inlineStr">
        <is>
          <t>NORRBOTTENS LÄN</t>
        </is>
      </c>
      <c r="E382" t="inlineStr">
        <is>
          <t>JOKKMOKK</t>
        </is>
      </c>
      <c r="G382" t="n">
        <v>4</v>
      </c>
      <c r="H382" t="n">
        <v>0</v>
      </c>
      <c r="I382" t="n">
        <v>0</v>
      </c>
      <c r="J382" t="n">
        <v>0</v>
      </c>
      <c r="K382" t="n">
        <v>0</v>
      </c>
      <c r="L382" t="n">
        <v>0</v>
      </c>
      <c r="M382" t="n">
        <v>0</v>
      </c>
      <c r="N382" t="n">
        <v>0</v>
      </c>
      <c r="O382" t="n">
        <v>0</v>
      </c>
      <c r="P382" t="n">
        <v>0</v>
      </c>
      <c r="Q382" t="n">
        <v>0</v>
      </c>
      <c r="R382" s="2" t="inlineStr"/>
    </row>
    <row r="383" ht="15" customHeight="1">
      <c r="A383" t="inlineStr">
        <is>
          <t>A 16847-2023</t>
        </is>
      </c>
      <c r="B383" s="1" t="n">
        <v>45028</v>
      </c>
      <c r="C383" s="1" t="n">
        <v>45795</v>
      </c>
      <c r="D383" t="inlineStr">
        <is>
          <t>NORRBOTTENS LÄN</t>
        </is>
      </c>
      <c r="E383" t="inlineStr">
        <is>
          <t>JOKKMOKK</t>
        </is>
      </c>
      <c r="G383" t="n">
        <v>7.3</v>
      </c>
      <c r="H383" t="n">
        <v>0</v>
      </c>
      <c r="I383" t="n">
        <v>0</v>
      </c>
      <c r="J383" t="n">
        <v>0</v>
      </c>
      <c r="K383" t="n">
        <v>0</v>
      </c>
      <c r="L383" t="n">
        <v>0</v>
      </c>
      <c r="M383" t="n">
        <v>0</v>
      </c>
      <c r="N383" t="n">
        <v>0</v>
      </c>
      <c r="O383" t="n">
        <v>0</v>
      </c>
      <c r="P383" t="n">
        <v>0</v>
      </c>
      <c r="Q383" t="n">
        <v>0</v>
      </c>
      <c r="R383" s="2" t="inlineStr"/>
    </row>
    <row r="384" ht="15" customHeight="1">
      <c r="A384" t="inlineStr">
        <is>
          <t>A 18537-2023</t>
        </is>
      </c>
      <c r="B384" s="1" t="n">
        <v>45028</v>
      </c>
      <c r="C384" s="1" t="n">
        <v>45795</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17999-2023</t>
        </is>
      </c>
      <c r="B385" s="1" t="n">
        <v>45040</v>
      </c>
      <c r="C385" s="1" t="n">
        <v>45795</v>
      </c>
      <c r="D385" t="inlineStr">
        <is>
          <t>NORRBOTTENS LÄN</t>
        </is>
      </c>
      <c r="E385" t="inlineStr">
        <is>
          <t>JOKKMOKK</t>
        </is>
      </c>
      <c r="G385" t="n">
        <v>10.6</v>
      </c>
      <c r="H385" t="n">
        <v>0</v>
      </c>
      <c r="I385" t="n">
        <v>0</v>
      </c>
      <c r="J385" t="n">
        <v>0</v>
      </c>
      <c r="K385" t="n">
        <v>0</v>
      </c>
      <c r="L385" t="n">
        <v>0</v>
      </c>
      <c r="M385" t="n">
        <v>0</v>
      </c>
      <c r="N385" t="n">
        <v>0</v>
      </c>
      <c r="O385" t="n">
        <v>0</v>
      </c>
      <c r="P385" t="n">
        <v>0</v>
      </c>
      <c r="Q385" t="n">
        <v>0</v>
      </c>
      <c r="R385" s="2" t="inlineStr"/>
    </row>
    <row r="386" ht="15" customHeight="1">
      <c r="A386" t="inlineStr">
        <is>
          <t>A 18772-2023</t>
        </is>
      </c>
      <c r="B386" s="1" t="n">
        <v>45043</v>
      </c>
      <c r="C386" s="1" t="n">
        <v>45795</v>
      </c>
      <c r="D386" t="inlineStr">
        <is>
          <t>NORRBOTTENS LÄN</t>
        </is>
      </c>
      <c r="E386" t="inlineStr">
        <is>
          <t>JOKKMOKK</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19611-2023</t>
        </is>
      </c>
      <c r="B387" s="1" t="n">
        <v>45050</v>
      </c>
      <c r="C387" s="1" t="n">
        <v>45795</v>
      </c>
      <c r="D387" t="inlineStr">
        <is>
          <t>NORRBOTTENS LÄN</t>
        </is>
      </c>
      <c r="E387" t="inlineStr">
        <is>
          <t>JOKKMOKK</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20480-2023</t>
        </is>
      </c>
      <c r="B388" s="1" t="n">
        <v>45057</v>
      </c>
      <c r="C388" s="1" t="n">
        <v>45795</v>
      </c>
      <c r="D388" t="inlineStr">
        <is>
          <t>NORRBOTTENS LÄN</t>
        </is>
      </c>
      <c r="E388" t="inlineStr">
        <is>
          <t>JOKKMOKK</t>
        </is>
      </c>
      <c r="G388" t="n">
        <v>19.5</v>
      </c>
      <c r="H388" t="n">
        <v>0</v>
      </c>
      <c r="I388" t="n">
        <v>0</v>
      </c>
      <c r="J388" t="n">
        <v>0</v>
      </c>
      <c r="K388" t="n">
        <v>0</v>
      </c>
      <c r="L388" t="n">
        <v>0</v>
      </c>
      <c r="M388" t="n">
        <v>0</v>
      </c>
      <c r="N388" t="n">
        <v>0</v>
      </c>
      <c r="O388" t="n">
        <v>0</v>
      </c>
      <c r="P388" t="n">
        <v>0</v>
      </c>
      <c r="Q388" t="n">
        <v>0</v>
      </c>
      <c r="R388" s="2" t="inlineStr"/>
    </row>
    <row r="389" ht="15" customHeight="1">
      <c r="A389" t="inlineStr">
        <is>
          <t>A 20593-2023</t>
        </is>
      </c>
      <c r="B389" s="1" t="n">
        <v>45057</v>
      </c>
      <c r="C389" s="1" t="n">
        <v>45795</v>
      </c>
      <c r="D389" t="inlineStr">
        <is>
          <t>NORRBOTTENS LÄN</t>
        </is>
      </c>
      <c r="E389" t="inlineStr">
        <is>
          <t>JOKKMOKK</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21924-2023</t>
        </is>
      </c>
      <c r="B390" s="1" t="n">
        <v>45067</v>
      </c>
      <c r="C390" s="1" t="n">
        <v>45795</v>
      </c>
      <c r="D390" t="inlineStr">
        <is>
          <t>NORRBOTTENS LÄN</t>
        </is>
      </c>
      <c r="E390" t="inlineStr">
        <is>
          <t>JOKKMOKK</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22685-2023</t>
        </is>
      </c>
      <c r="B391" s="1" t="n">
        <v>45071</v>
      </c>
      <c r="C391" s="1" t="n">
        <v>45795</v>
      </c>
      <c r="D391" t="inlineStr">
        <is>
          <t>NORRBOTTENS LÄN</t>
        </is>
      </c>
      <c r="E391" t="inlineStr">
        <is>
          <t>JOKKMOKK</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23022-2023</t>
        </is>
      </c>
      <c r="B392" s="1" t="n">
        <v>45074</v>
      </c>
      <c r="C392" s="1" t="n">
        <v>45795</v>
      </c>
      <c r="D392" t="inlineStr">
        <is>
          <t>NORRBOTTENS LÄN</t>
        </is>
      </c>
      <c r="E392" t="inlineStr">
        <is>
          <t>JOKKMOKK</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23021-2023</t>
        </is>
      </c>
      <c r="B393" s="1" t="n">
        <v>45074</v>
      </c>
      <c r="C393" s="1" t="n">
        <v>45795</v>
      </c>
      <c r="D393" t="inlineStr">
        <is>
          <t>NORRBOTTENS LÄN</t>
        </is>
      </c>
      <c r="E393" t="inlineStr">
        <is>
          <t>JOKKMOKK</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23019-2023</t>
        </is>
      </c>
      <c r="B394" s="1" t="n">
        <v>45073</v>
      </c>
      <c r="C394" s="1" t="n">
        <v>45795</v>
      </c>
      <c r="D394" t="inlineStr">
        <is>
          <t>NORRBOTTENS LÄN</t>
        </is>
      </c>
      <c r="E394" t="inlineStr">
        <is>
          <t>JOKKMOKK</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23023-2023</t>
        </is>
      </c>
      <c r="B395" s="1" t="n">
        <v>45073</v>
      </c>
      <c r="C395" s="1" t="n">
        <v>45795</v>
      </c>
      <c r="D395" t="inlineStr">
        <is>
          <t>NORRBOTTENS LÄN</t>
        </is>
      </c>
      <c r="E395" t="inlineStr">
        <is>
          <t>JOKKMOKK</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24054-2023</t>
        </is>
      </c>
      <c r="B396" s="1" t="n">
        <v>45078</v>
      </c>
      <c r="C396" s="1" t="n">
        <v>45795</v>
      </c>
      <c r="D396" t="inlineStr">
        <is>
          <t>NORRBOTTENS LÄN</t>
        </is>
      </c>
      <c r="E396" t="inlineStr">
        <is>
          <t>JOKKMOKK</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24052-2023</t>
        </is>
      </c>
      <c r="B397" s="1" t="n">
        <v>45078</v>
      </c>
      <c r="C397" s="1" t="n">
        <v>45795</v>
      </c>
      <c r="D397" t="inlineStr">
        <is>
          <t>NORRBOTTENS LÄN</t>
        </is>
      </c>
      <c r="E397" t="inlineStr">
        <is>
          <t>JOKKMOKK</t>
        </is>
      </c>
      <c r="F397" t="inlineStr">
        <is>
          <t>Naturvårdsverket</t>
        </is>
      </c>
      <c r="G397" t="n">
        <v>58.1</v>
      </c>
      <c r="H397" t="n">
        <v>0</v>
      </c>
      <c r="I397" t="n">
        <v>0</v>
      </c>
      <c r="J397" t="n">
        <v>0</v>
      </c>
      <c r="K397" t="n">
        <v>0</v>
      </c>
      <c r="L397" t="n">
        <v>0</v>
      </c>
      <c r="M397" t="n">
        <v>0</v>
      </c>
      <c r="N397" t="n">
        <v>0</v>
      </c>
      <c r="O397" t="n">
        <v>0</v>
      </c>
      <c r="P397" t="n">
        <v>0</v>
      </c>
      <c r="Q397" t="n">
        <v>0</v>
      </c>
      <c r="R397" s="2" t="inlineStr"/>
    </row>
    <row r="398" ht="15" customHeight="1">
      <c r="A398" t="inlineStr">
        <is>
          <t>A 24056-2023</t>
        </is>
      </c>
      <c r="B398" s="1" t="n">
        <v>45079</v>
      </c>
      <c r="C398" s="1" t="n">
        <v>45795</v>
      </c>
      <c r="D398" t="inlineStr">
        <is>
          <t>NORRBOTTENS LÄN</t>
        </is>
      </c>
      <c r="E398" t="inlineStr">
        <is>
          <t>JOKKMOKK</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24053-2023</t>
        </is>
      </c>
      <c r="B399" s="1" t="n">
        <v>45078</v>
      </c>
      <c r="C399" s="1" t="n">
        <v>45795</v>
      </c>
      <c r="D399" t="inlineStr">
        <is>
          <t>NORRBOTTENS LÄN</t>
        </is>
      </c>
      <c r="E399" t="inlineStr">
        <is>
          <t>JOKKMOKK</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24057-2023</t>
        </is>
      </c>
      <c r="B400" s="1" t="n">
        <v>45078</v>
      </c>
      <c r="C400" s="1" t="n">
        <v>45795</v>
      </c>
      <c r="D400" t="inlineStr">
        <is>
          <t>NORRBOTTENS LÄN</t>
        </is>
      </c>
      <c r="E400" t="inlineStr">
        <is>
          <t>JOKKMOKK</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24065-2023</t>
        </is>
      </c>
      <c r="B401" s="1" t="n">
        <v>45079</v>
      </c>
      <c r="C401" s="1" t="n">
        <v>45795</v>
      </c>
      <c r="D401" t="inlineStr">
        <is>
          <t>NORRBOTTENS LÄN</t>
        </is>
      </c>
      <c r="E401" t="inlineStr">
        <is>
          <t>JOKKMOKK</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24120-2023</t>
        </is>
      </c>
      <c r="B402" s="1" t="n">
        <v>45079</v>
      </c>
      <c r="C402" s="1" t="n">
        <v>45795</v>
      </c>
      <c r="D402" t="inlineStr">
        <is>
          <t>NORRBOTTENS LÄN</t>
        </is>
      </c>
      <c r="E402" t="inlineStr">
        <is>
          <t>JOKKMOKK</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24109-2023</t>
        </is>
      </c>
      <c r="B403" s="1" t="n">
        <v>45079</v>
      </c>
      <c r="C403" s="1" t="n">
        <v>45795</v>
      </c>
      <c r="D403" t="inlineStr">
        <is>
          <t>NORRBOTTENS LÄN</t>
        </is>
      </c>
      <c r="E403" t="inlineStr">
        <is>
          <t>JOKKMOKK</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24603-2023</t>
        </is>
      </c>
      <c r="B404" s="1" t="n">
        <v>45083</v>
      </c>
      <c r="C404" s="1" t="n">
        <v>45795</v>
      </c>
      <c r="D404" t="inlineStr">
        <is>
          <t>NORRBOTTENS LÄN</t>
        </is>
      </c>
      <c r="E404" t="inlineStr">
        <is>
          <t>JOKKMOKK</t>
        </is>
      </c>
      <c r="F404" t="inlineStr">
        <is>
          <t>SCA</t>
        </is>
      </c>
      <c r="G404" t="n">
        <v>17.1</v>
      </c>
      <c r="H404" t="n">
        <v>0</v>
      </c>
      <c r="I404" t="n">
        <v>0</v>
      </c>
      <c r="J404" t="n">
        <v>0</v>
      </c>
      <c r="K404" t="n">
        <v>0</v>
      </c>
      <c r="L404" t="n">
        <v>0</v>
      </c>
      <c r="M404" t="n">
        <v>0</v>
      </c>
      <c r="N404" t="n">
        <v>0</v>
      </c>
      <c r="O404" t="n">
        <v>0</v>
      </c>
      <c r="P404" t="n">
        <v>0</v>
      </c>
      <c r="Q404" t="n">
        <v>0</v>
      </c>
      <c r="R404" s="2" t="inlineStr"/>
    </row>
    <row r="405" ht="15" customHeight="1">
      <c r="A405" t="inlineStr">
        <is>
          <t>A 26131-2023</t>
        </is>
      </c>
      <c r="B405" s="1" t="n">
        <v>45086</v>
      </c>
      <c r="C405" s="1" t="n">
        <v>45795</v>
      </c>
      <c r="D405" t="inlineStr">
        <is>
          <t>NORRBOTTENS LÄN</t>
        </is>
      </c>
      <c r="E405" t="inlineStr">
        <is>
          <t>JOKKMOKK</t>
        </is>
      </c>
      <c r="G405" t="n">
        <v>35.6</v>
      </c>
      <c r="H405" t="n">
        <v>0</v>
      </c>
      <c r="I405" t="n">
        <v>0</v>
      </c>
      <c r="J405" t="n">
        <v>0</v>
      </c>
      <c r="K405" t="n">
        <v>0</v>
      </c>
      <c r="L405" t="n">
        <v>0</v>
      </c>
      <c r="M405" t="n">
        <v>0</v>
      </c>
      <c r="N405" t="n">
        <v>0</v>
      </c>
      <c r="O405" t="n">
        <v>0</v>
      </c>
      <c r="P405" t="n">
        <v>0</v>
      </c>
      <c r="Q405" t="n">
        <v>0</v>
      </c>
      <c r="R405" s="2" t="inlineStr"/>
    </row>
    <row r="406" ht="15" customHeight="1">
      <c r="A406" t="inlineStr">
        <is>
          <t>A 25719-2023</t>
        </is>
      </c>
      <c r="B406" s="1" t="n">
        <v>45090</v>
      </c>
      <c r="C406" s="1" t="n">
        <v>45795</v>
      </c>
      <c r="D406" t="inlineStr">
        <is>
          <t>NORRBOTTENS LÄN</t>
        </is>
      </c>
      <c r="E406" t="inlineStr">
        <is>
          <t>JOKKMOKK</t>
        </is>
      </c>
      <c r="G406" t="n">
        <v>7.6</v>
      </c>
      <c r="H406" t="n">
        <v>0</v>
      </c>
      <c r="I406" t="n">
        <v>0</v>
      </c>
      <c r="J406" t="n">
        <v>0</v>
      </c>
      <c r="K406" t="n">
        <v>0</v>
      </c>
      <c r="L406" t="n">
        <v>0</v>
      </c>
      <c r="M406" t="n">
        <v>0</v>
      </c>
      <c r="N406" t="n">
        <v>0</v>
      </c>
      <c r="O406" t="n">
        <v>0</v>
      </c>
      <c r="P406" t="n">
        <v>0</v>
      </c>
      <c r="Q406" t="n">
        <v>0</v>
      </c>
      <c r="R406" s="2" t="inlineStr"/>
    </row>
    <row r="407" ht="15" customHeight="1">
      <c r="A407" t="inlineStr">
        <is>
          <t>A 25720-2023</t>
        </is>
      </c>
      <c r="B407" s="1" t="n">
        <v>45090</v>
      </c>
      <c r="C407" s="1" t="n">
        <v>45795</v>
      </c>
      <c r="D407" t="inlineStr">
        <is>
          <t>NORRBOTTENS LÄN</t>
        </is>
      </c>
      <c r="E407" t="inlineStr">
        <is>
          <t>JOKKMOKK</t>
        </is>
      </c>
      <c r="G407" t="n">
        <v>2.1</v>
      </c>
      <c r="H407" t="n">
        <v>0</v>
      </c>
      <c r="I407" t="n">
        <v>0</v>
      </c>
      <c r="J407" t="n">
        <v>0</v>
      </c>
      <c r="K407" t="n">
        <v>0</v>
      </c>
      <c r="L407" t="n">
        <v>0</v>
      </c>
      <c r="M407" t="n">
        <v>0</v>
      </c>
      <c r="N407" t="n">
        <v>0</v>
      </c>
      <c r="O407" t="n">
        <v>0</v>
      </c>
      <c r="P407" t="n">
        <v>0</v>
      </c>
      <c r="Q407" t="n">
        <v>0</v>
      </c>
      <c r="R407" s="2" t="inlineStr"/>
    </row>
    <row r="408" ht="15" customHeight="1">
      <c r="A408" t="inlineStr">
        <is>
          <t>A 26962-2023</t>
        </is>
      </c>
      <c r="B408" s="1" t="n">
        <v>45093</v>
      </c>
      <c r="C408" s="1" t="n">
        <v>45795</v>
      </c>
      <c r="D408" t="inlineStr">
        <is>
          <t>NORRBOTTENS LÄN</t>
        </is>
      </c>
      <c r="E408" t="inlineStr">
        <is>
          <t>JOKKMOKK</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27021-2023</t>
        </is>
      </c>
      <c r="B409" s="1" t="n">
        <v>45094</v>
      </c>
      <c r="C409" s="1" t="n">
        <v>45795</v>
      </c>
      <c r="D409" t="inlineStr">
        <is>
          <t>NORRBOTTENS LÄN</t>
        </is>
      </c>
      <c r="E409" t="inlineStr">
        <is>
          <t>JOKKMOKK</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27017-2023</t>
        </is>
      </c>
      <c r="B410" s="1" t="n">
        <v>45094</v>
      </c>
      <c r="C410" s="1" t="n">
        <v>45795</v>
      </c>
      <c r="D410" t="inlineStr">
        <is>
          <t>NORRBOTTENS LÄN</t>
        </is>
      </c>
      <c r="E410" t="inlineStr">
        <is>
          <t>JOKKMOKK</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27022-2023</t>
        </is>
      </c>
      <c r="B411" s="1" t="n">
        <v>45094</v>
      </c>
      <c r="C411" s="1" t="n">
        <v>45795</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27020-2023</t>
        </is>
      </c>
      <c r="B412" s="1" t="n">
        <v>45094</v>
      </c>
      <c r="C412" s="1" t="n">
        <v>45795</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27095-2023</t>
        </is>
      </c>
      <c r="B413" s="1" t="n">
        <v>45096</v>
      </c>
      <c r="C413" s="1" t="n">
        <v>45795</v>
      </c>
      <c r="D413" t="inlineStr">
        <is>
          <t>NORRBOTTENS LÄN</t>
        </is>
      </c>
      <c r="E413" t="inlineStr">
        <is>
          <t>JOKKMOKK</t>
        </is>
      </c>
      <c r="F413" t="inlineStr">
        <is>
          <t>Sveaskog</t>
        </is>
      </c>
      <c r="G413" t="n">
        <v>10.6</v>
      </c>
      <c r="H413" t="n">
        <v>0</v>
      </c>
      <c r="I413" t="n">
        <v>0</v>
      </c>
      <c r="J413" t="n">
        <v>0</v>
      </c>
      <c r="K413" t="n">
        <v>0</v>
      </c>
      <c r="L413" t="n">
        <v>0</v>
      </c>
      <c r="M413" t="n">
        <v>0</v>
      </c>
      <c r="N413" t="n">
        <v>0</v>
      </c>
      <c r="O413" t="n">
        <v>0</v>
      </c>
      <c r="P413" t="n">
        <v>0</v>
      </c>
      <c r="Q413" t="n">
        <v>0</v>
      </c>
      <c r="R413" s="2" t="inlineStr"/>
    </row>
    <row r="414" ht="15" customHeight="1">
      <c r="A414" t="inlineStr">
        <is>
          <t>A 28090-2023</t>
        </is>
      </c>
      <c r="B414" s="1" t="n">
        <v>45099</v>
      </c>
      <c r="C414" s="1" t="n">
        <v>45795</v>
      </c>
      <c r="D414" t="inlineStr">
        <is>
          <t>NORRBOTTENS LÄN</t>
        </is>
      </c>
      <c r="E414" t="inlineStr">
        <is>
          <t>JOKKMOKK</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29624-2023</t>
        </is>
      </c>
      <c r="B415" s="1" t="n">
        <v>45107</v>
      </c>
      <c r="C415" s="1" t="n">
        <v>45795</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29628-2023</t>
        </is>
      </c>
      <c r="B416" s="1" t="n">
        <v>45107</v>
      </c>
      <c r="C416" s="1" t="n">
        <v>45795</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29627-2023</t>
        </is>
      </c>
      <c r="B417" s="1" t="n">
        <v>45107</v>
      </c>
      <c r="C417" s="1" t="n">
        <v>45795</v>
      </c>
      <c r="D417" t="inlineStr">
        <is>
          <t>NORRBOTTENS LÄN</t>
        </is>
      </c>
      <c r="E417" t="inlineStr">
        <is>
          <t>JOKKMOKK</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29625-2023</t>
        </is>
      </c>
      <c r="B418" s="1" t="n">
        <v>45107</v>
      </c>
      <c r="C418" s="1" t="n">
        <v>45795</v>
      </c>
      <c r="D418" t="inlineStr">
        <is>
          <t>NORRBOTTENS LÄN</t>
        </is>
      </c>
      <c r="E418" t="inlineStr">
        <is>
          <t>JOKKMOKK</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30291-2023</t>
        </is>
      </c>
      <c r="B419" s="1" t="n">
        <v>45111</v>
      </c>
      <c r="C419" s="1" t="n">
        <v>45795</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30292-2023</t>
        </is>
      </c>
      <c r="B420" s="1" t="n">
        <v>45110</v>
      </c>
      <c r="C420" s="1" t="n">
        <v>45795</v>
      </c>
      <c r="D420" t="inlineStr">
        <is>
          <t>NORRBOTTENS LÄN</t>
        </is>
      </c>
      <c r="E420" t="inlineStr">
        <is>
          <t>JOKKMOKK</t>
        </is>
      </c>
      <c r="G420" t="n">
        <v>1.4</v>
      </c>
      <c r="H420" t="n">
        <v>0</v>
      </c>
      <c r="I420" t="n">
        <v>0</v>
      </c>
      <c r="J420" t="n">
        <v>0</v>
      </c>
      <c r="K420" t="n">
        <v>0</v>
      </c>
      <c r="L420" t="n">
        <v>0</v>
      </c>
      <c r="M420" t="n">
        <v>0</v>
      </c>
      <c r="N420" t="n">
        <v>0</v>
      </c>
      <c r="O420" t="n">
        <v>0</v>
      </c>
      <c r="P420" t="n">
        <v>0</v>
      </c>
      <c r="Q420" t="n">
        <v>0</v>
      </c>
      <c r="R420" s="2" t="inlineStr"/>
    </row>
    <row r="421" ht="15" customHeight="1">
      <c r="A421" t="inlineStr">
        <is>
          <t>A 32381-2023</t>
        </is>
      </c>
      <c r="B421" s="1" t="n">
        <v>45110</v>
      </c>
      <c r="C421" s="1" t="n">
        <v>45795</v>
      </c>
      <c r="D421" t="inlineStr">
        <is>
          <t>NORRBOTTENS LÄN</t>
        </is>
      </c>
      <c r="E421" t="inlineStr">
        <is>
          <t>JOKKMOKK</t>
        </is>
      </c>
      <c r="G421" t="n">
        <v>14.7</v>
      </c>
      <c r="H421" t="n">
        <v>0</v>
      </c>
      <c r="I421" t="n">
        <v>0</v>
      </c>
      <c r="J421" t="n">
        <v>0</v>
      </c>
      <c r="K421" t="n">
        <v>0</v>
      </c>
      <c r="L421" t="n">
        <v>0</v>
      </c>
      <c r="M421" t="n">
        <v>0</v>
      </c>
      <c r="N421" t="n">
        <v>0</v>
      </c>
      <c r="O421" t="n">
        <v>0</v>
      </c>
      <c r="P421" t="n">
        <v>0</v>
      </c>
      <c r="Q421" t="n">
        <v>0</v>
      </c>
      <c r="R421" s="2" t="inlineStr"/>
    </row>
    <row r="422" ht="15" customHeight="1">
      <c r="A422" t="inlineStr">
        <is>
          <t>A 30511-2023</t>
        </is>
      </c>
      <c r="B422" s="1" t="n">
        <v>45111</v>
      </c>
      <c r="C422" s="1" t="n">
        <v>45795</v>
      </c>
      <c r="D422" t="inlineStr">
        <is>
          <t>NORRBOTTENS LÄN</t>
        </is>
      </c>
      <c r="E422" t="inlineStr">
        <is>
          <t>JOKKMOKK</t>
        </is>
      </c>
      <c r="G422" t="n">
        <v>0.9</v>
      </c>
      <c r="H422" t="n">
        <v>0</v>
      </c>
      <c r="I422" t="n">
        <v>0</v>
      </c>
      <c r="J422" t="n">
        <v>0</v>
      </c>
      <c r="K422" t="n">
        <v>0</v>
      </c>
      <c r="L422" t="n">
        <v>0</v>
      </c>
      <c r="M422" t="n">
        <v>0</v>
      </c>
      <c r="N422" t="n">
        <v>0</v>
      </c>
      <c r="O422" t="n">
        <v>0</v>
      </c>
      <c r="P422" t="n">
        <v>0</v>
      </c>
      <c r="Q422" t="n">
        <v>0</v>
      </c>
      <c r="R422" s="2" t="inlineStr"/>
    </row>
    <row r="423" ht="15" customHeight="1">
      <c r="A423" t="inlineStr">
        <is>
          <t>A 31209-2023</t>
        </is>
      </c>
      <c r="B423" s="1" t="n">
        <v>45114</v>
      </c>
      <c r="C423" s="1" t="n">
        <v>45795</v>
      </c>
      <c r="D423" t="inlineStr">
        <is>
          <t>NORRBOTTENS LÄN</t>
        </is>
      </c>
      <c r="E423" t="inlineStr">
        <is>
          <t>JOKKMOKK</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45114</v>
      </c>
      <c r="C424" s="1" t="n">
        <v>45795</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32987-2023</t>
        </is>
      </c>
      <c r="B425" s="1" t="n">
        <v>45113</v>
      </c>
      <c r="C425" s="1" t="n">
        <v>45795</v>
      </c>
      <c r="D425" t="inlineStr">
        <is>
          <t>NORRBOTTENS LÄN</t>
        </is>
      </c>
      <c r="E425" t="inlineStr">
        <is>
          <t>JOKKMOKK</t>
        </is>
      </c>
      <c r="F425" t="inlineStr">
        <is>
          <t>Övriga statliga verk och myndigheter</t>
        </is>
      </c>
      <c r="G425" t="n">
        <v>15.1</v>
      </c>
      <c r="H425" t="n">
        <v>0</v>
      </c>
      <c r="I425" t="n">
        <v>0</v>
      </c>
      <c r="J425" t="n">
        <v>0</v>
      </c>
      <c r="K425" t="n">
        <v>0</v>
      </c>
      <c r="L425" t="n">
        <v>0</v>
      </c>
      <c r="M425" t="n">
        <v>0</v>
      </c>
      <c r="N425" t="n">
        <v>0</v>
      </c>
      <c r="O425" t="n">
        <v>0</v>
      </c>
      <c r="P425" t="n">
        <v>0</v>
      </c>
      <c r="Q425" t="n">
        <v>0</v>
      </c>
      <c r="R425" s="2" t="inlineStr"/>
    </row>
    <row r="426" ht="15" customHeight="1">
      <c r="A426" t="inlineStr">
        <is>
          <t>A 33014-2023</t>
        </is>
      </c>
      <c r="B426" s="1" t="n">
        <v>45113</v>
      </c>
      <c r="C426" s="1" t="n">
        <v>45795</v>
      </c>
      <c r="D426" t="inlineStr">
        <is>
          <t>NORRBOTTENS LÄN</t>
        </is>
      </c>
      <c r="E426" t="inlineStr">
        <is>
          <t>JOKKMOKK</t>
        </is>
      </c>
      <c r="F426" t="inlineStr">
        <is>
          <t>Övriga statliga verk och myndigheter</t>
        </is>
      </c>
      <c r="G426" t="n">
        <v>7.2</v>
      </c>
      <c r="H426" t="n">
        <v>0</v>
      </c>
      <c r="I426" t="n">
        <v>0</v>
      </c>
      <c r="J426" t="n">
        <v>0</v>
      </c>
      <c r="K426" t="n">
        <v>0</v>
      </c>
      <c r="L426" t="n">
        <v>0</v>
      </c>
      <c r="M426" t="n">
        <v>0</v>
      </c>
      <c r="N426" t="n">
        <v>0</v>
      </c>
      <c r="O426" t="n">
        <v>0</v>
      </c>
      <c r="P426" t="n">
        <v>0</v>
      </c>
      <c r="Q426" t="n">
        <v>0</v>
      </c>
      <c r="R426" s="2" t="inlineStr"/>
    </row>
    <row r="427" ht="15" customHeight="1">
      <c r="A427" t="inlineStr">
        <is>
          <t>A 33006-2023</t>
        </is>
      </c>
      <c r="B427" s="1" t="n">
        <v>45113</v>
      </c>
      <c r="C427" s="1" t="n">
        <v>45795</v>
      </c>
      <c r="D427" t="inlineStr">
        <is>
          <t>NORRBOTTENS LÄN</t>
        </is>
      </c>
      <c r="E427" t="inlineStr">
        <is>
          <t>JOKKMOKK</t>
        </is>
      </c>
      <c r="F427" t="inlineStr">
        <is>
          <t>Övriga statliga verk och myndigheter</t>
        </is>
      </c>
      <c r="G427" t="n">
        <v>19.1</v>
      </c>
      <c r="H427" t="n">
        <v>0</v>
      </c>
      <c r="I427" t="n">
        <v>0</v>
      </c>
      <c r="J427" t="n">
        <v>0</v>
      </c>
      <c r="K427" t="n">
        <v>0</v>
      </c>
      <c r="L427" t="n">
        <v>0</v>
      </c>
      <c r="M427" t="n">
        <v>0</v>
      </c>
      <c r="N427" t="n">
        <v>0</v>
      </c>
      <c r="O427" t="n">
        <v>0</v>
      </c>
      <c r="P427" t="n">
        <v>0</v>
      </c>
      <c r="Q427" t="n">
        <v>0</v>
      </c>
      <c r="R427" s="2" t="inlineStr"/>
    </row>
    <row r="428" ht="15" customHeight="1">
      <c r="A428" t="inlineStr">
        <is>
          <t>A 32899-2023</t>
        </is>
      </c>
      <c r="B428" s="1" t="n">
        <v>45124</v>
      </c>
      <c r="C428" s="1" t="n">
        <v>45795</v>
      </c>
      <c r="D428" t="inlineStr">
        <is>
          <t>NORRBOTTENS LÄN</t>
        </is>
      </c>
      <c r="E428" t="inlineStr">
        <is>
          <t>JOKKMOKK</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32915-2023</t>
        </is>
      </c>
      <c r="B429" s="1" t="n">
        <v>45125</v>
      </c>
      <c r="C429" s="1" t="n">
        <v>45795</v>
      </c>
      <c r="D429" t="inlineStr">
        <is>
          <t>NORRBOTTENS LÄN</t>
        </is>
      </c>
      <c r="E429" t="inlineStr">
        <is>
          <t>JOKKMOKK</t>
        </is>
      </c>
      <c r="F429" t="inlineStr">
        <is>
          <t>SCA</t>
        </is>
      </c>
      <c r="G429" t="n">
        <v>15.1</v>
      </c>
      <c r="H429" t="n">
        <v>0</v>
      </c>
      <c r="I429" t="n">
        <v>0</v>
      </c>
      <c r="J429" t="n">
        <v>0</v>
      </c>
      <c r="K429" t="n">
        <v>0</v>
      </c>
      <c r="L429" t="n">
        <v>0</v>
      </c>
      <c r="M429" t="n">
        <v>0</v>
      </c>
      <c r="N429" t="n">
        <v>0</v>
      </c>
      <c r="O429" t="n">
        <v>0</v>
      </c>
      <c r="P429" t="n">
        <v>0</v>
      </c>
      <c r="Q429" t="n">
        <v>0</v>
      </c>
      <c r="R429" s="2" t="inlineStr"/>
    </row>
    <row r="430" ht="15" customHeight="1">
      <c r="A430" t="inlineStr">
        <is>
          <t>A 32900-2023</t>
        </is>
      </c>
      <c r="B430" s="1" t="n">
        <v>45124</v>
      </c>
      <c r="C430" s="1" t="n">
        <v>45795</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32912-2023</t>
        </is>
      </c>
      <c r="B431" s="1" t="n">
        <v>45125</v>
      </c>
      <c r="C431" s="1" t="n">
        <v>45795</v>
      </c>
      <c r="D431" t="inlineStr">
        <is>
          <t>NORRBOTTENS LÄN</t>
        </is>
      </c>
      <c r="E431" t="inlineStr">
        <is>
          <t>JOKKMOKK</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32914-2023</t>
        </is>
      </c>
      <c r="B432" s="1" t="n">
        <v>45124</v>
      </c>
      <c r="C432" s="1" t="n">
        <v>45795</v>
      </c>
      <c r="D432" t="inlineStr">
        <is>
          <t>NORRBOTTENS LÄN</t>
        </is>
      </c>
      <c r="E432" t="inlineStr">
        <is>
          <t>JOKKMOKK</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35153-2023</t>
        </is>
      </c>
      <c r="B433" s="1" t="n">
        <v>45145</v>
      </c>
      <c r="C433" s="1" t="n">
        <v>45795</v>
      </c>
      <c r="D433" t="inlineStr">
        <is>
          <t>NORRBOTTENS LÄN</t>
        </is>
      </c>
      <c r="E433" t="inlineStr">
        <is>
          <t>JOKKMOKK</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36889-2023</t>
        </is>
      </c>
      <c r="B434" s="1" t="n">
        <v>45153</v>
      </c>
      <c r="C434" s="1" t="n">
        <v>45795</v>
      </c>
      <c r="D434" t="inlineStr">
        <is>
          <t>NORRBOTTENS LÄN</t>
        </is>
      </c>
      <c r="E434" t="inlineStr">
        <is>
          <t>JOKKMOKK</t>
        </is>
      </c>
      <c r="F434" t="inlineStr">
        <is>
          <t>Övriga statliga verk och myndigheter</t>
        </is>
      </c>
      <c r="G434" t="n">
        <v>16.7</v>
      </c>
      <c r="H434" t="n">
        <v>0</v>
      </c>
      <c r="I434" t="n">
        <v>0</v>
      </c>
      <c r="J434" t="n">
        <v>0</v>
      </c>
      <c r="K434" t="n">
        <v>0</v>
      </c>
      <c r="L434" t="n">
        <v>0</v>
      </c>
      <c r="M434" t="n">
        <v>0</v>
      </c>
      <c r="N434" t="n">
        <v>0</v>
      </c>
      <c r="O434" t="n">
        <v>0</v>
      </c>
      <c r="P434" t="n">
        <v>0</v>
      </c>
      <c r="Q434" t="n">
        <v>0</v>
      </c>
      <c r="R434" s="2" t="inlineStr"/>
    </row>
    <row r="435" ht="15" customHeight="1">
      <c r="A435" t="inlineStr">
        <is>
          <t>A 37162-2023</t>
        </is>
      </c>
      <c r="B435" s="1" t="n">
        <v>45155</v>
      </c>
      <c r="C435" s="1" t="n">
        <v>45795</v>
      </c>
      <c r="D435" t="inlineStr">
        <is>
          <t>NORRBOTTENS LÄN</t>
        </is>
      </c>
      <c r="E435" t="inlineStr">
        <is>
          <t>JOKKMOKK</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38369-2023</t>
        </is>
      </c>
      <c r="B436" s="1" t="n">
        <v>45162</v>
      </c>
      <c r="C436" s="1" t="n">
        <v>45795</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38373-2023</t>
        </is>
      </c>
      <c r="B437" s="1" t="n">
        <v>45161</v>
      </c>
      <c r="C437" s="1" t="n">
        <v>45795</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38528-2023</t>
        </is>
      </c>
      <c r="B438" s="1" t="n">
        <v>45162</v>
      </c>
      <c r="C438" s="1" t="n">
        <v>45795</v>
      </c>
      <c r="D438" t="inlineStr">
        <is>
          <t>NORRBOTTENS LÄN</t>
        </is>
      </c>
      <c r="E438" t="inlineStr">
        <is>
          <t>JOKKMOKK</t>
        </is>
      </c>
      <c r="F438" t="inlineStr">
        <is>
          <t>Sveaskog</t>
        </is>
      </c>
      <c r="G438" t="n">
        <v>10.4</v>
      </c>
      <c r="H438" t="n">
        <v>0</v>
      </c>
      <c r="I438" t="n">
        <v>0</v>
      </c>
      <c r="J438" t="n">
        <v>0</v>
      </c>
      <c r="K438" t="n">
        <v>0</v>
      </c>
      <c r="L438" t="n">
        <v>0</v>
      </c>
      <c r="M438" t="n">
        <v>0</v>
      </c>
      <c r="N438" t="n">
        <v>0</v>
      </c>
      <c r="O438" t="n">
        <v>0</v>
      </c>
      <c r="P438" t="n">
        <v>0</v>
      </c>
      <c r="Q438" t="n">
        <v>0</v>
      </c>
      <c r="R438" s="2" t="inlineStr"/>
    </row>
    <row r="439" ht="15" customHeight="1">
      <c r="A439" t="inlineStr">
        <is>
          <t>A 38680-2023</t>
        </is>
      </c>
      <c r="B439" s="1" t="n">
        <v>45163</v>
      </c>
      <c r="C439" s="1" t="n">
        <v>45795</v>
      </c>
      <c r="D439" t="inlineStr">
        <is>
          <t>NORRBOTTENS LÄN</t>
        </is>
      </c>
      <c r="E439" t="inlineStr">
        <is>
          <t>JOKKMOKK</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38681-2023</t>
        </is>
      </c>
      <c r="B440" s="1" t="n">
        <v>45162</v>
      </c>
      <c r="C440" s="1" t="n">
        <v>45795</v>
      </c>
      <c r="D440" t="inlineStr">
        <is>
          <t>NORRBOTTENS LÄN</t>
        </is>
      </c>
      <c r="E440" t="inlineStr">
        <is>
          <t>JOKKMOKK</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39061-2023</t>
        </is>
      </c>
      <c r="B441" s="1" t="n">
        <v>45164</v>
      </c>
      <c r="C441" s="1" t="n">
        <v>45795</v>
      </c>
      <c r="D441" t="inlineStr">
        <is>
          <t>NORRBOTTENS LÄN</t>
        </is>
      </c>
      <c r="E441" t="inlineStr">
        <is>
          <t>JOKKMOKK</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39062-2023</t>
        </is>
      </c>
      <c r="B442" s="1" t="n">
        <v>45164</v>
      </c>
      <c r="C442" s="1" t="n">
        <v>45795</v>
      </c>
      <c r="D442" t="inlineStr">
        <is>
          <t>NORRBOTTENS LÄN</t>
        </is>
      </c>
      <c r="E442" t="inlineStr">
        <is>
          <t>JOKKMOKK</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39504-2023</t>
        </is>
      </c>
      <c r="B443" s="1" t="n">
        <v>45166</v>
      </c>
      <c r="C443" s="1" t="n">
        <v>45795</v>
      </c>
      <c r="D443" t="inlineStr">
        <is>
          <t>NORRBOTTENS LÄN</t>
        </is>
      </c>
      <c r="E443" t="inlineStr">
        <is>
          <t>JOKKMOKK</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39502-2023</t>
        </is>
      </c>
      <c r="B444" s="1" t="n">
        <v>45167</v>
      </c>
      <c r="C444" s="1" t="n">
        <v>45795</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39684-2023</t>
        </is>
      </c>
      <c r="B445" s="1" t="n">
        <v>45166</v>
      </c>
      <c r="C445" s="1" t="n">
        <v>45795</v>
      </c>
      <c r="D445" t="inlineStr">
        <is>
          <t>NORRBOTTENS LÄN</t>
        </is>
      </c>
      <c r="E445" t="inlineStr">
        <is>
          <t>JOKKMOKK</t>
        </is>
      </c>
      <c r="G445" t="n">
        <v>6.8</v>
      </c>
      <c r="H445" t="n">
        <v>0</v>
      </c>
      <c r="I445" t="n">
        <v>0</v>
      </c>
      <c r="J445" t="n">
        <v>0</v>
      </c>
      <c r="K445" t="n">
        <v>0</v>
      </c>
      <c r="L445" t="n">
        <v>0</v>
      </c>
      <c r="M445" t="n">
        <v>0</v>
      </c>
      <c r="N445" t="n">
        <v>0</v>
      </c>
      <c r="O445" t="n">
        <v>0</v>
      </c>
      <c r="P445" t="n">
        <v>0</v>
      </c>
      <c r="Q445" t="n">
        <v>0</v>
      </c>
      <c r="R445" s="2" t="inlineStr"/>
    </row>
    <row r="446" ht="15" customHeight="1">
      <c r="A446" t="inlineStr">
        <is>
          <t>A 39505-2023</t>
        </is>
      </c>
      <c r="B446" s="1" t="n">
        <v>45167</v>
      </c>
      <c r="C446" s="1" t="n">
        <v>45795</v>
      </c>
      <c r="D446" t="inlineStr">
        <is>
          <t>NORRBOTTENS LÄN</t>
        </is>
      </c>
      <c r="E446" t="inlineStr">
        <is>
          <t>JOKKMOKK</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39503-2023</t>
        </is>
      </c>
      <c r="B447" s="1" t="n">
        <v>45167</v>
      </c>
      <c r="C447" s="1" t="n">
        <v>45795</v>
      </c>
      <c r="D447" t="inlineStr">
        <is>
          <t>NORRBOTTENS LÄN</t>
        </is>
      </c>
      <c r="E447" t="inlineStr">
        <is>
          <t>JOKKMOKK</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40093-2023</t>
        </is>
      </c>
      <c r="B448" s="1" t="n">
        <v>45168</v>
      </c>
      <c r="C448" s="1" t="n">
        <v>45795</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40106-2023</t>
        </is>
      </c>
      <c r="B449" s="1" t="n">
        <v>45169</v>
      </c>
      <c r="C449" s="1" t="n">
        <v>45795</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41011-2023</t>
        </is>
      </c>
      <c r="B450" s="1" t="n">
        <v>45169</v>
      </c>
      <c r="C450" s="1" t="n">
        <v>45795</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40750-2023</t>
        </is>
      </c>
      <c r="B451" s="1" t="n">
        <v>45171</v>
      </c>
      <c r="C451" s="1" t="n">
        <v>45795</v>
      </c>
      <c r="D451" t="inlineStr">
        <is>
          <t>NORRBOTTENS LÄN</t>
        </is>
      </c>
      <c r="E451" t="inlineStr">
        <is>
          <t>JOKKMOKK</t>
        </is>
      </c>
      <c r="F451" t="inlineStr">
        <is>
          <t>Allmännings- och besparingsskogar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40770-2023</t>
        </is>
      </c>
      <c r="B452" s="1" t="n">
        <v>45170</v>
      </c>
      <c r="C452" s="1" t="n">
        <v>45795</v>
      </c>
      <c r="D452" t="inlineStr">
        <is>
          <t>NORRBOTTENS LÄN</t>
        </is>
      </c>
      <c r="E452" t="inlineStr">
        <is>
          <t>JOKKMOKK</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40771-2023</t>
        </is>
      </c>
      <c r="B453" s="1" t="n">
        <v>45171</v>
      </c>
      <c r="C453" s="1" t="n">
        <v>45795</v>
      </c>
      <c r="D453" t="inlineStr">
        <is>
          <t>NORRBOTTENS LÄN</t>
        </is>
      </c>
      <c r="E453" t="inlineStr">
        <is>
          <t>JOKKMOKK</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41061-2023</t>
        </is>
      </c>
      <c r="B454" s="1" t="n">
        <v>45173</v>
      </c>
      <c r="C454" s="1" t="n">
        <v>45795</v>
      </c>
      <c r="D454" t="inlineStr">
        <is>
          <t>NORRBOTTENS LÄN</t>
        </is>
      </c>
      <c r="E454" t="inlineStr">
        <is>
          <t>JOKKMOKK</t>
        </is>
      </c>
      <c r="G454" t="n">
        <v>2.7</v>
      </c>
      <c r="H454" t="n">
        <v>0</v>
      </c>
      <c r="I454" t="n">
        <v>0</v>
      </c>
      <c r="J454" t="n">
        <v>0</v>
      </c>
      <c r="K454" t="n">
        <v>0</v>
      </c>
      <c r="L454" t="n">
        <v>0</v>
      </c>
      <c r="M454" t="n">
        <v>0</v>
      </c>
      <c r="N454" t="n">
        <v>0</v>
      </c>
      <c r="O454" t="n">
        <v>0</v>
      </c>
      <c r="P454" t="n">
        <v>0</v>
      </c>
      <c r="Q454" t="n">
        <v>0</v>
      </c>
      <c r="R454" s="2" t="inlineStr"/>
    </row>
    <row r="455" ht="15" customHeight="1">
      <c r="A455" t="inlineStr">
        <is>
          <t>A 46455-2023</t>
        </is>
      </c>
      <c r="B455" s="1" t="n">
        <v>45197</v>
      </c>
      <c r="C455" s="1" t="n">
        <v>45795</v>
      </c>
      <c r="D455" t="inlineStr">
        <is>
          <t>NORRBOTTENS LÄN</t>
        </is>
      </c>
      <c r="E455" t="inlineStr">
        <is>
          <t>JOKKMOKK</t>
        </is>
      </c>
      <c r="G455" t="n">
        <v>7.5</v>
      </c>
      <c r="H455" t="n">
        <v>0</v>
      </c>
      <c r="I455" t="n">
        <v>0</v>
      </c>
      <c r="J455" t="n">
        <v>0</v>
      </c>
      <c r="K455" t="n">
        <v>0</v>
      </c>
      <c r="L455" t="n">
        <v>0</v>
      </c>
      <c r="M455" t="n">
        <v>0</v>
      </c>
      <c r="N455" t="n">
        <v>0</v>
      </c>
      <c r="O455" t="n">
        <v>0</v>
      </c>
      <c r="P455" t="n">
        <v>0</v>
      </c>
      <c r="Q455" t="n">
        <v>0</v>
      </c>
      <c r="R455" s="2" t="inlineStr"/>
    </row>
    <row r="456" ht="15" customHeight="1">
      <c r="A456" t="inlineStr">
        <is>
          <t>A 46442-2023</t>
        </is>
      </c>
      <c r="B456" s="1" t="n">
        <v>45197</v>
      </c>
      <c r="C456" s="1" t="n">
        <v>45795</v>
      </c>
      <c r="D456" t="inlineStr">
        <is>
          <t>NORRBOTTENS LÄN</t>
        </is>
      </c>
      <c r="E456" t="inlineStr">
        <is>
          <t>JOKKMOKK</t>
        </is>
      </c>
      <c r="G456" t="n">
        <v>6.4</v>
      </c>
      <c r="H456" t="n">
        <v>0</v>
      </c>
      <c r="I456" t="n">
        <v>0</v>
      </c>
      <c r="J456" t="n">
        <v>0</v>
      </c>
      <c r="K456" t="n">
        <v>0</v>
      </c>
      <c r="L456" t="n">
        <v>0</v>
      </c>
      <c r="M456" t="n">
        <v>0</v>
      </c>
      <c r="N456" t="n">
        <v>0</v>
      </c>
      <c r="O456" t="n">
        <v>0</v>
      </c>
      <c r="P456" t="n">
        <v>0</v>
      </c>
      <c r="Q456" t="n">
        <v>0</v>
      </c>
      <c r="R456" s="2" t="inlineStr"/>
    </row>
    <row r="457" ht="15" customHeight="1">
      <c r="A457" t="inlineStr">
        <is>
          <t>A 46418-2023</t>
        </is>
      </c>
      <c r="B457" s="1" t="n">
        <v>45197</v>
      </c>
      <c r="C457" s="1" t="n">
        <v>45795</v>
      </c>
      <c r="D457" t="inlineStr">
        <is>
          <t>NORRBOTTENS LÄN</t>
        </is>
      </c>
      <c r="E457" t="inlineStr">
        <is>
          <t>JOKKMOKK</t>
        </is>
      </c>
      <c r="G457" t="n">
        <v>7.4</v>
      </c>
      <c r="H457" t="n">
        <v>0</v>
      </c>
      <c r="I457" t="n">
        <v>0</v>
      </c>
      <c r="J457" t="n">
        <v>0</v>
      </c>
      <c r="K457" t="n">
        <v>0</v>
      </c>
      <c r="L457" t="n">
        <v>0</v>
      </c>
      <c r="M457" t="n">
        <v>0</v>
      </c>
      <c r="N457" t="n">
        <v>0</v>
      </c>
      <c r="O457" t="n">
        <v>0</v>
      </c>
      <c r="P457" t="n">
        <v>0</v>
      </c>
      <c r="Q457" t="n">
        <v>0</v>
      </c>
      <c r="R457" s="2" t="inlineStr"/>
    </row>
    <row r="458" ht="15" customHeight="1">
      <c r="A458" t="inlineStr">
        <is>
          <t>A 48787-2023</t>
        </is>
      </c>
      <c r="B458" s="1" t="n">
        <v>45209</v>
      </c>
      <c r="C458" s="1" t="n">
        <v>45795</v>
      </c>
      <c r="D458" t="inlineStr">
        <is>
          <t>NORRBOTTENS LÄN</t>
        </is>
      </c>
      <c r="E458" t="inlineStr">
        <is>
          <t>JOKKMOKK</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48585-2023</t>
        </is>
      </c>
      <c r="B459" s="1" t="n">
        <v>45208</v>
      </c>
      <c r="C459" s="1" t="n">
        <v>45795</v>
      </c>
      <c r="D459" t="inlineStr">
        <is>
          <t>NORRBOTTENS LÄN</t>
        </is>
      </c>
      <c r="E459" t="inlineStr">
        <is>
          <t>JOKKMOKK</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49338-2023</t>
        </is>
      </c>
      <c r="B460" s="1" t="n">
        <v>45210</v>
      </c>
      <c r="C460" s="1" t="n">
        <v>45795</v>
      </c>
      <c r="D460" t="inlineStr">
        <is>
          <t>NORRBOTTENS LÄN</t>
        </is>
      </c>
      <c r="E460" t="inlineStr">
        <is>
          <t>JOKKMOKK</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49643-2023</t>
        </is>
      </c>
      <c r="B461" s="1" t="n">
        <v>45212</v>
      </c>
      <c r="C461" s="1" t="n">
        <v>45795</v>
      </c>
      <c r="D461" t="inlineStr">
        <is>
          <t>NORRBOTTENS LÄN</t>
        </is>
      </c>
      <c r="E461" t="inlineStr">
        <is>
          <t>JOKKMOKK</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49644-2023</t>
        </is>
      </c>
      <c r="B462" s="1" t="n">
        <v>45212</v>
      </c>
      <c r="C462" s="1" t="n">
        <v>45795</v>
      </c>
      <c r="D462" t="inlineStr">
        <is>
          <t>NORRBOTTENS LÄN</t>
        </is>
      </c>
      <c r="E462" t="inlineStr">
        <is>
          <t>JOKKMOKK</t>
        </is>
      </c>
      <c r="F462" t="inlineStr">
        <is>
          <t>SCA</t>
        </is>
      </c>
      <c r="G462" t="n">
        <v>10.4</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45795</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50801-2023</t>
        </is>
      </c>
      <c r="B464" s="1" t="n">
        <v>45217</v>
      </c>
      <c r="C464" s="1" t="n">
        <v>45795</v>
      </c>
      <c r="D464" t="inlineStr">
        <is>
          <t>NORRBOTTENS LÄN</t>
        </is>
      </c>
      <c r="E464" t="inlineStr">
        <is>
          <t>JOKKMOKK</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52296-2023</t>
        </is>
      </c>
      <c r="B465" s="1" t="n">
        <v>45217</v>
      </c>
      <c r="C465" s="1" t="n">
        <v>45795</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52314-2023</t>
        </is>
      </c>
      <c r="B466" s="1" t="n">
        <v>45217</v>
      </c>
      <c r="C466" s="1" t="n">
        <v>45795</v>
      </c>
      <c r="D466" t="inlineStr">
        <is>
          <t>NORRBOTTENS LÄN</t>
        </is>
      </c>
      <c r="E466" t="inlineStr">
        <is>
          <t>JOKKMOKK</t>
        </is>
      </c>
      <c r="F466" t="inlineStr">
        <is>
          <t>Övriga statliga verk och myndigheter</t>
        </is>
      </c>
      <c r="G466" t="n">
        <v>23.3</v>
      </c>
      <c r="H466" t="n">
        <v>0</v>
      </c>
      <c r="I466" t="n">
        <v>0</v>
      </c>
      <c r="J466" t="n">
        <v>0</v>
      </c>
      <c r="K466" t="n">
        <v>0</v>
      </c>
      <c r="L466" t="n">
        <v>0</v>
      </c>
      <c r="M466" t="n">
        <v>0</v>
      </c>
      <c r="N466" t="n">
        <v>0</v>
      </c>
      <c r="O466" t="n">
        <v>0</v>
      </c>
      <c r="P466" t="n">
        <v>0</v>
      </c>
      <c r="Q466" t="n">
        <v>0</v>
      </c>
      <c r="R466" s="2" t="inlineStr"/>
    </row>
    <row r="467" ht="15" customHeight="1">
      <c r="A467" t="inlineStr">
        <is>
          <t>A 52522-2023</t>
        </is>
      </c>
      <c r="B467" s="1" t="n">
        <v>45218</v>
      </c>
      <c r="C467" s="1" t="n">
        <v>45795</v>
      </c>
      <c r="D467" t="inlineStr">
        <is>
          <t>NORRBOTTENS LÄN</t>
        </is>
      </c>
      <c r="E467" t="inlineStr">
        <is>
          <t>JOKKMOKK</t>
        </is>
      </c>
      <c r="F467" t="inlineStr">
        <is>
          <t>Övriga statliga verk och myndigheter</t>
        </is>
      </c>
      <c r="G467" t="n">
        <v>32.4</v>
      </c>
      <c r="H467" t="n">
        <v>0</v>
      </c>
      <c r="I467" t="n">
        <v>0</v>
      </c>
      <c r="J467" t="n">
        <v>0</v>
      </c>
      <c r="K467" t="n">
        <v>0</v>
      </c>
      <c r="L467" t="n">
        <v>0</v>
      </c>
      <c r="M467" t="n">
        <v>0</v>
      </c>
      <c r="N467" t="n">
        <v>0</v>
      </c>
      <c r="O467" t="n">
        <v>0</v>
      </c>
      <c r="P467" t="n">
        <v>0</v>
      </c>
      <c r="Q467" t="n">
        <v>0</v>
      </c>
      <c r="R467" s="2" t="inlineStr"/>
    </row>
    <row r="468" ht="15" customHeight="1">
      <c r="A468" t="inlineStr">
        <is>
          <t>A 52543-2023</t>
        </is>
      </c>
      <c r="B468" s="1" t="n">
        <v>45218</v>
      </c>
      <c r="C468" s="1" t="n">
        <v>45795</v>
      </c>
      <c r="D468" t="inlineStr">
        <is>
          <t>NORRBOTTENS LÄN</t>
        </is>
      </c>
      <c r="E468" t="inlineStr">
        <is>
          <t>JOKKMOKK</t>
        </is>
      </c>
      <c r="F468" t="inlineStr">
        <is>
          <t>Övriga statliga verk och myndigheter</t>
        </is>
      </c>
      <c r="G468" t="n">
        <v>23.8</v>
      </c>
      <c r="H468" t="n">
        <v>0</v>
      </c>
      <c r="I468" t="n">
        <v>0</v>
      </c>
      <c r="J468" t="n">
        <v>0</v>
      </c>
      <c r="K468" t="n">
        <v>0</v>
      </c>
      <c r="L468" t="n">
        <v>0</v>
      </c>
      <c r="M468" t="n">
        <v>0</v>
      </c>
      <c r="N468" t="n">
        <v>0</v>
      </c>
      <c r="O468" t="n">
        <v>0</v>
      </c>
      <c r="P468" t="n">
        <v>0</v>
      </c>
      <c r="Q468" t="n">
        <v>0</v>
      </c>
      <c r="R468" s="2" t="inlineStr"/>
    </row>
    <row r="469" ht="15" customHeight="1">
      <c r="A469" t="inlineStr">
        <is>
          <t>A 52963-2023</t>
        </is>
      </c>
      <c r="B469" s="1" t="n">
        <v>45222</v>
      </c>
      <c r="C469" s="1" t="n">
        <v>45795</v>
      </c>
      <c r="D469" t="inlineStr">
        <is>
          <t>NORRBOTTENS LÄN</t>
        </is>
      </c>
      <c r="E469" t="inlineStr">
        <is>
          <t>JOKKMOKK</t>
        </is>
      </c>
      <c r="F469" t="inlineStr">
        <is>
          <t>Övriga statliga verk och myndigheter</t>
        </is>
      </c>
      <c r="G469" t="n">
        <v>46.3</v>
      </c>
      <c r="H469" t="n">
        <v>0</v>
      </c>
      <c r="I469" t="n">
        <v>0</v>
      </c>
      <c r="J469" t="n">
        <v>0</v>
      </c>
      <c r="K469" t="n">
        <v>0</v>
      </c>
      <c r="L469" t="n">
        <v>0</v>
      </c>
      <c r="M469" t="n">
        <v>0</v>
      </c>
      <c r="N469" t="n">
        <v>0</v>
      </c>
      <c r="O469" t="n">
        <v>0</v>
      </c>
      <c r="P469" t="n">
        <v>0</v>
      </c>
      <c r="Q469" t="n">
        <v>0</v>
      </c>
      <c r="R469" s="2" t="inlineStr"/>
    </row>
    <row r="470" ht="15" customHeight="1">
      <c r="A470" t="inlineStr">
        <is>
          <t>A 53157-2023</t>
        </is>
      </c>
      <c r="B470" s="1" t="n">
        <v>45222</v>
      </c>
      <c r="C470" s="1" t="n">
        <v>45795</v>
      </c>
      <c r="D470" t="inlineStr">
        <is>
          <t>NORRBOTTENS LÄN</t>
        </is>
      </c>
      <c r="E470" t="inlineStr">
        <is>
          <t>JOKKMOKK</t>
        </is>
      </c>
      <c r="F470" t="inlineStr">
        <is>
          <t>Övriga statliga verk och myndigheter</t>
        </is>
      </c>
      <c r="G470" t="n">
        <v>2.7</v>
      </c>
      <c r="H470" t="n">
        <v>0</v>
      </c>
      <c r="I470" t="n">
        <v>0</v>
      </c>
      <c r="J470" t="n">
        <v>0</v>
      </c>
      <c r="K470" t="n">
        <v>0</v>
      </c>
      <c r="L470" t="n">
        <v>0</v>
      </c>
      <c r="M470" t="n">
        <v>0</v>
      </c>
      <c r="N470" t="n">
        <v>0</v>
      </c>
      <c r="O470" t="n">
        <v>0</v>
      </c>
      <c r="P470" t="n">
        <v>0</v>
      </c>
      <c r="Q470" t="n">
        <v>0</v>
      </c>
      <c r="R470" s="2" t="inlineStr"/>
    </row>
    <row r="471" ht="15" customHeight="1">
      <c r="A471" t="inlineStr">
        <is>
          <t>A 53140-2023</t>
        </is>
      </c>
      <c r="B471" s="1" t="n">
        <v>45222</v>
      </c>
      <c r="C471" s="1" t="n">
        <v>45795</v>
      </c>
      <c r="D471" t="inlineStr">
        <is>
          <t>NORRBOTTENS LÄN</t>
        </is>
      </c>
      <c r="E471" t="inlineStr">
        <is>
          <t>JOKKMOKK</t>
        </is>
      </c>
      <c r="F471" t="inlineStr">
        <is>
          <t>Övriga statliga verk och myndigheter</t>
        </is>
      </c>
      <c r="G471" t="n">
        <v>44.1</v>
      </c>
      <c r="H471" t="n">
        <v>0</v>
      </c>
      <c r="I471" t="n">
        <v>0</v>
      </c>
      <c r="J471" t="n">
        <v>0</v>
      </c>
      <c r="K471" t="n">
        <v>0</v>
      </c>
      <c r="L471" t="n">
        <v>0</v>
      </c>
      <c r="M471" t="n">
        <v>0</v>
      </c>
      <c r="N471" t="n">
        <v>0</v>
      </c>
      <c r="O471" t="n">
        <v>0</v>
      </c>
      <c r="P471" t="n">
        <v>0</v>
      </c>
      <c r="Q471" t="n">
        <v>0</v>
      </c>
      <c r="R471" s="2" t="inlineStr"/>
    </row>
    <row r="472" ht="15" customHeight="1">
      <c r="A472" t="inlineStr">
        <is>
          <t>A 53205-2023</t>
        </is>
      </c>
      <c r="B472" s="1" t="n">
        <v>45222</v>
      </c>
      <c r="C472" s="1" t="n">
        <v>45795</v>
      </c>
      <c r="D472" t="inlineStr">
        <is>
          <t>NORRBOTTENS LÄN</t>
        </is>
      </c>
      <c r="E472" t="inlineStr">
        <is>
          <t>JOKKMOKK</t>
        </is>
      </c>
      <c r="F472" t="inlineStr">
        <is>
          <t>Övriga statliga verk och myndigheter</t>
        </is>
      </c>
      <c r="G472" t="n">
        <v>11.9</v>
      </c>
      <c r="H472" t="n">
        <v>0</v>
      </c>
      <c r="I472" t="n">
        <v>0</v>
      </c>
      <c r="J472" t="n">
        <v>0</v>
      </c>
      <c r="K472" t="n">
        <v>0</v>
      </c>
      <c r="L472" t="n">
        <v>0</v>
      </c>
      <c r="M472" t="n">
        <v>0</v>
      </c>
      <c r="N472" t="n">
        <v>0</v>
      </c>
      <c r="O472" t="n">
        <v>0</v>
      </c>
      <c r="P472" t="n">
        <v>0</v>
      </c>
      <c r="Q472" t="n">
        <v>0</v>
      </c>
      <c r="R472" s="2" t="inlineStr"/>
    </row>
    <row r="473" ht="15" customHeight="1">
      <c r="A473" t="inlineStr">
        <is>
          <t>A 53181-2023</t>
        </is>
      </c>
      <c r="B473" s="1" t="n">
        <v>45222</v>
      </c>
      <c r="C473" s="1" t="n">
        <v>45795</v>
      </c>
      <c r="D473" t="inlineStr">
        <is>
          <t>NORRBOTTENS LÄN</t>
        </is>
      </c>
      <c r="E473" t="inlineStr">
        <is>
          <t>JOKKMOKK</t>
        </is>
      </c>
      <c r="F473" t="inlineStr">
        <is>
          <t>Övriga statliga verk och myndigheter</t>
        </is>
      </c>
      <c r="G473" t="n">
        <v>9.9</v>
      </c>
      <c r="H473" t="n">
        <v>0</v>
      </c>
      <c r="I473" t="n">
        <v>0</v>
      </c>
      <c r="J473" t="n">
        <v>0</v>
      </c>
      <c r="K473" t="n">
        <v>0</v>
      </c>
      <c r="L473" t="n">
        <v>0</v>
      </c>
      <c r="M473" t="n">
        <v>0</v>
      </c>
      <c r="N473" t="n">
        <v>0</v>
      </c>
      <c r="O473" t="n">
        <v>0</v>
      </c>
      <c r="P473" t="n">
        <v>0</v>
      </c>
      <c r="Q473" t="n">
        <v>0</v>
      </c>
      <c r="R473" s="2" t="inlineStr"/>
    </row>
    <row r="474" ht="15" customHeight="1">
      <c r="A474" t="inlineStr">
        <is>
          <t>A 53195-2023</t>
        </is>
      </c>
      <c r="B474" s="1" t="n">
        <v>45222</v>
      </c>
      <c r="C474" s="1" t="n">
        <v>45795</v>
      </c>
      <c r="D474" t="inlineStr">
        <is>
          <t>NORRBOTTENS LÄN</t>
        </is>
      </c>
      <c r="E474" t="inlineStr">
        <is>
          <t>JOKKMOKK</t>
        </is>
      </c>
      <c r="F474" t="inlineStr">
        <is>
          <t>Övriga statliga verk och myndigheter</t>
        </is>
      </c>
      <c r="G474" t="n">
        <v>6</v>
      </c>
      <c r="H474" t="n">
        <v>0</v>
      </c>
      <c r="I474" t="n">
        <v>0</v>
      </c>
      <c r="J474" t="n">
        <v>0</v>
      </c>
      <c r="K474" t="n">
        <v>0</v>
      </c>
      <c r="L474" t="n">
        <v>0</v>
      </c>
      <c r="M474" t="n">
        <v>0</v>
      </c>
      <c r="N474" t="n">
        <v>0</v>
      </c>
      <c r="O474" t="n">
        <v>0</v>
      </c>
      <c r="P474" t="n">
        <v>0</v>
      </c>
      <c r="Q474" t="n">
        <v>0</v>
      </c>
      <c r="R474" s="2" t="inlineStr"/>
    </row>
    <row r="475" ht="15" customHeight="1">
      <c r="A475" t="inlineStr">
        <is>
          <t>A 52181-2023</t>
        </is>
      </c>
      <c r="B475" s="1" t="n">
        <v>45224</v>
      </c>
      <c r="C475" s="1" t="n">
        <v>45795</v>
      </c>
      <c r="D475" t="inlineStr">
        <is>
          <t>NORRBOTTENS LÄN</t>
        </is>
      </c>
      <c r="E475" t="inlineStr">
        <is>
          <t>JOKKMOKK</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53991-2023</t>
        </is>
      </c>
      <c r="B476" s="1" t="n">
        <v>45225</v>
      </c>
      <c r="C476" s="1" t="n">
        <v>45795</v>
      </c>
      <c r="D476" t="inlineStr">
        <is>
          <t>NORRBOTTENS LÄN</t>
        </is>
      </c>
      <c r="E476" t="inlineStr">
        <is>
          <t>JOKKMOKK</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54354-2023</t>
        </is>
      </c>
      <c r="B477" s="1" t="n">
        <v>45232</v>
      </c>
      <c r="C477" s="1" t="n">
        <v>45795</v>
      </c>
      <c r="D477" t="inlineStr">
        <is>
          <t>NORRBOTTENS LÄN</t>
        </is>
      </c>
      <c r="E477" t="inlineStr">
        <is>
          <t>JOKKMOKK</t>
        </is>
      </c>
      <c r="F477" t="inlineStr">
        <is>
          <t>SCA</t>
        </is>
      </c>
      <c r="G477" t="n">
        <v>7.8</v>
      </c>
      <c r="H477" t="n">
        <v>0</v>
      </c>
      <c r="I477" t="n">
        <v>0</v>
      </c>
      <c r="J477" t="n">
        <v>0</v>
      </c>
      <c r="K477" t="n">
        <v>0</v>
      </c>
      <c r="L477" t="n">
        <v>0</v>
      </c>
      <c r="M477" t="n">
        <v>0</v>
      </c>
      <c r="N477" t="n">
        <v>0</v>
      </c>
      <c r="O477" t="n">
        <v>0</v>
      </c>
      <c r="P477" t="n">
        <v>0</v>
      </c>
      <c r="Q477" t="n">
        <v>0</v>
      </c>
      <c r="R477" s="2" t="inlineStr"/>
    </row>
    <row r="478" ht="15" customHeight="1">
      <c r="A478" t="inlineStr">
        <is>
          <t>A 55198-2023</t>
        </is>
      </c>
      <c r="B478" s="1" t="n">
        <v>45237</v>
      </c>
      <c r="C478" s="1" t="n">
        <v>45795</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56540-2023</t>
        </is>
      </c>
      <c r="B479" s="1" t="n">
        <v>45243</v>
      </c>
      <c r="C479" s="1" t="n">
        <v>45795</v>
      </c>
      <c r="D479" t="inlineStr">
        <is>
          <t>NORRBOTTENS LÄN</t>
        </is>
      </c>
      <c r="E479" t="inlineStr">
        <is>
          <t>JOKKMOKK</t>
        </is>
      </c>
      <c r="G479" t="n">
        <v>19.4</v>
      </c>
      <c r="H479" t="n">
        <v>0</v>
      </c>
      <c r="I479" t="n">
        <v>0</v>
      </c>
      <c r="J479" t="n">
        <v>0</v>
      </c>
      <c r="K479" t="n">
        <v>0</v>
      </c>
      <c r="L479" t="n">
        <v>0</v>
      </c>
      <c r="M479" t="n">
        <v>0</v>
      </c>
      <c r="N479" t="n">
        <v>0</v>
      </c>
      <c r="O479" t="n">
        <v>0</v>
      </c>
      <c r="P479" t="n">
        <v>0</v>
      </c>
      <c r="Q479" t="n">
        <v>0</v>
      </c>
      <c r="R479" s="2" t="inlineStr"/>
    </row>
    <row r="480" ht="15" customHeight="1">
      <c r="A480" t="inlineStr">
        <is>
          <t>A 59865-2023</t>
        </is>
      </c>
      <c r="B480" s="1" t="n">
        <v>45257</v>
      </c>
      <c r="C480" s="1" t="n">
        <v>45795</v>
      </c>
      <c r="D480" t="inlineStr">
        <is>
          <t>NORRBOTTENS LÄN</t>
        </is>
      </c>
      <c r="E480" t="inlineStr">
        <is>
          <t>JOKKMOKK</t>
        </is>
      </c>
      <c r="F480" t="inlineStr">
        <is>
          <t>Allmännings- och besparingsskogar</t>
        </is>
      </c>
      <c r="G480" t="n">
        <v>2.8</v>
      </c>
      <c r="H480" t="n">
        <v>0</v>
      </c>
      <c r="I480" t="n">
        <v>0</v>
      </c>
      <c r="J480" t="n">
        <v>0</v>
      </c>
      <c r="K480" t="n">
        <v>0</v>
      </c>
      <c r="L480" t="n">
        <v>0</v>
      </c>
      <c r="M480" t="n">
        <v>0</v>
      </c>
      <c r="N480" t="n">
        <v>0</v>
      </c>
      <c r="O480" t="n">
        <v>0</v>
      </c>
      <c r="P480" t="n">
        <v>0</v>
      </c>
      <c r="Q480" t="n">
        <v>0</v>
      </c>
      <c r="R480" s="2" t="inlineStr"/>
    </row>
    <row r="481" ht="15" customHeight="1">
      <c r="A481" t="inlineStr">
        <is>
          <t>A 59849-2023</t>
        </is>
      </c>
      <c r="B481" s="1" t="n">
        <v>45257</v>
      </c>
      <c r="C481" s="1" t="n">
        <v>45795</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60201-2023</t>
        </is>
      </c>
      <c r="B482" s="1" t="n">
        <v>45258</v>
      </c>
      <c r="C482" s="1" t="n">
        <v>45795</v>
      </c>
      <c r="D482" t="inlineStr">
        <is>
          <t>NORRBOTTENS LÄN</t>
        </is>
      </c>
      <c r="E482" t="inlineStr">
        <is>
          <t>JOKKMOKK</t>
        </is>
      </c>
      <c r="F482" t="inlineStr">
        <is>
          <t>Allmännings- och besparingsskogar</t>
        </is>
      </c>
      <c r="G482" t="n">
        <v>22.8</v>
      </c>
      <c r="H482" t="n">
        <v>0</v>
      </c>
      <c r="I482" t="n">
        <v>0</v>
      </c>
      <c r="J482" t="n">
        <v>0</v>
      </c>
      <c r="K482" t="n">
        <v>0</v>
      </c>
      <c r="L482" t="n">
        <v>0</v>
      </c>
      <c r="M482" t="n">
        <v>0</v>
      </c>
      <c r="N482" t="n">
        <v>0</v>
      </c>
      <c r="O482" t="n">
        <v>0</v>
      </c>
      <c r="P482" t="n">
        <v>0</v>
      </c>
      <c r="Q482" t="n">
        <v>0</v>
      </c>
      <c r="R482" s="2" t="inlineStr"/>
    </row>
    <row r="483" ht="15" customHeight="1">
      <c r="A483" t="inlineStr">
        <is>
          <t>A 60251-2023</t>
        </is>
      </c>
      <c r="B483" s="1" t="n">
        <v>45258</v>
      </c>
      <c r="C483" s="1" t="n">
        <v>45795</v>
      </c>
      <c r="D483" t="inlineStr">
        <is>
          <t>NORRBOTTENS LÄN</t>
        </is>
      </c>
      <c r="E483" t="inlineStr">
        <is>
          <t>JOKKMOKK</t>
        </is>
      </c>
      <c r="F483" t="inlineStr">
        <is>
          <t>Allmännings- och besparingsskogar</t>
        </is>
      </c>
      <c r="G483" t="n">
        <v>12.9</v>
      </c>
      <c r="H483" t="n">
        <v>0</v>
      </c>
      <c r="I483" t="n">
        <v>0</v>
      </c>
      <c r="J483" t="n">
        <v>0</v>
      </c>
      <c r="K483" t="n">
        <v>0</v>
      </c>
      <c r="L483" t="n">
        <v>0</v>
      </c>
      <c r="M483" t="n">
        <v>0</v>
      </c>
      <c r="N483" t="n">
        <v>0</v>
      </c>
      <c r="O483" t="n">
        <v>0</v>
      </c>
      <c r="P483" t="n">
        <v>0</v>
      </c>
      <c r="Q483" t="n">
        <v>0</v>
      </c>
      <c r="R483" s="2" t="inlineStr"/>
    </row>
    <row r="484" ht="15" customHeight="1">
      <c r="A484" t="inlineStr">
        <is>
          <t>A 60193-2023</t>
        </is>
      </c>
      <c r="B484" s="1" t="n">
        <v>45258</v>
      </c>
      <c r="C484" s="1" t="n">
        <v>45795</v>
      </c>
      <c r="D484" t="inlineStr">
        <is>
          <t>NORRBOTTENS LÄN</t>
        </is>
      </c>
      <c r="E484" t="inlineStr">
        <is>
          <t>JOKKMOKK</t>
        </is>
      </c>
      <c r="F484" t="inlineStr">
        <is>
          <t>Allmännings- och besparingsskogar</t>
        </is>
      </c>
      <c r="G484" t="n">
        <v>11.1</v>
      </c>
      <c r="H484" t="n">
        <v>0</v>
      </c>
      <c r="I484" t="n">
        <v>0</v>
      </c>
      <c r="J484" t="n">
        <v>0</v>
      </c>
      <c r="K484" t="n">
        <v>0</v>
      </c>
      <c r="L484" t="n">
        <v>0</v>
      </c>
      <c r="M484" t="n">
        <v>0</v>
      </c>
      <c r="N484" t="n">
        <v>0</v>
      </c>
      <c r="O484" t="n">
        <v>0</v>
      </c>
      <c r="P484" t="n">
        <v>0</v>
      </c>
      <c r="Q484" t="n">
        <v>0</v>
      </c>
      <c r="R484" s="2" t="inlineStr"/>
    </row>
    <row r="485" ht="15" customHeight="1">
      <c r="A485" t="inlineStr">
        <is>
          <t>A 60215-2023</t>
        </is>
      </c>
      <c r="B485" s="1" t="n">
        <v>45258</v>
      </c>
      <c r="C485" s="1" t="n">
        <v>45795</v>
      </c>
      <c r="D485" t="inlineStr">
        <is>
          <t>NORRBOTTENS LÄN</t>
        </is>
      </c>
      <c r="E485" t="inlineStr">
        <is>
          <t>JOKKMOKK</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60242-2023</t>
        </is>
      </c>
      <c r="B486" s="1" t="n">
        <v>45258</v>
      </c>
      <c r="C486" s="1" t="n">
        <v>45795</v>
      </c>
      <c r="D486" t="inlineStr">
        <is>
          <t>NORRBOTTENS LÄN</t>
        </is>
      </c>
      <c r="E486" t="inlineStr">
        <is>
          <t>JOKKMOKK</t>
        </is>
      </c>
      <c r="F486" t="inlineStr">
        <is>
          <t>Allmännings- och besparingsskogar</t>
        </is>
      </c>
      <c r="G486" t="n">
        <v>9.4</v>
      </c>
      <c r="H486" t="n">
        <v>0</v>
      </c>
      <c r="I486" t="n">
        <v>0</v>
      </c>
      <c r="J486" t="n">
        <v>0</v>
      </c>
      <c r="K486" t="n">
        <v>0</v>
      </c>
      <c r="L486" t="n">
        <v>0</v>
      </c>
      <c r="M486" t="n">
        <v>0</v>
      </c>
      <c r="N486" t="n">
        <v>0</v>
      </c>
      <c r="O486" t="n">
        <v>0</v>
      </c>
      <c r="P486" t="n">
        <v>0</v>
      </c>
      <c r="Q486" t="n">
        <v>0</v>
      </c>
      <c r="R486" s="2" t="inlineStr"/>
    </row>
    <row r="487" ht="15" customHeight="1">
      <c r="A487" t="inlineStr">
        <is>
          <t>A 60259-2023</t>
        </is>
      </c>
      <c r="B487" s="1" t="n">
        <v>45258</v>
      </c>
      <c r="C487" s="1" t="n">
        <v>45795</v>
      </c>
      <c r="D487" t="inlineStr">
        <is>
          <t>NORRBOTTENS LÄN</t>
        </is>
      </c>
      <c r="E487" t="inlineStr">
        <is>
          <t>JOKKMOKK</t>
        </is>
      </c>
      <c r="F487" t="inlineStr">
        <is>
          <t>Allmännings- och besparingsskogar</t>
        </is>
      </c>
      <c r="G487" t="n">
        <v>5.2</v>
      </c>
      <c r="H487" t="n">
        <v>0</v>
      </c>
      <c r="I487" t="n">
        <v>0</v>
      </c>
      <c r="J487" t="n">
        <v>0</v>
      </c>
      <c r="K487" t="n">
        <v>0</v>
      </c>
      <c r="L487" t="n">
        <v>0</v>
      </c>
      <c r="M487" t="n">
        <v>0</v>
      </c>
      <c r="N487" t="n">
        <v>0</v>
      </c>
      <c r="O487" t="n">
        <v>0</v>
      </c>
      <c r="P487" t="n">
        <v>0</v>
      </c>
      <c r="Q487" t="n">
        <v>0</v>
      </c>
      <c r="R487" s="2" t="inlineStr"/>
    </row>
    <row r="488" ht="15" customHeight="1">
      <c r="A488" t="inlineStr">
        <is>
          <t>A 60164-2023</t>
        </is>
      </c>
      <c r="B488" s="1" t="n">
        <v>45258</v>
      </c>
      <c r="C488" s="1" t="n">
        <v>45795</v>
      </c>
      <c r="D488" t="inlineStr">
        <is>
          <t>NORRBOTTENS LÄN</t>
        </is>
      </c>
      <c r="E488" t="inlineStr">
        <is>
          <t>JOKKMOKK</t>
        </is>
      </c>
      <c r="F488" t="inlineStr">
        <is>
          <t>Allmännings- och besparingsskogar</t>
        </is>
      </c>
      <c r="G488" t="n">
        <v>14.3</v>
      </c>
      <c r="H488" t="n">
        <v>0</v>
      </c>
      <c r="I488" t="n">
        <v>0</v>
      </c>
      <c r="J488" t="n">
        <v>0</v>
      </c>
      <c r="K488" t="n">
        <v>0</v>
      </c>
      <c r="L488" t="n">
        <v>0</v>
      </c>
      <c r="M488" t="n">
        <v>0</v>
      </c>
      <c r="N488" t="n">
        <v>0</v>
      </c>
      <c r="O488" t="n">
        <v>0</v>
      </c>
      <c r="P488" t="n">
        <v>0</v>
      </c>
      <c r="Q488" t="n">
        <v>0</v>
      </c>
      <c r="R488" s="2" t="inlineStr"/>
    </row>
    <row r="489" ht="15" customHeight="1">
      <c r="A489" t="inlineStr">
        <is>
          <t>A 60275-2023</t>
        </is>
      </c>
      <c r="B489" s="1" t="n">
        <v>45258</v>
      </c>
      <c r="C489" s="1" t="n">
        <v>45795</v>
      </c>
      <c r="D489" t="inlineStr">
        <is>
          <t>NORRBOTTENS LÄN</t>
        </is>
      </c>
      <c r="E489" t="inlineStr">
        <is>
          <t>JOKKMOKK</t>
        </is>
      </c>
      <c r="G489" t="n">
        <v>3.2</v>
      </c>
      <c r="H489" t="n">
        <v>0</v>
      </c>
      <c r="I489" t="n">
        <v>0</v>
      </c>
      <c r="J489" t="n">
        <v>0</v>
      </c>
      <c r="K489" t="n">
        <v>0</v>
      </c>
      <c r="L489" t="n">
        <v>0</v>
      </c>
      <c r="M489" t="n">
        <v>0</v>
      </c>
      <c r="N489" t="n">
        <v>0</v>
      </c>
      <c r="O489" t="n">
        <v>0</v>
      </c>
      <c r="P489" t="n">
        <v>0</v>
      </c>
      <c r="Q489" t="n">
        <v>0</v>
      </c>
      <c r="R489" s="2" t="inlineStr"/>
    </row>
    <row r="490" ht="15" customHeight="1">
      <c r="A490" t="inlineStr">
        <is>
          <t>A 60271-2023</t>
        </is>
      </c>
      <c r="B490" s="1" t="n">
        <v>45258</v>
      </c>
      <c r="C490" s="1" t="n">
        <v>45795</v>
      </c>
      <c r="D490" t="inlineStr">
        <is>
          <t>NORRBOTTENS LÄN</t>
        </is>
      </c>
      <c r="E490" t="inlineStr">
        <is>
          <t>JOKKMOKK</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60383-2023</t>
        </is>
      </c>
      <c r="B491" s="1" t="n">
        <v>45259</v>
      </c>
      <c r="C491" s="1" t="n">
        <v>45795</v>
      </c>
      <c r="D491" t="inlineStr">
        <is>
          <t>NORRBOTTENS LÄN</t>
        </is>
      </c>
      <c r="E491" t="inlineStr">
        <is>
          <t>JOKKMOKK</t>
        </is>
      </c>
      <c r="F491" t="inlineStr">
        <is>
          <t>Sveaskog</t>
        </is>
      </c>
      <c r="G491" t="n">
        <v>7.3</v>
      </c>
      <c r="H491" t="n">
        <v>0</v>
      </c>
      <c r="I491" t="n">
        <v>0</v>
      </c>
      <c r="J491" t="n">
        <v>0</v>
      </c>
      <c r="K491" t="n">
        <v>0</v>
      </c>
      <c r="L491" t="n">
        <v>0</v>
      </c>
      <c r="M491" t="n">
        <v>0</v>
      </c>
      <c r="N491" t="n">
        <v>0</v>
      </c>
      <c r="O491" t="n">
        <v>0</v>
      </c>
      <c r="P491" t="n">
        <v>0</v>
      </c>
      <c r="Q491" t="n">
        <v>0</v>
      </c>
      <c r="R491" s="2" t="inlineStr"/>
    </row>
    <row r="492" ht="15" customHeight="1">
      <c r="A492" t="inlineStr">
        <is>
          <t>A 60418-2023</t>
        </is>
      </c>
      <c r="B492" s="1" t="n">
        <v>45259</v>
      </c>
      <c r="C492" s="1" t="n">
        <v>45795</v>
      </c>
      <c r="D492" t="inlineStr">
        <is>
          <t>NORRBOTTENS LÄN</t>
        </is>
      </c>
      <c r="E492" t="inlineStr">
        <is>
          <t>JOKKMOKK</t>
        </is>
      </c>
      <c r="F492" t="inlineStr">
        <is>
          <t>Allmännings- och besparingsskogar</t>
        </is>
      </c>
      <c r="G492" t="n">
        <v>12.7</v>
      </c>
      <c r="H492" t="n">
        <v>0</v>
      </c>
      <c r="I492" t="n">
        <v>0</v>
      </c>
      <c r="J492" t="n">
        <v>0</v>
      </c>
      <c r="K492" t="n">
        <v>0</v>
      </c>
      <c r="L492" t="n">
        <v>0</v>
      </c>
      <c r="M492" t="n">
        <v>0</v>
      </c>
      <c r="N492" t="n">
        <v>0</v>
      </c>
      <c r="O492" t="n">
        <v>0</v>
      </c>
      <c r="P492" t="n">
        <v>0</v>
      </c>
      <c r="Q492" t="n">
        <v>0</v>
      </c>
      <c r="R492" s="2" t="inlineStr"/>
    </row>
    <row r="493" ht="15" customHeight="1">
      <c r="A493" t="inlineStr">
        <is>
          <t>A 60370-2023</t>
        </is>
      </c>
      <c r="B493" s="1" t="n">
        <v>45259</v>
      </c>
      <c r="C493" s="1" t="n">
        <v>45795</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60374-2023</t>
        </is>
      </c>
      <c r="B494" s="1" t="n">
        <v>45259</v>
      </c>
      <c r="C494" s="1" t="n">
        <v>45795</v>
      </c>
      <c r="D494" t="inlineStr">
        <is>
          <t>NORRBOTTENS LÄN</t>
        </is>
      </c>
      <c r="E494" t="inlineStr">
        <is>
          <t>JOKKMOKK</t>
        </is>
      </c>
      <c r="F494" t="inlineStr">
        <is>
          <t>Sveaskog</t>
        </is>
      </c>
      <c r="G494" t="n">
        <v>7.1</v>
      </c>
      <c r="H494" t="n">
        <v>0</v>
      </c>
      <c r="I494" t="n">
        <v>0</v>
      </c>
      <c r="J494" t="n">
        <v>0</v>
      </c>
      <c r="K494" t="n">
        <v>0</v>
      </c>
      <c r="L494" t="n">
        <v>0</v>
      </c>
      <c r="M494" t="n">
        <v>0</v>
      </c>
      <c r="N494" t="n">
        <v>0</v>
      </c>
      <c r="O494" t="n">
        <v>0</v>
      </c>
      <c r="P494" t="n">
        <v>0</v>
      </c>
      <c r="Q494" t="n">
        <v>0</v>
      </c>
      <c r="R494" s="2" t="inlineStr"/>
    </row>
    <row r="495" ht="15" customHeight="1">
      <c r="A495" t="inlineStr">
        <is>
          <t>A 60408-2023</t>
        </is>
      </c>
      <c r="B495" s="1" t="n">
        <v>45259</v>
      </c>
      <c r="C495" s="1" t="n">
        <v>45795</v>
      </c>
      <c r="D495" t="inlineStr">
        <is>
          <t>NORRBOTTENS LÄN</t>
        </is>
      </c>
      <c r="E495" t="inlineStr">
        <is>
          <t>JOKKMOKK</t>
        </is>
      </c>
      <c r="F495" t="inlineStr">
        <is>
          <t>Allmännings- och besparingsskogar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60376-2023</t>
        </is>
      </c>
      <c r="B496" s="1" t="n">
        <v>45259</v>
      </c>
      <c r="C496" s="1" t="n">
        <v>45795</v>
      </c>
      <c r="D496" t="inlineStr">
        <is>
          <t>NORRBOTTENS LÄN</t>
        </is>
      </c>
      <c r="E496" t="inlineStr">
        <is>
          <t>JOKKMOKK</t>
        </is>
      </c>
      <c r="F496" t="inlineStr">
        <is>
          <t>Allmännings- och besparingsskogar</t>
        </is>
      </c>
      <c r="G496" t="n">
        <v>13.3</v>
      </c>
      <c r="H496" t="n">
        <v>0</v>
      </c>
      <c r="I496" t="n">
        <v>0</v>
      </c>
      <c r="J496" t="n">
        <v>0</v>
      </c>
      <c r="K496" t="n">
        <v>0</v>
      </c>
      <c r="L496" t="n">
        <v>0</v>
      </c>
      <c r="M496" t="n">
        <v>0</v>
      </c>
      <c r="N496" t="n">
        <v>0</v>
      </c>
      <c r="O496" t="n">
        <v>0</v>
      </c>
      <c r="P496" t="n">
        <v>0</v>
      </c>
      <c r="Q496" t="n">
        <v>0</v>
      </c>
      <c r="R496" s="2" t="inlineStr"/>
    </row>
    <row r="497" ht="15" customHeight="1">
      <c r="A497" t="inlineStr">
        <is>
          <t>A 60390-2023</t>
        </is>
      </c>
      <c r="B497" s="1" t="n">
        <v>45259</v>
      </c>
      <c r="C497" s="1" t="n">
        <v>45795</v>
      </c>
      <c r="D497" t="inlineStr">
        <is>
          <t>NORRBOTTENS LÄN</t>
        </is>
      </c>
      <c r="E497" t="inlineStr">
        <is>
          <t>JOKKMOKK</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60406-2023</t>
        </is>
      </c>
      <c r="B498" s="1" t="n">
        <v>45259</v>
      </c>
      <c r="C498" s="1" t="n">
        <v>45795</v>
      </c>
      <c r="D498" t="inlineStr">
        <is>
          <t>NORRBOTTENS LÄN</t>
        </is>
      </c>
      <c r="E498" t="inlineStr">
        <is>
          <t>JOKKMOKK</t>
        </is>
      </c>
      <c r="F498" t="inlineStr">
        <is>
          <t>Allmännings- och besparingsskogar</t>
        </is>
      </c>
      <c r="G498" t="n">
        <v>2.5</v>
      </c>
      <c r="H498" t="n">
        <v>0</v>
      </c>
      <c r="I498" t="n">
        <v>0</v>
      </c>
      <c r="J498" t="n">
        <v>0</v>
      </c>
      <c r="K498" t="n">
        <v>0</v>
      </c>
      <c r="L498" t="n">
        <v>0</v>
      </c>
      <c r="M498" t="n">
        <v>0</v>
      </c>
      <c r="N498" t="n">
        <v>0</v>
      </c>
      <c r="O498" t="n">
        <v>0</v>
      </c>
      <c r="P498" t="n">
        <v>0</v>
      </c>
      <c r="Q498" t="n">
        <v>0</v>
      </c>
      <c r="R498" s="2" t="inlineStr"/>
    </row>
    <row r="499" ht="15" customHeight="1">
      <c r="A499" t="inlineStr">
        <is>
          <t>A 60401-2023</t>
        </is>
      </c>
      <c r="B499" s="1" t="n">
        <v>45259</v>
      </c>
      <c r="C499" s="1" t="n">
        <v>45795</v>
      </c>
      <c r="D499" t="inlineStr">
        <is>
          <t>NORRBOTTENS LÄN</t>
        </is>
      </c>
      <c r="E499" t="inlineStr">
        <is>
          <t>JOKKMOKK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60416-2023</t>
        </is>
      </c>
      <c r="B500" s="1" t="n">
        <v>45259</v>
      </c>
      <c r="C500" s="1" t="n">
        <v>45795</v>
      </c>
      <c r="D500" t="inlineStr">
        <is>
          <t>NORRBOTTENS LÄN</t>
        </is>
      </c>
      <c r="E500" t="inlineStr">
        <is>
          <t>JOKKMOKK</t>
        </is>
      </c>
      <c r="F500" t="inlineStr">
        <is>
          <t>Allmännings- och besparingsskogar</t>
        </is>
      </c>
      <c r="G500" t="n">
        <v>16.9</v>
      </c>
      <c r="H500" t="n">
        <v>0</v>
      </c>
      <c r="I500" t="n">
        <v>0</v>
      </c>
      <c r="J500" t="n">
        <v>0</v>
      </c>
      <c r="K500" t="n">
        <v>0</v>
      </c>
      <c r="L500" t="n">
        <v>0</v>
      </c>
      <c r="M500" t="n">
        <v>0</v>
      </c>
      <c r="N500" t="n">
        <v>0</v>
      </c>
      <c r="O500" t="n">
        <v>0</v>
      </c>
      <c r="P500" t="n">
        <v>0</v>
      </c>
      <c r="Q500" t="n">
        <v>0</v>
      </c>
      <c r="R500" s="2" t="inlineStr"/>
    </row>
    <row r="501" ht="15" customHeight="1">
      <c r="A501" t="inlineStr">
        <is>
          <t>A 60930-2023</t>
        </is>
      </c>
      <c r="B501" s="1" t="n">
        <v>45261</v>
      </c>
      <c r="C501" s="1" t="n">
        <v>45795</v>
      </c>
      <c r="D501" t="inlineStr">
        <is>
          <t>NORRBOTTENS LÄN</t>
        </is>
      </c>
      <c r="E501" t="inlineStr">
        <is>
          <t>JOKKMOKK</t>
        </is>
      </c>
      <c r="F501" t="inlineStr">
        <is>
          <t>Allmännings- och besparingsskogar</t>
        </is>
      </c>
      <c r="G501" t="n">
        <v>8.5</v>
      </c>
      <c r="H501" t="n">
        <v>0</v>
      </c>
      <c r="I501" t="n">
        <v>0</v>
      </c>
      <c r="J501" t="n">
        <v>0</v>
      </c>
      <c r="K501" t="n">
        <v>0</v>
      </c>
      <c r="L501" t="n">
        <v>0</v>
      </c>
      <c r="M501" t="n">
        <v>0</v>
      </c>
      <c r="N501" t="n">
        <v>0</v>
      </c>
      <c r="O501" t="n">
        <v>0</v>
      </c>
      <c r="P501" t="n">
        <v>0</v>
      </c>
      <c r="Q501" t="n">
        <v>0</v>
      </c>
      <c r="R501" s="2" t="inlineStr"/>
    </row>
    <row r="502" ht="15" customHeight="1">
      <c r="A502" t="inlineStr">
        <is>
          <t>A 63760-2023</t>
        </is>
      </c>
      <c r="B502" s="1" t="n">
        <v>45278</v>
      </c>
      <c r="C502" s="1" t="n">
        <v>45795</v>
      </c>
      <c r="D502" t="inlineStr">
        <is>
          <t>NORRBOTTENS LÄN</t>
        </is>
      </c>
      <c r="E502" t="inlineStr">
        <is>
          <t>JOKKMOKK</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63758-2023</t>
        </is>
      </c>
      <c r="B503" s="1" t="n">
        <v>45278</v>
      </c>
      <c r="C503" s="1" t="n">
        <v>45795</v>
      </c>
      <c r="D503" t="inlineStr">
        <is>
          <t>NORRBOTTENS LÄN</t>
        </is>
      </c>
      <c r="E503" t="inlineStr">
        <is>
          <t>JOKKMOKK</t>
        </is>
      </c>
      <c r="F503" t="inlineStr">
        <is>
          <t>Övriga Aktiebolag</t>
        </is>
      </c>
      <c r="G503" t="n">
        <v>4.4</v>
      </c>
      <c r="H503" t="n">
        <v>0</v>
      </c>
      <c r="I503" t="n">
        <v>0</v>
      </c>
      <c r="J503" t="n">
        <v>0</v>
      </c>
      <c r="K503" t="n">
        <v>0</v>
      </c>
      <c r="L503" t="n">
        <v>0</v>
      </c>
      <c r="M503" t="n">
        <v>0</v>
      </c>
      <c r="N503" t="n">
        <v>0</v>
      </c>
      <c r="O503" t="n">
        <v>0</v>
      </c>
      <c r="P503" t="n">
        <v>0</v>
      </c>
      <c r="Q503" t="n">
        <v>0</v>
      </c>
      <c r="R503" s="2" t="inlineStr"/>
    </row>
    <row r="504" ht="15" customHeight="1">
      <c r="A504" t="inlineStr">
        <is>
          <t>A 63938-2023</t>
        </is>
      </c>
      <c r="B504" s="1" t="n">
        <v>45278</v>
      </c>
      <c r="C504" s="1" t="n">
        <v>45795</v>
      </c>
      <c r="D504" t="inlineStr">
        <is>
          <t>NORRBOTTENS LÄN</t>
        </is>
      </c>
      <c r="E504" t="inlineStr">
        <is>
          <t>JOKKMOKK</t>
        </is>
      </c>
      <c r="F504" t="inlineStr">
        <is>
          <t>Sveaskog</t>
        </is>
      </c>
      <c r="G504" t="n">
        <v>40</v>
      </c>
      <c r="H504" t="n">
        <v>0</v>
      </c>
      <c r="I504" t="n">
        <v>0</v>
      </c>
      <c r="J504" t="n">
        <v>0</v>
      </c>
      <c r="K504" t="n">
        <v>0</v>
      </c>
      <c r="L504" t="n">
        <v>0</v>
      </c>
      <c r="M504" t="n">
        <v>0</v>
      </c>
      <c r="N504" t="n">
        <v>0</v>
      </c>
      <c r="O504" t="n">
        <v>0</v>
      </c>
      <c r="P504" t="n">
        <v>0</v>
      </c>
      <c r="Q504" t="n">
        <v>0</v>
      </c>
      <c r="R504" s="2" t="inlineStr"/>
    </row>
    <row r="505" ht="15" customHeight="1">
      <c r="A505" t="inlineStr">
        <is>
          <t>A 65233-2023</t>
        </is>
      </c>
      <c r="B505" s="1" t="n">
        <v>45289</v>
      </c>
      <c r="C505" s="1" t="n">
        <v>45795</v>
      </c>
      <c r="D505" t="inlineStr">
        <is>
          <t>NORRBOTTENS LÄN</t>
        </is>
      </c>
      <c r="E505" t="inlineStr">
        <is>
          <t>JOKKMOKK</t>
        </is>
      </c>
      <c r="G505" t="n">
        <v>37.3</v>
      </c>
      <c r="H505" t="n">
        <v>0</v>
      </c>
      <c r="I505" t="n">
        <v>0</v>
      </c>
      <c r="J505" t="n">
        <v>0</v>
      </c>
      <c r="K505" t="n">
        <v>0</v>
      </c>
      <c r="L505" t="n">
        <v>0</v>
      </c>
      <c r="M505" t="n">
        <v>0</v>
      </c>
      <c r="N505" t="n">
        <v>0</v>
      </c>
      <c r="O505" t="n">
        <v>0</v>
      </c>
      <c r="P505" t="n">
        <v>0</v>
      </c>
      <c r="Q505" t="n">
        <v>0</v>
      </c>
      <c r="R505" s="2" t="inlineStr"/>
    </row>
    <row r="506" ht="15" customHeight="1">
      <c r="A506" t="inlineStr">
        <is>
          <t>A 94-2024</t>
        </is>
      </c>
      <c r="B506" s="1" t="n">
        <v>45293</v>
      </c>
      <c r="C506" s="1" t="n">
        <v>45795</v>
      </c>
      <c r="D506" t="inlineStr">
        <is>
          <t>NORRBOTTENS LÄN</t>
        </is>
      </c>
      <c r="E506" t="inlineStr">
        <is>
          <t>JOKKMOKK</t>
        </is>
      </c>
      <c r="G506" t="n">
        <v>24.5</v>
      </c>
      <c r="H506" t="n">
        <v>0</v>
      </c>
      <c r="I506" t="n">
        <v>0</v>
      </c>
      <c r="J506" t="n">
        <v>0</v>
      </c>
      <c r="K506" t="n">
        <v>0</v>
      </c>
      <c r="L506" t="n">
        <v>0</v>
      </c>
      <c r="M506" t="n">
        <v>0</v>
      </c>
      <c r="N506" t="n">
        <v>0</v>
      </c>
      <c r="O506" t="n">
        <v>0</v>
      </c>
      <c r="P506" t="n">
        <v>0</v>
      </c>
      <c r="Q506" t="n">
        <v>0</v>
      </c>
      <c r="R506" s="2" t="inlineStr"/>
    </row>
    <row r="507" ht="15" customHeight="1">
      <c r="A507" t="inlineStr">
        <is>
          <t>A 116-2024</t>
        </is>
      </c>
      <c r="B507" s="1" t="n">
        <v>45294</v>
      </c>
      <c r="C507" s="1" t="n">
        <v>45795</v>
      </c>
      <c r="D507" t="inlineStr">
        <is>
          <t>NORRBOTTENS LÄN</t>
        </is>
      </c>
      <c r="E507" t="inlineStr">
        <is>
          <t>JOKKMOKK</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296-2024</t>
        </is>
      </c>
      <c r="B508" s="1" t="n">
        <v>45294</v>
      </c>
      <c r="C508" s="1" t="n">
        <v>45795</v>
      </c>
      <c r="D508" t="inlineStr">
        <is>
          <t>NORRBOTTENS LÄN</t>
        </is>
      </c>
      <c r="E508" t="inlineStr">
        <is>
          <t>JOKKMOKK</t>
        </is>
      </c>
      <c r="G508" t="n">
        <v>2.6</v>
      </c>
      <c r="H508" t="n">
        <v>0</v>
      </c>
      <c r="I508" t="n">
        <v>0</v>
      </c>
      <c r="J508" t="n">
        <v>0</v>
      </c>
      <c r="K508" t="n">
        <v>0</v>
      </c>
      <c r="L508" t="n">
        <v>0</v>
      </c>
      <c r="M508" t="n">
        <v>0</v>
      </c>
      <c r="N508" t="n">
        <v>0</v>
      </c>
      <c r="O508" t="n">
        <v>0</v>
      </c>
      <c r="P508" t="n">
        <v>0</v>
      </c>
      <c r="Q508" t="n">
        <v>0</v>
      </c>
      <c r="R508" s="2" t="inlineStr"/>
    </row>
    <row r="509" ht="15" customHeight="1">
      <c r="A509" t="inlineStr">
        <is>
          <t>A 1615-2024</t>
        </is>
      </c>
      <c r="B509" s="1" t="n">
        <v>45306</v>
      </c>
      <c r="C509" s="1" t="n">
        <v>45795</v>
      </c>
      <c r="D509" t="inlineStr">
        <is>
          <t>NORRBOTTENS LÄN</t>
        </is>
      </c>
      <c r="E509" t="inlineStr">
        <is>
          <t>JOKKMOKK</t>
        </is>
      </c>
      <c r="G509" t="n">
        <v>10.8</v>
      </c>
      <c r="H509" t="n">
        <v>0</v>
      </c>
      <c r="I509" t="n">
        <v>0</v>
      </c>
      <c r="J509" t="n">
        <v>0</v>
      </c>
      <c r="K509" t="n">
        <v>0</v>
      </c>
      <c r="L509" t="n">
        <v>0</v>
      </c>
      <c r="M509" t="n">
        <v>0</v>
      </c>
      <c r="N509" t="n">
        <v>0</v>
      </c>
      <c r="O509" t="n">
        <v>0</v>
      </c>
      <c r="P509" t="n">
        <v>0</v>
      </c>
      <c r="Q509" t="n">
        <v>0</v>
      </c>
      <c r="R509" s="2" t="inlineStr"/>
    </row>
    <row r="510" ht="15" customHeight="1">
      <c r="A510" t="inlineStr">
        <is>
          <t>A 4136-2024</t>
        </is>
      </c>
      <c r="B510" s="1" t="n">
        <v>45323</v>
      </c>
      <c r="C510" s="1" t="n">
        <v>45795</v>
      </c>
      <c r="D510" t="inlineStr">
        <is>
          <t>NORRBOTTENS LÄN</t>
        </is>
      </c>
      <c r="E510" t="inlineStr">
        <is>
          <t>JOKKMOKK</t>
        </is>
      </c>
      <c r="G510" t="n">
        <v>27.3</v>
      </c>
      <c r="H510" t="n">
        <v>0</v>
      </c>
      <c r="I510" t="n">
        <v>0</v>
      </c>
      <c r="J510" t="n">
        <v>0</v>
      </c>
      <c r="K510" t="n">
        <v>0</v>
      </c>
      <c r="L510" t="n">
        <v>0</v>
      </c>
      <c r="M510" t="n">
        <v>0</v>
      </c>
      <c r="N510" t="n">
        <v>0</v>
      </c>
      <c r="O510" t="n">
        <v>0</v>
      </c>
      <c r="P510" t="n">
        <v>0</v>
      </c>
      <c r="Q510" t="n">
        <v>0</v>
      </c>
      <c r="R510" s="2" t="inlineStr"/>
    </row>
    <row r="511" ht="15" customHeight="1">
      <c r="A511" t="inlineStr">
        <is>
          <t>A 7715-2024</t>
        </is>
      </c>
      <c r="B511" s="1" t="n">
        <v>45349</v>
      </c>
      <c r="C511" s="1" t="n">
        <v>45795</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7845-2024</t>
        </is>
      </c>
      <c r="B512" s="1" t="n">
        <v>45349</v>
      </c>
      <c r="C512" s="1" t="n">
        <v>45795</v>
      </c>
      <c r="D512" t="inlineStr">
        <is>
          <t>NORRBOTTENS LÄN</t>
        </is>
      </c>
      <c r="E512" t="inlineStr">
        <is>
          <t>JOKKMOKK</t>
        </is>
      </c>
      <c r="G512" t="n">
        <v>3</v>
      </c>
      <c r="H512" t="n">
        <v>0</v>
      </c>
      <c r="I512" t="n">
        <v>0</v>
      </c>
      <c r="J512" t="n">
        <v>0</v>
      </c>
      <c r="K512" t="n">
        <v>0</v>
      </c>
      <c r="L512" t="n">
        <v>0</v>
      </c>
      <c r="M512" t="n">
        <v>0</v>
      </c>
      <c r="N512" t="n">
        <v>0</v>
      </c>
      <c r="O512" t="n">
        <v>0</v>
      </c>
      <c r="P512" t="n">
        <v>0</v>
      </c>
      <c r="Q512" t="n">
        <v>0</v>
      </c>
      <c r="R512" s="2" t="inlineStr"/>
    </row>
    <row r="513" ht="15" customHeight="1">
      <c r="A513" t="inlineStr">
        <is>
          <t>A 8073-2024</t>
        </is>
      </c>
      <c r="B513" s="1" t="n">
        <v>45351</v>
      </c>
      <c r="C513" s="1" t="n">
        <v>45795</v>
      </c>
      <c r="D513" t="inlineStr">
        <is>
          <t>NORRBOTTENS LÄN</t>
        </is>
      </c>
      <c r="E513" t="inlineStr">
        <is>
          <t>JOKKMOKK</t>
        </is>
      </c>
      <c r="G513" t="n">
        <v>15.6</v>
      </c>
      <c r="H513" t="n">
        <v>0</v>
      </c>
      <c r="I513" t="n">
        <v>0</v>
      </c>
      <c r="J513" t="n">
        <v>0</v>
      </c>
      <c r="K513" t="n">
        <v>0</v>
      </c>
      <c r="L513" t="n">
        <v>0</v>
      </c>
      <c r="M513" t="n">
        <v>0</v>
      </c>
      <c r="N513" t="n">
        <v>0</v>
      </c>
      <c r="O513" t="n">
        <v>0</v>
      </c>
      <c r="P513" t="n">
        <v>0</v>
      </c>
      <c r="Q513" t="n">
        <v>0</v>
      </c>
      <c r="R513" s="2" t="inlineStr"/>
    </row>
    <row r="514" ht="15" customHeight="1">
      <c r="A514" t="inlineStr">
        <is>
          <t>A 8634-2024</t>
        </is>
      </c>
      <c r="B514" s="1" t="n">
        <v>45356</v>
      </c>
      <c r="C514" s="1" t="n">
        <v>45795</v>
      </c>
      <c r="D514" t="inlineStr">
        <is>
          <t>NORRBOTTENS LÄN</t>
        </is>
      </c>
      <c r="E514" t="inlineStr">
        <is>
          <t>JOKKMOKK</t>
        </is>
      </c>
      <c r="G514" t="n">
        <v>17.1</v>
      </c>
      <c r="H514" t="n">
        <v>0</v>
      </c>
      <c r="I514" t="n">
        <v>0</v>
      </c>
      <c r="J514" t="n">
        <v>0</v>
      </c>
      <c r="K514" t="n">
        <v>0</v>
      </c>
      <c r="L514" t="n">
        <v>0</v>
      </c>
      <c r="M514" t="n">
        <v>0</v>
      </c>
      <c r="N514" t="n">
        <v>0</v>
      </c>
      <c r="O514" t="n">
        <v>0</v>
      </c>
      <c r="P514" t="n">
        <v>0</v>
      </c>
      <c r="Q514" t="n">
        <v>0</v>
      </c>
      <c r="R514" s="2" t="inlineStr"/>
    </row>
    <row r="515" ht="15" customHeight="1">
      <c r="A515" t="inlineStr">
        <is>
          <t>A 11347-2024</t>
        </is>
      </c>
      <c r="B515" s="1" t="n">
        <v>45372</v>
      </c>
      <c r="C515" s="1" t="n">
        <v>45795</v>
      </c>
      <c r="D515" t="inlineStr">
        <is>
          <t>NORRBOTTENS LÄN</t>
        </is>
      </c>
      <c r="E515" t="inlineStr">
        <is>
          <t>JOKKMOKK</t>
        </is>
      </c>
      <c r="G515" t="n">
        <v>1.7</v>
      </c>
      <c r="H515" t="n">
        <v>0</v>
      </c>
      <c r="I515" t="n">
        <v>0</v>
      </c>
      <c r="J515" t="n">
        <v>0</v>
      </c>
      <c r="K515" t="n">
        <v>0</v>
      </c>
      <c r="L515" t="n">
        <v>0</v>
      </c>
      <c r="M515" t="n">
        <v>0</v>
      </c>
      <c r="N515" t="n">
        <v>0</v>
      </c>
      <c r="O515" t="n">
        <v>0</v>
      </c>
      <c r="P515" t="n">
        <v>0</v>
      </c>
      <c r="Q515" t="n">
        <v>0</v>
      </c>
      <c r="R515" s="2" t="inlineStr"/>
    </row>
    <row r="516" ht="15" customHeight="1">
      <c r="A516" t="inlineStr">
        <is>
          <t>A 11348-2024</t>
        </is>
      </c>
      <c r="B516" s="1" t="n">
        <v>45372</v>
      </c>
      <c r="C516" s="1" t="n">
        <v>45795</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11655-2024</t>
        </is>
      </c>
      <c r="B517" s="1" t="n">
        <v>45373</v>
      </c>
      <c r="C517" s="1" t="n">
        <v>45795</v>
      </c>
      <c r="D517" t="inlineStr">
        <is>
          <t>NORRBOTTENS LÄN</t>
        </is>
      </c>
      <c r="E517" t="inlineStr">
        <is>
          <t>JOKKMOKK</t>
        </is>
      </c>
      <c r="G517" t="n">
        <v>19</v>
      </c>
      <c r="H517" t="n">
        <v>0</v>
      </c>
      <c r="I517" t="n">
        <v>0</v>
      </c>
      <c r="J517" t="n">
        <v>0</v>
      </c>
      <c r="K517" t="n">
        <v>0</v>
      </c>
      <c r="L517" t="n">
        <v>0</v>
      </c>
      <c r="M517" t="n">
        <v>0</v>
      </c>
      <c r="N517" t="n">
        <v>0</v>
      </c>
      <c r="O517" t="n">
        <v>0</v>
      </c>
      <c r="P517" t="n">
        <v>0</v>
      </c>
      <c r="Q517" t="n">
        <v>0</v>
      </c>
      <c r="R517" s="2" t="inlineStr"/>
    </row>
    <row r="518" ht="15" customHeight="1">
      <c r="A518" t="inlineStr">
        <is>
          <t>A 11657-2024</t>
        </is>
      </c>
      <c r="B518" s="1" t="n">
        <v>45373</v>
      </c>
      <c r="C518" s="1" t="n">
        <v>45795</v>
      </c>
      <c r="D518" t="inlineStr">
        <is>
          <t>NORRBOTTENS LÄN</t>
        </is>
      </c>
      <c r="E518" t="inlineStr">
        <is>
          <t>JOKKMOKK</t>
        </is>
      </c>
      <c r="G518" t="n">
        <v>14.3</v>
      </c>
      <c r="H518" t="n">
        <v>0</v>
      </c>
      <c r="I518" t="n">
        <v>0</v>
      </c>
      <c r="J518" t="n">
        <v>0</v>
      </c>
      <c r="K518" t="n">
        <v>0</v>
      </c>
      <c r="L518" t="n">
        <v>0</v>
      </c>
      <c r="M518" t="n">
        <v>0</v>
      </c>
      <c r="N518" t="n">
        <v>0</v>
      </c>
      <c r="O518" t="n">
        <v>0</v>
      </c>
      <c r="P518" t="n">
        <v>0</v>
      </c>
      <c r="Q518" t="n">
        <v>0</v>
      </c>
      <c r="R518" s="2" t="inlineStr"/>
    </row>
    <row r="519" ht="15" customHeight="1">
      <c r="A519" t="inlineStr">
        <is>
          <t>A 14567-2024</t>
        </is>
      </c>
      <c r="B519" s="1" t="n">
        <v>45394</v>
      </c>
      <c r="C519" s="1" t="n">
        <v>45795</v>
      </c>
      <c r="D519" t="inlineStr">
        <is>
          <t>NORRBOTTENS LÄN</t>
        </is>
      </c>
      <c r="E519" t="inlineStr">
        <is>
          <t>JOKKMOKK</t>
        </is>
      </c>
      <c r="G519" t="n">
        <v>24.5</v>
      </c>
      <c r="H519" t="n">
        <v>0</v>
      </c>
      <c r="I519" t="n">
        <v>0</v>
      </c>
      <c r="J519" t="n">
        <v>0</v>
      </c>
      <c r="K519" t="n">
        <v>0</v>
      </c>
      <c r="L519" t="n">
        <v>0</v>
      </c>
      <c r="M519" t="n">
        <v>0</v>
      </c>
      <c r="N519" t="n">
        <v>0</v>
      </c>
      <c r="O519" t="n">
        <v>0</v>
      </c>
      <c r="P519" t="n">
        <v>0</v>
      </c>
      <c r="Q519" t="n">
        <v>0</v>
      </c>
      <c r="R519" s="2" t="inlineStr"/>
    </row>
    <row r="520" ht="15" customHeight="1">
      <c r="A520" t="inlineStr">
        <is>
          <t>A 14815-2024</t>
        </is>
      </c>
      <c r="B520" s="1" t="n">
        <v>45398</v>
      </c>
      <c r="C520" s="1" t="n">
        <v>45795</v>
      </c>
      <c r="D520" t="inlineStr">
        <is>
          <t>NORRBOTTENS LÄN</t>
        </is>
      </c>
      <c r="E520" t="inlineStr">
        <is>
          <t>JOKKMOKK</t>
        </is>
      </c>
      <c r="F520" t="inlineStr">
        <is>
          <t>SCA</t>
        </is>
      </c>
      <c r="G520" t="n">
        <v>54.1</v>
      </c>
      <c r="H520" t="n">
        <v>0</v>
      </c>
      <c r="I520" t="n">
        <v>0</v>
      </c>
      <c r="J520" t="n">
        <v>0</v>
      </c>
      <c r="K520" t="n">
        <v>0</v>
      </c>
      <c r="L520" t="n">
        <v>0</v>
      </c>
      <c r="M520" t="n">
        <v>0</v>
      </c>
      <c r="N520" t="n">
        <v>0</v>
      </c>
      <c r="O520" t="n">
        <v>0</v>
      </c>
      <c r="P520" t="n">
        <v>0</v>
      </c>
      <c r="Q520" t="n">
        <v>0</v>
      </c>
      <c r="R520" s="2" t="inlineStr"/>
    </row>
    <row r="521" ht="15" customHeight="1">
      <c r="A521" t="inlineStr">
        <is>
          <t>A 15355-2024</t>
        </is>
      </c>
      <c r="B521" s="1" t="n">
        <v>45400</v>
      </c>
      <c r="C521" s="1" t="n">
        <v>45795</v>
      </c>
      <c r="D521" t="inlineStr">
        <is>
          <t>NORRBOTTENS LÄN</t>
        </is>
      </c>
      <c r="E521" t="inlineStr">
        <is>
          <t>JOKKMOKK</t>
        </is>
      </c>
      <c r="G521" t="n">
        <v>2.9</v>
      </c>
      <c r="H521" t="n">
        <v>0</v>
      </c>
      <c r="I521" t="n">
        <v>0</v>
      </c>
      <c r="J521" t="n">
        <v>0</v>
      </c>
      <c r="K521" t="n">
        <v>0</v>
      </c>
      <c r="L521" t="n">
        <v>0</v>
      </c>
      <c r="M521" t="n">
        <v>0</v>
      </c>
      <c r="N521" t="n">
        <v>0</v>
      </c>
      <c r="O521" t="n">
        <v>0</v>
      </c>
      <c r="P521" t="n">
        <v>0</v>
      </c>
      <c r="Q521" t="n">
        <v>0</v>
      </c>
      <c r="R521" s="2" t="inlineStr"/>
    </row>
    <row r="522" ht="15" customHeight="1">
      <c r="A522" t="inlineStr">
        <is>
          <t>A 16018-2024</t>
        </is>
      </c>
      <c r="B522" s="1" t="n">
        <v>45405</v>
      </c>
      <c r="C522" s="1" t="n">
        <v>45795</v>
      </c>
      <c r="D522" t="inlineStr">
        <is>
          <t>NORRBOTTENS LÄN</t>
        </is>
      </c>
      <c r="E522" t="inlineStr">
        <is>
          <t>JOKKMOKK</t>
        </is>
      </c>
      <c r="G522" t="n">
        <v>1.8</v>
      </c>
      <c r="H522" t="n">
        <v>0</v>
      </c>
      <c r="I522" t="n">
        <v>0</v>
      </c>
      <c r="J522" t="n">
        <v>0</v>
      </c>
      <c r="K522" t="n">
        <v>0</v>
      </c>
      <c r="L522" t="n">
        <v>0</v>
      </c>
      <c r="M522" t="n">
        <v>0</v>
      </c>
      <c r="N522" t="n">
        <v>0</v>
      </c>
      <c r="O522" t="n">
        <v>0</v>
      </c>
      <c r="P522" t="n">
        <v>0</v>
      </c>
      <c r="Q522" t="n">
        <v>0</v>
      </c>
      <c r="R522" s="2" t="inlineStr"/>
    </row>
    <row r="523" ht="15" customHeight="1">
      <c r="A523" t="inlineStr">
        <is>
          <t>A 18602-2024</t>
        </is>
      </c>
      <c r="B523" s="1" t="n">
        <v>45425</v>
      </c>
      <c r="C523" s="1" t="n">
        <v>45795</v>
      </c>
      <c r="D523" t="inlineStr">
        <is>
          <t>NORRBOTTENS LÄN</t>
        </is>
      </c>
      <c r="E523" t="inlineStr">
        <is>
          <t>JOKKMOKK</t>
        </is>
      </c>
      <c r="G523" t="n">
        <v>4.6</v>
      </c>
      <c r="H523" t="n">
        <v>0</v>
      </c>
      <c r="I523" t="n">
        <v>0</v>
      </c>
      <c r="J523" t="n">
        <v>0</v>
      </c>
      <c r="K523" t="n">
        <v>0</v>
      </c>
      <c r="L523" t="n">
        <v>0</v>
      </c>
      <c r="M523" t="n">
        <v>0</v>
      </c>
      <c r="N523" t="n">
        <v>0</v>
      </c>
      <c r="O523" t="n">
        <v>0</v>
      </c>
      <c r="P523" t="n">
        <v>0</v>
      </c>
      <c r="Q523" t="n">
        <v>0</v>
      </c>
      <c r="R523" s="2" t="inlineStr"/>
    </row>
    <row r="524" ht="15" customHeight="1">
      <c r="A524" t="inlineStr">
        <is>
          <t>A 19280-2024</t>
        </is>
      </c>
      <c r="B524" s="1" t="n">
        <v>45428</v>
      </c>
      <c r="C524" s="1" t="n">
        <v>45795</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20293-2024</t>
        </is>
      </c>
      <c r="B525" s="1" t="n">
        <v>45435</v>
      </c>
      <c r="C525" s="1" t="n">
        <v>45795</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20734-2024</t>
        </is>
      </c>
      <c r="B526" s="1" t="n">
        <v>45436</v>
      </c>
      <c r="C526" s="1" t="n">
        <v>45795</v>
      </c>
      <c r="D526" t="inlineStr">
        <is>
          <t>NORRBOTTENS LÄN</t>
        </is>
      </c>
      <c r="E526" t="inlineStr">
        <is>
          <t>JOKKMOKK</t>
        </is>
      </c>
      <c r="F526" t="inlineStr">
        <is>
          <t>Sveaskog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21354-2024</t>
        </is>
      </c>
      <c r="B527" s="1" t="n">
        <v>45441</v>
      </c>
      <c r="C527" s="1" t="n">
        <v>45795</v>
      </c>
      <c r="D527" t="inlineStr">
        <is>
          <t>NORRBOTTENS LÄN</t>
        </is>
      </c>
      <c r="E527" t="inlineStr">
        <is>
          <t>JOKKMOKK</t>
        </is>
      </c>
      <c r="F527" t="inlineStr">
        <is>
          <t>SCA</t>
        </is>
      </c>
      <c r="G527" t="n">
        <v>5.8</v>
      </c>
      <c r="H527" t="n">
        <v>0</v>
      </c>
      <c r="I527" t="n">
        <v>0</v>
      </c>
      <c r="J527" t="n">
        <v>0</v>
      </c>
      <c r="K527" t="n">
        <v>0</v>
      </c>
      <c r="L527" t="n">
        <v>0</v>
      </c>
      <c r="M527" t="n">
        <v>0</v>
      </c>
      <c r="N527" t="n">
        <v>0</v>
      </c>
      <c r="O527" t="n">
        <v>0</v>
      </c>
      <c r="P527" t="n">
        <v>0</v>
      </c>
      <c r="Q527" t="n">
        <v>0</v>
      </c>
      <c r="R527" s="2" t="inlineStr"/>
    </row>
    <row r="528" ht="15" customHeight="1">
      <c r="A528" t="inlineStr">
        <is>
          <t>A 21360-2024</t>
        </is>
      </c>
      <c r="B528" s="1" t="n">
        <v>45441</v>
      </c>
      <c r="C528" s="1" t="n">
        <v>45795</v>
      </c>
      <c r="D528" t="inlineStr">
        <is>
          <t>NORRBOTTENS LÄN</t>
        </is>
      </c>
      <c r="E528" t="inlineStr">
        <is>
          <t>JOKKMOKK</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21353-2024</t>
        </is>
      </c>
      <c r="B529" s="1" t="n">
        <v>45440</v>
      </c>
      <c r="C529" s="1" t="n">
        <v>45795</v>
      </c>
      <c r="D529" t="inlineStr">
        <is>
          <t>NORRBOTTENS LÄN</t>
        </is>
      </c>
      <c r="E529" t="inlineStr">
        <is>
          <t>JOKKMOKK</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21357-2024</t>
        </is>
      </c>
      <c r="B530" s="1" t="n">
        <v>45441</v>
      </c>
      <c r="C530" s="1" t="n">
        <v>45795</v>
      </c>
      <c r="D530" t="inlineStr">
        <is>
          <t>NORRBOTTENS LÄN</t>
        </is>
      </c>
      <c r="E530" t="inlineStr">
        <is>
          <t>JOKKMOKK</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21361-2024</t>
        </is>
      </c>
      <c r="B531" s="1" t="n">
        <v>45441</v>
      </c>
      <c r="C531" s="1" t="n">
        <v>45795</v>
      </c>
      <c r="D531" t="inlineStr">
        <is>
          <t>NORRBOTTENS LÄN</t>
        </is>
      </c>
      <c r="E531" t="inlineStr">
        <is>
          <t>JOKKMOKK</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21359-2024</t>
        </is>
      </c>
      <c r="B532" s="1" t="n">
        <v>45440</v>
      </c>
      <c r="C532" s="1" t="n">
        <v>45795</v>
      </c>
      <c r="D532" t="inlineStr">
        <is>
          <t>NORRBOTTENS LÄN</t>
        </is>
      </c>
      <c r="E532" t="inlineStr">
        <is>
          <t>JOKKMOKK</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23203-2024</t>
        </is>
      </c>
      <c r="B533" s="1" t="n">
        <v>45451</v>
      </c>
      <c r="C533" s="1" t="n">
        <v>45795</v>
      </c>
      <c r="D533" t="inlineStr">
        <is>
          <t>NORRBOTTENS LÄN</t>
        </is>
      </c>
      <c r="E533" t="inlineStr">
        <is>
          <t>JOKKMOKK</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23202-2024</t>
        </is>
      </c>
      <c r="B534" s="1" t="n">
        <v>45451</v>
      </c>
      <c r="C534" s="1" t="n">
        <v>45795</v>
      </c>
      <c r="D534" t="inlineStr">
        <is>
          <t>NORRBOTTENS LÄN</t>
        </is>
      </c>
      <c r="E534" t="inlineStr">
        <is>
          <t>JOKKMOKK</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23201-2024</t>
        </is>
      </c>
      <c r="B535" s="1" t="n">
        <v>45452</v>
      </c>
      <c r="C535" s="1" t="n">
        <v>45795</v>
      </c>
      <c r="D535" t="inlineStr">
        <is>
          <t>NORRBOTTENS LÄN</t>
        </is>
      </c>
      <c r="E535" t="inlineStr">
        <is>
          <t>JOKKMOKK</t>
        </is>
      </c>
      <c r="F535" t="inlineStr">
        <is>
          <t>SCA</t>
        </is>
      </c>
      <c r="G535" t="n">
        <v>14.8</v>
      </c>
      <c r="H535" t="n">
        <v>0</v>
      </c>
      <c r="I535" t="n">
        <v>0</v>
      </c>
      <c r="J535" t="n">
        <v>0</v>
      </c>
      <c r="K535" t="n">
        <v>0</v>
      </c>
      <c r="L535" t="n">
        <v>0</v>
      </c>
      <c r="M535" t="n">
        <v>0</v>
      </c>
      <c r="N535" t="n">
        <v>0</v>
      </c>
      <c r="O535" t="n">
        <v>0</v>
      </c>
      <c r="P535" t="n">
        <v>0</v>
      </c>
      <c r="Q535" t="n">
        <v>0</v>
      </c>
      <c r="R535" s="2" t="inlineStr"/>
    </row>
    <row r="536" ht="15" customHeight="1">
      <c r="A536" t="inlineStr">
        <is>
          <t>A 23204-2024</t>
        </is>
      </c>
      <c r="B536" s="1" t="n">
        <v>45451</v>
      </c>
      <c r="C536" s="1" t="n">
        <v>45795</v>
      </c>
      <c r="D536" t="inlineStr">
        <is>
          <t>NORRBOTTENS LÄN</t>
        </is>
      </c>
      <c r="E536" t="inlineStr">
        <is>
          <t>JOKKMOKK</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25707-2024</t>
        </is>
      </c>
      <c r="B537" s="1" t="n">
        <v>45464</v>
      </c>
      <c r="C537" s="1" t="n">
        <v>45795</v>
      </c>
      <c r="D537" t="inlineStr">
        <is>
          <t>NORRBOTTENS LÄN</t>
        </is>
      </c>
      <c r="E537" t="inlineStr">
        <is>
          <t>JOKKMOKK</t>
        </is>
      </c>
      <c r="F537" t="inlineStr">
        <is>
          <t>Naturvårdsverket</t>
        </is>
      </c>
      <c r="G537" t="n">
        <v>9.5</v>
      </c>
      <c r="H537" t="n">
        <v>0</v>
      </c>
      <c r="I537" t="n">
        <v>0</v>
      </c>
      <c r="J537" t="n">
        <v>0</v>
      </c>
      <c r="K537" t="n">
        <v>0</v>
      </c>
      <c r="L537" t="n">
        <v>0</v>
      </c>
      <c r="M537" t="n">
        <v>0</v>
      </c>
      <c r="N537" t="n">
        <v>0</v>
      </c>
      <c r="O537" t="n">
        <v>0</v>
      </c>
      <c r="P537" t="n">
        <v>0</v>
      </c>
      <c r="Q537" t="n">
        <v>0</v>
      </c>
      <c r="R537" s="2" t="inlineStr"/>
    </row>
    <row r="538" ht="15" customHeight="1">
      <c r="A538" t="inlineStr">
        <is>
          <t>A 25715-2024</t>
        </is>
      </c>
      <c r="B538" s="1" t="n">
        <v>45463</v>
      </c>
      <c r="C538" s="1" t="n">
        <v>45795</v>
      </c>
      <c r="D538" t="inlineStr">
        <is>
          <t>NORRBOTTENS LÄN</t>
        </is>
      </c>
      <c r="E538" t="inlineStr">
        <is>
          <t>JOKKMOKK</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25708-2024</t>
        </is>
      </c>
      <c r="B539" s="1" t="n">
        <v>45464</v>
      </c>
      <c r="C539" s="1" t="n">
        <v>45795</v>
      </c>
      <c r="D539" t="inlineStr">
        <is>
          <t>NORRBOTTENS LÄN</t>
        </is>
      </c>
      <c r="E539" t="inlineStr">
        <is>
          <t>JOKKMOKK</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25722-2024</t>
        </is>
      </c>
      <c r="B540" s="1" t="n">
        <v>45463</v>
      </c>
      <c r="C540" s="1" t="n">
        <v>45795</v>
      </c>
      <c r="D540" t="inlineStr">
        <is>
          <t>NORRBOTTENS LÄN</t>
        </is>
      </c>
      <c r="E540" t="inlineStr">
        <is>
          <t>JOKKMOKK</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25716-2024</t>
        </is>
      </c>
      <c r="B541" s="1" t="n">
        <v>45463</v>
      </c>
      <c r="C541" s="1" t="n">
        <v>45795</v>
      </c>
      <c r="D541" t="inlineStr">
        <is>
          <t>NORRBOTTENS LÄN</t>
        </is>
      </c>
      <c r="E541" t="inlineStr">
        <is>
          <t>JOKKMOKK</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25632-2024</t>
        </is>
      </c>
      <c r="B542" s="1" t="n">
        <v>45463</v>
      </c>
      <c r="C542" s="1" t="n">
        <v>45795</v>
      </c>
      <c r="D542" t="inlineStr">
        <is>
          <t>NORRBOTTENS LÄN</t>
        </is>
      </c>
      <c r="E542" t="inlineStr">
        <is>
          <t>JOKKMOKK</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25616-2024</t>
        </is>
      </c>
      <c r="B543" s="1" t="n">
        <v>45463</v>
      </c>
      <c r="C543" s="1" t="n">
        <v>45795</v>
      </c>
      <c r="D543" t="inlineStr">
        <is>
          <t>NORRBOTTENS LÄN</t>
        </is>
      </c>
      <c r="E543" t="inlineStr">
        <is>
          <t>JOKKMOKK</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25634-2024</t>
        </is>
      </c>
      <c r="B544" s="1" t="n">
        <v>45463</v>
      </c>
      <c r="C544" s="1" t="n">
        <v>45795</v>
      </c>
      <c r="D544" t="inlineStr">
        <is>
          <t>NORRBOTTENS LÄN</t>
        </is>
      </c>
      <c r="E544" t="inlineStr">
        <is>
          <t>JOKKMOKK</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25721-2024</t>
        </is>
      </c>
      <c r="B545" s="1" t="n">
        <v>45463</v>
      </c>
      <c r="C545" s="1" t="n">
        <v>45795</v>
      </c>
      <c r="D545" t="inlineStr">
        <is>
          <t>NORRBOTTENS LÄN</t>
        </is>
      </c>
      <c r="E545" t="inlineStr">
        <is>
          <t>JOKKMOKK</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25709-2024</t>
        </is>
      </c>
      <c r="B546" s="1" t="n">
        <v>45464</v>
      </c>
      <c r="C546" s="1" t="n">
        <v>45795</v>
      </c>
      <c r="D546" t="inlineStr">
        <is>
          <t>NORRBOTTENS LÄN</t>
        </is>
      </c>
      <c r="E546" t="inlineStr">
        <is>
          <t>JOKKMOKK</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26969-2024</t>
        </is>
      </c>
      <c r="B547" s="1" t="n">
        <v>45471</v>
      </c>
      <c r="C547" s="1" t="n">
        <v>45795</v>
      </c>
      <c r="D547" t="inlineStr">
        <is>
          <t>NORRBOTTENS LÄN</t>
        </is>
      </c>
      <c r="E547" t="inlineStr">
        <is>
          <t>JOKKMOKK</t>
        </is>
      </c>
      <c r="F547" t="inlineStr">
        <is>
          <t>Sveaskog</t>
        </is>
      </c>
      <c r="G547" t="n">
        <v>5.9</v>
      </c>
      <c r="H547" t="n">
        <v>0</v>
      </c>
      <c r="I547" t="n">
        <v>0</v>
      </c>
      <c r="J547" t="n">
        <v>0</v>
      </c>
      <c r="K547" t="n">
        <v>0</v>
      </c>
      <c r="L547" t="n">
        <v>0</v>
      </c>
      <c r="M547" t="n">
        <v>0</v>
      </c>
      <c r="N547" t="n">
        <v>0</v>
      </c>
      <c r="O547" t="n">
        <v>0</v>
      </c>
      <c r="P547" t="n">
        <v>0</v>
      </c>
      <c r="Q547" t="n">
        <v>0</v>
      </c>
      <c r="R547" s="2" t="inlineStr"/>
    </row>
    <row r="548" ht="15" customHeight="1">
      <c r="A548" t="inlineStr">
        <is>
          <t>A 27652-2024</t>
        </is>
      </c>
      <c r="B548" s="1" t="n">
        <v>45475</v>
      </c>
      <c r="C548" s="1" t="n">
        <v>45795</v>
      </c>
      <c r="D548" t="inlineStr">
        <is>
          <t>NORRBOTTENS LÄN</t>
        </is>
      </c>
      <c r="E548" t="inlineStr">
        <is>
          <t>JOKKMOKK</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27651-2024</t>
        </is>
      </c>
      <c r="B549" s="1" t="n">
        <v>45475</v>
      </c>
      <c r="C549" s="1" t="n">
        <v>45795</v>
      </c>
      <c r="D549" t="inlineStr">
        <is>
          <t>NORRBOTTENS LÄN</t>
        </is>
      </c>
      <c r="E549" t="inlineStr">
        <is>
          <t>JOKKMOKK</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27655-2024</t>
        </is>
      </c>
      <c r="B550" s="1" t="n">
        <v>45475</v>
      </c>
      <c r="C550" s="1" t="n">
        <v>45795</v>
      </c>
      <c r="D550" t="inlineStr">
        <is>
          <t>NORRBOTTENS LÄN</t>
        </is>
      </c>
      <c r="E550" t="inlineStr">
        <is>
          <t>JOKKMOKK</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27656-2024</t>
        </is>
      </c>
      <c r="B551" s="1" t="n">
        <v>45475</v>
      </c>
      <c r="C551" s="1" t="n">
        <v>45795</v>
      </c>
      <c r="D551" t="inlineStr">
        <is>
          <t>NORRBOTTENS LÄN</t>
        </is>
      </c>
      <c r="E551" t="inlineStr">
        <is>
          <t>JOKKMOKK</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27650-2024</t>
        </is>
      </c>
      <c r="B552" s="1" t="n">
        <v>45475</v>
      </c>
      <c r="C552" s="1" t="n">
        <v>45795</v>
      </c>
      <c r="D552" t="inlineStr">
        <is>
          <t>NORRBOTTENS LÄN</t>
        </is>
      </c>
      <c r="E552" t="inlineStr">
        <is>
          <t>JOKKMOKK</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27654-2024</t>
        </is>
      </c>
      <c r="B553" s="1" t="n">
        <v>45475</v>
      </c>
      <c r="C553" s="1" t="n">
        <v>45795</v>
      </c>
      <c r="D553" t="inlineStr">
        <is>
          <t>NORRBOTTENS LÄN</t>
        </is>
      </c>
      <c r="E553" t="inlineStr">
        <is>
          <t>JOKKMOKK</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27658-2024</t>
        </is>
      </c>
      <c r="B554" s="1" t="n">
        <v>45475</v>
      </c>
      <c r="C554" s="1" t="n">
        <v>45795</v>
      </c>
      <c r="D554" t="inlineStr">
        <is>
          <t>NORRBOTTENS LÄN</t>
        </is>
      </c>
      <c r="E554" t="inlineStr">
        <is>
          <t>JOKKMOKK</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27653-2024</t>
        </is>
      </c>
      <c r="B555" s="1" t="n">
        <v>45475</v>
      </c>
      <c r="C555" s="1" t="n">
        <v>45795</v>
      </c>
      <c r="D555" t="inlineStr">
        <is>
          <t>NORRBOTTENS LÄN</t>
        </is>
      </c>
      <c r="E555" t="inlineStr">
        <is>
          <t>JOKKMOKK</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27657-2024</t>
        </is>
      </c>
      <c r="B556" s="1" t="n">
        <v>45475</v>
      </c>
      <c r="C556" s="1" t="n">
        <v>45795</v>
      </c>
      <c r="D556" t="inlineStr">
        <is>
          <t>NORRBOTTENS LÄN</t>
        </is>
      </c>
      <c r="E556" t="inlineStr">
        <is>
          <t>JOKKMOKK</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28036-2024</t>
        </is>
      </c>
      <c r="B557" s="1" t="n">
        <v>45476</v>
      </c>
      <c r="C557" s="1" t="n">
        <v>45795</v>
      </c>
      <c r="D557" t="inlineStr">
        <is>
          <t>NORRBOTTENS LÄN</t>
        </is>
      </c>
      <c r="E557" t="inlineStr">
        <is>
          <t>JOKKMOKK</t>
        </is>
      </c>
      <c r="G557" t="n">
        <v>7.4</v>
      </c>
      <c r="H557" t="n">
        <v>0</v>
      </c>
      <c r="I557" t="n">
        <v>0</v>
      </c>
      <c r="J557" t="n">
        <v>0</v>
      </c>
      <c r="K557" t="n">
        <v>0</v>
      </c>
      <c r="L557" t="n">
        <v>0</v>
      </c>
      <c r="M557" t="n">
        <v>0</v>
      </c>
      <c r="N557" t="n">
        <v>0</v>
      </c>
      <c r="O557" t="n">
        <v>0</v>
      </c>
      <c r="P557" t="n">
        <v>0</v>
      </c>
      <c r="Q557" t="n">
        <v>0</v>
      </c>
      <c r="R557" s="2" t="inlineStr"/>
    </row>
    <row r="558" ht="15" customHeight="1">
      <c r="A558" t="inlineStr">
        <is>
          <t>A 29213-2024</t>
        </is>
      </c>
      <c r="B558" s="1" t="n">
        <v>45482</v>
      </c>
      <c r="C558" s="1" t="n">
        <v>45795</v>
      </c>
      <c r="D558" t="inlineStr">
        <is>
          <t>NORRBOTTENS LÄN</t>
        </is>
      </c>
      <c r="E558" t="inlineStr">
        <is>
          <t>JOKKMOKK</t>
        </is>
      </c>
      <c r="G558" t="n">
        <v>55</v>
      </c>
      <c r="H558" t="n">
        <v>0</v>
      </c>
      <c r="I558" t="n">
        <v>0</v>
      </c>
      <c r="J558" t="n">
        <v>0</v>
      </c>
      <c r="K558" t="n">
        <v>0</v>
      </c>
      <c r="L558" t="n">
        <v>0</v>
      </c>
      <c r="M558" t="n">
        <v>0</v>
      </c>
      <c r="N558" t="n">
        <v>0</v>
      </c>
      <c r="O558" t="n">
        <v>0</v>
      </c>
      <c r="P558" t="n">
        <v>0</v>
      </c>
      <c r="Q558" t="n">
        <v>0</v>
      </c>
      <c r="R558" s="2" t="inlineStr"/>
    </row>
    <row r="559" ht="15" customHeight="1">
      <c r="A559" t="inlineStr">
        <is>
          <t>A 29212-2024</t>
        </is>
      </c>
      <c r="B559" s="1" t="n">
        <v>45482</v>
      </c>
      <c r="C559" s="1" t="n">
        <v>45795</v>
      </c>
      <c r="D559" t="inlineStr">
        <is>
          <t>NORRBOTTENS LÄN</t>
        </is>
      </c>
      <c r="E559" t="inlineStr">
        <is>
          <t>JOKKMOKK</t>
        </is>
      </c>
      <c r="G559" t="n">
        <v>8.5</v>
      </c>
      <c r="H559" t="n">
        <v>0</v>
      </c>
      <c r="I559" t="n">
        <v>0</v>
      </c>
      <c r="J559" t="n">
        <v>0</v>
      </c>
      <c r="K559" t="n">
        <v>0</v>
      </c>
      <c r="L559" t="n">
        <v>0</v>
      </c>
      <c r="M559" t="n">
        <v>0</v>
      </c>
      <c r="N559" t="n">
        <v>0</v>
      </c>
      <c r="O559" t="n">
        <v>0</v>
      </c>
      <c r="P559" t="n">
        <v>0</v>
      </c>
      <c r="Q559" t="n">
        <v>0</v>
      </c>
      <c r="R559" s="2" t="inlineStr"/>
    </row>
    <row r="560" ht="15" customHeight="1">
      <c r="A560" t="inlineStr">
        <is>
          <t>A 30041-2024</t>
        </is>
      </c>
      <c r="B560" s="1" t="n">
        <v>45488</v>
      </c>
      <c r="C560" s="1" t="n">
        <v>45795</v>
      </c>
      <c r="D560" t="inlineStr">
        <is>
          <t>NORRBOTTENS LÄN</t>
        </is>
      </c>
      <c r="E560" t="inlineStr">
        <is>
          <t>JOKKMOKK</t>
        </is>
      </c>
      <c r="G560" t="n">
        <v>19.9</v>
      </c>
      <c r="H560" t="n">
        <v>0</v>
      </c>
      <c r="I560" t="n">
        <v>0</v>
      </c>
      <c r="J560" t="n">
        <v>0</v>
      </c>
      <c r="K560" t="n">
        <v>0</v>
      </c>
      <c r="L560" t="n">
        <v>0</v>
      </c>
      <c r="M560" t="n">
        <v>0</v>
      </c>
      <c r="N560" t="n">
        <v>0</v>
      </c>
      <c r="O560" t="n">
        <v>0</v>
      </c>
      <c r="P560" t="n">
        <v>0</v>
      </c>
      <c r="Q560" t="n">
        <v>0</v>
      </c>
      <c r="R560" s="2" t="inlineStr"/>
    </row>
    <row r="561" ht="15" customHeight="1">
      <c r="A561" t="inlineStr">
        <is>
          <t>A 30099-2024</t>
        </is>
      </c>
      <c r="B561" s="1" t="n">
        <v>45489</v>
      </c>
      <c r="C561" s="1" t="n">
        <v>45795</v>
      </c>
      <c r="D561" t="inlineStr">
        <is>
          <t>NORRBOTTENS LÄN</t>
        </is>
      </c>
      <c r="E561" t="inlineStr">
        <is>
          <t>JOKKMOKK</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30308-2024</t>
        </is>
      </c>
      <c r="B562" s="1" t="n">
        <v>45490</v>
      </c>
      <c r="C562" s="1" t="n">
        <v>45795</v>
      </c>
      <c r="D562" t="inlineStr">
        <is>
          <t>NORRBOTTENS LÄN</t>
        </is>
      </c>
      <c r="E562" t="inlineStr">
        <is>
          <t>JOKKMOKK</t>
        </is>
      </c>
      <c r="G562" t="n">
        <v>2.2</v>
      </c>
      <c r="H562" t="n">
        <v>0</v>
      </c>
      <c r="I562" t="n">
        <v>0</v>
      </c>
      <c r="J562" t="n">
        <v>0</v>
      </c>
      <c r="K562" t="n">
        <v>0</v>
      </c>
      <c r="L562" t="n">
        <v>0</v>
      </c>
      <c r="M562" t="n">
        <v>0</v>
      </c>
      <c r="N562" t="n">
        <v>0</v>
      </c>
      <c r="O562" t="n">
        <v>0</v>
      </c>
      <c r="P562" t="n">
        <v>0</v>
      </c>
      <c r="Q562" t="n">
        <v>0</v>
      </c>
      <c r="R562" s="2" t="inlineStr"/>
    </row>
    <row r="563" ht="15" customHeight="1">
      <c r="A563" t="inlineStr">
        <is>
          <t>A 30305-2024</t>
        </is>
      </c>
      <c r="B563" s="1" t="n">
        <v>45490</v>
      </c>
      <c r="C563" s="1" t="n">
        <v>45795</v>
      </c>
      <c r="D563" t="inlineStr">
        <is>
          <t>NORRBOTTENS LÄN</t>
        </is>
      </c>
      <c r="E563" t="inlineStr">
        <is>
          <t>JOKKMOKK</t>
        </is>
      </c>
      <c r="G563" t="n">
        <v>1.5</v>
      </c>
      <c r="H563" t="n">
        <v>0</v>
      </c>
      <c r="I563" t="n">
        <v>0</v>
      </c>
      <c r="J563" t="n">
        <v>0</v>
      </c>
      <c r="K563" t="n">
        <v>0</v>
      </c>
      <c r="L563" t="n">
        <v>0</v>
      </c>
      <c r="M563" t="n">
        <v>0</v>
      </c>
      <c r="N563" t="n">
        <v>0</v>
      </c>
      <c r="O563" t="n">
        <v>0</v>
      </c>
      <c r="P563" t="n">
        <v>0</v>
      </c>
      <c r="Q563" t="n">
        <v>0</v>
      </c>
      <c r="R563" s="2" t="inlineStr"/>
    </row>
    <row r="564" ht="15" customHeight="1">
      <c r="A564" t="inlineStr">
        <is>
          <t>A 30310-2024</t>
        </is>
      </c>
      <c r="B564" s="1" t="n">
        <v>45490</v>
      </c>
      <c r="C564" s="1" t="n">
        <v>45795</v>
      </c>
      <c r="D564" t="inlineStr">
        <is>
          <t>NORRBOTTENS LÄN</t>
        </is>
      </c>
      <c r="E564" t="inlineStr">
        <is>
          <t>JOKKMOKK</t>
        </is>
      </c>
      <c r="G564" t="n">
        <v>2.3</v>
      </c>
      <c r="H564" t="n">
        <v>0</v>
      </c>
      <c r="I564" t="n">
        <v>0</v>
      </c>
      <c r="J564" t="n">
        <v>0</v>
      </c>
      <c r="K564" t="n">
        <v>0</v>
      </c>
      <c r="L564" t="n">
        <v>0</v>
      </c>
      <c r="M564" t="n">
        <v>0</v>
      </c>
      <c r="N564" t="n">
        <v>0</v>
      </c>
      <c r="O564" t="n">
        <v>0</v>
      </c>
      <c r="P564" t="n">
        <v>0</v>
      </c>
      <c r="Q564" t="n">
        <v>0</v>
      </c>
      <c r="R564" s="2" t="inlineStr"/>
    </row>
    <row r="565" ht="15" customHeight="1">
      <c r="A565" t="inlineStr">
        <is>
          <t>A 30312-2024</t>
        </is>
      </c>
      <c r="B565" s="1" t="n">
        <v>45490</v>
      </c>
      <c r="C565" s="1" t="n">
        <v>45795</v>
      </c>
      <c r="D565" t="inlineStr">
        <is>
          <t>NORRBOTTENS LÄN</t>
        </is>
      </c>
      <c r="E565" t="inlineStr">
        <is>
          <t>JOKKMOKK</t>
        </is>
      </c>
      <c r="G565" t="n">
        <v>1.6</v>
      </c>
      <c r="H565" t="n">
        <v>0</v>
      </c>
      <c r="I565" t="n">
        <v>0</v>
      </c>
      <c r="J565" t="n">
        <v>0</v>
      </c>
      <c r="K565" t="n">
        <v>0</v>
      </c>
      <c r="L565" t="n">
        <v>0</v>
      </c>
      <c r="M565" t="n">
        <v>0</v>
      </c>
      <c r="N565" t="n">
        <v>0</v>
      </c>
      <c r="O565" t="n">
        <v>0</v>
      </c>
      <c r="P565" t="n">
        <v>0</v>
      </c>
      <c r="Q565" t="n">
        <v>0</v>
      </c>
      <c r="R565" s="2" t="inlineStr"/>
    </row>
    <row r="566" ht="15" customHeight="1">
      <c r="A566" t="inlineStr">
        <is>
          <t>A 30313-2024</t>
        </is>
      </c>
      <c r="B566" s="1" t="n">
        <v>45490</v>
      </c>
      <c r="C566" s="1" t="n">
        <v>45795</v>
      </c>
      <c r="D566" t="inlineStr">
        <is>
          <t>NORRBOTTENS LÄN</t>
        </is>
      </c>
      <c r="E566" t="inlineStr">
        <is>
          <t>JOKKMOKK</t>
        </is>
      </c>
      <c r="G566" t="n">
        <v>3.4</v>
      </c>
      <c r="H566" t="n">
        <v>0</v>
      </c>
      <c r="I566" t="n">
        <v>0</v>
      </c>
      <c r="J566" t="n">
        <v>0</v>
      </c>
      <c r="K566" t="n">
        <v>0</v>
      </c>
      <c r="L566" t="n">
        <v>0</v>
      </c>
      <c r="M566" t="n">
        <v>0</v>
      </c>
      <c r="N566" t="n">
        <v>0</v>
      </c>
      <c r="O566" t="n">
        <v>0</v>
      </c>
      <c r="P566" t="n">
        <v>0</v>
      </c>
      <c r="Q566" t="n">
        <v>0</v>
      </c>
      <c r="R566" s="2" t="inlineStr"/>
    </row>
    <row r="567" ht="15" customHeight="1">
      <c r="A567" t="inlineStr">
        <is>
          <t>A 30401-2024</t>
        </is>
      </c>
      <c r="B567" s="1" t="n">
        <v>45491</v>
      </c>
      <c r="C567" s="1" t="n">
        <v>45795</v>
      </c>
      <c r="D567" t="inlineStr">
        <is>
          <t>NORRBOTTENS LÄN</t>
        </is>
      </c>
      <c r="E567" t="inlineStr">
        <is>
          <t>JOKKMOKK</t>
        </is>
      </c>
      <c r="G567" t="n">
        <v>1</v>
      </c>
      <c r="H567" t="n">
        <v>0</v>
      </c>
      <c r="I567" t="n">
        <v>0</v>
      </c>
      <c r="J567" t="n">
        <v>0</v>
      </c>
      <c r="K567" t="n">
        <v>0</v>
      </c>
      <c r="L567" t="n">
        <v>0</v>
      </c>
      <c r="M567" t="n">
        <v>0</v>
      </c>
      <c r="N567" t="n">
        <v>0</v>
      </c>
      <c r="O567" t="n">
        <v>0</v>
      </c>
      <c r="P567" t="n">
        <v>0</v>
      </c>
      <c r="Q567" t="n">
        <v>0</v>
      </c>
      <c r="R567" s="2" t="inlineStr"/>
    </row>
    <row r="568" ht="15" customHeight="1">
      <c r="A568" t="inlineStr">
        <is>
          <t>A 30399-2024</t>
        </is>
      </c>
      <c r="B568" s="1" t="n">
        <v>45491</v>
      </c>
      <c r="C568" s="1" t="n">
        <v>45795</v>
      </c>
      <c r="D568" t="inlineStr">
        <is>
          <t>NORRBOTTENS LÄN</t>
        </is>
      </c>
      <c r="E568" t="inlineStr">
        <is>
          <t>JOKKMOKK</t>
        </is>
      </c>
      <c r="G568" t="n">
        <v>4.6</v>
      </c>
      <c r="H568" t="n">
        <v>0</v>
      </c>
      <c r="I568" t="n">
        <v>0</v>
      </c>
      <c r="J568" t="n">
        <v>0</v>
      </c>
      <c r="K568" t="n">
        <v>0</v>
      </c>
      <c r="L568" t="n">
        <v>0</v>
      </c>
      <c r="M568" t="n">
        <v>0</v>
      </c>
      <c r="N568" t="n">
        <v>0</v>
      </c>
      <c r="O568" t="n">
        <v>0</v>
      </c>
      <c r="P568" t="n">
        <v>0</v>
      </c>
      <c r="Q568" t="n">
        <v>0</v>
      </c>
      <c r="R568" s="2" t="inlineStr"/>
    </row>
    <row r="569" ht="15" customHeight="1">
      <c r="A569" t="inlineStr">
        <is>
          <t>A 31535-2024</t>
        </is>
      </c>
      <c r="B569" s="1" t="n">
        <v>45506</v>
      </c>
      <c r="C569" s="1" t="n">
        <v>45795</v>
      </c>
      <c r="D569" t="inlineStr">
        <is>
          <t>NORRBOTTENS LÄN</t>
        </is>
      </c>
      <c r="E569" t="inlineStr">
        <is>
          <t>JOKKMOKK</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31533-2024</t>
        </is>
      </c>
      <c r="B570" s="1" t="n">
        <v>45505</v>
      </c>
      <c r="C570" s="1" t="n">
        <v>45795</v>
      </c>
      <c r="D570" t="inlineStr">
        <is>
          <t>NORRBOTTENS LÄN</t>
        </is>
      </c>
      <c r="E570" t="inlineStr">
        <is>
          <t>JOKKMOKK</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31534-2024</t>
        </is>
      </c>
      <c r="B571" s="1" t="n">
        <v>45506</v>
      </c>
      <c r="C571" s="1" t="n">
        <v>45795</v>
      </c>
      <c r="D571" t="inlineStr">
        <is>
          <t>NORRBOTTENS LÄN</t>
        </is>
      </c>
      <c r="E571" t="inlineStr">
        <is>
          <t>JOKKMOKK</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31536-2024</t>
        </is>
      </c>
      <c r="B572" s="1" t="n">
        <v>45506</v>
      </c>
      <c r="C572" s="1" t="n">
        <v>45795</v>
      </c>
      <c r="D572" t="inlineStr">
        <is>
          <t>NORRBOTTENS LÄN</t>
        </is>
      </c>
      <c r="E572" t="inlineStr">
        <is>
          <t>JOKKMOKK</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31532-2024</t>
        </is>
      </c>
      <c r="B573" s="1" t="n">
        <v>45506</v>
      </c>
      <c r="C573" s="1" t="n">
        <v>45795</v>
      </c>
      <c r="D573" t="inlineStr">
        <is>
          <t>NORRBOTTENS LÄN</t>
        </is>
      </c>
      <c r="E573" t="inlineStr">
        <is>
          <t>JOKKMOKK</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32853-2024</t>
        </is>
      </c>
      <c r="B574" s="1" t="n">
        <v>45516</v>
      </c>
      <c r="C574" s="1" t="n">
        <v>45795</v>
      </c>
      <c r="D574" t="inlineStr">
        <is>
          <t>NORRBOTTENS LÄN</t>
        </is>
      </c>
      <c r="E574" t="inlineStr">
        <is>
          <t>JOKKMOKK</t>
        </is>
      </c>
      <c r="F574" t="inlineStr">
        <is>
          <t>Sveaskog</t>
        </is>
      </c>
      <c r="G574" t="n">
        <v>40.4</v>
      </c>
      <c r="H574" t="n">
        <v>0</v>
      </c>
      <c r="I574" t="n">
        <v>0</v>
      </c>
      <c r="J574" t="n">
        <v>0</v>
      </c>
      <c r="K574" t="n">
        <v>0</v>
      </c>
      <c r="L574" t="n">
        <v>0</v>
      </c>
      <c r="M574" t="n">
        <v>0</v>
      </c>
      <c r="N574" t="n">
        <v>0</v>
      </c>
      <c r="O574" t="n">
        <v>0</v>
      </c>
      <c r="P574" t="n">
        <v>0</v>
      </c>
      <c r="Q574" t="n">
        <v>0</v>
      </c>
      <c r="R574" s="2" t="inlineStr"/>
    </row>
    <row r="575" ht="15" customHeight="1">
      <c r="A575" t="inlineStr">
        <is>
          <t>A 32920-2024</t>
        </is>
      </c>
      <c r="B575" s="1" t="n">
        <v>45517</v>
      </c>
      <c r="C575" s="1" t="n">
        <v>45795</v>
      </c>
      <c r="D575" t="inlineStr">
        <is>
          <t>NORRBOTTENS LÄN</t>
        </is>
      </c>
      <c r="E575" t="inlineStr">
        <is>
          <t>JOKKMOKK</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32915-2024</t>
        </is>
      </c>
      <c r="B576" s="1" t="n">
        <v>45516</v>
      </c>
      <c r="C576" s="1" t="n">
        <v>45795</v>
      </c>
      <c r="D576" t="inlineStr">
        <is>
          <t>NORRBOTTENS LÄN</t>
        </is>
      </c>
      <c r="E576" t="inlineStr">
        <is>
          <t>JOKKMOKK</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32957-2024</t>
        </is>
      </c>
      <c r="B577" s="1" t="n">
        <v>45517</v>
      </c>
      <c r="C577" s="1" t="n">
        <v>45795</v>
      </c>
      <c r="D577" t="inlineStr">
        <is>
          <t>NORRBOTTENS LÄN</t>
        </is>
      </c>
      <c r="E577" t="inlineStr">
        <is>
          <t>JOKKMOKK</t>
        </is>
      </c>
      <c r="F577" t="inlineStr">
        <is>
          <t>Sveaskog</t>
        </is>
      </c>
      <c r="G577" t="n">
        <v>5.4</v>
      </c>
      <c r="H577" t="n">
        <v>0</v>
      </c>
      <c r="I577" t="n">
        <v>0</v>
      </c>
      <c r="J577" t="n">
        <v>0</v>
      </c>
      <c r="K577" t="n">
        <v>0</v>
      </c>
      <c r="L577" t="n">
        <v>0</v>
      </c>
      <c r="M577" t="n">
        <v>0</v>
      </c>
      <c r="N577" t="n">
        <v>0</v>
      </c>
      <c r="O577" t="n">
        <v>0</v>
      </c>
      <c r="P577" t="n">
        <v>0</v>
      </c>
      <c r="Q577" t="n">
        <v>0</v>
      </c>
      <c r="R577" s="2" t="inlineStr"/>
    </row>
    <row r="578" ht="15" customHeight="1">
      <c r="A578" t="inlineStr">
        <is>
          <t>A 33323-2024</t>
        </is>
      </c>
      <c r="B578" s="1" t="n">
        <v>45519</v>
      </c>
      <c r="C578" s="1" t="n">
        <v>45795</v>
      </c>
      <c r="D578" t="inlineStr">
        <is>
          <t>NORRBOTTENS LÄN</t>
        </is>
      </c>
      <c r="E578" t="inlineStr">
        <is>
          <t>JOKKMOKK</t>
        </is>
      </c>
      <c r="F578" t="inlineStr">
        <is>
          <t>SCA</t>
        </is>
      </c>
      <c r="G578" t="n">
        <v>16.7</v>
      </c>
      <c r="H578" t="n">
        <v>0</v>
      </c>
      <c r="I578" t="n">
        <v>0</v>
      </c>
      <c r="J578" t="n">
        <v>0</v>
      </c>
      <c r="K578" t="n">
        <v>0</v>
      </c>
      <c r="L578" t="n">
        <v>0</v>
      </c>
      <c r="M578" t="n">
        <v>0</v>
      </c>
      <c r="N578" t="n">
        <v>0</v>
      </c>
      <c r="O578" t="n">
        <v>0</v>
      </c>
      <c r="P578" t="n">
        <v>0</v>
      </c>
      <c r="Q578" t="n">
        <v>0</v>
      </c>
      <c r="R578" s="2" t="inlineStr"/>
    </row>
    <row r="579" ht="15" customHeight="1">
      <c r="A579" t="inlineStr">
        <is>
          <t>A 33827-2024</t>
        </is>
      </c>
      <c r="B579" s="1" t="n">
        <v>45520</v>
      </c>
      <c r="C579" s="1" t="n">
        <v>45795</v>
      </c>
      <c r="D579" t="inlineStr">
        <is>
          <t>NORRBOTTENS LÄN</t>
        </is>
      </c>
      <c r="E579" t="inlineStr">
        <is>
          <t>JOKKMOKK</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34598-2024</t>
        </is>
      </c>
      <c r="B580" s="1" t="n">
        <v>45526</v>
      </c>
      <c r="C580" s="1" t="n">
        <v>45795</v>
      </c>
      <c r="D580" t="inlineStr">
        <is>
          <t>NORRBOTTENS LÄN</t>
        </is>
      </c>
      <c r="E580" t="inlineStr">
        <is>
          <t>JOKKMOKK</t>
        </is>
      </c>
      <c r="G580" t="n">
        <v>2.5</v>
      </c>
      <c r="H580" t="n">
        <v>0</v>
      </c>
      <c r="I580" t="n">
        <v>0</v>
      </c>
      <c r="J580" t="n">
        <v>0</v>
      </c>
      <c r="K580" t="n">
        <v>0</v>
      </c>
      <c r="L580" t="n">
        <v>0</v>
      </c>
      <c r="M580" t="n">
        <v>0</v>
      </c>
      <c r="N580" t="n">
        <v>0</v>
      </c>
      <c r="O580" t="n">
        <v>0</v>
      </c>
      <c r="P580" t="n">
        <v>0</v>
      </c>
      <c r="Q580" t="n">
        <v>0</v>
      </c>
      <c r="R580" s="2" t="inlineStr"/>
    </row>
    <row r="581" ht="15" customHeight="1">
      <c r="A581" t="inlineStr">
        <is>
          <t>A 34609-2024</t>
        </is>
      </c>
      <c r="B581" s="1" t="n">
        <v>45526</v>
      </c>
      <c r="C581" s="1" t="n">
        <v>45795</v>
      </c>
      <c r="D581" t="inlineStr">
        <is>
          <t>NORRBOTTENS LÄN</t>
        </is>
      </c>
      <c r="E581" t="inlineStr">
        <is>
          <t>JOKKMOKK</t>
        </is>
      </c>
      <c r="G581" t="n">
        <v>27</v>
      </c>
      <c r="H581" t="n">
        <v>0</v>
      </c>
      <c r="I581" t="n">
        <v>0</v>
      </c>
      <c r="J581" t="n">
        <v>0</v>
      </c>
      <c r="K581" t="n">
        <v>0</v>
      </c>
      <c r="L581" t="n">
        <v>0</v>
      </c>
      <c r="M581" t="n">
        <v>0</v>
      </c>
      <c r="N581" t="n">
        <v>0</v>
      </c>
      <c r="O581" t="n">
        <v>0</v>
      </c>
      <c r="P581" t="n">
        <v>0</v>
      </c>
      <c r="Q581" t="n">
        <v>0</v>
      </c>
      <c r="R581" s="2" t="inlineStr"/>
    </row>
    <row r="582" ht="15" customHeight="1">
      <c r="A582" t="inlineStr">
        <is>
          <t>A 34639-2024</t>
        </is>
      </c>
      <c r="B582" s="1" t="n">
        <v>45526</v>
      </c>
      <c r="C582" s="1" t="n">
        <v>45795</v>
      </c>
      <c r="D582" t="inlineStr">
        <is>
          <t>NORRBOTTENS LÄN</t>
        </is>
      </c>
      <c r="E582" t="inlineStr">
        <is>
          <t>JOKKMOKK</t>
        </is>
      </c>
      <c r="G582" t="n">
        <v>7.7</v>
      </c>
      <c r="H582" t="n">
        <v>0</v>
      </c>
      <c r="I582" t="n">
        <v>0</v>
      </c>
      <c r="J582" t="n">
        <v>0</v>
      </c>
      <c r="K582" t="n">
        <v>0</v>
      </c>
      <c r="L582" t="n">
        <v>0</v>
      </c>
      <c r="M582" t="n">
        <v>0</v>
      </c>
      <c r="N582" t="n">
        <v>0</v>
      </c>
      <c r="O582" t="n">
        <v>0</v>
      </c>
      <c r="P582" t="n">
        <v>0</v>
      </c>
      <c r="Q582" t="n">
        <v>0</v>
      </c>
      <c r="R582" s="2" t="inlineStr"/>
    </row>
    <row r="583" ht="15" customHeight="1">
      <c r="A583" t="inlineStr">
        <is>
          <t>A 34890-2024</t>
        </is>
      </c>
      <c r="B583" s="1" t="n">
        <v>45527</v>
      </c>
      <c r="C583" s="1" t="n">
        <v>45795</v>
      </c>
      <c r="D583" t="inlineStr">
        <is>
          <t>NORRBOTTENS LÄN</t>
        </is>
      </c>
      <c r="E583" t="inlineStr">
        <is>
          <t>JOKKMOKK</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35330-2024</t>
        </is>
      </c>
      <c r="B584" s="1" t="n">
        <v>45530</v>
      </c>
      <c r="C584" s="1" t="n">
        <v>45795</v>
      </c>
      <c r="D584" t="inlineStr">
        <is>
          <t>NORRBOTTENS LÄN</t>
        </is>
      </c>
      <c r="E584" t="inlineStr">
        <is>
          <t>JOKKMOKK</t>
        </is>
      </c>
      <c r="F584" t="inlineStr">
        <is>
          <t>Sveaskog</t>
        </is>
      </c>
      <c r="G584" t="n">
        <v>28.2</v>
      </c>
      <c r="H584" t="n">
        <v>0</v>
      </c>
      <c r="I584" t="n">
        <v>0</v>
      </c>
      <c r="J584" t="n">
        <v>0</v>
      </c>
      <c r="K584" t="n">
        <v>0</v>
      </c>
      <c r="L584" t="n">
        <v>0</v>
      </c>
      <c r="M584" t="n">
        <v>0</v>
      </c>
      <c r="N584" t="n">
        <v>0</v>
      </c>
      <c r="O584" t="n">
        <v>0</v>
      </c>
      <c r="P584" t="n">
        <v>0</v>
      </c>
      <c r="Q584" t="n">
        <v>0</v>
      </c>
      <c r="R584" s="2" t="inlineStr"/>
    </row>
    <row r="585" ht="15" customHeight="1">
      <c r="A585" t="inlineStr">
        <is>
          <t>A 35675-2024</t>
        </is>
      </c>
      <c r="B585" s="1" t="n">
        <v>45532</v>
      </c>
      <c r="C585" s="1" t="n">
        <v>45795</v>
      </c>
      <c r="D585" t="inlineStr">
        <is>
          <t>NORRBOTTENS LÄN</t>
        </is>
      </c>
      <c r="E585" t="inlineStr">
        <is>
          <t>JOKKMOKK</t>
        </is>
      </c>
      <c r="G585" t="n">
        <v>1.4</v>
      </c>
      <c r="H585" t="n">
        <v>0</v>
      </c>
      <c r="I585" t="n">
        <v>0</v>
      </c>
      <c r="J585" t="n">
        <v>0</v>
      </c>
      <c r="K585" t="n">
        <v>0</v>
      </c>
      <c r="L585" t="n">
        <v>0</v>
      </c>
      <c r="M585" t="n">
        <v>0</v>
      </c>
      <c r="N585" t="n">
        <v>0</v>
      </c>
      <c r="O585" t="n">
        <v>0</v>
      </c>
      <c r="P585" t="n">
        <v>0</v>
      </c>
      <c r="Q585" t="n">
        <v>0</v>
      </c>
      <c r="R585" s="2" t="inlineStr"/>
    </row>
    <row r="586" ht="15" customHeight="1">
      <c r="A586" t="inlineStr">
        <is>
          <t>A 36113-2024</t>
        </is>
      </c>
      <c r="B586" s="1" t="n">
        <v>45534</v>
      </c>
      <c r="C586" s="1" t="n">
        <v>45795</v>
      </c>
      <c r="D586" t="inlineStr">
        <is>
          <t>NORRBOTTENS LÄN</t>
        </is>
      </c>
      <c r="E586" t="inlineStr">
        <is>
          <t>JOKKMOKK</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36361-2024</t>
        </is>
      </c>
      <c r="B587" s="1" t="n">
        <v>45534</v>
      </c>
      <c r="C587" s="1" t="n">
        <v>45795</v>
      </c>
      <c r="D587" t="inlineStr">
        <is>
          <t>NORRBOTTENS LÄN</t>
        </is>
      </c>
      <c r="E587" t="inlineStr">
        <is>
          <t>JOKKMOKK</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37828-2024</t>
        </is>
      </c>
      <c r="B588" s="1" t="n">
        <v>45544</v>
      </c>
      <c r="C588" s="1" t="n">
        <v>45795</v>
      </c>
      <c r="D588" t="inlineStr">
        <is>
          <t>NORRBOTTENS LÄN</t>
        </is>
      </c>
      <c r="E588" t="inlineStr">
        <is>
          <t>JOKKMOKK</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37827-2024</t>
        </is>
      </c>
      <c r="B589" s="1" t="n">
        <v>45544</v>
      </c>
      <c r="C589" s="1" t="n">
        <v>45795</v>
      </c>
      <c r="D589" t="inlineStr">
        <is>
          <t>NORRBOTTENS LÄN</t>
        </is>
      </c>
      <c r="E589" t="inlineStr">
        <is>
          <t>JOKKMOKK</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37825-2024</t>
        </is>
      </c>
      <c r="B590" s="1" t="n">
        <v>45544</v>
      </c>
      <c r="C590" s="1" t="n">
        <v>45795</v>
      </c>
      <c r="D590" t="inlineStr">
        <is>
          <t>NORRBOTTENS LÄN</t>
        </is>
      </c>
      <c r="E590" t="inlineStr">
        <is>
          <t>JOKKMOKK</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38648-2024</t>
        </is>
      </c>
      <c r="B591" s="1" t="n">
        <v>45546</v>
      </c>
      <c r="C591" s="1" t="n">
        <v>45795</v>
      </c>
      <c r="D591" t="inlineStr">
        <is>
          <t>NORRBOTTENS LÄN</t>
        </is>
      </c>
      <c r="E591" t="inlineStr">
        <is>
          <t>JOKKMOKK</t>
        </is>
      </c>
      <c r="F591" t="inlineStr">
        <is>
          <t>Sveaskog</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40124-2024</t>
        </is>
      </c>
      <c r="B592" s="1" t="n">
        <v>45554</v>
      </c>
      <c r="C592" s="1" t="n">
        <v>45795</v>
      </c>
      <c r="D592" t="inlineStr">
        <is>
          <t>NORRBOTTENS LÄN</t>
        </is>
      </c>
      <c r="E592" t="inlineStr">
        <is>
          <t>JOKKMOKK</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40132-2024</t>
        </is>
      </c>
      <c r="B593" s="1" t="n">
        <v>45554</v>
      </c>
      <c r="C593" s="1" t="n">
        <v>45795</v>
      </c>
      <c r="D593" t="inlineStr">
        <is>
          <t>NORRBOTTENS LÄN</t>
        </is>
      </c>
      <c r="E593" t="inlineStr">
        <is>
          <t>JOKKMOKK</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40308-2024</t>
        </is>
      </c>
      <c r="B594" s="1" t="n">
        <v>45554</v>
      </c>
      <c r="C594" s="1" t="n">
        <v>45795</v>
      </c>
      <c r="D594" t="inlineStr">
        <is>
          <t>NORRBOTTENS LÄN</t>
        </is>
      </c>
      <c r="E594" t="inlineStr">
        <is>
          <t>JOKKMOKK</t>
        </is>
      </c>
      <c r="G594" t="n">
        <v>1</v>
      </c>
      <c r="H594" t="n">
        <v>0</v>
      </c>
      <c r="I594" t="n">
        <v>0</v>
      </c>
      <c r="J594" t="n">
        <v>0</v>
      </c>
      <c r="K594" t="n">
        <v>0</v>
      </c>
      <c r="L594" t="n">
        <v>0</v>
      </c>
      <c r="M594" t="n">
        <v>0</v>
      </c>
      <c r="N594" t="n">
        <v>0</v>
      </c>
      <c r="O594" t="n">
        <v>0</v>
      </c>
      <c r="P594" t="n">
        <v>0</v>
      </c>
      <c r="Q594" t="n">
        <v>0</v>
      </c>
      <c r="R594" s="2" t="inlineStr"/>
    </row>
    <row r="595" ht="15" customHeight="1">
      <c r="A595" t="inlineStr">
        <is>
          <t>A 40310-2024</t>
        </is>
      </c>
      <c r="B595" s="1" t="n">
        <v>45554</v>
      </c>
      <c r="C595" s="1" t="n">
        <v>45795</v>
      </c>
      <c r="D595" t="inlineStr">
        <is>
          <t>NORRBOTTENS LÄN</t>
        </is>
      </c>
      <c r="E595" t="inlineStr">
        <is>
          <t>JOKKMOKK</t>
        </is>
      </c>
      <c r="G595" t="n">
        <v>3.2</v>
      </c>
      <c r="H595" t="n">
        <v>0</v>
      </c>
      <c r="I595" t="n">
        <v>0</v>
      </c>
      <c r="J595" t="n">
        <v>0</v>
      </c>
      <c r="K595" t="n">
        <v>0</v>
      </c>
      <c r="L595" t="n">
        <v>0</v>
      </c>
      <c r="M595" t="n">
        <v>0</v>
      </c>
      <c r="N595" t="n">
        <v>0</v>
      </c>
      <c r="O595" t="n">
        <v>0</v>
      </c>
      <c r="P595" t="n">
        <v>0</v>
      </c>
      <c r="Q595" t="n">
        <v>0</v>
      </c>
      <c r="R595" s="2" t="inlineStr"/>
    </row>
    <row r="596" ht="15" customHeight="1">
      <c r="A596" t="inlineStr">
        <is>
          <t>A 40119-2024</t>
        </is>
      </c>
      <c r="B596" s="1" t="n">
        <v>45554</v>
      </c>
      <c r="C596" s="1" t="n">
        <v>45795</v>
      </c>
      <c r="D596" t="inlineStr">
        <is>
          <t>NORRBOTTENS LÄN</t>
        </is>
      </c>
      <c r="E596" t="inlineStr">
        <is>
          <t>JOKKMOKK</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40307-2024</t>
        </is>
      </c>
      <c r="B597" s="1" t="n">
        <v>45554</v>
      </c>
      <c r="C597" s="1" t="n">
        <v>45795</v>
      </c>
      <c r="D597" t="inlineStr">
        <is>
          <t>NORRBOTTENS LÄN</t>
        </is>
      </c>
      <c r="E597" t="inlineStr">
        <is>
          <t>JOKKMOKK</t>
        </is>
      </c>
      <c r="G597" t="n">
        <v>1.3</v>
      </c>
      <c r="H597" t="n">
        <v>0</v>
      </c>
      <c r="I597" t="n">
        <v>0</v>
      </c>
      <c r="J597" t="n">
        <v>0</v>
      </c>
      <c r="K597" t="n">
        <v>0</v>
      </c>
      <c r="L597" t="n">
        <v>0</v>
      </c>
      <c r="M597" t="n">
        <v>0</v>
      </c>
      <c r="N597" t="n">
        <v>0</v>
      </c>
      <c r="O597" t="n">
        <v>0</v>
      </c>
      <c r="P597" t="n">
        <v>0</v>
      </c>
      <c r="Q597" t="n">
        <v>0</v>
      </c>
      <c r="R597" s="2" t="inlineStr"/>
    </row>
    <row r="598" ht="15" customHeight="1">
      <c r="A598" t="inlineStr">
        <is>
          <t>A 40345-2024</t>
        </is>
      </c>
      <c r="B598" s="1" t="n">
        <v>45555</v>
      </c>
      <c r="C598" s="1" t="n">
        <v>45795</v>
      </c>
      <c r="D598" t="inlineStr">
        <is>
          <t>NORRBOTTENS LÄN</t>
        </is>
      </c>
      <c r="E598" t="inlineStr">
        <is>
          <t>JOKKMOKK</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40375-2024</t>
        </is>
      </c>
      <c r="B599" s="1" t="n">
        <v>45555</v>
      </c>
      <c r="C599" s="1" t="n">
        <v>45795</v>
      </c>
      <c r="D599" t="inlineStr">
        <is>
          <t>NORRBOTTENS LÄN</t>
        </is>
      </c>
      <c r="E599" t="inlineStr">
        <is>
          <t>JOKKMOKK</t>
        </is>
      </c>
      <c r="G599" t="n">
        <v>4.9</v>
      </c>
      <c r="H599" t="n">
        <v>0</v>
      </c>
      <c r="I599" t="n">
        <v>0</v>
      </c>
      <c r="J599" t="n">
        <v>0</v>
      </c>
      <c r="K599" t="n">
        <v>0</v>
      </c>
      <c r="L599" t="n">
        <v>0</v>
      </c>
      <c r="M599" t="n">
        <v>0</v>
      </c>
      <c r="N599" t="n">
        <v>0</v>
      </c>
      <c r="O599" t="n">
        <v>0</v>
      </c>
      <c r="P599" t="n">
        <v>0</v>
      </c>
      <c r="Q599" t="n">
        <v>0</v>
      </c>
      <c r="R599" s="2" t="inlineStr"/>
    </row>
    <row r="600" ht="15" customHeight="1">
      <c r="A600" t="inlineStr">
        <is>
          <t>A 40424-2024</t>
        </is>
      </c>
      <c r="B600" s="1" t="n">
        <v>45555</v>
      </c>
      <c r="C600" s="1" t="n">
        <v>45795</v>
      </c>
      <c r="D600" t="inlineStr">
        <is>
          <t>NORRBOTTENS LÄN</t>
        </is>
      </c>
      <c r="E600" t="inlineStr">
        <is>
          <t>JOKKMOKK</t>
        </is>
      </c>
      <c r="G600" t="n">
        <v>9.5</v>
      </c>
      <c r="H600" t="n">
        <v>0</v>
      </c>
      <c r="I600" t="n">
        <v>0</v>
      </c>
      <c r="J600" t="n">
        <v>0</v>
      </c>
      <c r="K600" t="n">
        <v>0</v>
      </c>
      <c r="L600" t="n">
        <v>0</v>
      </c>
      <c r="M600" t="n">
        <v>0</v>
      </c>
      <c r="N600" t="n">
        <v>0</v>
      </c>
      <c r="O600" t="n">
        <v>0</v>
      </c>
      <c r="P600" t="n">
        <v>0</v>
      </c>
      <c r="Q600" t="n">
        <v>0</v>
      </c>
      <c r="R600" s="2" t="inlineStr"/>
    </row>
    <row r="601" ht="15" customHeight="1">
      <c r="A601" t="inlineStr">
        <is>
          <t>A 40432-2024</t>
        </is>
      </c>
      <c r="B601" s="1" t="n">
        <v>45555</v>
      </c>
      <c r="C601" s="1" t="n">
        <v>45795</v>
      </c>
      <c r="D601" t="inlineStr">
        <is>
          <t>NORRBOTTENS LÄN</t>
        </is>
      </c>
      <c r="E601" t="inlineStr">
        <is>
          <t>JOKKMOKK</t>
        </is>
      </c>
      <c r="G601" t="n">
        <v>0.5</v>
      </c>
      <c r="H601" t="n">
        <v>0</v>
      </c>
      <c r="I601" t="n">
        <v>0</v>
      </c>
      <c r="J601" t="n">
        <v>0</v>
      </c>
      <c r="K601" t="n">
        <v>0</v>
      </c>
      <c r="L601" t="n">
        <v>0</v>
      </c>
      <c r="M601" t="n">
        <v>0</v>
      </c>
      <c r="N601" t="n">
        <v>0</v>
      </c>
      <c r="O601" t="n">
        <v>0</v>
      </c>
      <c r="P601" t="n">
        <v>0</v>
      </c>
      <c r="Q601" t="n">
        <v>0</v>
      </c>
      <c r="R601" s="2" t="inlineStr"/>
    </row>
    <row r="602" ht="15" customHeight="1">
      <c r="A602" t="inlineStr">
        <is>
          <t>A 40378-2024</t>
        </is>
      </c>
      <c r="B602" s="1" t="n">
        <v>45555</v>
      </c>
      <c r="C602" s="1" t="n">
        <v>45795</v>
      </c>
      <c r="D602" t="inlineStr">
        <is>
          <t>NORRBOTTENS LÄN</t>
        </is>
      </c>
      <c r="E602" t="inlineStr">
        <is>
          <t>JOKKMOKK</t>
        </is>
      </c>
      <c r="G602" t="n">
        <v>1.8</v>
      </c>
      <c r="H602" t="n">
        <v>0</v>
      </c>
      <c r="I602" t="n">
        <v>0</v>
      </c>
      <c r="J602" t="n">
        <v>0</v>
      </c>
      <c r="K602" t="n">
        <v>0</v>
      </c>
      <c r="L602" t="n">
        <v>0</v>
      </c>
      <c r="M602" t="n">
        <v>0</v>
      </c>
      <c r="N602" t="n">
        <v>0</v>
      </c>
      <c r="O602" t="n">
        <v>0</v>
      </c>
      <c r="P602" t="n">
        <v>0</v>
      </c>
      <c r="Q602" t="n">
        <v>0</v>
      </c>
      <c r="R602" s="2" t="inlineStr"/>
    </row>
    <row r="603" ht="15" customHeight="1">
      <c r="A603" t="inlineStr">
        <is>
          <t>A 40658-2024</t>
        </is>
      </c>
      <c r="B603" s="1" t="n">
        <v>45558</v>
      </c>
      <c r="C603" s="1" t="n">
        <v>45795</v>
      </c>
      <c r="D603" t="inlineStr">
        <is>
          <t>NORRBOTTENS LÄN</t>
        </is>
      </c>
      <c r="E603" t="inlineStr">
        <is>
          <t>JOKKMOKK</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42481-2024</t>
        </is>
      </c>
      <c r="B604" s="1" t="n">
        <v>45565</v>
      </c>
      <c r="C604" s="1" t="n">
        <v>45795</v>
      </c>
      <c r="D604" t="inlineStr">
        <is>
          <t>NORRBOTTENS LÄN</t>
        </is>
      </c>
      <c r="E604" t="inlineStr">
        <is>
          <t>JOKKMOKK</t>
        </is>
      </c>
      <c r="F604" t="inlineStr">
        <is>
          <t>SCA</t>
        </is>
      </c>
      <c r="G604" t="n">
        <v>25.2</v>
      </c>
      <c r="H604" t="n">
        <v>0</v>
      </c>
      <c r="I604" t="n">
        <v>0</v>
      </c>
      <c r="J604" t="n">
        <v>0</v>
      </c>
      <c r="K604" t="n">
        <v>0</v>
      </c>
      <c r="L604" t="n">
        <v>0</v>
      </c>
      <c r="M604" t="n">
        <v>0</v>
      </c>
      <c r="N604" t="n">
        <v>0</v>
      </c>
      <c r="O604" t="n">
        <v>0</v>
      </c>
      <c r="P604" t="n">
        <v>0</v>
      </c>
      <c r="Q604" t="n">
        <v>0</v>
      </c>
      <c r="R604" s="2" t="inlineStr"/>
    </row>
    <row r="605" ht="15" customHeight="1">
      <c r="A605" t="inlineStr">
        <is>
          <t>A 42639-2024</t>
        </is>
      </c>
      <c r="B605" s="1" t="n">
        <v>45565</v>
      </c>
      <c r="C605" s="1" t="n">
        <v>45795</v>
      </c>
      <c r="D605" t="inlineStr">
        <is>
          <t>NORRBOTTENS LÄN</t>
        </is>
      </c>
      <c r="E605" t="inlineStr">
        <is>
          <t>JOKKMOKK</t>
        </is>
      </c>
      <c r="G605" t="n">
        <v>34.5</v>
      </c>
      <c r="H605" t="n">
        <v>0</v>
      </c>
      <c r="I605" t="n">
        <v>0</v>
      </c>
      <c r="J605" t="n">
        <v>0</v>
      </c>
      <c r="K605" t="n">
        <v>0</v>
      </c>
      <c r="L605" t="n">
        <v>0</v>
      </c>
      <c r="M605" t="n">
        <v>0</v>
      </c>
      <c r="N605" t="n">
        <v>0</v>
      </c>
      <c r="O605" t="n">
        <v>0</v>
      </c>
      <c r="P605" t="n">
        <v>0</v>
      </c>
      <c r="Q605" t="n">
        <v>0</v>
      </c>
      <c r="R605" s="2" t="inlineStr"/>
    </row>
    <row r="606" ht="15" customHeight="1">
      <c r="A606" t="inlineStr">
        <is>
          <t>A 43019-2024</t>
        </is>
      </c>
      <c r="B606" s="1" t="n">
        <v>45567</v>
      </c>
      <c r="C606" s="1" t="n">
        <v>45795</v>
      </c>
      <c r="D606" t="inlineStr">
        <is>
          <t>NORRBOTTENS LÄN</t>
        </is>
      </c>
      <c r="E606" t="inlineStr">
        <is>
          <t>JOKKMOKK</t>
        </is>
      </c>
      <c r="F606" t="inlineStr">
        <is>
          <t>Sveaskog</t>
        </is>
      </c>
      <c r="G606" t="n">
        <v>8.9</v>
      </c>
      <c r="H606" t="n">
        <v>0</v>
      </c>
      <c r="I606" t="n">
        <v>0</v>
      </c>
      <c r="J606" t="n">
        <v>0</v>
      </c>
      <c r="K606" t="n">
        <v>0</v>
      </c>
      <c r="L606" t="n">
        <v>0</v>
      </c>
      <c r="M606" t="n">
        <v>0</v>
      </c>
      <c r="N606" t="n">
        <v>0</v>
      </c>
      <c r="O606" t="n">
        <v>0</v>
      </c>
      <c r="P606" t="n">
        <v>0</v>
      </c>
      <c r="Q606" t="n">
        <v>0</v>
      </c>
      <c r="R606" s="2" t="inlineStr"/>
    </row>
    <row r="607" ht="15" customHeight="1">
      <c r="A607" t="inlineStr">
        <is>
          <t>A 44145-2024</t>
        </is>
      </c>
      <c r="B607" s="1" t="n">
        <v>45572</v>
      </c>
      <c r="C607" s="1" t="n">
        <v>45795</v>
      </c>
      <c r="D607" t="inlineStr">
        <is>
          <t>NORRBOTTENS LÄN</t>
        </is>
      </c>
      <c r="E607" t="inlineStr">
        <is>
          <t>JOKKMOKK</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43997-2024</t>
        </is>
      </c>
      <c r="B608" s="1" t="n">
        <v>45572</v>
      </c>
      <c r="C608" s="1" t="n">
        <v>45795</v>
      </c>
      <c r="D608" t="inlineStr">
        <is>
          <t>NORRBOTTENS LÄN</t>
        </is>
      </c>
      <c r="E608" t="inlineStr">
        <is>
          <t>JOKKMOKK</t>
        </is>
      </c>
      <c r="F608" t="inlineStr">
        <is>
          <t>Sveaskog</t>
        </is>
      </c>
      <c r="G608" t="n">
        <v>17.4</v>
      </c>
      <c r="H608" t="n">
        <v>0</v>
      </c>
      <c r="I608" t="n">
        <v>0</v>
      </c>
      <c r="J608" t="n">
        <v>0</v>
      </c>
      <c r="K608" t="n">
        <v>0</v>
      </c>
      <c r="L608" t="n">
        <v>0</v>
      </c>
      <c r="M608" t="n">
        <v>0</v>
      </c>
      <c r="N608" t="n">
        <v>0</v>
      </c>
      <c r="O608" t="n">
        <v>0</v>
      </c>
      <c r="P608" t="n">
        <v>0</v>
      </c>
      <c r="Q608" t="n">
        <v>0</v>
      </c>
      <c r="R608" s="2" t="inlineStr"/>
    </row>
    <row r="609" ht="15" customHeight="1">
      <c r="A609" t="inlineStr">
        <is>
          <t>A 44151-2024</t>
        </is>
      </c>
      <c r="B609" s="1" t="n">
        <v>45572</v>
      </c>
      <c r="C609" s="1" t="n">
        <v>45795</v>
      </c>
      <c r="D609" t="inlineStr">
        <is>
          <t>NORRBOTTENS LÄN</t>
        </is>
      </c>
      <c r="E609" t="inlineStr">
        <is>
          <t>JOKKMOKK</t>
        </is>
      </c>
      <c r="F609" t="inlineStr">
        <is>
          <t>Sveaskog</t>
        </is>
      </c>
      <c r="G609" t="n">
        <v>9.4</v>
      </c>
      <c r="H609" t="n">
        <v>0</v>
      </c>
      <c r="I609" t="n">
        <v>0</v>
      </c>
      <c r="J609" t="n">
        <v>0</v>
      </c>
      <c r="K609" t="n">
        <v>0</v>
      </c>
      <c r="L609" t="n">
        <v>0</v>
      </c>
      <c r="M609" t="n">
        <v>0</v>
      </c>
      <c r="N609" t="n">
        <v>0</v>
      </c>
      <c r="O609" t="n">
        <v>0</v>
      </c>
      <c r="P609" t="n">
        <v>0</v>
      </c>
      <c r="Q609" t="n">
        <v>0</v>
      </c>
      <c r="R609" s="2" t="inlineStr"/>
    </row>
    <row r="610" ht="15" customHeight="1">
      <c r="A610" t="inlineStr">
        <is>
          <t>A 44150-2024</t>
        </is>
      </c>
      <c r="B610" s="1" t="n">
        <v>45572</v>
      </c>
      <c r="C610" s="1" t="n">
        <v>45795</v>
      </c>
      <c r="D610" t="inlineStr">
        <is>
          <t>NORRBOTTENS LÄN</t>
        </is>
      </c>
      <c r="E610" t="inlineStr">
        <is>
          <t>JOKKMOKK</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44656-2024</t>
        </is>
      </c>
      <c r="B611" s="1" t="n">
        <v>45574</v>
      </c>
      <c r="C611" s="1" t="n">
        <v>45795</v>
      </c>
      <c r="D611" t="inlineStr">
        <is>
          <t>NORRBOTTENS LÄN</t>
        </is>
      </c>
      <c r="E611" t="inlineStr">
        <is>
          <t>JOKKMOKK</t>
        </is>
      </c>
      <c r="F611" t="inlineStr">
        <is>
          <t>Sveaskog</t>
        </is>
      </c>
      <c r="G611" t="n">
        <v>13.9</v>
      </c>
      <c r="H611" t="n">
        <v>0</v>
      </c>
      <c r="I611" t="n">
        <v>0</v>
      </c>
      <c r="J611" t="n">
        <v>0</v>
      </c>
      <c r="K611" t="n">
        <v>0</v>
      </c>
      <c r="L611" t="n">
        <v>0</v>
      </c>
      <c r="M611" t="n">
        <v>0</v>
      </c>
      <c r="N611" t="n">
        <v>0</v>
      </c>
      <c r="O611" t="n">
        <v>0</v>
      </c>
      <c r="P611" t="n">
        <v>0</v>
      </c>
      <c r="Q611" t="n">
        <v>0</v>
      </c>
      <c r="R611" s="2" t="inlineStr"/>
    </row>
    <row r="612" ht="15" customHeight="1">
      <c r="A612" t="inlineStr">
        <is>
          <t>A 44827-2024</t>
        </is>
      </c>
      <c r="B612" s="1" t="n">
        <v>45574</v>
      </c>
      <c r="C612" s="1" t="n">
        <v>45795</v>
      </c>
      <c r="D612" t="inlineStr">
        <is>
          <t>NORRBOTTENS LÄN</t>
        </is>
      </c>
      <c r="E612" t="inlineStr">
        <is>
          <t>JOKKMOKK</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44831-2024</t>
        </is>
      </c>
      <c r="B613" s="1" t="n">
        <v>45574</v>
      </c>
      <c r="C613" s="1" t="n">
        <v>45795</v>
      </c>
      <c r="D613" t="inlineStr">
        <is>
          <t>NORRBOTTENS LÄN</t>
        </is>
      </c>
      <c r="E613" t="inlineStr">
        <is>
          <t>JOKKMOKK</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45333-2024</t>
        </is>
      </c>
      <c r="B614" s="1" t="n">
        <v>45576</v>
      </c>
      <c r="C614" s="1" t="n">
        <v>45795</v>
      </c>
      <c r="D614" t="inlineStr">
        <is>
          <t>NORRBOTTENS LÄN</t>
        </is>
      </c>
      <c r="E614" t="inlineStr">
        <is>
          <t>JOKKMOKK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46163-2024</t>
        </is>
      </c>
      <c r="B615" s="1" t="n">
        <v>45581</v>
      </c>
      <c r="C615" s="1" t="n">
        <v>45795</v>
      </c>
      <c r="D615" t="inlineStr">
        <is>
          <t>NORRBOTTENS LÄN</t>
        </is>
      </c>
      <c r="E615" t="inlineStr">
        <is>
          <t>JOKKMOKK</t>
        </is>
      </c>
      <c r="G615" t="n">
        <v>37.1</v>
      </c>
      <c r="H615" t="n">
        <v>0</v>
      </c>
      <c r="I615" t="n">
        <v>0</v>
      </c>
      <c r="J615" t="n">
        <v>0</v>
      </c>
      <c r="K615" t="n">
        <v>0</v>
      </c>
      <c r="L615" t="n">
        <v>0</v>
      </c>
      <c r="M615" t="n">
        <v>0</v>
      </c>
      <c r="N615" t="n">
        <v>0</v>
      </c>
      <c r="O615" t="n">
        <v>0</v>
      </c>
      <c r="P615" t="n">
        <v>0</v>
      </c>
      <c r="Q615" t="n">
        <v>0</v>
      </c>
      <c r="R615" s="2" t="inlineStr"/>
    </row>
    <row r="616" ht="15" customHeight="1">
      <c r="A616" t="inlineStr">
        <is>
          <t>A 47157-2024</t>
        </is>
      </c>
      <c r="B616" s="1" t="n">
        <v>45586</v>
      </c>
      <c r="C616" s="1" t="n">
        <v>45795</v>
      </c>
      <c r="D616" t="inlineStr">
        <is>
          <t>NORRBOTTENS LÄN</t>
        </is>
      </c>
      <c r="E616" t="inlineStr">
        <is>
          <t>JOKKMOKK</t>
        </is>
      </c>
      <c r="G616" t="n">
        <v>0.6</v>
      </c>
      <c r="H616" t="n">
        <v>0</v>
      </c>
      <c r="I616" t="n">
        <v>0</v>
      </c>
      <c r="J616" t="n">
        <v>0</v>
      </c>
      <c r="K616" t="n">
        <v>0</v>
      </c>
      <c r="L616" t="n">
        <v>0</v>
      </c>
      <c r="M616" t="n">
        <v>0</v>
      </c>
      <c r="N616" t="n">
        <v>0</v>
      </c>
      <c r="O616" t="n">
        <v>0</v>
      </c>
      <c r="P616" t="n">
        <v>0</v>
      </c>
      <c r="Q616" t="n">
        <v>0</v>
      </c>
      <c r="R616" s="2" t="inlineStr"/>
    </row>
    <row r="617" ht="15" customHeight="1">
      <c r="A617" t="inlineStr">
        <is>
          <t>A 47852-2024</t>
        </is>
      </c>
      <c r="B617" s="1" t="n">
        <v>45588</v>
      </c>
      <c r="C617" s="1" t="n">
        <v>45795</v>
      </c>
      <c r="D617" t="inlineStr">
        <is>
          <t>NORRBOTTENS LÄN</t>
        </is>
      </c>
      <c r="E617" t="inlineStr">
        <is>
          <t>JOKKMOKK</t>
        </is>
      </c>
      <c r="G617" t="n">
        <v>1</v>
      </c>
      <c r="H617" t="n">
        <v>0</v>
      </c>
      <c r="I617" t="n">
        <v>0</v>
      </c>
      <c r="J617" t="n">
        <v>0</v>
      </c>
      <c r="K617" t="n">
        <v>0</v>
      </c>
      <c r="L617" t="n">
        <v>0</v>
      </c>
      <c r="M617" t="n">
        <v>0</v>
      </c>
      <c r="N617" t="n">
        <v>0</v>
      </c>
      <c r="O617" t="n">
        <v>0</v>
      </c>
      <c r="P617" t="n">
        <v>0</v>
      </c>
      <c r="Q617" t="n">
        <v>0</v>
      </c>
      <c r="R617" s="2" t="inlineStr"/>
    </row>
    <row r="618" ht="15" customHeight="1">
      <c r="A618" t="inlineStr">
        <is>
          <t>A 48339-2024</t>
        </is>
      </c>
      <c r="B618" s="1" t="n">
        <v>45590</v>
      </c>
      <c r="C618" s="1" t="n">
        <v>45795</v>
      </c>
      <c r="D618" t="inlineStr">
        <is>
          <t>NORRBOTTENS LÄN</t>
        </is>
      </c>
      <c r="E618" t="inlineStr">
        <is>
          <t>JOKKMOKK</t>
        </is>
      </c>
      <c r="F618" t="inlineStr">
        <is>
          <t>Allmännings- och besparingsskogar</t>
        </is>
      </c>
      <c r="G618" t="n">
        <v>24.9</v>
      </c>
      <c r="H618" t="n">
        <v>0</v>
      </c>
      <c r="I618" t="n">
        <v>0</v>
      </c>
      <c r="J618" t="n">
        <v>0</v>
      </c>
      <c r="K618" t="n">
        <v>0</v>
      </c>
      <c r="L618" t="n">
        <v>0</v>
      </c>
      <c r="M618" t="n">
        <v>0</v>
      </c>
      <c r="N618" t="n">
        <v>0</v>
      </c>
      <c r="O618" t="n">
        <v>0</v>
      </c>
      <c r="P618" t="n">
        <v>0</v>
      </c>
      <c r="Q618" t="n">
        <v>0</v>
      </c>
      <c r="R618" s="2" t="inlineStr"/>
    </row>
    <row r="619" ht="15" customHeight="1">
      <c r="A619" t="inlineStr">
        <is>
          <t>A 48210-2024</t>
        </is>
      </c>
      <c r="B619" s="1" t="n">
        <v>45590</v>
      </c>
      <c r="C619" s="1" t="n">
        <v>45795</v>
      </c>
      <c r="D619" t="inlineStr">
        <is>
          <t>NORRBOTTENS LÄN</t>
        </is>
      </c>
      <c r="E619" t="inlineStr">
        <is>
          <t>JOKKMOKK</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49220-2024</t>
        </is>
      </c>
      <c r="B620" s="1" t="n">
        <v>45595</v>
      </c>
      <c r="C620" s="1" t="n">
        <v>45795</v>
      </c>
      <c r="D620" t="inlineStr">
        <is>
          <t>NORRBOTTENS LÄN</t>
        </is>
      </c>
      <c r="E620" t="inlineStr">
        <is>
          <t>JOKKMOKK</t>
        </is>
      </c>
      <c r="F620" t="inlineStr">
        <is>
          <t>Allmännings- och besparingsskogar</t>
        </is>
      </c>
      <c r="G620" t="n">
        <v>4.4</v>
      </c>
      <c r="H620" t="n">
        <v>0</v>
      </c>
      <c r="I620" t="n">
        <v>0</v>
      </c>
      <c r="J620" t="n">
        <v>0</v>
      </c>
      <c r="K620" t="n">
        <v>0</v>
      </c>
      <c r="L620" t="n">
        <v>0</v>
      </c>
      <c r="M620" t="n">
        <v>0</v>
      </c>
      <c r="N620" t="n">
        <v>0</v>
      </c>
      <c r="O620" t="n">
        <v>0</v>
      </c>
      <c r="P620" t="n">
        <v>0</v>
      </c>
      <c r="Q620" t="n">
        <v>0</v>
      </c>
      <c r="R620" s="2" t="inlineStr"/>
    </row>
    <row r="621" ht="15" customHeight="1">
      <c r="A621" t="inlineStr">
        <is>
          <t>A 49664-2024</t>
        </is>
      </c>
      <c r="B621" s="1" t="n">
        <v>45596</v>
      </c>
      <c r="C621" s="1" t="n">
        <v>45795</v>
      </c>
      <c r="D621" t="inlineStr">
        <is>
          <t>NORRBOTTENS LÄN</t>
        </is>
      </c>
      <c r="E621" t="inlineStr">
        <is>
          <t>JOKKMOKK</t>
        </is>
      </c>
      <c r="F621" t="inlineStr">
        <is>
          <t>Allmännings- och besparingsskogar</t>
        </is>
      </c>
      <c r="G621" t="n">
        <v>14</v>
      </c>
      <c r="H621" t="n">
        <v>0</v>
      </c>
      <c r="I621" t="n">
        <v>0</v>
      </c>
      <c r="J621" t="n">
        <v>0</v>
      </c>
      <c r="K621" t="n">
        <v>0</v>
      </c>
      <c r="L621" t="n">
        <v>0</v>
      </c>
      <c r="M621" t="n">
        <v>0</v>
      </c>
      <c r="N621" t="n">
        <v>0</v>
      </c>
      <c r="O621" t="n">
        <v>0</v>
      </c>
      <c r="P621" t="n">
        <v>0</v>
      </c>
      <c r="Q621" t="n">
        <v>0</v>
      </c>
      <c r="R621" s="2" t="inlineStr"/>
    </row>
    <row r="622" ht="15" customHeight="1">
      <c r="A622" t="inlineStr">
        <is>
          <t>A 49472-2024</t>
        </is>
      </c>
      <c r="B622" s="1" t="n">
        <v>45596</v>
      </c>
      <c r="C622" s="1" t="n">
        <v>45795</v>
      </c>
      <c r="D622" t="inlineStr">
        <is>
          <t>NORRBOTTENS LÄN</t>
        </is>
      </c>
      <c r="E622" t="inlineStr">
        <is>
          <t>JOKKMOKK</t>
        </is>
      </c>
      <c r="F622" t="inlineStr">
        <is>
          <t>SCA</t>
        </is>
      </c>
      <c r="G622" t="n">
        <v>30.9</v>
      </c>
      <c r="H622" t="n">
        <v>0</v>
      </c>
      <c r="I622" t="n">
        <v>0</v>
      </c>
      <c r="J622" t="n">
        <v>0</v>
      </c>
      <c r="K622" t="n">
        <v>0</v>
      </c>
      <c r="L622" t="n">
        <v>0</v>
      </c>
      <c r="M622" t="n">
        <v>0</v>
      </c>
      <c r="N622" t="n">
        <v>0</v>
      </c>
      <c r="O622" t="n">
        <v>0</v>
      </c>
      <c r="P622" t="n">
        <v>0</v>
      </c>
      <c r="Q622" t="n">
        <v>0</v>
      </c>
      <c r="R622" s="2" t="inlineStr"/>
    </row>
    <row r="623" ht="15" customHeight="1">
      <c r="A623" t="inlineStr">
        <is>
          <t>A 49476-2024</t>
        </is>
      </c>
      <c r="B623" s="1" t="n">
        <v>45596</v>
      </c>
      <c r="C623" s="1" t="n">
        <v>45795</v>
      </c>
      <c r="D623" t="inlineStr">
        <is>
          <t>NORRBOTTENS LÄN</t>
        </is>
      </c>
      <c r="E623" t="inlineStr">
        <is>
          <t>JOKKMOKK</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49473-2024</t>
        </is>
      </c>
      <c r="B624" s="1" t="n">
        <v>45596</v>
      </c>
      <c r="C624" s="1" t="n">
        <v>45795</v>
      </c>
      <c r="D624" t="inlineStr">
        <is>
          <t>NORRBOTTENS LÄN</t>
        </is>
      </c>
      <c r="E624" t="inlineStr">
        <is>
          <t>JOKKMOKK</t>
        </is>
      </c>
      <c r="F624" t="inlineStr">
        <is>
          <t>SCA</t>
        </is>
      </c>
      <c r="G624" t="n">
        <v>6.3</v>
      </c>
      <c r="H624" t="n">
        <v>0</v>
      </c>
      <c r="I624" t="n">
        <v>0</v>
      </c>
      <c r="J624" t="n">
        <v>0</v>
      </c>
      <c r="K624" t="n">
        <v>0</v>
      </c>
      <c r="L624" t="n">
        <v>0</v>
      </c>
      <c r="M624" t="n">
        <v>0</v>
      </c>
      <c r="N624" t="n">
        <v>0</v>
      </c>
      <c r="O624" t="n">
        <v>0</v>
      </c>
      <c r="P624" t="n">
        <v>0</v>
      </c>
      <c r="Q624" t="n">
        <v>0</v>
      </c>
      <c r="R624" s="2" t="inlineStr"/>
    </row>
    <row r="625" ht="15" customHeight="1">
      <c r="A625" t="inlineStr">
        <is>
          <t>A 49477-2024</t>
        </is>
      </c>
      <c r="B625" s="1" t="n">
        <v>45596</v>
      </c>
      <c r="C625" s="1" t="n">
        <v>45795</v>
      </c>
      <c r="D625" t="inlineStr">
        <is>
          <t>NORRBOTTENS LÄN</t>
        </is>
      </c>
      <c r="E625" t="inlineStr">
        <is>
          <t>JOKKMOKK</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49671-2024</t>
        </is>
      </c>
      <c r="B626" s="1" t="n">
        <v>45596</v>
      </c>
      <c r="C626" s="1" t="n">
        <v>45795</v>
      </c>
      <c r="D626" t="inlineStr">
        <is>
          <t>NORRBOTTENS LÄN</t>
        </is>
      </c>
      <c r="E626" t="inlineStr">
        <is>
          <t>JOKKMOKK</t>
        </is>
      </c>
      <c r="F626" t="inlineStr">
        <is>
          <t>Allmännings- och besparingsskogar</t>
        </is>
      </c>
      <c r="G626" t="n">
        <v>15.5</v>
      </c>
      <c r="H626" t="n">
        <v>0</v>
      </c>
      <c r="I626" t="n">
        <v>0</v>
      </c>
      <c r="J626" t="n">
        <v>0</v>
      </c>
      <c r="K626" t="n">
        <v>0</v>
      </c>
      <c r="L626" t="n">
        <v>0</v>
      </c>
      <c r="M626" t="n">
        <v>0</v>
      </c>
      <c r="N626" t="n">
        <v>0</v>
      </c>
      <c r="O626" t="n">
        <v>0</v>
      </c>
      <c r="P626" t="n">
        <v>0</v>
      </c>
      <c r="Q626" t="n">
        <v>0</v>
      </c>
      <c r="R626" s="2" t="inlineStr"/>
    </row>
    <row r="627" ht="15" customHeight="1">
      <c r="A627" t="inlineStr">
        <is>
          <t>A 49679-2024</t>
        </is>
      </c>
      <c r="B627" s="1" t="n">
        <v>45596</v>
      </c>
      <c r="C627" s="1" t="n">
        <v>45795</v>
      </c>
      <c r="D627" t="inlineStr">
        <is>
          <t>NORRBOTTENS LÄN</t>
        </is>
      </c>
      <c r="E627" t="inlineStr">
        <is>
          <t>JOKKMOKK</t>
        </is>
      </c>
      <c r="F627" t="inlineStr">
        <is>
          <t>Allmännings- och besparingsskogar</t>
        </is>
      </c>
      <c r="G627" t="n">
        <v>14.1</v>
      </c>
      <c r="H627" t="n">
        <v>0</v>
      </c>
      <c r="I627" t="n">
        <v>0</v>
      </c>
      <c r="J627" t="n">
        <v>0</v>
      </c>
      <c r="K627" t="n">
        <v>0</v>
      </c>
      <c r="L627" t="n">
        <v>0</v>
      </c>
      <c r="M627" t="n">
        <v>0</v>
      </c>
      <c r="N627" t="n">
        <v>0</v>
      </c>
      <c r="O627" t="n">
        <v>0</v>
      </c>
      <c r="P627" t="n">
        <v>0</v>
      </c>
      <c r="Q627" t="n">
        <v>0</v>
      </c>
      <c r="R627" s="2" t="inlineStr"/>
    </row>
    <row r="628" ht="15" customHeight="1">
      <c r="A628" t="inlineStr">
        <is>
          <t>A 49562-2024</t>
        </is>
      </c>
      <c r="B628" s="1" t="n">
        <v>45596</v>
      </c>
      <c r="C628" s="1" t="n">
        <v>45795</v>
      </c>
      <c r="D628" t="inlineStr">
        <is>
          <t>NORRBOTTENS LÄN</t>
        </is>
      </c>
      <c r="E628" t="inlineStr">
        <is>
          <t>JOKKMOKK</t>
        </is>
      </c>
      <c r="F628" t="inlineStr">
        <is>
          <t>Allmännings- och besparingsskogar</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49471-2024</t>
        </is>
      </c>
      <c r="B629" s="1" t="n">
        <v>45596</v>
      </c>
      <c r="C629" s="1" t="n">
        <v>45795</v>
      </c>
      <c r="D629" t="inlineStr">
        <is>
          <t>NORRBOTTENS LÄN</t>
        </is>
      </c>
      <c r="E629" t="inlineStr">
        <is>
          <t>JOKKMOKK</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49475-2024</t>
        </is>
      </c>
      <c r="B630" s="1" t="n">
        <v>45596</v>
      </c>
      <c r="C630" s="1" t="n">
        <v>45795</v>
      </c>
      <c r="D630" t="inlineStr">
        <is>
          <t>NORRBOTTENS LÄN</t>
        </is>
      </c>
      <c r="E630" t="inlineStr">
        <is>
          <t>JOKKMOKK</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49474-2024</t>
        </is>
      </c>
      <c r="B631" s="1" t="n">
        <v>45596</v>
      </c>
      <c r="C631" s="1" t="n">
        <v>45795</v>
      </c>
      <c r="D631" t="inlineStr">
        <is>
          <t>NORRBOTTENS LÄN</t>
        </is>
      </c>
      <c r="E631" t="inlineStr">
        <is>
          <t>JOKKMOKK</t>
        </is>
      </c>
      <c r="F631" t="inlineStr">
        <is>
          <t>SCA</t>
        </is>
      </c>
      <c r="G631" t="n">
        <v>5.2</v>
      </c>
      <c r="H631" t="n">
        <v>0</v>
      </c>
      <c r="I631" t="n">
        <v>0</v>
      </c>
      <c r="J631" t="n">
        <v>0</v>
      </c>
      <c r="K631" t="n">
        <v>0</v>
      </c>
      <c r="L631" t="n">
        <v>0</v>
      </c>
      <c r="M631" t="n">
        <v>0</v>
      </c>
      <c r="N631" t="n">
        <v>0</v>
      </c>
      <c r="O631" t="n">
        <v>0</v>
      </c>
      <c r="P631" t="n">
        <v>0</v>
      </c>
      <c r="Q631" t="n">
        <v>0</v>
      </c>
      <c r="R631" s="2" t="inlineStr"/>
    </row>
    <row r="632" ht="15" customHeight="1">
      <c r="A632" t="inlineStr">
        <is>
          <t>A 49478-2024</t>
        </is>
      </c>
      <c r="B632" s="1" t="n">
        <v>45596</v>
      </c>
      <c r="C632" s="1" t="n">
        <v>45795</v>
      </c>
      <c r="D632" t="inlineStr">
        <is>
          <t>NORRBOTTENS LÄN</t>
        </is>
      </c>
      <c r="E632" t="inlineStr">
        <is>
          <t>JOKKMOKK</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49612-2024</t>
        </is>
      </c>
      <c r="B633" s="1" t="n">
        <v>45596</v>
      </c>
      <c r="C633" s="1" t="n">
        <v>45795</v>
      </c>
      <c r="D633" t="inlineStr">
        <is>
          <t>NORRBOTTENS LÄN</t>
        </is>
      </c>
      <c r="E633" t="inlineStr">
        <is>
          <t>JOKKMOKK</t>
        </is>
      </c>
      <c r="G633" t="n">
        <v>9</v>
      </c>
      <c r="H633" t="n">
        <v>0</v>
      </c>
      <c r="I633" t="n">
        <v>0</v>
      </c>
      <c r="J633" t="n">
        <v>0</v>
      </c>
      <c r="K633" t="n">
        <v>0</v>
      </c>
      <c r="L633" t="n">
        <v>0</v>
      </c>
      <c r="M633" t="n">
        <v>0</v>
      </c>
      <c r="N633" t="n">
        <v>0</v>
      </c>
      <c r="O633" t="n">
        <v>0</v>
      </c>
      <c r="P633" t="n">
        <v>0</v>
      </c>
      <c r="Q633" t="n">
        <v>0</v>
      </c>
      <c r="R633" s="2" t="inlineStr"/>
    </row>
    <row r="634" ht="15" customHeight="1">
      <c r="A634" t="inlineStr">
        <is>
          <t>A 49953-2024</t>
        </is>
      </c>
      <c r="B634" s="1" t="n">
        <v>45597</v>
      </c>
      <c r="C634" s="1" t="n">
        <v>45795</v>
      </c>
      <c r="D634" t="inlineStr">
        <is>
          <t>NORRBOTTENS LÄN</t>
        </is>
      </c>
      <c r="E634" t="inlineStr">
        <is>
          <t>JOKKMOKK</t>
        </is>
      </c>
      <c r="F634" t="inlineStr">
        <is>
          <t>Allmännings- och besparingsskogar</t>
        </is>
      </c>
      <c r="G634" t="n">
        <v>9.4</v>
      </c>
      <c r="H634" t="n">
        <v>0</v>
      </c>
      <c r="I634" t="n">
        <v>0</v>
      </c>
      <c r="J634" t="n">
        <v>0</v>
      </c>
      <c r="K634" t="n">
        <v>0</v>
      </c>
      <c r="L634" t="n">
        <v>0</v>
      </c>
      <c r="M634" t="n">
        <v>0</v>
      </c>
      <c r="N634" t="n">
        <v>0</v>
      </c>
      <c r="O634" t="n">
        <v>0</v>
      </c>
      <c r="P634" t="n">
        <v>0</v>
      </c>
      <c r="Q634" t="n">
        <v>0</v>
      </c>
      <c r="R634" s="2" t="inlineStr"/>
    </row>
    <row r="635" ht="15" customHeight="1">
      <c r="A635" t="inlineStr">
        <is>
          <t>A 50131-2024</t>
        </is>
      </c>
      <c r="B635" s="1" t="n">
        <v>45600</v>
      </c>
      <c r="C635" s="1" t="n">
        <v>45795</v>
      </c>
      <c r="D635" t="inlineStr">
        <is>
          <t>NORRBOTTENS LÄN</t>
        </is>
      </c>
      <c r="E635" t="inlineStr">
        <is>
          <t>JOKKMOKK</t>
        </is>
      </c>
      <c r="G635" t="n">
        <v>6.5</v>
      </c>
      <c r="H635" t="n">
        <v>0</v>
      </c>
      <c r="I635" t="n">
        <v>0</v>
      </c>
      <c r="J635" t="n">
        <v>0</v>
      </c>
      <c r="K635" t="n">
        <v>0</v>
      </c>
      <c r="L635" t="n">
        <v>0</v>
      </c>
      <c r="M635" t="n">
        <v>0</v>
      </c>
      <c r="N635" t="n">
        <v>0</v>
      </c>
      <c r="O635" t="n">
        <v>0</v>
      </c>
      <c r="P635" t="n">
        <v>0</v>
      </c>
      <c r="Q635" t="n">
        <v>0</v>
      </c>
      <c r="R635" s="2" t="inlineStr"/>
    </row>
    <row r="636" ht="15" customHeight="1">
      <c r="A636" t="inlineStr">
        <is>
          <t>A 50496-2024</t>
        </is>
      </c>
      <c r="B636" s="1" t="n">
        <v>45601</v>
      </c>
      <c r="C636" s="1" t="n">
        <v>45795</v>
      </c>
      <c r="D636" t="inlineStr">
        <is>
          <t>NORRBOTTENS LÄN</t>
        </is>
      </c>
      <c r="E636" t="inlineStr">
        <is>
          <t>JOKKMOKK</t>
        </is>
      </c>
      <c r="F636" t="inlineStr">
        <is>
          <t>Allmännings- och besparingsskogar</t>
        </is>
      </c>
      <c r="G636" t="n">
        <v>2.1</v>
      </c>
      <c r="H636" t="n">
        <v>0</v>
      </c>
      <c r="I636" t="n">
        <v>0</v>
      </c>
      <c r="J636" t="n">
        <v>0</v>
      </c>
      <c r="K636" t="n">
        <v>0</v>
      </c>
      <c r="L636" t="n">
        <v>0</v>
      </c>
      <c r="M636" t="n">
        <v>0</v>
      </c>
      <c r="N636" t="n">
        <v>0</v>
      </c>
      <c r="O636" t="n">
        <v>0</v>
      </c>
      <c r="P636" t="n">
        <v>0</v>
      </c>
      <c r="Q636" t="n">
        <v>0</v>
      </c>
      <c r="R636" s="2" t="inlineStr"/>
    </row>
    <row r="637" ht="15" customHeight="1">
      <c r="A637" t="inlineStr">
        <is>
          <t>A 50651-2024</t>
        </is>
      </c>
      <c r="B637" s="1" t="n">
        <v>45601</v>
      </c>
      <c r="C637" s="1" t="n">
        <v>45795</v>
      </c>
      <c r="D637" t="inlineStr">
        <is>
          <t>NORRBOTTENS LÄN</t>
        </is>
      </c>
      <c r="E637" t="inlineStr">
        <is>
          <t>JOKKMOKK</t>
        </is>
      </c>
      <c r="F637" t="inlineStr">
        <is>
          <t>Allmännings- och besparingsskogar</t>
        </is>
      </c>
      <c r="G637" t="n">
        <v>6.1</v>
      </c>
      <c r="H637" t="n">
        <v>0</v>
      </c>
      <c r="I637" t="n">
        <v>0</v>
      </c>
      <c r="J637" t="n">
        <v>0</v>
      </c>
      <c r="K637" t="n">
        <v>0</v>
      </c>
      <c r="L637" t="n">
        <v>0</v>
      </c>
      <c r="M637" t="n">
        <v>0</v>
      </c>
      <c r="N637" t="n">
        <v>0</v>
      </c>
      <c r="O637" t="n">
        <v>0</v>
      </c>
      <c r="P637" t="n">
        <v>0</v>
      </c>
      <c r="Q637" t="n">
        <v>0</v>
      </c>
      <c r="R637" s="2" t="inlineStr"/>
    </row>
    <row r="638" ht="15" customHeight="1">
      <c r="A638" t="inlineStr">
        <is>
          <t>A 50628-2024</t>
        </is>
      </c>
      <c r="B638" s="1" t="n">
        <v>45601</v>
      </c>
      <c r="C638" s="1" t="n">
        <v>45795</v>
      </c>
      <c r="D638" t="inlineStr">
        <is>
          <t>NORRBOTTENS LÄN</t>
        </is>
      </c>
      <c r="E638" t="inlineStr">
        <is>
          <t>JOKKMOKK</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50436-2024</t>
        </is>
      </c>
      <c r="B639" s="1" t="n">
        <v>45601</v>
      </c>
      <c r="C639" s="1" t="n">
        <v>45795</v>
      </c>
      <c r="D639" t="inlineStr">
        <is>
          <t>NORRBOTTENS LÄN</t>
        </is>
      </c>
      <c r="E639" t="inlineStr">
        <is>
          <t>JOKKMOKK</t>
        </is>
      </c>
      <c r="F639" t="inlineStr">
        <is>
          <t>Allmännings- och besparingsskogar</t>
        </is>
      </c>
      <c r="G639" t="n">
        <v>6.5</v>
      </c>
      <c r="H639" t="n">
        <v>0</v>
      </c>
      <c r="I639" t="n">
        <v>0</v>
      </c>
      <c r="J639" t="n">
        <v>0</v>
      </c>
      <c r="K639" t="n">
        <v>0</v>
      </c>
      <c r="L639" t="n">
        <v>0</v>
      </c>
      <c r="M639" t="n">
        <v>0</v>
      </c>
      <c r="N639" t="n">
        <v>0</v>
      </c>
      <c r="O639" t="n">
        <v>0</v>
      </c>
      <c r="P639" t="n">
        <v>0</v>
      </c>
      <c r="Q639" t="n">
        <v>0</v>
      </c>
      <c r="R639" s="2" t="inlineStr"/>
    </row>
    <row r="640" ht="15" customHeight="1">
      <c r="A640" t="inlineStr">
        <is>
          <t>A 50566-2024</t>
        </is>
      </c>
      <c r="B640" s="1" t="n">
        <v>45601</v>
      </c>
      <c r="C640" s="1" t="n">
        <v>45795</v>
      </c>
      <c r="D640" t="inlineStr">
        <is>
          <t>NORRBOTTENS LÄN</t>
        </is>
      </c>
      <c r="E640" t="inlineStr">
        <is>
          <t>JOKKMOKK</t>
        </is>
      </c>
      <c r="G640" t="n">
        <v>1.2</v>
      </c>
      <c r="H640" t="n">
        <v>0</v>
      </c>
      <c r="I640" t="n">
        <v>0</v>
      </c>
      <c r="J640" t="n">
        <v>0</v>
      </c>
      <c r="K640" t="n">
        <v>0</v>
      </c>
      <c r="L640" t="n">
        <v>0</v>
      </c>
      <c r="M640" t="n">
        <v>0</v>
      </c>
      <c r="N640" t="n">
        <v>0</v>
      </c>
      <c r="O640" t="n">
        <v>0</v>
      </c>
      <c r="P640" t="n">
        <v>0</v>
      </c>
      <c r="Q640" t="n">
        <v>0</v>
      </c>
      <c r="R640" s="2" t="inlineStr"/>
    </row>
    <row r="641" ht="15" customHeight="1">
      <c r="A641" t="inlineStr">
        <is>
          <t>A 50820-2024</t>
        </is>
      </c>
      <c r="B641" s="1" t="n">
        <v>45602</v>
      </c>
      <c r="C641" s="1" t="n">
        <v>45795</v>
      </c>
      <c r="D641" t="inlineStr">
        <is>
          <t>NORRBOTTENS LÄN</t>
        </is>
      </c>
      <c r="E641" t="inlineStr">
        <is>
          <t>JOKKMOKK</t>
        </is>
      </c>
      <c r="F641" t="inlineStr">
        <is>
          <t>Allmännings- och besparingsskogar</t>
        </is>
      </c>
      <c r="G641" t="n">
        <v>4</v>
      </c>
      <c r="H641" t="n">
        <v>0</v>
      </c>
      <c r="I641" t="n">
        <v>0</v>
      </c>
      <c r="J641" t="n">
        <v>0</v>
      </c>
      <c r="K641" t="n">
        <v>0</v>
      </c>
      <c r="L641" t="n">
        <v>0</v>
      </c>
      <c r="M641" t="n">
        <v>0</v>
      </c>
      <c r="N641" t="n">
        <v>0</v>
      </c>
      <c r="O641" t="n">
        <v>0</v>
      </c>
      <c r="P641" t="n">
        <v>0</v>
      </c>
      <c r="Q641" t="n">
        <v>0</v>
      </c>
      <c r="R641" s="2" t="inlineStr"/>
    </row>
    <row r="642" ht="15" customHeight="1">
      <c r="A642" t="inlineStr">
        <is>
          <t>A 51261-2024</t>
        </is>
      </c>
      <c r="B642" s="1" t="n">
        <v>45603</v>
      </c>
      <c r="C642" s="1" t="n">
        <v>45795</v>
      </c>
      <c r="D642" t="inlineStr">
        <is>
          <t>NORRBOTTENS LÄN</t>
        </is>
      </c>
      <c r="E642" t="inlineStr">
        <is>
          <t>JOKKMOKK</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51269-2024</t>
        </is>
      </c>
      <c r="B643" s="1" t="n">
        <v>45603</v>
      </c>
      <c r="C643" s="1" t="n">
        <v>45795</v>
      </c>
      <c r="D643" t="inlineStr">
        <is>
          <t>NORRBOTTENS LÄN</t>
        </is>
      </c>
      <c r="E643" t="inlineStr">
        <is>
          <t>JOKKMOKK</t>
        </is>
      </c>
      <c r="F643" t="inlineStr">
        <is>
          <t>Allmännings- och besparingsskogar</t>
        </is>
      </c>
      <c r="G643" t="n">
        <v>4.4</v>
      </c>
      <c r="H643" t="n">
        <v>0</v>
      </c>
      <c r="I643" t="n">
        <v>0</v>
      </c>
      <c r="J643" t="n">
        <v>0</v>
      </c>
      <c r="K643" t="n">
        <v>0</v>
      </c>
      <c r="L643" t="n">
        <v>0</v>
      </c>
      <c r="M643" t="n">
        <v>0</v>
      </c>
      <c r="N643" t="n">
        <v>0</v>
      </c>
      <c r="O643" t="n">
        <v>0</v>
      </c>
      <c r="P643" t="n">
        <v>0</v>
      </c>
      <c r="Q643" t="n">
        <v>0</v>
      </c>
      <c r="R643" s="2" t="inlineStr"/>
    </row>
    <row r="644" ht="15" customHeight="1">
      <c r="A644" t="inlineStr">
        <is>
          <t>A 51292-2024</t>
        </is>
      </c>
      <c r="B644" s="1" t="n">
        <v>45603</v>
      </c>
      <c r="C644" s="1" t="n">
        <v>45795</v>
      </c>
      <c r="D644" t="inlineStr">
        <is>
          <t>NORRBOTTENS LÄN</t>
        </is>
      </c>
      <c r="E644" t="inlineStr">
        <is>
          <t>JOKKMOKK</t>
        </is>
      </c>
      <c r="G644" t="n">
        <v>3.8</v>
      </c>
      <c r="H644" t="n">
        <v>0</v>
      </c>
      <c r="I644" t="n">
        <v>0</v>
      </c>
      <c r="J644" t="n">
        <v>0</v>
      </c>
      <c r="K644" t="n">
        <v>0</v>
      </c>
      <c r="L644" t="n">
        <v>0</v>
      </c>
      <c r="M644" t="n">
        <v>0</v>
      </c>
      <c r="N644" t="n">
        <v>0</v>
      </c>
      <c r="O644" t="n">
        <v>0</v>
      </c>
      <c r="P644" t="n">
        <v>0</v>
      </c>
      <c r="Q644" t="n">
        <v>0</v>
      </c>
      <c r="R644" s="2" t="inlineStr"/>
    </row>
    <row r="645" ht="15" customHeight="1">
      <c r="A645" t="inlineStr">
        <is>
          <t>A 51293-2024</t>
        </is>
      </c>
      <c r="B645" s="1" t="n">
        <v>45603</v>
      </c>
      <c r="C645" s="1" t="n">
        <v>45795</v>
      </c>
      <c r="D645" t="inlineStr">
        <is>
          <t>NORRBOTTENS LÄN</t>
        </is>
      </c>
      <c r="E645" t="inlineStr">
        <is>
          <t>JOKKMOKK</t>
        </is>
      </c>
      <c r="G645" t="n">
        <v>2.5</v>
      </c>
      <c r="H645" t="n">
        <v>0</v>
      </c>
      <c r="I645" t="n">
        <v>0</v>
      </c>
      <c r="J645" t="n">
        <v>0</v>
      </c>
      <c r="K645" t="n">
        <v>0</v>
      </c>
      <c r="L645" t="n">
        <v>0</v>
      </c>
      <c r="M645" t="n">
        <v>0</v>
      </c>
      <c r="N645" t="n">
        <v>0</v>
      </c>
      <c r="O645" t="n">
        <v>0</v>
      </c>
      <c r="P645" t="n">
        <v>0</v>
      </c>
      <c r="Q645" t="n">
        <v>0</v>
      </c>
      <c r="R645" s="2" t="inlineStr"/>
    </row>
    <row r="646" ht="15" customHeight="1">
      <c r="A646" t="inlineStr">
        <is>
          <t>A 51336-2024</t>
        </is>
      </c>
      <c r="B646" s="1" t="n">
        <v>45604</v>
      </c>
      <c r="C646" s="1" t="n">
        <v>45795</v>
      </c>
      <c r="D646" t="inlineStr">
        <is>
          <t>NORRBOTTENS LÄN</t>
        </is>
      </c>
      <c r="E646" t="inlineStr">
        <is>
          <t>JOKKMOKK</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51617-2024</t>
        </is>
      </c>
      <c r="B647" s="1" t="n">
        <v>45604</v>
      </c>
      <c r="C647" s="1" t="n">
        <v>45795</v>
      </c>
      <c r="D647" t="inlineStr">
        <is>
          <t>NORRBOTTENS LÄN</t>
        </is>
      </c>
      <c r="E647" t="inlineStr">
        <is>
          <t>JOKKMOKK</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52289-2024</t>
        </is>
      </c>
      <c r="B648" s="1" t="n">
        <v>45608</v>
      </c>
      <c r="C648" s="1" t="n">
        <v>45795</v>
      </c>
      <c r="D648" t="inlineStr">
        <is>
          <t>NORRBOTTENS LÄN</t>
        </is>
      </c>
      <c r="E648" t="inlineStr">
        <is>
          <t>JOKKMOKK</t>
        </is>
      </c>
      <c r="F648" t="inlineStr">
        <is>
          <t>Allmännings- och besparingsskogar</t>
        </is>
      </c>
      <c r="G648" t="n">
        <v>11.6</v>
      </c>
      <c r="H648" t="n">
        <v>0</v>
      </c>
      <c r="I648" t="n">
        <v>0</v>
      </c>
      <c r="J648" t="n">
        <v>0</v>
      </c>
      <c r="K648" t="n">
        <v>0</v>
      </c>
      <c r="L648" t="n">
        <v>0</v>
      </c>
      <c r="M648" t="n">
        <v>0</v>
      </c>
      <c r="N648" t="n">
        <v>0</v>
      </c>
      <c r="O648" t="n">
        <v>0</v>
      </c>
      <c r="P648" t="n">
        <v>0</v>
      </c>
      <c r="Q648" t="n">
        <v>0</v>
      </c>
      <c r="R648" s="2" t="inlineStr"/>
    </row>
    <row r="649" ht="15" customHeight="1">
      <c r="A649" t="inlineStr">
        <is>
          <t>A 52130-2024</t>
        </is>
      </c>
      <c r="B649" s="1" t="n">
        <v>45608</v>
      </c>
      <c r="C649" s="1" t="n">
        <v>45795</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52356-2024</t>
        </is>
      </c>
      <c r="B650" s="1" t="n">
        <v>45609</v>
      </c>
      <c r="C650" s="1" t="n">
        <v>45795</v>
      </c>
      <c r="D650" t="inlineStr">
        <is>
          <t>NORRBOTTENS LÄN</t>
        </is>
      </c>
      <c r="E650" t="inlineStr">
        <is>
          <t>JOKKMOKK</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52564-2024</t>
        </is>
      </c>
      <c r="B651" s="1" t="n">
        <v>45609</v>
      </c>
      <c r="C651" s="1" t="n">
        <v>45795</v>
      </c>
      <c r="D651" t="inlineStr">
        <is>
          <t>NORRBOTTENS LÄN</t>
        </is>
      </c>
      <c r="E651" t="inlineStr">
        <is>
          <t>JOKKMOKK</t>
        </is>
      </c>
      <c r="F651" t="inlineStr">
        <is>
          <t>Allmännings- och besparingsskogar</t>
        </is>
      </c>
      <c r="G651" t="n">
        <v>16.5</v>
      </c>
      <c r="H651" t="n">
        <v>0</v>
      </c>
      <c r="I651" t="n">
        <v>0</v>
      </c>
      <c r="J651" t="n">
        <v>0</v>
      </c>
      <c r="K651" t="n">
        <v>0</v>
      </c>
      <c r="L651" t="n">
        <v>0</v>
      </c>
      <c r="M651" t="n">
        <v>0</v>
      </c>
      <c r="N651" t="n">
        <v>0</v>
      </c>
      <c r="O651" t="n">
        <v>0</v>
      </c>
      <c r="P651" t="n">
        <v>0</v>
      </c>
      <c r="Q651" t="n">
        <v>0</v>
      </c>
      <c r="R651" s="2" t="inlineStr"/>
    </row>
    <row r="652" ht="15" customHeight="1">
      <c r="A652" t="inlineStr">
        <is>
          <t>A 52733-2024</t>
        </is>
      </c>
      <c r="B652" s="1" t="n">
        <v>45610</v>
      </c>
      <c r="C652" s="1" t="n">
        <v>45795</v>
      </c>
      <c r="D652" t="inlineStr">
        <is>
          <t>NORRBOTTENS LÄN</t>
        </is>
      </c>
      <c r="E652" t="inlineStr">
        <is>
          <t>JOKKMOKK</t>
        </is>
      </c>
      <c r="F652" t="inlineStr">
        <is>
          <t>Allmännings- och besparingsskogar</t>
        </is>
      </c>
      <c r="G652" t="n">
        <v>6.1</v>
      </c>
      <c r="H652" t="n">
        <v>0</v>
      </c>
      <c r="I652" t="n">
        <v>0</v>
      </c>
      <c r="J652" t="n">
        <v>0</v>
      </c>
      <c r="K652" t="n">
        <v>0</v>
      </c>
      <c r="L652" t="n">
        <v>0</v>
      </c>
      <c r="M652" t="n">
        <v>0</v>
      </c>
      <c r="N652" t="n">
        <v>0</v>
      </c>
      <c r="O652" t="n">
        <v>0</v>
      </c>
      <c r="P652" t="n">
        <v>0</v>
      </c>
      <c r="Q652" t="n">
        <v>0</v>
      </c>
      <c r="R652" s="2" t="inlineStr"/>
    </row>
    <row r="653" ht="15" customHeight="1">
      <c r="A653" t="inlineStr">
        <is>
          <t>A 52812-2024</t>
        </is>
      </c>
      <c r="B653" s="1" t="n">
        <v>45610</v>
      </c>
      <c r="C653" s="1" t="n">
        <v>45795</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52855-2024</t>
        </is>
      </c>
      <c r="B654" s="1" t="n">
        <v>45610</v>
      </c>
      <c r="C654" s="1" t="n">
        <v>45795</v>
      </c>
      <c r="D654" t="inlineStr">
        <is>
          <t>NORRBOTTENS LÄN</t>
        </is>
      </c>
      <c r="E654" t="inlineStr">
        <is>
          <t>JOKKMOKK</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53185-2024</t>
        </is>
      </c>
      <c r="B655" s="1" t="n">
        <v>45611</v>
      </c>
      <c r="C655" s="1" t="n">
        <v>45795</v>
      </c>
      <c r="D655" t="inlineStr">
        <is>
          <t>NORRBOTTENS LÄN</t>
        </is>
      </c>
      <c r="E655" t="inlineStr">
        <is>
          <t>JOKKMOKK</t>
        </is>
      </c>
      <c r="F655" t="inlineStr">
        <is>
          <t>Allmännings- och besparingsskogar</t>
        </is>
      </c>
      <c r="G655" t="n">
        <v>12.8</v>
      </c>
      <c r="H655" t="n">
        <v>0</v>
      </c>
      <c r="I655" t="n">
        <v>0</v>
      </c>
      <c r="J655" t="n">
        <v>0</v>
      </c>
      <c r="K655" t="n">
        <v>0</v>
      </c>
      <c r="L655" t="n">
        <v>0</v>
      </c>
      <c r="M655" t="n">
        <v>0</v>
      </c>
      <c r="N655" t="n">
        <v>0</v>
      </c>
      <c r="O655" t="n">
        <v>0</v>
      </c>
      <c r="P655" t="n">
        <v>0</v>
      </c>
      <c r="Q655" t="n">
        <v>0</v>
      </c>
      <c r="R655" s="2" t="inlineStr"/>
    </row>
    <row r="656" ht="15" customHeight="1">
      <c r="A656" t="inlineStr">
        <is>
          <t>A 53172-2024</t>
        </is>
      </c>
      <c r="B656" s="1" t="n">
        <v>45611</v>
      </c>
      <c r="C656" s="1" t="n">
        <v>45795</v>
      </c>
      <c r="D656" t="inlineStr">
        <is>
          <t>NORRBOTTENS LÄN</t>
        </is>
      </c>
      <c r="E656" t="inlineStr">
        <is>
          <t>JOKKMOKK</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53190-2024</t>
        </is>
      </c>
      <c r="B657" s="1" t="n">
        <v>45611</v>
      </c>
      <c r="C657" s="1" t="n">
        <v>45795</v>
      </c>
      <c r="D657" t="inlineStr">
        <is>
          <t>NORRBOTTENS LÄN</t>
        </is>
      </c>
      <c r="E657" t="inlineStr">
        <is>
          <t>JOKKMOKK</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53232-2024</t>
        </is>
      </c>
      <c r="B658" s="1" t="n">
        <v>45613</v>
      </c>
      <c r="C658" s="1" t="n">
        <v>45795</v>
      </c>
      <c r="D658" t="inlineStr">
        <is>
          <t>NORRBOTTENS LÄN</t>
        </is>
      </c>
      <c r="E658" t="inlineStr">
        <is>
          <t>JOKKMOKK</t>
        </is>
      </c>
      <c r="G658" t="n">
        <v>1.9</v>
      </c>
      <c r="H658" t="n">
        <v>0</v>
      </c>
      <c r="I658" t="n">
        <v>0</v>
      </c>
      <c r="J658" t="n">
        <v>0</v>
      </c>
      <c r="K658" t="n">
        <v>0</v>
      </c>
      <c r="L658" t="n">
        <v>0</v>
      </c>
      <c r="M658" t="n">
        <v>0</v>
      </c>
      <c r="N658" t="n">
        <v>0</v>
      </c>
      <c r="O658" t="n">
        <v>0</v>
      </c>
      <c r="P658" t="n">
        <v>0</v>
      </c>
      <c r="Q658" t="n">
        <v>0</v>
      </c>
      <c r="R658" s="2" t="inlineStr"/>
    </row>
    <row r="659" ht="15" customHeight="1">
      <c r="A659" t="inlineStr">
        <is>
          <t>A 54674-2024</t>
        </is>
      </c>
      <c r="B659" s="1" t="n">
        <v>45618</v>
      </c>
      <c r="C659" s="1" t="n">
        <v>45795</v>
      </c>
      <c r="D659" t="inlineStr">
        <is>
          <t>NORRBOTTENS LÄN</t>
        </is>
      </c>
      <c r="E659" t="inlineStr">
        <is>
          <t>JOKKMOKK</t>
        </is>
      </c>
      <c r="G659" t="n">
        <v>13.9</v>
      </c>
      <c r="H659" t="n">
        <v>0</v>
      </c>
      <c r="I659" t="n">
        <v>0</v>
      </c>
      <c r="J659" t="n">
        <v>0</v>
      </c>
      <c r="K659" t="n">
        <v>0</v>
      </c>
      <c r="L659" t="n">
        <v>0</v>
      </c>
      <c r="M659" t="n">
        <v>0</v>
      </c>
      <c r="N659" t="n">
        <v>0</v>
      </c>
      <c r="O659" t="n">
        <v>0</v>
      </c>
      <c r="P659" t="n">
        <v>0</v>
      </c>
      <c r="Q659" t="n">
        <v>0</v>
      </c>
      <c r="R659" s="2" t="inlineStr"/>
    </row>
    <row r="660" ht="15" customHeight="1">
      <c r="A660" t="inlineStr">
        <is>
          <t>A 54670-2024</t>
        </is>
      </c>
      <c r="B660" s="1" t="n">
        <v>45618</v>
      </c>
      <c r="C660" s="1" t="n">
        <v>45795</v>
      </c>
      <c r="D660" t="inlineStr">
        <is>
          <t>NORRBOTTENS LÄN</t>
        </is>
      </c>
      <c r="E660" t="inlineStr">
        <is>
          <t>JOKKMOKK</t>
        </is>
      </c>
      <c r="G660" t="n">
        <v>8.5</v>
      </c>
      <c r="H660" t="n">
        <v>0</v>
      </c>
      <c r="I660" t="n">
        <v>0</v>
      </c>
      <c r="J660" t="n">
        <v>0</v>
      </c>
      <c r="K660" t="n">
        <v>0</v>
      </c>
      <c r="L660" t="n">
        <v>0</v>
      </c>
      <c r="M660" t="n">
        <v>0</v>
      </c>
      <c r="N660" t="n">
        <v>0</v>
      </c>
      <c r="O660" t="n">
        <v>0</v>
      </c>
      <c r="P660" t="n">
        <v>0</v>
      </c>
      <c r="Q660" t="n">
        <v>0</v>
      </c>
      <c r="R660" s="2" t="inlineStr"/>
    </row>
    <row r="661" ht="15" customHeight="1">
      <c r="A661" t="inlineStr">
        <is>
          <t>A 54953-2024</t>
        </is>
      </c>
      <c r="B661" s="1" t="n">
        <v>45619</v>
      </c>
      <c r="C661" s="1" t="n">
        <v>45795</v>
      </c>
      <c r="D661" t="inlineStr">
        <is>
          <t>NORRBOTTENS LÄN</t>
        </is>
      </c>
      <c r="E661" t="inlineStr">
        <is>
          <t>JOKKMOKK</t>
        </is>
      </c>
      <c r="F661" t="inlineStr">
        <is>
          <t>SCA</t>
        </is>
      </c>
      <c r="G661" t="n">
        <v>17.5</v>
      </c>
      <c r="H661" t="n">
        <v>0</v>
      </c>
      <c r="I661" t="n">
        <v>0</v>
      </c>
      <c r="J661" t="n">
        <v>0</v>
      </c>
      <c r="K661" t="n">
        <v>0</v>
      </c>
      <c r="L661" t="n">
        <v>0</v>
      </c>
      <c r="M661" t="n">
        <v>0</v>
      </c>
      <c r="N661" t="n">
        <v>0</v>
      </c>
      <c r="O661" t="n">
        <v>0</v>
      </c>
      <c r="P661" t="n">
        <v>0</v>
      </c>
      <c r="Q661" t="n">
        <v>0</v>
      </c>
      <c r="R661" s="2" t="inlineStr"/>
    </row>
    <row r="662" ht="15" customHeight="1">
      <c r="A662" t="inlineStr">
        <is>
          <t>A 54954-2024</t>
        </is>
      </c>
      <c r="B662" s="1" t="n">
        <v>45619</v>
      </c>
      <c r="C662" s="1" t="n">
        <v>45795</v>
      </c>
      <c r="D662" t="inlineStr">
        <is>
          <t>NORRBOTTENS LÄN</t>
        </is>
      </c>
      <c r="E662" t="inlineStr">
        <is>
          <t>JOKKMOKK</t>
        </is>
      </c>
      <c r="F662" t="inlineStr">
        <is>
          <t>SCA</t>
        </is>
      </c>
      <c r="G662" t="n">
        <v>17.1</v>
      </c>
      <c r="H662" t="n">
        <v>0</v>
      </c>
      <c r="I662" t="n">
        <v>0</v>
      </c>
      <c r="J662" t="n">
        <v>0</v>
      </c>
      <c r="K662" t="n">
        <v>0</v>
      </c>
      <c r="L662" t="n">
        <v>0</v>
      </c>
      <c r="M662" t="n">
        <v>0</v>
      </c>
      <c r="N662" t="n">
        <v>0</v>
      </c>
      <c r="O662" t="n">
        <v>0</v>
      </c>
      <c r="P662" t="n">
        <v>0</v>
      </c>
      <c r="Q662" t="n">
        <v>0</v>
      </c>
      <c r="R662" s="2" t="inlineStr"/>
    </row>
    <row r="663" ht="15" customHeight="1">
      <c r="A663" t="inlineStr">
        <is>
          <t>A 54952-2024</t>
        </is>
      </c>
      <c r="B663" s="1" t="n">
        <v>45619</v>
      </c>
      <c r="C663" s="1" t="n">
        <v>45795</v>
      </c>
      <c r="D663" t="inlineStr">
        <is>
          <t>NORRBOTTENS LÄN</t>
        </is>
      </c>
      <c r="E663" t="inlineStr">
        <is>
          <t>JOKKMOKK</t>
        </is>
      </c>
      <c r="F663" t="inlineStr">
        <is>
          <t>SCA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55491-2024</t>
        </is>
      </c>
      <c r="B664" s="1" t="n">
        <v>45622</v>
      </c>
      <c r="C664" s="1" t="n">
        <v>45795</v>
      </c>
      <c r="D664" t="inlineStr">
        <is>
          <t>NORRBOTTENS LÄN</t>
        </is>
      </c>
      <c r="E664" t="inlineStr">
        <is>
          <t>JOKKMOKK</t>
        </is>
      </c>
      <c r="F664" t="inlineStr">
        <is>
          <t>Allmännings- och besparingsskogar</t>
        </is>
      </c>
      <c r="G664" t="n">
        <v>25.2</v>
      </c>
      <c r="H664" t="n">
        <v>0</v>
      </c>
      <c r="I664" t="n">
        <v>0</v>
      </c>
      <c r="J664" t="n">
        <v>0</v>
      </c>
      <c r="K664" t="n">
        <v>0</v>
      </c>
      <c r="L664" t="n">
        <v>0</v>
      </c>
      <c r="M664" t="n">
        <v>0</v>
      </c>
      <c r="N664" t="n">
        <v>0</v>
      </c>
      <c r="O664" t="n">
        <v>0</v>
      </c>
      <c r="P664" t="n">
        <v>0</v>
      </c>
      <c r="Q664" t="n">
        <v>0</v>
      </c>
      <c r="R664" s="2" t="inlineStr"/>
    </row>
    <row r="665" ht="15" customHeight="1">
      <c r="A665" t="inlineStr">
        <is>
          <t>A 55635-2024</t>
        </is>
      </c>
      <c r="B665" s="1" t="n">
        <v>45622</v>
      </c>
      <c r="C665" s="1" t="n">
        <v>45795</v>
      </c>
      <c r="D665" t="inlineStr">
        <is>
          <t>NORRBOTTENS LÄN</t>
        </is>
      </c>
      <c r="E665" t="inlineStr">
        <is>
          <t>JOKKMOKK</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57371-2024</t>
        </is>
      </c>
      <c r="B666" s="1" t="n">
        <v>45629</v>
      </c>
      <c r="C666" s="1" t="n">
        <v>45795</v>
      </c>
      <c r="D666" t="inlineStr">
        <is>
          <t>NORRBOTTENS LÄN</t>
        </is>
      </c>
      <c r="E666" t="inlineStr">
        <is>
          <t>JOKKMOKK</t>
        </is>
      </c>
      <c r="G666" t="n">
        <v>4.2</v>
      </c>
      <c r="H666" t="n">
        <v>0</v>
      </c>
      <c r="I666" t="n">
        <v>0</v>
      </c>
      <c r="J666" t="n">
        <v>0</v>
      </c>
      <c r="K666" t="n">
        <v>0</v>
      </c>
      <c r="L666" t="n">
        <v>0</v>
      </c>
      <c r="M666" t="n">
        <v>0</v>
      </c>
      <c r="N666" t="n">
        <v>0</v>
      </c>
      <c r="O666" t="n">
        <v>0</v>
      </c>
      <c r="P666" t="n">
        <v>0</v>
      </c>
      <c r="Q666" t="n">
        <v>0</v>
      </c>
      <c r="R666" s="2" t="inlineStr"/>
    </row>
    <row r="667" ht="15" customHeight="1">
      <c r="A667" t="inlineStr">
        <is>
          <t>A 57370-2024</t>
        </is>
      </c>
      <c r="B667" s="1" t="n">
        <v>45629</v>
      </c>
      <c r="C667" s="1" t="n">
        <v>45795</v>
      </c>
      <c r="D667" t="inlineStr">
        <is>
          <t>NORRBOTTENS LÄN</t>
        </is>
      </c>
      <c r="E667" t="inlineStr">
        <is>
          <t>JOKKMOKK</t>
        </is>
      </c>
      <c r="G667" t="n">
        <v>3.1</v>
      </c>
      <c r="H667" t="n">
        <v>0</v>
      </c>
      <c r="I667" t="n">
        <v>0</v>
      </c>
      <c r="J667" t="n">
        <v>0</v>
      </c>
      <c r="K667" t="n">
        <v>0</v>
      </c>
      <c r="L667" t="n">
        <v>0</v>
      </c>
      <c r="M667" t="n">
        <v>0</v>
      </c>
      <c r="N667" t="n">
        <v>0</v>
      </c>
      <c r="O667" t="n">
        <v>0</v>
      </c>
      <c r="P667" t="n">
        <v>0</v>
      </c>
      <c r="Q667" t="n">
        <v>0</v>
      </c>
      <c r="R667" s="2" t="inlineStr"/>
    </row>
    <row r="668" ht="15" customHeight="1">
      <c r="A668" t="inlineStr">
        <is>
          <t>A 57472-2024</t>
        </is>
      </c>
      <c r="B668" s="1" t="n">
        <v>45630</v>
      </c>
      <c r="C668" s="1" t="n">
        <v>45795</v>
      </c>
      <c r="D668" t="inlineStr">
        <is>
          <t>NORRBOTTENS LÄN</t>
        </is>
      </c>
      <c r="E668" t="inlineStr">
        <is>
          <t>JOKKMOKK</t>
        </is>
      </c>
      <c r="F668" t="inlineStr">
        <is>
          <t>Sveaskog</t>
        </is>
      </c>
      <c r="G668" t="n">
        <v>7.6</v>
      </c>
      <c r="H668" t="n">
        <v>0</v>
      </c>
      <c r="I668" t="n">
        <v>0</v>
      </c>
      <c r="J668" t="n">
        <v>0</v>
      </c>
      <c r="K668" t="n">
        <v>0</v>
      </c>
      <c r="L668" t="n">
        <v>0</v>
      </c>
      <c r="M668" t="n">
        <v>0</v>
      </c>
      <c r="N668" t="n">
        <v>0</v>
      </c>
      <c r="O668" t="n">
        <v>0</v>
      </c>
      <c r="P668" t="n">
        <v>0</v>
      </c>
      <c r="Q668" t="n">
        <v>0</v>
      </c>
      <c r="R668" s="2" t="inlineStr"/>
    </row>
    <row r="669" ht="15" customHeight="1">
      <c r="A669" t="inlineStr">
        <is>
          <t>A 58358-2024</t>
        </is>
      </c>
      <c r="B669" s="1" t="n">
        <v>45632</v>
      </c>
      <c r="C669" s="1" t="n">
        <v>45795</v>
      </c>
      <c r="D669" t="inlineStr">
        <is>
          <t>NORRBOTTENS LÄN</t>
        </is>
      </c>
      <c r="E669" t="inlineStr">
        <is>
          <t>JOKKMOKK</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58353-2024</t>
        </is>
      </c>
      <c r="B670" s="1" t="n">
        <v>45632</v>
      </c>
      <c r="C670" s="1" t="n">
        <v>45795</v>
      </c>
      <c r="D670" t="inlineStr">
        <is>
          <t>NORRBOTTENS LÄN</t>
        </is>
      </c>
      <c r="E670" t="inlineStr">
        <is>
          <t>JOKKMOKK</t>
        </is>
      </c>
      <c r="G670" t="n">
        <v>1.8</v>
      </c>
      <c r="H670" t="n">
        <v>0</v>
      </c>
      <c r="I670" t="n">
        <v>0</v>
      </c>
      <c r="J670" t="n">
        <v>0</v>
      </c>
      <c r="K670" t="n">
        <v>0</v>
      </c>
      <c r="L670" t="n">
        <v>0</v>
      </c>
      <c r="M670" t="n">
        <v>0</v>
      </c>
      <c r="N670" t="n">
        <v>0</v>
      </c>
      <c r="O670" t="n">
        <v>0</v>
      </c>
      <c r="P670" t="n">
        <v>0</v>
      </c>
      <c r="Q670" t="n">
        <v>0</v>
      </c>
      <c r="R670" s="2" t="inlineStr"/>
    </row>
    <row r="671" ht="15" customHeight="1">
      <c r="A671" t="inlineStr">
        <is>
          <t>A 58365-2024</t>
        </is>
      </c>
      <c r="B671" s="1" t="n">
        <v>45632</v>
      </c>
      <c r="C671" s="1" t="n">
        <v>45795</v>
      </c>
      <c r="D671" t="inlineStr">
        <is>
          <t>NORRBOTTENS LÄN</t>
        </is>
      </c>
      <c r="E671" t="inlineStr">
        <is>
          <t>JOKKMOKK</t>
        </is>
      </c>
      <c r="G671" t="n">
        <v>3.6</v>
      </c>
      <c r="H671" t="n">
        <v>0</v>
      </c>
      <c r="I671" t="n">
        <v>0</v>
      </c>
      <c r="J671" t="n">
        <v>0</v>
      </c>
      <c r="K671" t="n">
        <v>0</v>
      </c>
      <c r="L671" t="n">
        <v>0</v>
      </c>
      <c r="M671" t="n">
        <v>0</v>
      </c>
      <c r="N671" t="n">
        <v>0</v>
      </c>
      <c r="O671" t="n">
        <v>0</v>
      </c>
      <c r="P671" t="n">
        <v>0</v>
      </c>
      <c r="Q671" t="n">
        <v>0</v>
      </c>
      <c r="R671" s="2" t="inlineStr"/>
    </row>
    <row r="672" ht="15" customHeight="1">
      <c r="A672" t="inlineStr">
        <is>
          <t>A 59788-2024</t>
        </is>
      </c>
      <c r="B672" s="1" t="n">
        <v>45639</v>
      </c>
      <c r="C672" s="1" t="n">
        <v>45795</v>
      </c>
      <c r="D672" t="inlineStr">
        <is>
          <t>NORRBOTTENS LÄN</t>
        </is>
      </c>
      <c r="E672" t="inlineStr">
        <is>
          <t>JOKKMOKK</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59793-2024</t>
        </is>
      </c>
      <c r="B673" s="1" t="n">
        <v>45639</v>
      </c>
      <c r="C673" s="1" t="n">
        <v>45795</v>
      </c>
      <c r="D673" t="inlineStr">
        <is>
          <t>NORRBOTTENS LÄN</t>
        </is>
      </c>
      <c r="E673" t="inlineStr">
        <is>
          <t>JOKKMOKK</t>
        </is>
      </c>
      <c r="F673" t="inlineStr">
        <is>
          <t>Sveaskog</t>
        </is>
      </c>
      <c r="G673" t="n">
        <v>10.8</v>
      </c>
      <c r="H673" t="n">
        <v>0</v>
      </c>
      <c r="I673" t="n">
        <v>0</v>
      </c>
      <c r="J673" t="n">
        <v>0</v>
      </c>
      <c r="K673" t="n">
        <v>0</v>
      </c>
      <c r="L673" t="n">
        <v>0</v>
      </c>
      <c r="M673" t="n">
        <v>0</v>
      </c>
      <c r="N673" t="n">
        <v>0</v>
      </c>
      <c r="O673" t="n">
        <v>0</v>
      </c>
      <c r="P673" t="n">
        <v>0</v>
      </c>
      <c r="Q673" t="n">
        <v>0</v>
      </c>
      <c r="R673" s="2" t="inlineStr"/>
    </row>
    <row r="674" ht="15" customHeight="1">
      <c r="A674" t="inlineStr">
        <is>
          <t>A 60821-2024</t>
        </is>
      </c>
      <c r="B674" s="1" t="n">
        <v>45644</v>
      </c>
      <c r="C674" s="1" t="n">
        <v>45795</v>
      </c>
      <c r="D674" t="inlineStr">
        <is>
          <t>NORRBOTTENS LÄN</t>
        </is>
      </c>
      <c r="E674" t="inlineStr">
        <is>
          <t>JOKKMOKK</t>
        </is>
      </c>
      <c r="G674" t="n">
        <v>0.9</v>
      </c>
      <c r="H674" t="n">
        <v>0</v>
      </c>
      <c r="I674" t="n">
        <v>0</v>
      </c>
      <c r="J674" t="n">
        <v>0</v>
      </c>
      <c r="K674" t="n">
        <v>0</v>
      </c>
      <c r="L674" t="n">
        <v>0</v>
      </c>
      <c r="M674" t="n">
        <v>0</v>
      </c>
      <c r="N674" t="n">
        <v>0</v>
      </c>
      <c r="O674" t="n">
        <v>0</v>
      </c>
      <c r="P674" t="n">
        <v>0</v>
      </c>
      <c r="Q674" t="n">
        <v>0</v>
      </c>
      <c r="R674" s="2" t="inlineStr"/>
    </row>
    <row r="675" ht="15" customHeight="1">
      <c r="A675" t="inlineStr">
        <is>
          <t>A 61096-2024</t>
        </is>
      </c>
      <c r="B675" s="1" t="n">
        <v>45645</v>
      </c>
      <c r="C675" s="1" t="n">
        <v>45795</v>
      </c>
      <c r="D675" t="inlineStr">
        <is>
          <t>NORRBOTTENS LÄN</t>
        </is>
      </c>
      <c r="E675" t="inlineStr">
        <is>
          <t>JOKKMOKK</t>
        </is>
      </c>
      <c r="G675" t="n">
        <v>3.9</v>
      </c>
      <c r="H675" t="n">
        <v>0</v>
      </c>
      <c r="I675" t="n">
        <v>0</v>
      </c>
      <c r="J675" t="n">
        <v>0</v>
      </c>
      <c r="K675" t="n">
        <v>0</v>
      </c>
      <c r="L675" t="n">
        <v>0</v>
      </c>
      <c r="M675" t="n">
        <v>0</v>
      </c>
      <c r="N675" t="n">
        <v>0</v>
      </c>
      <c r="O675" t="n">
        <v>0</v>
      </c>
      <c r="P675" t="n">
        <v>0</v>
      </c>
      <c r="Q675" t="n">
        <v>0</v>
      </c>
      <c r="R675" s="2" t="inlineStr"/>
    </row>
    <row r="676" ht="15" customHeight="1">
      <c r="A676" t="inlineStr">
        <is>
          <t>A 61088-2024</t>
        </is>
      </c>
      <c r="B676" s="1" t="n">
        <v>45645</v>
      </c>
      <c r="C676" s="1" t="n">
        <v>45795</v>
      </c>
      <c r="D676" t="inlineStr">
        <is>
          <t>NORRBOTTENS LÄN</t>
        </is>
      </c>
      <c r="E676" t="inlineStr">
        <is>
          <t>JOKKMOKK</t>
        </is>
      </c>
      <c r="G676" t="n">
        <v>0.6</v>
      </c>
      <c r="H676" t="n">
        <v>0</v>
      </c>
      <c r="I676" t="n">
        <v>0</v>
      </c>
      <c r="J676" t="n">
        <v>0</v>
      </c>
      <c r="K676" t="n">
        <v>0</v>
      </c>
      <c r="L676" t="n">
        <v>0</v>
      </c>
      <c r="M676" t="n">
        <v>0</v>
      </c>
      <c r="N676" t="n">
        <v>0</v>
      </c>
      <c r="O676" t="n">
        <v>0</v>
      </c>
      <c r="P676" t="n">
        <v>0</v>
      </c>
      <c r="Q676" t="n">
        <v>0</v>
      </c>
      <c r="R676" s="2" t="inlineStr"/>
    </row>
    <row r="677" ht="15" customHeight="1">
      <c r="A677" t="inlineStr">
        <is>
          <t>A 61500-2024</t>
        </is>
      </c>
      <c r="B677" s="1" t="n">
        <v>45645</v>
      </c>
      <c r="C677" s="1" t="n">
        <v>45795</v>
      </c>
      <c r="D677" t="inlineStr">
        <is>
          <t>NORRBOTTENS LÄN</t>
        </is>
      </c>
      <c r="E677" t="inlineStr">
        <is>
          <t>JOKKMOKK</t>
        </is>
      </c>
      <c r="G677" t="n">
        <v>39.8</v>
      </c>
      <c r="H677" t="n">
        <v>0</v>
      </c>
      <c r="I677" t="n">
        <v>0</v>
      </c>
      <c r="J677" t="n">
        <v>0</v>
      </c>
      <c r="K677" t="n">
        <v>0</v>
      </c>
      <c r="L677" t="n">
        <v>0</v>
      </c>
      <c r="M677" t="n">
        <v>0</v>
      </c>
      <c r="N677" t="n">
        <v>0</v>
      </c>
      <c r="O677" t="n">
        <v>0</v>
      </c>
      <c r="P677" t="n">
        <v>0</v>
      </c>
      <c r="Q677" t="n">
        <v>0</v>
      </c>
      <c r="R677" s="2" t="inlineStr"/>
    </row>
    <row r="678" ht="15" customHeight="1">
      <c r="A678" t="inlineStr">
        <is>
          <t>A 61077-2024</t>
        </is>
      </c>
      <c r="B678" s="1" t="n">
        <v>45645</v>
      </c>
      <c r="C678" s="1" t="n">
        <v>45795</v>
      </c>
      <c r="D678" t="inlineStr">
        <is>
          <t>NORRBOTTENS LÄN</t>
        </is>
      </c>
      <c r="E678" t="inlineStr">
        <is>
          <t>JOKKMOKK</t>
        </is>
      </c>
      <c r="G678" t="n">
        <v>13.3</v>
      </c>
      <c r="H678" t="n">
        <v>0</v>
      </c>
      <c r="I678" t="n">
        <v>0</v>
      </c>
      <c r="J678" t="n">
        <v>0</v>
      </c>
      <c r="K678" t="n">
        <v>0</v>
      </c>
      <c r="L678" t="n">
        <v>0</v>
      </c>
      <c r="M678" t="n">
        <v>0</v>
      </c>
      <c r="N678" t="n">
        <v>0</v>
      </c>
      <c r="O678" t="n">
        <v>0</v>
      </c>
      <c r="P678" t="n">
        <v>0</v>
      </c>
      <c r="Q678" t="n">
        <v>0</v>
      </c>
      <c r="R678" s="2" t="inlineStr"/>
    </row>
    <row r="679" ht="15" customHeight="1">
      <c r="A679" t="inlineStr">
        <is>
          <t>A 61640-2024</t>
        </is>
      </c>
      <c r="B679" s="1" t="n">
        <v>45646</v>
      </c>
      <c r="C679" s="1" t="n">
        <v>45795</v>
      </c>
      <c r="D679" t="inlineStr">
        <is>
          <t>NORRBOTTENS LÄN</t>
        </is>
      </c>
      <c r="E679" t="inlineStr">
        <is>
          <t>JOKKMOKK</t>
        </is>
      </c>
      <c r="G679" t="n">
        <v>10.6</v>
      </c>
      <c r="H679" t="n">
        <v>0</v>
      </c>
      <c r="I679" t="n">
        <v>0</v>
      </c>
      <c r="J679" t="n">
        <v>0</v>
      </c>
      <c r="K679" t="n">
        <v>0</v>
      </c>
      <c r="L679" t="n">
        <v>0</v>
      </c>
      <c r="M679" t="n">
        <v>0</v>
      </c>
      <c r="N679" t="n">
        <v>0</v>
      </c>
      <c r="O679" t="n">
        <v>0</v>
      </c>
      <c r="P679" t="n">
        <v>0</v>
      </c>
      <c r="Q679" t="n">
        <v>0</v>
      </c>
      <c r="R679" s="2" t="inlineStr"/>
    </row>
    <row r="680" ht="15" customHeight="1">
      <c r="A680" t="inlineStr">
        <is>
          <t>A 61647-2024</t>
        </is>
      </c>
      <c r="B680" s="1" t="n">
        <v>45646</v>
      </c>
      <c r="C680" s="1" t="n">
        <v>45795</v>
      </c>
      <c r="D680" t="inlineStr">
        <is>
          <t>NORRBOTTENS LÄN</t>
        </is>
      </c>
      <c r="E680" t="inlineStr">
        <is>
          <t>JOKKMOKK</t>
        </is>
      </c>
      <c r="G680" t="n">
        <v>6.3</v>
      </c>
      <c r="H680" t="n">
        <v>0</v>
      </c>
      <c r="I680" t="n">
        <v>0</v>
      </c>
      <c r="J680" t="n">
        <v>0</v>
      </c>
      <c r="K680" t="n">
        <v>0</v>
      </c>
      <c r="L680" t="n">
        <v>0</v>
      </c>
      <c r="M680" t="n">
        <v>0</v>
      </c>
      <c r="N680" t="n">
        <v>0</v>
      </c>
      <c r="O680" t="n">
        <v>0</v>
      </c>
      <c r="P680" t="n">
        <v>0</v>
      </c>
      <c r="Q680" t="n">
        <v>0</v>
      </c>
      <c r="R680" s="2" t="inlineStr"/>
    </row>
    <row r="681" ht="15" customHeight="1">
      <c r="A681" t="inlineStr">
        <is>
          <t>A 61641-2024</t>
        </is>
      </c>
      <c r="B681" s="1" t="n">
        <v>45646</v>
      </c>
      <c r="C681" s="1" t="n">
        <v>45795</v>
      </c>
      <c r="D681" t="inlineStr">
        <is>
          <t>NORRBOTTENS LÄN</t>
        </is>
      </c>
      <c r="E681" t="inlineStr">
        <is>
          <t>JOKKMOKK</t>
        </is>
      </c>
      <c r="G681" t="n">
        <v>3.2</v>
      </c>
      <c r="H681" t="n">
        <v>0</v>
      </c>
      <c r="I681" t="n">
        <v>0</v>
      </c>
      <c r="J681" t="n">
        <v>0</v>
      </c>
      <c r="K681" t="n">
        <v>0</v>
      </c>
      <c r="L681" t="n">
        <v>0</v>
      </c>
      <c r="M681" t="n">
        <v>0</v>
      </c>
      <c r="N681" t="n">
        <v>0</v>
      </c>
      <c r="O681" t="n">
        <v>0</v>
      </c>
      <c r="P681" t="n">
        <v>0</v>
      </c>
      <c r="Q681" t="n">
        <v>0</v>
      </c>
      <c r="R681" s="2" t="inlineStr"/>
    </row>
    <row r="682" ht="15" customHeight="1">
      <c r="A682" t="inlineStr">
        <is>
          <t>A 61760-2024</t>
        </is>
      </c>
      <c r="B682" s="1" t="n">
        <v>45649</v>
      </c>
      <c r="C682" s="1" t="n">
        <v>45795</v>
      </c>
      <c r="D682" t="inlineStr">
        <is>
          <t>NORRBOTTENS LÄN</t>
        </is>
      </c>
      <c r="E682" t="inlineStr">
        <is>
          <t>JOKKMOKK</t>
        </is>
      </c>
      <c r="F682" t="inlineStr">
        <is>
          <t>Övriga statliga verk och myndigheter</t>
        </is>
      </c>
      <c r="G682" t="n">
        <v>19.3</v>
      </c>
      <c r="H682" t="n">
        <v>0</v>
      </c>
      <c r="I682" t="n">
        <v>0</v>
      </c>
      <c r="J682" t="n">
        <v>0</v>
      </c>
      <c r="K682" t="n">
        <v>0</v>
      </c>
      <c r="L682" t="n">
        <v>0</v>
      </c>
      <c r="M682" t="n">
        <v>0</v>
      </c>
      <c r="N682" t="n">
        <v>0</v>
      </c>
      <c r="O682" t="n">
        <v>0</v>
      </c>
      <c r="P682" t="n">
        <v>0</v>
      </c>
      <c r="Q682" t="n">
        <v>0</v>
      </c>
      <c r="R682" s="2" t="inlineStr"/>
    </row>
    <row r="683" ht="15" customHeight="1">
      <c r="A683" t="inlineStr">
        <is>
          <t>A 61762-2024</t>
        </is>
      </c>
      <c r="B683" s="1" t="n">
        <v>45649</v>
      </c>
      <c r="C683" s="1" t="n">
        <v>45795</v>
      </c>
      <c r="D683" t="inlineStr">
        <is>
          <t>NORRBOTTENS LÄN</t>
        </is>
      </c>
      <c r="E683" t="inlineStr">
        <is>
          <t>JOKKMOKK</t>
        </is>
      </c>
      <c r="F683" t="inlineStr">
        <is>
          <t>Övriga statliga verk och myndigheter</t>
        </is>
      </c>
      <c r="G683" t="n">
        <v>15.4</v>
      </c>
      <c r="H683" t="n">
        <v>0</v>
      </c>
      <c r="I683" t="n">
        <v>0</v>
      </c>
      <c r="J683" t="n">
        <v>0</v>
      </c>
      <c r="K683" t="n">
        <v>0</v>
      </c>
      <c r="L683" t="n">
        <v>0</v>
      </c>
      <c r="M683" t="n">
        <v>0</v>
      </c>
      <c r="N683" t="n">
        <v>0</v>
      </c>
      <c r="O683" t="n">
        <v>0</v>
      </c>
      <c r="P683" t="n">
        <v>0</v>
      </c>
      <c r="Q683" t="n">
        <v>0</v>
      </c>
      <c r="R683" s="2" t="inlineStr"/>
    </row>
    <row r="684" ht="15" customHeight="1">
      <c r="A684" t="inlineStr">
        <is>
          <t>A 61761-2024</t>
        </is>
      </c>
      <c r="B684" s="1" t="n">
        <v>45649</v>
      </c>
      <c r="C684" s="1" t="n">
        <v>45795</v>
      </c>
      <c r="D684" t="inlineStr">
        <is>
          <t>NORRBOTTENS LÄN</t>
        </is>
      </c>
      <c r="E684" t="inlineStr">
        <is>
          <t>JOKKMOKK</t>
        </is>
      </c>
      <c r="F684" t="inlineStr">
        <is>
          <t>Övriga statliga verk och myndigheter</t>
        </is>
      </c>
      <c r="G684" t="n">
        <v>3.7</v>
      </c>
      <c r="H684" t="n">
        <v>0</v>
      </c>
      <c r="I684" t="n">
        <v>0</v>
      </c>
      <c r="J684" t="n">
        <v>0</v>
      </c>
      <c r="K684" t="n">
        <v>0</v>
      </c>
      <c r="L684" t="n">
        <v>0</v>
      </c>
      <c r="M684" t="n">
        <v>0</v>
      </c>
      <c r="N684" t="n">
        <v>0</v>
      </c>
      <c r="O684" t="n">
        <v>0</v>
      </c>
      <c r="P684" t="n">
        <v>0</v>
      </c>
      <c r="Q684" t="n">
        <v>0</v>
      </c>
      <c r="R684" s="2" t="inlineStr"/>
    </row>
    <row r="685" ht="15" customHeight="1">
      <c r="A685" t="inlineStr">
        <is>
          <t>A 425-2025</t>
        </is>
      </c>
      <c r="B685" s="1" t="n">
        <v>45664</v>
      </c>
      <c r="C685" s="1" t="n">
        <v>45795</v>
      </c>
      <c r="D685" t="inlineStr">
        <is>
          <t>NORRBOTTENS LÄN</t>
        </is>
      </c>
      <c r="E685" t="inlineStr">
        <is>
          <t>JOKKMOKK</t>
        </is>
      </c>
      <c r="F685" t="inlineStr">
        <is>
          <t>Övriga statliga verk och myndigheter</t>
        </is>
      </c>
      <c r="G685" t="n">
        <v>36.5</v>
      </c>
      <c r="H685" t="n">
        <v>0</v>
      </c>
      <c r="I685" t="n">
        <v>0</v>
      </c>
      <c r="J685" t="n">
        <v>0</v>
      </c>
      <c r="K685" t="n">
        <v>0</v>
      </c>
      <c r="L685" t="n">
        <v>0</v>
      </c>
      <c r="M685" t="n">
        <v>0</v>
      </c>
      <c r="N685" t="n">
        <v>0</v>
      </c>
      <c r="O685" t="n">
        <v>0</v>
      </c>
      <c r="P685" t="n">
        <v>0</v>
      </c>
      <c r="Q685" t="n">
        <v>0</v>
      </c>
      <c r="R685" s="2" t="inlineStr"/>
    </row>
    <row r="686" ht="15" customHeight="1">
      <c r="A686" t="inlineStr">
        <is>
          <t>A 453-2025</t>
        </is>
      </c>
      <c r="B686" s="1" t="n">
        <v>45664</v>
      </c>
      <c r="C686" s="1" t="n">
        <v>45795</v>
      </c>
      <c r="D686" t="inlineStr">
        <is>
          <t>NORRBOTTENS LÄN</t>
        </is>
      </c>
      <c r="E686" t="inlineStr">
        <is>
          <t>JOKKMOKK</t>
        </is>
      </c>
      <c r="F686" t="inlineStr">
        <is>
          <t>Övriga statliga verk och myndigheter</t>
        </is>
      </c>
      <c r="G686" t="n">
        <v>5</v>
      </c>
      <c r="H686" t="n">
        <v>0</v>
      </c>
      <c r="I686" t="n">
        <v>0</v>
      </c>
      <c r="J686" t="n">
        <v>0</v>
      </c>
      <c r="K686" t="n">
        <v>0</v>
      </c>
      <c r="L686" t="n">
        <v>0</v>
      </c>
      <c r="M686" t="n">
        <v>0</v>
      </c>
      <c r="N686" t="n">
        <v>0</v>
      </c>
      <c r="O686" t="n">
        <v>0</v>
      </c>
      <c r="P686" t="n">
        <v>0</v>
      </c>
      <c r="Q686" t="n">
        <v>0</v>
      </c>
      <c r="R686" s="2" t="inlineStr"/>
    </row>
    <row r="687" ht="15" customHeight="1">
      <c r="A687" t="inlineStr">
        <is>
          <t>A 457-2025</t>
        </is>
      </c>
      <c r="B687" s="1" t="n">
        <v>45664</v>
      </c>
      <c r="C687" s="1" t="n">
        <v>45795</v>
      </c>
      <c r="D687" t="inlineStr">
        <is>
          <t>NORRBOTTENS LÄN</t>
        </is>
      </c>
      <c r="E687" t="inlineStr">
        <is>
          <t>JOKKMOKK</t>
        </is>
      </c>
      <c r="F687" t="inlineStr">
        <is>
          <t>Övriga statliga verk och myndigheter</t>
        </is>
      </c>
      <c r="G687" t="n">
        <v>8</v>
      </c>
      <c r="H687" t="n">
        <v>0</v>
      </c>
      <c r="I687" t="n">
        <v>0</v>
      </c>
      <c r="J687" t="n">
        <v>0</v>
      </c>
      <c r="K687" t="n">
        <v>0</v>
      </c>
      <c r="L687" t="n">
        <v>0</v>
      </c>
      <c r="M687" t="n">
        <v>0</v>
      </c>
      <c r="N687" t="n">
        <v>0</v>
      </c>
      <c r="O687" t="n">
        <v>0</v>
      </c>
      <c r="P687" t="n">
        <v>0</v>
      </c>
      <c r="Q687" t="n">
        <v>0</v>
      </c>
      <c r="R687" s="2" t="inlineStr"/>
    </row>
    <row r="688" ht="15" customHeight="1">
      <c r="A688" t="inlineStr">
        <is>
          <t>A 458-2025</t>
        </is>
      </c>
      <c r="B688" s="1" t="n">
        <v>45664</v>
      </c>
      <c r="C688" s="1" t="n">
        <v>45795</v>
      </c>
      <c r="D688" t="inlineStr">
        <is>
          <t>NORRBOTTENS LÄN</t>
        </is>
      </c>
      <c r="E688" t="inlineStr">
        <is>
          <t>JOKKMOKK</t>
        </is>
      </c>
      <c r="F688" t="inlineStr">
        <is>
          <t>Övriga statliga verk och myndigheter</t>
        </is>
      </c>
      <c r="G688" t="n">
        <v>10.3</v>
      </c>
      <c r="H688" t="n">
        <v>0</v>
      </c>
      <c r="I688" t="n">
        <v>0</v>
      </c>
      <c r="J688" t="n">
        <v>0</v>
      </c>
      <c r="K688" t="n">
        <v>0</v>
      </c>
      <c r="L688" t="n">
        <v>0</v>
      </c>
      <c r="M688" t="n">
        <v>0</v>
      </c>
      <c r="N688" t="n">
        <v>0</v>
      </c>
      <c r="O688" t="n">
        <v>0</v>
      </c>
      <c r="P688" t="n">
        <v>0</v>
      </c>
      <c r="Q688" t="n">
        <v>0</v>
      </c>
      <c r="R688" s="2" t="inlineStr"/>
    </row>
    <row r="689" ht="15" customHeight="1">
      <c r="A689" t="inlineStr">
        <is>
          <t>A 2032-2025</t>
        </is>
      </c>
      <c r="B689" s="1" t="n">
        <v>45671</v>
      </c>
      <c r="C689" s="1" t="n">
        <v>45795</v>
      </c>
      <c r="D689" t="inlineStr">
        <is>
          <t>NORRBOTTENS LÄN</t>
        </is>
      </c>
      <c r="E689" t="inlineStr">
        <is>
          <t>JOKKMOKK</t>
        </is>
      </c>
      <c r="G689" t="n">
        <v>8.1</v>
      </c>
      <c r="H689" t="n">
        <v>0</v>
      </c>
      <c r="I689" t="n">
        <v>0</v>
      </c>
      <c r="J689" t="n">
        <v>0</v>
      </c>
      <c r="K689" t="n">
        <v>0</v>
      </c>
      <c r="L689" t="n">
        <v>0</v>
      </c>
      <c r="M689" t="n">
        <v>0</v>
      </c>
      <c r="N689" t="n">
        <v>0</v>
      </c>
      <c r="O689" t="n">
        <v>0</v>
      </c>
      <c r="P689" t="n">
        <v>0</v>
      </c>
      <c r="Q689" t="n">
        <v>0</v>
      </c>
      <c r="R689" s="2" t="inlineStr"/>
    </row>
    <row r="690" ht="15" customHeight="1">
      <c r="A690" t="inlineStr">
        <is>
          <t>A 2040-2025</t>
        </is>
      </c>
      <c r="B690" s="1" t="n">
        <v>45671</v>
      </c>
      <c r="C690" s="1" t="n">
        <v>45795</v>
      </c>
      <c r="D690" t="inlineStr">
        <is>
          <t>NORRBOTTENS LÄN</t>
        </is>
      </c>
      <c r="E690" t="inlineStr">
        <is>
          <t>JOKKMOKK</t>
        </is>
      </c>
      <c r="G690" t="n">
        <v>5.1</v>
      </c>
      <c r="H690" t="n">
        <v>0</v>
      </c>
      <c r="I690" t="n">
        <v>0</v>
      </c>
      <c r="J690" t="n">
        <v>0</v>
      </c>
      <c r="K690" t="n">
        <v>0</v>
      </c>
      <c r="L690" t="n">
        <v>0</v>
      </c>
      <c r="M690" t="n">
        <v>0</v>
      </c>
      <c r="N690" t="n">
        <v>0</v>
      </c>
      <c r="O690" t="n">
        <v>0</v>
      </c>
      <c r="P690" t="n">
        <v>0</v>
      </c>
      <c r="Q690" t="n">
        <v>0</v>
      </c>
      <c r="R690" s="2" t="inlineStr"/>
    </row>
    <row r="691" ht="15" customHeight="1">
      <c r="A691" t="inlineStr">
        <is>
          <t>A 2037-2025</t>
        </is>
      </c>
      <c r="B691" s="1" t="n">
        <v>45671</v>
      </c>
      <c r="C691" s="1" t="n">
        <v>45795</v>
      </c>
      <c r="D691" t="inlineStr">
        <is>
          <t>NORRBOTTENS LÄN</t>
        </is>
      </c>
      <c r="E691" t="inlineStr">
        <is>
          <t>JOKKMOKK</t>
        </is>
      </c>
      <c r="G691" t="n">
        <v>5.4</v>
      </c>
      <c r="H691" t="n">
        <v>0</v>
      </c>
      <c r="I691" t="n">
        <v>0</v>
      </c>
      <c r="J691" t="n">
        <v>0</v>
      </c>
      <c r="K691" t="n">
        <v>0</v>
      </c>
      <c r="L691" t="n">
        <v>0</v>
      </c>
      <c r="M691" t="n">
        <v>0</v>
      </c>
      <c r="N691" t="n">
        <v>0</v>
      </c>
      <c r="O691" t="n">
        <v>0</v>
      </c>
      <c r="P691" t="n">
        <v>0</v>
      </c>
      <c r="Q691" t="n">
        <v>0</v>
      </c>
      <c r="R691" s="2" t="inlineStr"/>
    </row>
    <row r="692" ht="15" customHeight="1">
      <c r="A692" t="inlineStr">
        <is>
          <t>A 2031-2025</t>
        </is>
      </c>
      <c r="B692" s="1" t="n">
        <v>45672</v>
      </c>
      <c r="C692" s="1" t="n">
        <v>45795</v>
      </c>
      <c r="D692" t="inlineStr">
        <is>
          <t>NORRBOTTENS LÄN</t>
        </is>
      </c>
      <c r="E692" t="inlineStr">
        <is>
          <t>JOKKMOKK</t>
        </is>
      </c>
      <c r="F692" t="inlineStr">
        <is>
          <t>Övriga statliga verk och myndigheter</t>
        </is>
      </c>
      <c r="G692" t="n">
        <v>7.5</v>
      </c>
      <c r="H692" t="n">
        <v>0</v>
      </c>
      <c r="I692" t="n">
        <v>0</v>
      </c>
      <c r="J692" t="n">
        <v>0</v>
      </c>
      <c r="K692" t="n">
        <v>0</v>
      </c>
      <c r="L692" t="n">
        <v>0</v>
      </c>
      <c r="M692" t="n">
        <v>0</v>
      </c>
      <c r="N692" t="n">
        <v>0</v>
      </c>
      <c r="O692" t="n">
        <v>0</v>
      </c>
      <c r="P692" t="n">
        <v>0</v>
      </c>
      <c r="Q692" t="n">
        <v>0</v>
      </c>
      <c r="R692" s="2" t="inlineStr"/>
    </row>
    <row r="693" ht="15" customHeight="1">
      <c r="A693" t="inlineStr">
        <is>
          <t>A 2024-2025</t>
        </is>
      </c>
      <c r="B693" s="1" t="n">
        <v>45672</v>
      </c>
      <c r="C693" s="1" t="n">
        <v>45795</v>
      </c>
      <c r="D693" t="inlineStr">
        <is>
          <t>NORRBOTTENS LÄN</t>
        </is>
      </c>
      <c r="E693" t="inlineStr">
        <is>
          <t>JOKKMOKK</t>
        </is>
      </c>
      <c r="F693" t="inlineStr">
        <is>
          <t>Övriga statliga verk och myndigheter</t>
        </is>
      </c>
      <c r="G693" t="n">
        <v>7.3</v>
      </c>
      <c r="H693" t="n">
        <v>0</v>
      </c>
      <c r="I693" t="n">
        <v>0</v>
      </c>
      <c r="J693" t="n">
        <v>0</v>
      </c>
      <c r="K693" t="n">
        <v>0</v>
      </c>
      <c r="L693" t="n">
        <v>0</v>
      </c>
      <c r="M693" t="n">
        <v>0</v>
      </c>
      <c r="N693" t="n">
        <v>0</v>
      </c>
      <c r="O693" t="n">
        <v>0</v>
      </c>
      <c r="P693" t="n">
        <v>0</v>
      </c>
      <c r="Q693" t="n">
        <v>0</v>
      </c>
      <c r="R693" s="2" t="inlineStr"/>
    </row>
    <row r="694" ht="15" customHeight="1">
      <c r="A694" t="inlineStr">
        <is>
          <t>A 2826-2025</t>
        </is>
      </c>
      <c r="B694" s="1" t="n">
        <v>45677</v>
      </c>
      <c r="C694" s="1" t="n">
        <v>45795</v>
      </c>
      <c r="D694" t="inlineStr">
        <is>
          <t>NORRBOTTENS LÄN</t>
        </is>
      </c>
      <c r="E694" t="inlineStr">
        <is>
          <t>JOKKMOKK</t>
        </is>
      </c>
      <c r="F694" t="inlineStr">
        <is>
          <t>Övriga statliga verk och myndigheter</t>
        </is>
      </c>
      <c r="G694" t="n">
        <v>10.5</v>
      </c>
      <c r="H694" t="n">
        <v>0</v>
      </c>
      <c r="I694" t="n">
        <v>0</v>
      </c>
      <c r="J694" t="n">
        <v>0</v>
      </c>
      <c r="K694" t="n">
        <v>0</v>
      </c>
      <c r="L694" t="n">
        <v>0</v>
      </c>
      <c r="M694" t="n">
        <v>0</v>
      </c>
      <c r="N694" t="n">
        <v>0</v>
      </c>
      <c r="O694" t="n">
        <v>0</v>
      </c>
      <c r="P694" t="n">
        <v>0</v>
      </c>
      <c r="Q694" t="n">
        <v>0</v>
      </c>
      <c r="R694" s="2" t="inlineStr"/>
    </row>
    <row r="695" ht="15" customHeight="1">
      <c r="A695" t="inlineStr">
        <is>
          <t>A 3055-2025</t>
        </is>
      </c>
      <c r="B695" s="1" t="n">
        <v>45678</v>
      </c>
      <c r="C695" s="1" t="n">
        <v>45795</v>
      </c>
      <c r="D695" t="inlineStr">
        <is>
          <t>NORRBOTTENS LÄN</t>
        </is>
      </c>
      <c r="E695" t="inlineStr">
        <is>
          <t>JOKKMOKK</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3206-2025</t>
        </is>
      </c>
      <c r="B696" s="1" t="n">
        <v>45679</v>
      </c>
      <c r="C696" s="1" t="n">
        <v>45795</v>
      </c>
      <c r="D696" t="inlineStr">
        <is>
          <t>NORRBOTTENS LÄN</t>
        </is>
      </c>
      <c r="E696" t="inlineStr">
        <is>
          <t>JOKKMOKK</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3557-2025</t>
        </is>
      </c>
      <c r="B697" s="1" t="n">
        <v>45680</v>
      </c>
      <c r="C697" s="1" t="n">
        <v>45795</v>
      </c>
      <c r="D697" t="inlineStr">
        <is>
          <t>NORRBOTTENS LÄN</t>
        </is>
      </c>
      <c r="E697" t="inlineStr">
        <is>
          <t>JOKKMOKK</t>
        </is>
      </c>
      <c r="F697" t="inlineStr">
        <is>
          <t>Övriga statliga verk och myndigheter</t>
        </is>
      </c>
      <c r="G697" t="n">
        <v>60.6</v>
      </c>
      <c r="H697" t="n">
        <v>0</v>
      </c>
      <c r="I697" t="n">
        <v>0</v>
      </c>
      <c r="J697" t="n">
        <v>0</v>
      </c>
      <c r="K697" t="n">
        <v>0</v>
      </c>
      <c r="L697" t="n">
        <v>0</v>
      </c>
      <c r="M697" t="n">
        <v>0</v>
      </c>
      <c r="N697" t="n">
        <v>0</v>
      </c>
      <c r="O697" t="n">
        <v>0</v>
      </c>
      <c r="P697" t="n">
        <v>0</v>
      </c>
      <c r="Q697" t="n">
        <v>0</v>
      </c>
      <c r="R697" s="2" t="inlineStr"/>
    </row>
    <row r="698" ht="15" customHeight="1">
      <c r="A698" t="inlineStr">
        <is>
          <t>A 5670-2025</t>
        </is>
      </c>
      <c r="B698" s="1" t="n">
        <v>45693</v>
      </c>
      <c r="C698" s="1" t="n">
        <v>45795</v>
      </c>
      <c r="D698" t="inlineStr">
        <is>
          <t>NORRBOTTENS LÄN</t>
        </is>
      </c>
      <c r="E698" t="inlineStr">
        <is>
          <t>JOKKMOKK</t>
        </is>
      </c>
      <c r="G698" t="n">
        <v>2.1</v>
      </c>
      <c r="H698" t="n">
        <v>0</v>
      </c>
      <c r="I698" t="n">
        <v>0</v>
      </c>
      <c r="J698" t="n">
        <v>0</v>
      </c>
      <c r="K698" t="n">
        <v>0</v>
      </c>
      <c r="L698" t="n">
        <v>0</v>
      </c>
      <c r="M698" t="n">
        <v>0</v>
      </c>
      <c r="N698" t="n">
        <v>0</v>
      </c>
      <c r="O698" t="n">
        <v>0</v>
      </c>
      <c r="P698" t="n">
        <v>0</v>
      </c>
      <c r="Q698" t="n">
        <v>0</v>
      </c>
      <c r="R698" s="2" t="inlineStr"/>
    </row>
    <row r="699" ht="15" customHeight="1">
      <c r="A699" t="inlineStr">
        <is>
          <t>A 6437-2025</t>
        </is>
      </c>
      <c r="B699" s="1" t="n">
        <v>45699</v>
      </c>
      <c r="C699" s="1" t="n">
        <v>45795</v>
      </c>
      <c r="D699" t="inlineStr">
        <is>
          <t>NORRBOTTENS LÄN</t>
        </is>
      </c>
      <c r="E699" t="inlineStr">
        <is>
          <t>JOKKMOKK</t>
        </is>
      </c>
      <c r="G699" t="n">
        <v>3.4</v>
      </c>
      <c r="H699" t="n">
        <v>0</v>
      </c>
      <c r="I699" t="n">
        <v>0</v>
      </c>
      <c r="J699" t="n">
        <v>0</v>
      </c>
      <c r="K699" t="n">
        <v>0</v>
      </c>
      <c r="L699" t="n">
        <v>0</v>
      </c>
      <c r="M699" t="n">
        <v>0</v>
      </c>
      <c r="N699" t="n">
        <v>0</v>
      </c>
      <c r="O699" t="n">
        <v>0</v>
      </c>
      <c r="P699" t="n">
        <v>0</v>
      </c>
      <c r="Q699" t="n">
        <v>0</v>
      </c>
      <c r="R699" s="2" t="inlineStr"/>
    </row>
    <row r="700" ht="15" customHeight="1">
      <c r="A700" t="inlineStr">
        <is>
          <t>A 6625-2025</t>
        </is>
      </c>
      <c r="B700" s="1" t="n">
        <v>45700</v>
      </c>
      <c r="C700" s="1" t="n">
        <v>45795</v>
      </c>
      <c r="D700" t="inlineStr">
        <is>
          <t>NORRBOTTENS LÄN</t>
        </is>
      </c>
      <c r="E700" t="inlineStr">
        <is>
          <t>JOKKMOKK</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7912-2025</t>
        </is>
      </c>
      <c r="B701" s="1" t="n">
        <v>45707</v>
      </c>
      <c r="C701" s="1" t="n">
        <v>45795</v>
      </c>
      <c r="D701" t="inlineStr">
        <is>
          <t>NORRBOTTENS LÄN</t>
        </is>
      </c>
      <c r="E701" t="inlineStr">
        <is>
          <t>JOKKMOKK</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9104-2025</t>
        </is>
      </c>
      <c r="B702" s="1" t="n">
        <v>45713</v>
      </c>
      <c r="C702" s="1" t="n">
        <v>45795</v>
      </c>
      <c r="D702" t="inlineStr">
        <is>
          <t>NORRBOTTENS LÄN</t>
        </is>
      </c>
      <c r="E702" t="inlineStr">
        <is>
          <t>JOKKMOKK</t>
        </is>
      </c>
      <c r="F702" t="inlineStr">
        <is>
          <t>SCA</t>
        </is>
      </c>
      <c r="G702" t="n">
        <v>8.4</v>
      </c>
      <c r="H702" t="n">
        <v>0</v>
      </c>
      <c r="I702" t="n">
        <v>0</v>
      </c>
      <c r="J702" t="n">
        <v>0</v>
      </c>
      <c r="K702" t="n">
        <v>0</v>
      </c>
      <c r="L702" t="n">
        <v>0</v>
      </c>
      <c r="M702" t="n">
        <v>0</v>
      </c>
      <c r="N702" t="n">
        <v>0</v>
      </c>
      <c r="O702" t="n">
        <v>0</v>
      </c>
      <c r="P702" t="n">
        <v>0</v>
      </c>
      <c r="Q702" t="n">
        <v>0</v>
      </c>
      <c r="R702" s="2" t="inlineStr"/>
    </row>
    <row r="703" ht="15" customHeight="1">
      <c r="A703" t="inlineStr">
        <is>
          <t>A 9648-2025</t>
        </is>
      </c>
      <c r="B703" s="1" t="n">
        <v>45715</v>
      </c>
      <c r="C703" s="1" t="n">
        <v>45795</v>
      </c>
      <c r="D703" t="inlineStr">
        <is>
          <t>NORRBOTTENS LÄN</t>
        </is>
      </c>
      <c r="E703" t="inlineStr">
        <is>
          <t>JOKKMOKK</t>
        </is>
      </c>
      <c r="G703" t="n">
        <v>12.6</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45795</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ht="15" customHeight="1">
      <c r="A705" t="inlineStr">
        <is>
          <t>A 10630-2025</t>
        </is>
      </c>
      <c r="B705" s="1" t="n">
        <v>45721</v>
      </c>
      <c r="C705" s="1" t="n">
        <v>45795</v>
      </c>
      <c r="D705" t="inlineStr">
        <is>
          <t>NORRBOTTENS LÄN</t>
        </is>
      </c>
      <c r="E705" t="inlineStr">
        <is>
          <t>JOKKMOKK</t>
        </is>
      </c>
      <c r="G705" t="n">
        <v>1.7</v>
      </c>
      <c r="H705" t="n">
        <v>0</v>
      </c>
      <c r="I705" t="n">
        <v>0</v>
      </c>
      <c r="J705" t="n">
        <v>0</v>
      </c>
      <c r="K705" t="n">
        <v>0</v>
      </c>
      <c r="L705" t="n">
        <v>0</v>
      </c>
      <c r="M705" t="n">
        <v>0</v>
      </c>
      <c r="N705" t="n">
        <v>0</v>
      </c>
      <c r="O705" t="n">
        <v>0</v>
      </c>
      <c r="P705" t="n">
        <v>0</v>
      </c>
      <c r="Q705" t="n">
        <v>0</v>
      </c>
      <c r="R705" s="2" t="inlineStr"/>
    </row>
    <row r="706" ht="15" customHeight="1">
      <c r="A706" t="inlineStr">
        <is>
          <t>A 10568-2025</t>
        </is>
      </c>
      <c r="B706" s="1" t="n">
        <v>45721</v>
      </c>
      <c r="C706" s="1" t="n">
        <v>45795</v>
      </c>
      <c r="D706" t="inlineStr">
        <is>
          <t>NORRBOTTENS LÄN</t>
        </is>
      </c>
      <c r="E706" t="inlineStr">
        <is>
          <t>JOKKMOKK</t>
        </is>
      </c>
      <c r="G706" t="n">
        <v>6.7</v>
      </c>
      <c r="H706" t="n">
        <v>0</v>
      </c>
      <c r="I706" t="n">
        <v>0</v>
      </c>
      <c r="J706" t="n">
        <v>0</v>
      </c>
      <c r="K706" t="n">
        <v>0</v>
      </c>
      <c r="L706" t="n">
        <v>0</v>
      </c>
      <c r="M706" t="n">
        <v>0</v>
      </c>
      <c r="N706" t="n">
        <v>0</v>
      </c>
      <c r="O706" t="n">
        <v>0</v>
      </c>
      <c r="P706" t="n">
        <v>0</v>
      </c>
      <c r="Q706" t="n">
        <v>0</v>
      </c>
      <c r="R706" s="2" t="inlineStr"/>
    </row>
    <row r="707" ht="15" customHeight="1">
      <c r="A707" t="inlineStr">
        <is>
          <t>A 10596-2025</t>
        </is>
      </c>
      <c r="B707" s="1" t="n">
        <v>45721</v>
      </c>
      <c r="C707" s="1" t="n">
        <v>45795</v>
      </c>
      <c r="D707" t="inlineStr">
        <is>
          <t>NORRBOTTENS LÄN</t>
        </is>
      </c>
      <c r="E707" t="inlineStr">
        <is>
          <t>JOKKMOKK</t>
        </is>
      </c>
      <c r="G707" t="n">
        <v>17.7</v>
      </c>
      <c r="H707" t="n">
        <v>0</v>
      </c>
      <c r="I707" t="n">
        <v>0</v>
      </c>
      <c r="J707" t="n">
        <v>0</v>
      </c>
      <c r="K707" t="n">
        <v>0</v>
      </c>
      <c r="L707" t="n">
        <v>0</v>
      </c>
      <c r="M707" t="n">
        <v>0</v>
      </c>
      <c r="N707" t="n">
        <v>0</v>
      </c>
      <c r="O707" t="n">
        <v>0</v>
      </c>
      <c r="P707" t="n">
        <v>0</v>
      </c>
      <c r="Q707" t="n">
        <v>0</v>
      </c>
      <c r="R707" s="2" t="inlineStr"/>
    </row>
    <row r="708" ht="15" customHeight="1">
      <c r="A708" t="inlineStr">
        <is>
          <t>A 11960-2025</t>
        </is>
      </c>
      <c r="B708" s="1" t="n">
        <v>45728</v>
      </c>
      <c r="C708" s="1" t="n">
        <v>45795</v>
      </c>
      <c r="D708" t="inlineStr">
        <is>
          <t>NORRBOTTENS LÄN</t>
        </is>
      </c>
      <c r="E708" t="inlineStr">
        <is>
          <t>JOKKMOKK</t>
        </is>
      </c>
      <c r="F708" t="inlineStr">
        <is>
          <t>SCA</t>
        </is>
      </c>
      <c r="G708" t="n">
        <v>8.9</v>
      </c>
      <c r="H708" t="n">
        <v>0</v>
      </c>
      <c r="I708" t="n">
        <v>0</v>
      </c>
      <c r="J708" t="n">
        <v>0</v>
      </c>
      <c r="K708" t="n">
        <v>0</v>
      </c>
      <c r="L708" t="n">
        <v>0</v>
      </c>
      <c r="M708" t="n">
        <v>0</v>
      </c>
      <c r="N708" t="n">
        <v>0</v>
      </c>
      <c r="O708" t="n">
        <v>0</v>
      </c>
      <c r="P708" t="n">
        <v>0</v>
      </c>
      <c r="Q708" t="n">
        <v>0</v>
      </c>
      <c r="R708" s="2" t="inlineStr"/>
    </row>
    <row r="709" ht="15" customHeight="1">
      <c r="A709" t="inlineStr">
        <is>
          <t>A 13864-2025</t>
        </is>
      </c>
      <c r="B709" s="1" t="n">
        <v>45737</v>
      </c>
      <c r="C709" s="1" t="n">
        <v>45795</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13863-2025</t>
        </is>
      </c>
      <c r="B710" s="1" t="n">
        <v>45737</v>
      </c>
      <c r="C710" s="1" t="n">
        <v>45795</v>
      </c>
      <c r="D710" t="inlineStr">
        <is>
          <t>NORRBOTTENS LÄN</t>
        </is>
      </c>
      <c r="E710" t="inlineStr">
        <is>
          <t>JOKKMOKK</t>
        </is>
      </c>
      <c r="G710" t="n">
        <v>0.9</v>
      </c>
      <c r="H710" t="n">
        <v>0</v>
      </c>
      <c r="I710" t="n">
        <v>0</v>
      </c>
      <c r="J710" t="n">
        <v>0</v>
      </c>
      <c r="K710" t="n">
        <v>0</v>
      </c>
      <c r="L710" t="n">
        <v>0</v>
      </c>
      <c r="M710" t="n">
        <v>0</v>
      </c>
      <c r="N710" t="n">
        <v>0</v>
      </c>
      <c r="O710" t="n">
        <v>0</v>
      </c>
      <c r="P710" t="n">
        <v>0</v>
      </c>
      <c r="Q710" t="n">
        <v>0</v>
      </c>
      <c r="R710" s="2" t="inlineStr"/>
    </row>
    <row r="711" ht="15" customHeight="1">
      <c r="A711" t="inlineStr">
        <is>
          <t>A 14869-2025</t>
        </is>
      </c>
      <c r="B711" s="1" t="n">
        <v>45743</v>
      </c>
      <c r="C711" s="1" t="n">
        <v>45795</v>
      </c>
      <c r="D711" t="inlineStr">
        <is>
          <t>NORRBOTTENS LÄN</t>
        </is>
      </c>
      <c r="E711" t="inlineStr">
        <is>
          <t>JOKKMOKK</t>
        </is>
      </c>
      <c r="G711" t="n">
        <v>4.9</v>
      </c>
      <c r="H711" t="n">
        <v>0</v>
      </c>
      <c r="I711" t="n">
        <v>0</v>
      </c>
      <c r="J711" t="n">
        <v>0</v>
      </c>
      <c r="K711" t="n">
        <v>0</v>
      </c>
      <c r="L711" t="n">
        <v>0</v>
      </c>
      <c r="M711" t="n">
        <v>0</v>
      </c>
      <c r="N711" t="n">
        <v>0</v>
      </c>
      <c r="O711" t="n">
        <v>0</v>
      </c>
      <c r="P711" t="n">
        <v>0</v>
      </c>
      <c r="Q711" t="n">
        <v>0</v>
      </c>
      <c r="R711" s="2" t="inlineStr"/>
    </row>
    <row r="712" ht="15" customHeight="1">
      <c r="A712" t="inlineStr">
        <is>
          <t>A 16972-2025</t>
        </is>
      </c>
      <c r="B712" s="1" t="n">
        <v>45755</v>
      </c>
      <c r="C712" s="1" t="n">
        <v>45795</v>
      </c>
      <c r="D712" t="inlineStr">
        <is>
          <t>NORRBOTTENS LÄN</t>
        </is>
      </c>
      <c r="E712" t="inlineStr">
        <is>
          <t>JOKKMOKK</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17183-2025</t>
        </is>
      </c>
      <c r="B713" s="1" t="n">
        <v>45756</v>
      </c>
      <c r="C713" s="1" t="n">
        <v>45795</v>
      </c>
      <c r="D713" t="inlineStr">
        <is>
          <t>NORRBOTTENS LÄN</t>
        </is>
      </c>
      <c r="E713" t="inlineStr">
        <is>
          <t>JOKKMOKK</t>
        </is>
      </c>
      <c r="G713" t="n">
        <v>10.4</v>
      </c>
      <c r="H713" t="n">
        <v>0</v>
      </c>
      <c r="I713" t="n">
        <v>0</v>
      </c>
      <c r="J713" t="n">
        <v>0</v>
      </c>
      <c r="K713" t="n">
        <v>0</v>
      </c>
      <c r="L713" t="n">
        <v>0</v>
      </c>
      <c r="M713" t="n">
        <v>0</v>
      </c>
      <c r="N713" t="n">
        <v>0</v>
      </c>
      <c r="O713" t="n">
        <v>0</v>
      </c>
      <c r="P713" t="n">
        <v>0</v>
      </c>
      <c r="Q713" t="n">
        <v>0</v>
      </c>
      <c r="R713" s="2" t="inlineStr"/>
    </row>
    <row r="714" ht="15" customHeight="1">
      <c r="A714" t="inlineStr">
        <is>
          <t>A 17784-2025</t>
        </is>
      </c>
      <c r="B714" s="1" t="n">
        <v>45758</v>
      </c>
      <c r="C714" s="1" t="n">
        <v>45795</v>
      </c>
      <c r="D714" t="inlineStr">
        <is>
          <t>NORRBOTTENS LÄN</t>
        </is>
      </c>
      <c r="E714" t="inlineStr">
        <is>
          <t>JOKKMOKK</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18492-2025</t>
        </is>
      </c>
      <c r="B715" s="1" t="n">
        <v>45763</v>
      </c>
      <c r="C715" s="1" t="n">
        <v>45795</v>
      </c>
      <c r="D715" t="inlineStr">
        <is>
          <t>NORRBOTTENS LÄN</t>
        </is>
      </c>
      <c r="E715" t="inlineStr">
        <is>
          <t>JOKKMOKK</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18708-2025</t>
        </is>
      </c>
      <c r="B716" s="1" t="n">
        <v>45763</v>
      </c>
      <c r="C716" s="1" t="n">
        <v>45795</v>
      </c>
      <c r="D716" t="inlineStr">
        <is>
          <t>NORRBOTTENS LÄN</t>
        </is>
      </c>
      <c r="E716" t="inlineStr">
        <is>
          <t>JOKKMOKK</t>
        </is>
      </c>
      <c r="F716" t="inlineStr">
        <is>
          <t>SCA</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18493-2025</t>
        </is>
      </c>
      <c r="B717" s="1" t="n">
        <v>45763</v>
      </c>
      <c r="C717" s="1" t="n">
        <v>45795</v>
      </c>
      <c r="D717" t="inlineStr">
        <is>
          <t>NORRBOTTENS LÄN</t>
        </is>
      </c>
      <c r="E717" t="inlineStr">
        <is>
          <t>JOKKMOKK</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18903-2025</t>
        </is>
      </c>
      <c r="B718" s="1" t="n">
        <v>45764</v>
      </c>
      <c r="C718" s="1" t="n">
        <v>45795</v>
      </c>
      <c r="D718" t="inlineStr">
        <is>
          <t>NORRBOTTENS LÄN</t>
        </is>
      </c>
      <c r="E718" t="inlineStr">
        <is>
          <t>JOKKMOKK</t>
        </is>
      </c>
      <c r="G718" t="n">
        <v>9.1</v>
      </c>
      <c r="H718" t="n">
        <v>0</v>
      </c>
      <c r="I718" t="n">
        <v>0</v>
      </c>
      <c r="J718" t="n">
        <v>0</v>
      </c>
      <c r="K718" t="n">
        <v>0</v>
      </c>
      <c r="L718" t="n">
        <v>0</v>
      </c>
      <c r="M718" t="n">
        <v>0</v>
      </c>
      <c r="N718" t="n">
        <v>0</v>
      </c>
      <c r="O718" t="n">
        <v>0</v>
      </c>
      <c r="P718" t="n">
        <v>0</v>
      </c>
      <c r="Q718" t="n">
        <v>0</v>
      </c>
      <c r="R718" s="2" t="inlineStr"/>
    </row>
    <row r="719" ht="15" customHeight="1">
      <c r="A719" t="inlineStr">
        <is>
          <t>A 18887-2025</t>
        </is>
      </c>
      <c r="B719" s="1" t="n">
        <v>45764</v>
      </c>
      <c r="C719" s="1" t="n">
        <v>45795</v>
      </c>
      <c r="D719" t="inlineStr">
        <is>
          <t>NORRBOTTENS LÄN</t>
        </is>
      </c>
      <c r="E719" t="inlineStr">
        <is>
          <t>JOKKMOKK</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19493-2025</t>
        </is>
      </c>
      <c r="B720" s="1" t="n">
        <v>45770</v>
      </c>
      <c r="C720" s="1" t="n">
        <v>45795</v>
      </c>
      <c r="D720" t="inlineStr">
        <is>
          <t>NORRBOTTENS LÄN</t>
        </is>
      </c>
      <c r="E720" t="inlineStr">
        <is>
          <t>JOKKMOKK</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20270-2025</t>
        </is>
      </c>
      <c r="B721" s="1" t="n">
        <v>45773</v>
      </c>
      <c r="C721" s="1" t="n">
        <v>45795</v>
      </c>
      <c r="D721" t="inlineStr">
        <is>
          <t>NORRBOTTENS LÄN</t>
        </is>
      </c>
      <c r="E721" t="inlineStr">
        <is>
          <t>JOKKMOKK</t>
        </is>
      </c>
      <c r="G721" t="n">
        <v>90.09999999999999</v>
      </c>
      <c r="H721" t="n">
        <v>0</v>
      </c>
      <c r="I721" t="n">
        <v>0</v>
      </c>
      <c r="J721" t="n">
        <v>0</v>
      </c>
      <c r="K721" t="n">
        <v>0</v>
      </c>
      <c r="L721" t="n">
        <v>0</v>
      </c>
      <c r="M721" t="n">
        <v>0</v>
      </c>
      <c r="N721" t="n">
        <v>0</v>
      </c>
      <c r="O721" t="n">
        <v>0</v>
      </c>
      <c r="P721" t="n">
        <v>0</v>
      </c>
      <c r="Q721" t="n">
        <v>0</v>
      </c>
      <c r="R721" s="2" t="inlineStr"/>
    </row>
    <row r="722" ht="15" customHeight="1">
      <c r="A722" t="inlineStr">
        <is>
          <t>A 20421-2025</t>
        </is>
      </c>
      <c r="B722" s="1" t="n">
        <v>45775</v>
      </c>
      <c r="C722" s="1" t="n">
        <v>45795</v>
      </c>
      <c r="D722" t="inlineStr">
        <is>
          <t>NORRBOTTENS LÄN</t>
        </is>
      </c>
      <c r="E722" t="inlineStr">
        <is>
          <t>JOKKMOKK</t>
        </is>
      </c>
      <c r="G722" t="n">
        <v>6.4</v>
      </c>
      <c r="H722" t="n">
        <v>0</v>
      </c>
      <c r="I722" t="n">
        <v>0</v>
      </c>
      <c r="J722" t="n">
        <v>0</v>
      </c>
      <c r="K722" t="n">
        <v>0</v>
      </c>
      <c r="L722" t="n">
        <v>0</v>
      </c>
      <c r="M722" t="n">
        <v>0</v>
      </c>
      <c r="N722" t="n">
        <v>0</v>
      </c>
      <c r="O722" t="n">
        <v>0</v>
      </c>
      <c r="P722" t="n">
        <v>0</v>
      </c>
      <c r="Q722" t="n">
        <v>0</v>
      </c>
      <c r="R722" s="2" t="inlineStr"/>
    </row>
    <row r="723" ht="15" customHeight="1">
      <c r="A723" t="inlineStr">
        <is>
          <t>A 21710-2025</t>
        </is>
      </c>
      <c r="B723" s="1" t="n">
        <v>45783</v>
      </c>
      <c r="C723" s="1" t="n">
        <v>45795</v>
      </c>
      <c r="D723" t="inlineStr">
        <is>
          <t>NORRBOTTENS LÄN</t>
        </is>
      </c>
      <c r="E723" t="inlineStr">
        <is>
          <t>JOKKMOKK</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21829-2025</t>
        </is>
      </c>
      <c r="B724" s="1" t="n">
        <v>45784</v>
      </c>
      <c r="C724" s="1" t="n">
        <v>45795</v>
      </c>
      <c r="D724" t="inlineStr">
        <is>
          <t>NORRBOTTENS LÄN</t>
        </is>
      </c>
      <c r="E724" t="inlineStr">
        <is>
          <t>JOKKMOKK</t>
        </is>
      </c>
      <c r="G724" t="n">
        <v>7.1</v>
      </c>
      <c r="H724" t="n">
        <v>0</v>
      </c>
      <c r="I724" t="n">
        <v>0</v>
      </c>
      <c r="J724" t="n">
        <v>0</v>
      </c>
      <c r="K724" t="n">
        <v>0</v>
      </c>
      <c r="L724" t="n">
        <v>0</v>
      </c>
      <c r="M724" t="n">
        <v>0</v>
      </c>
      <c r="N724" t="n">
        <v>0</v>
      </c>
      <c r="O724" t="n">
        <v>0</v>
      </c>
      <c r="P724" t="n">
        <v>0</v>
      </c>
      <c r="Q724" t="n">
        <v>0</v>
      </c>
      <c r="R724" s="2" t="inlineStr"/>
    </row>
    <row r="725">
      <c r="A725" t="inlineStr">
        <is>
          <t>A 23317-2025</t>
        </is>
      </c>
      <c r="B725" s="1" t="n">
        <v>45791</v>
      </c>
      <c r="C725" s="1" t="n">
        <v>45795</v>
      </c>
      <c r="D725" t="inlineStr">
        <is>
          <t>NORRBOTTENS LÄN</t>
        </is>
      </c>
      <c r="E725" t="inlineStr">
        <is>
          <t>JOKKMOKK</t>
        </is>
      </c>
      <c r="F725" t="inlineStr">
        <is>
          <t>Sveaskog</t>
        </is>
      </c>
      <c r="G725" t="n">
        <v>22.4</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2025-05-18T17:21:41Z</dcterms:created>
  <dcterms:modified xmlns:dcterms="http://purl.org/dc/terms/" xmlns:xsi="http://www.w3.org/2001/XMLSchema-instance" xsi:type="dcterms:W3CDTF">2025-05-18T17:21:41Z</dcterms:modified>
</cp:coreProperties>
</file>