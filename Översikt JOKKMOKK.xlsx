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46003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46003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46003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46003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46003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46003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46003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46003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46003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46003</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46003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46003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46003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46003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46003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46003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46003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46003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45993.60280092592</v>
      </c>
      <c r="C20" s="1" t="n">
        <v>46003</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46003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46003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46003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46003</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46003</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46003</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58565-2025</t>
        </is>
      </c>
      <c r="B27" s="1" t="n">
        <v>45986.36518518518</v>
      </c>
      <c r="C27" s="1" t="n">
        <v>46003</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58743-2025</t>
        </is>
      </c>
      <c r="B28" s="1" t="n">
        <v>45986.63600694444</v>
      </c>
      <c r="C28" s="1" t="n">
        <v>46003</v>
      </c>
      <c r="D28" t="inlineStr">
        <is>
          <t>NORRBOTTENS LÄN</t>
        </is>
      </c>
      <c r="E28" t="inlineStr">
        <is>
          <t>JOKKMOKK</t>
        </is>
      </c>
      <c r="F28" t="inlineStr">
        <is>
          <t>SCA</t>
        </is>
      </c>
      <c r="G28" t="n">
        <v>3.2</v>
      </c>
      <c r="H28" t="n">
        <v>0</v>
      </c>
      <c r="I28" t="n">
        <v>1</v>
      </c>
      <c r="J28" t="n">
        <v>4</v>
      </c>
      <c r="K28" t="n">
        <v>4</v>
      </c>
      <c r="L28" t="n">
        <v>0</v>
      </c>
      <c r="M28" t="n">
        <v>0</v>
      </c>
      <c r="N28" t="n">
        <v>0</v>
      </c>
      <c r="O28" t="n">
        <v>8</v>
      </c>
      <c r="P28" t="n">
        <v>4</v>
      </c>
      <c r="Q28" t="n">
        <v>9</v>
      </c>
      <c r="R28" s="2" t="inlineStr">
        <is>
          <t>Goliatmusseron
Smalfotad taggsvamp
Spadskinn
Tajgataggsvamp
Blå taggsvamp
Orange taggsvamp
Svartvit taggsvamp
Talltaggsvamp
Mindre märgborre</t>
        </is>
      </c>
      <c r="S28">
        <f>HYPERLINK("https://klasma.github.io/Logging_2510/artfynd/A 58743-2025 artfynd.xlsx", "A 58743-2025")</f>
        <v/>
      </c>
      <c r="T28">
        <f>HYPERLINK("https://klasma.github.io/Logging_2510/kartor/A 58743-2025 karta.png", "A 58743-2025")</f>
        <v/>
      </c>
      <c r="V28">
        <f>HYPERLINK("https://klasma.github.io/Logging_2510/klagomål/A 58743-2025 FSC-klagomål.docx", "A 58743-2025")</f>
        <v/>
      </c>
      <c r="W28">
        <f>HYPERLINK("https://klasma.github.io/Logging_2510/klagomålsmail/A 58743-2025 FSC-klagomål mail.docx", "A 58743-2025")</f>
        <v/>
      </c>
      <c r="X28">
        <f>HYPERLINK("https://klasma.github.io/Logging_2510/tillsyn/A 58743-2025 tillsynsbegäran.docx", "A 58743-2025")</f>
        <v/>
      </c>
      <c r="Y28">
        <f>HYPERLINK("https://klasma.github.io/Logging_2510/tillsynsmail/A 58743-2025 tillsynsbegäran mail.docx", "A 58743-2025")</f>
        <v/>
      </c>
    </row>
    <row r="29" ht="15" customHeight="1">
      <c r="A29" t="inlineStr">
        <is>
          <t>A 27548-2025</t>
        </is>
      </c>
      <c r="B29" s="1" t="n">
        <v>45813</v>
      </c>
      <c r="C29" s="1" t="n">
        <v>46003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46003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46003</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46003</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46003</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46003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54960-2021</t>
        </is>
      </c>
      <c r="B35" s="1" t="n">
        <v>44474</v>
      </c>
      <c r="C35" s="1" t="n">
        <v>46003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46003</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46003</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46003</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46003</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33139-2023</t>
        </is>
      </c>
      <c r="B40" s="1" t="n">
        <v>45114</v>
      </c>
      <c r="C40" s="1" t="n">
        <v>46003</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46003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46003</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22747-2025</t>
        </is>
      </c>
      <c r="B43" s="1" t="n">
        <v>45789.60505787037</v>
      </c>
      <c r="C43" s="1" t="n">
        <v>46003</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32913-2023</t>
        </is>
      </c>
      <c r="B44" s="1" t="n">
        <v>45124</v>
      </c>
      <c r="C44" s="1" t="n">
        <v>46003</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6435-2025</t>
        </is>
      </c>
      <c r="B45" s="1" t="n">
        <v>45699</v>
      </c>
      <c r="C45" s="1" t="n">
        <v>46003</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24737-2025</t>
        </is>
      </c>
      <c r="B46" s="1" t="n">
        <v>45799.34494212963</v>
      </c>
      <c r="C46" s="1" t="n">
        <v>46003</v>
      </c>
      <c r="D46" t="inlineStr">
        <is>
          <t>NORRBOTTENS LÄN</t>
        </is>
      </c>
      <c r="E46" t="inlineStr">
        <is>
          <t>JOKKMOKK</t>
        </is>
      </c>
      <c r="F46" t="inlineStr">
        <is>
          <t>SCA</t>
        </is>
      </c>
      <c r="G46" t="n">
        <v>12.3</v>
      </c>
      <c r="H46" t="n">
        <v>2</v>
      </c>
      <c r="I46" t="n">
        <v>0</v>
      </c>
      <c r="J46" t="n">
        <v>1</v>
      </c>
      <c r="K46" t="n">
        <v>0</v>
      </c>
      <c r="L46" t="n">
        <v>0</v>
      </c>
      <c r="M46" t="n">
        <v>0</v>
      </c>
      <c r="N46" t="n">
        <v>0</v>
      </c>
      <c r="O46" t="n">
        <v>1</v>
      </c>
      <c r="P46" t="n">
        <v>0</v>
      </c>
      <c r="Q46" t="n">
        <v>3</v>
      </c>
      <c r="R46" s="2" t="inlineStr">
        <is>
          <t>Tallticka
Vanlig groda
Vanlig padda</t>
        </is>
      </c>
      <c r="S46">
        <f>HYPERLINK("https://klasma.github.io/Logging_2510/artfynd/A 24737-2025 artfynd.xlsx", "A 24737-2025")</f>
        <v/>
      </c>
      <c r="T46">
        <f>HYPERLINK("https://klasma.github.io/Logging_2510/kartor/A 24737-2025 karta.png", "A 24737-2025")</f>
        <v/>
      </c>
      <c r="V46">
        <f>HYPERLINK("https://klasma.github.io/Logging_2510/klagomål/A 24737-2025 FSC-klagomål.docx", "A 24737-2025")</f>
        <v/>
      </c>
      <c r="W46">
        <f>HYPERLINK("https://klasma.github.io/Logging_2510/klagomålsmail/A 24737-2025 FSC-klagomål mail.docx", "A 24737-2025")</f>
        <v/>
      </c>
      <c r="X46">
        <f>HYPERLINK("https://klasma.github.io/Logging_2510/tillsyn/A 24737-2025 tillsynsbegäran.docx", "A 24737-2025")</f>
        <v/>
      </c>
      <c r="Y46">
        <f>HYPERLINK("https://klasma.github.io/Logging_2510/tillsynsmail/A 24737-2025 tillsynsbegäran mail.docx", "A 24737-2025")</f>
        <v/>
      </c>
    </row>
    <row r="47" ht="15" customHeight="1">
      <c r="A47" t="inlineStr">
        <is>
          <t>A 24408-2022</t>
        </is>
      </c>
      <c r="B47" s="1" t="n">
        <v>44726</v>
      </c>
      <c r="C47" s="1" t="n">
        <v>46003</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46003</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38607-2025</t>
        </is>
      </c>
      <c r="B49" s="1" t="n">
        <v>45884.53171296296</v>
      </c>
      <c r="C49" s="1" t="n">
        <v>46003</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21710-2025</t>
        </is>
      </c>
      <c r="B50" s="1" t="n">
        <v>45783.53160879629</v>
      </c>
      <c r="C50" s="1" t="n">
        <v>46003</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32982-2023</t>
        </is>
      </c>
      <c r="B51" s="1" t="n">
        <v>45113</v>
      </c>
      <c r="C51" s="1" t="n">
        <v>46003</v>
      </c>
      <c r="D51" t="inlineStr">
        <is>
          <t>NORRBOTTENS LÄN</t>
        </is>
      </c>
      <c r="E51" t="inlineStr">
        <is>
          <t>JOKKMOKK</t>
        </is>
      </c>
      <c r="F51" t="inlineStr">
        <is>
          <t>Övriga statliga verk och myndigheter</t>
        </is>
      </c>
      <c r="G51" t="n">
        <v>21</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15827-2025</t>
        </is>
      </c>
      <c r="B52" s="1" t="n">
        <v>45748</v>
      </c>
      <c r="C52" s="1" t="n">
        <v>46003</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55525-2025</t>
        </is>
      </c>
      <c r="B53" s="1" t="n">
        <v>45971.61633101852</v>
      </c>
      <c r="C53" s="1" t="n">
        <v>46003</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29679-2024</t>
        </is>
      </c>
      <c r="B54" s="1" t="n">
        <v>45484</v>
      </c>
      <c r="C54" s="1" t="n">
        <v>46003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46003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57700-2025</t>
        </is>
      </c>
      <c r="B56" s="1" t="n">
        <v>45981.46185185185</v>
      </c>
      <c r="C56" s="1" t="n">
        <v>46003</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52877-2025</t>
        </is>
      </c>
      <c r="B57" s="1" t="n">
        <v>45957.53907407408</v>
      </c>
      <c r="C57" s="1" t="n">
        <v>46003</v>
      </c>
      <c r="D57" t="inlineStr">
        <is>
          <t>NORRBOTTENS LÄN</t>
        </is>
      </c>
      <c r="E57" t="inlineStr">
        <is>
          <t>JOKKMOKK</t>
        </is>
      </c>
      <c r="F57" t="inlineStr">
        <is>
          <t>Sveaskog</t>
        </is>
      </c>
      <c r="G57" t="n">
        <v>26.7</v>
      </c>
      <c r="H57" t="n">
        <v>0</v>
      </c>
      <c r="I57" t="n">
        <v>2</v>
      </c>
      <c r="J57" t="n">
        <v>0</v>
      </c>
      <c r="K57" t="n">
        <v>0</v>
      </c>
      <c r="L57" t="n">
        <v>0</v>
      </c>
      <c r="M57" t="n">
        <v>0</v>
      </c>
      <c r="N57" t="n">
        <v>0</v>
      </c>
      <c r="O57" t="n">
        <v>0</v>
      </c>
      <c r="P57" t="n">
        <v>0</v>
      </c>
      <c r="Q57" t="n">
        <v>2</v>
      </c>
      <c r="R57" s="2" t="inlineStr">
        <is>
          <t>Bollvitmossa
Bårdlav</t>
        </is>
      </c>
      <c r="S57">
        <f>HYPERLINK("https://klasma.github.io/Logging_2510/artfynd/A 52877-2025 artfynd.xlsx", "A 52877-2025")</f>
        <v/>
      </c>
      <c r="T57">
        <f>HYPERLINK("https://klasma.github.io/Logging_2510/kartor/A 52877-2025 karta.png", "A 52877-2025")</f>
        <v/>
      </c>
      <c r="V57">
        <f>HYPERLINK("https://klasma.github.io/Logging_2510/klagomål/A 52877-2025 FSC-klagomål.docx", "A 52877-2025")</f>
        <v/>
      </c>
      <c r="W57">
        <f>HYPERLINK("https://klasma.github.io/Logging_2510/klagomålsmail/A 52877-2025 FSC-klagomål mail.docx", "A 52877-2025")</f>
        <v/>
      </c>
      <c r="X57">
        <f>HYPERLINK("https://klasma.github.io/Logging_2510/tillsyn/A 52877-2025 tillsynsbegäran.docx", "A 52877-2025")</f>
        <v/>
      </c>
      <c r="Y57">
        <f>HYPERLINK("https://klasma.github.io/Logging_2510/tillsynsmail/A 52877-2025 tillsynsbegäran mail.docx", "A 52877-2025")</f>
        <v/>
      </c>
    </row>
    <row r="58" ht="15" customHeight="1">
      <c r="A58" t="inlineStr">
        <is>
          <t>A 36594-2021</t>
        </is>
      </c>
      <c r="B58" s="1" t="n">
        <v>44391</v>
      </c>
      <c r="C58" s="1" t="n">
        <v>46003</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52537-2023</t>
        </is>
      </c>
      <c r="B59" s="1" t="n">
        <v>45225</v>
      </c>
      <c r="C59" s="1" t="n">
        <v>46003</v>
      </c>
      <c r="D59" t="inlineStr">
        <is>
          <t>NORRBOTTENS LÄN</t>
        </is>
      </c>
      <c r="E59" t="inlineStr">
        <is>
          <t>JOKKMOKK</t>
        </is>
      </c>
      <c r="F59" t="inlineStr">
        <is>
          <t>Övriga statliga verk och myndigheter</t>
        </is>
      </c>
      <c r="G59" t="n">
        <v>15.3</v>
      </c>
      <c r="H59" t="n">
        <v>0</v>
      </c>
      <c r="I59" t="n">
        <v>0</v>
      </c>
      <c r="J59" t="n">
        <v>1</v>
      </c>
      <c r="K59" t="n">
        <v>0</v>
      </c>
      <c r="L59" t="n">
        <v>0</v>
      </c>
      <c r="M59" t="n">
        <v>0</v>
      </c>
      <c r="N59" t="n">
        <v>0</v>
      </c>
      <c r="O59" t="n">
        <v>1</v>
      </c>
      <c r="P59" t="n">
        <v>0</v>
      </c>
      <c r="Q59" t="n">
        <v>1</v>
      </c>
      <c r="R59" s="2" t="inlineStr">
        <is>
          <t>Reliktbock</t>
        </is>
      </c>
      <c r="S59">
        <f>HYPERLINK("https://klasma.github.io/Logging_2510/artfynd/A 52537-2023 artfynd.xlsx", "A 52537-2023")</f>
        <v/>
      </c>
      <c r="T59">
        <f>HYPERLINK("https://klasma.github.io/Logging_2510/kartor/A 52537-2023 karta.png", "A 52537-2023")</f>
        <v/>
      </c>
      <c r="V59">
        <f>HYPERLINK("https://klasma.github.io/Logging_2510/klagomål/A 52537-2023 FSC-klagomål.docx", "A 52537-2023")</f>
        <v/>
      </c>
      <c r="W59">
        <f>HYPERLINK("https://klasma.github.io/Logging_2510/klagomålsmail/A 52537-2023 FSC-klagomål mail.docx", "A 52537-2023")</f>
        <v/>
      </c>
      <c r="X59">
        <f>HYPERLINK("https://klasma.github.io/Logging_2510/tillsyn/A 52537-2023 tillsynsbegäran.docx", "A 52537-2023")</f>
        <v/>
      </c>
      <c r="Y59">
        <f>HYPERLINK("https://klasma.github.io/Logging_2510/tillsynsmail/A 52537-2023 tillsynsbegäran mail.docx", "A 52537-2023")</f>
        <v/>
      </c>
    </row>
    <row r="60" ht="15" customHeight="1">
      <c r="A60" t="inlineStr">
        <is>
          <t>A 50121-2024</t>
        </is>
      </c>
      <c r="B60" s="1" t="n">
        <v>45600.42096064815</v>
      </c>
      <c r="C60" s="1" t="n">
        <v>46003</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52260-2024</t>
        </is>
      </c>
      <c r="B61" s="1" t="n">
        <v>45608</v>
      </c>
      <c r="C61" s="1" t="n">
        <v>46003</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52994-2024</t>
        </is>
      </c>
      <c r="B62" s="1" t="n">
        <v>45611.37796296296</v>
      </c>
      <c r="C62" s="1" t="n">
        <v>46003</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72480-2021</t>
        </is>
      </c>
      <c r="B63" s="1" t="n">
        <v>44545</v>
      </c>
      <c r="C63" s="1" t="n">
        <v>46003</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49525-2024</t>
        </is>
      </c>
      <c r="B64" s="1" t="n">
        <v>45596</v>
      </c>
      <c r="C64" s="1" t="n">
        <v>46003</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2031-2025</t>
        </is>
      </c>
      <c r="B65" s="1" t="n">
        <v>45672</v>
      </c>
      <c r="C65" s="1" t="n">
        <v>46003</v>
      </c>
      <c r="D65" t="inlineStr">
        <is>
          <t>NORRBOTTENS LÄN</t>
        </is>
      </c>
      <c r="E65" t="inlineStr">
        <is>
          <t>JOKKMOKK</t>
        </is>
      </c>
      <c r="F65" t="inlineStr">
        <is>
          <t>Övriga statliga verk och myndigheter</t>
        </is>
      </c>
      <c r="G65" t="n">
        <v>7.5</v>
      </c>
      <c r="H65" t="n">
        <v>0</v>
      </c>
      <c r="I65" t="n">
        <v>0</v>
      </c>
      <c r="J65" t="n">
        <v>1</v>
      </c>
      <c r="K65" t="n">
        <v>0</v>
      </c>
      <c r="L65" t="n">
        <v>0</v>
      </c>
      <c r="M65" t="n">
        <v>0</v>
      </c>
      <c r="N65" t="n">
        <v>0</v>
      </c>
      <c r="O65" t="n">
        <v>1</v>
      </c>
      <c r="P65" t="n">
        <v>0</v>
      </c>
      <c r="Q65" t="n">
        <v>1</v>
      </c>
      <c r="R65" s="2" t="inlineStr">
        <is>
          <t>Vitplätt</t>
        </is>
      </c>
      <c r="S65">
        <f>HYPERLINK("https://klasma.github.io/Logging_2510/artfynd/A 2031-2025 artfynd.xlsx", "A 2031-2025")</f>
        <v/>
      </c>
      <c r="T65">
        <f>HYPERLINK("https://klasma.github.io/Logging_2510/kartor/A 2031-2025 karta.png", "A 2031-2025")</f>
        <v/>
      </c>
      <c r="V65">
        <f>HYPERLINK("https://klasma.github.io/Logging_2510/klagomål/A 2031-2025 FSC-klagomål.docx", "A 2031-2025")</f>
        <v/>
      </c>
      <c r="W65">
        <f>HYPERLINK("https://klasma.github.io/Logging_2510/klagomålsmail/A 2031-2025 FSC-klagomål mail.docx", "A 2031-2025")</f>
        <v/>
      </c>
      <c r="X65">
        <f>HYPERLINK("https://klasma.github.io/Logging_2510/tillsyn/A 2031-2025 tillsynsbegäran.docx", "A 2031-2025")</f>
        <v/>
      </c>
      <c r="Y65">
        <f>HYPERLINK("https://klasma.github.io/Logging_2510/tillsynsmail/A 2031-2025 tillsynsbegäran mail.docx", "A 2031-2025")</f>
        <v/>
      </c>
    </row>
    <row r="66" ht="15" customHeight="1">
      <c r="A66" t="inlineStr">
        <is>
          <t>A 43023-2024</t>
        </is>
      </c>
      <c r="B66" s="1" t="n">
        <v>45567</v>
      </c>
      <c r="C66" s="1" t="n">
        <v>46003</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46003</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40466-2023</t>
        </is>
      </c>
      <c r="B68" s="1" t="n">
        <v>45170</v>
      </c>
      <c r="C68" s="1" t="n">
        <v>46003</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39850-2025</t>
        </is>
      </c>
      <c r="B69" s="1" t="n">
        <v>45891.58591435185</v>
      </c>
      <c r="C69" s="1" t="n">
        <v>46003</v>
      </c>
      <c r="D69" t="inlineStr">
        <is>
          <t>NORRBOTTENS LÄN</t>
        </is>
      </c>
      <c r="E69" t="inlineStr">
        <is>
          <t>JOKKMOKK</t>
        </is>
      </c>
      <c r="F69" t="inlineStr">
        <is>
          <t>Sveaskog</t>
        </is>
      </c>
      <c r="G69" t="n">
        <v>4.5</v>
      </c>
      <c r="H69" t="n">
        <v>0</v>
      </c>
      <c r="I69" t="n">
        <v>0</v>
      </c>
      <c r="J69" t="n">
        <v>1</v>
      </c>
      <c r="K69" t="n">
        <v>0</v>
      </c>
      <c r="L69" t="n">
        <v>0</v>
      </c>
      <c r="M69" t="n">
        <v>0</v>
      </c>
      <c r="N69" t="n">
        <v>0</v>
      </c>
      <c r="O69" t="n">
        <v>1</v>
      </c>
      <c r="P69" t="n">
        <v>0</v>
      </c>
      <c r="Q69" t="n">
        <v>1</v>
      </c>
      <c r="R69" s="2" t="inlineStr">
        <is>
          <t>Blanksvart spiklav</t>
        </is>
      </c>
      <c r="S69">
        <f>HYPERLINK("https://klasma.github.io/Logging_2510/artfynd/A 39850-2025 artfynd.xlsx", "A 39850-2025")</f>
        <v/>
      </c>
      <c r="T69">
        <f>HYPERLINK("https://klasma.github.io/Logging_2510/kartor/A 39850-2025 karta.png", "A 39850-2025")</f>
        <v/>
      </c>
      <c r="U69">
        <f>HYPERLINK("https://klasma.github.io/Logging_2510/knärot/A 39850-2025 karta knärot.png", "A 39850-2025")</f>
        <v/>
      </c>
      <c r="V69">
        <f>HYPERLINK("https://klasma.github.io/Logging_2510/klagomål/A 39850-2025 FSC-klagomål.docx", "A 39850-2025")</f>
        <v/>
      </c>
      <c r="W69">
        <f>HYPERLINK("https://klasma.github.io/Logging_2510/klagomålsmail/A 39850-2025 FSC-klagomål mail.docx", "A 39850-2025")</f>
        <v/>
      </c>
      <c r="X69">
        <f>HYPERLINK("https://klasma.github.io/Logging_2510/tillsyn/A 39850-2025 tillsynsbegäran.docx", "A 39850-2025")</f>
        <v/>
      </c>
      <c r="Y69">
        <f>HYPERLINK("https://klasma.github.io/Logging_2510/tillsynsmail/A 39850-2025 tillsynsbegäran mail.docx", "A 39850-2025")</f>
        <v/>
      </c>
    </row>
    <row r="70" ht="15" customHeight="1">
      <c r="A70" t="inlineStr">
        <is>
          <t>A 44234-2025</t>
        </is>
      </c>
      <c r="B70" s="1" t="n">
        <v>45915.65525462963</v>
      </c>
      <c r="C70" s="1" t="n">
        <v>46003</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46003</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46003</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44147-2024</t>
        </is>
      </c>
      <c r="B73" s="1" t="n">
        <v>45572.67306712963</v>
      </c>
      <c r="C73" s="1" t="n">
        <v>46003</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46003</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29859-2025</t>
        </is>
      </c>
      <c r="B75" s="1" t="n">
        <v>45826.34621527778</v>
      </c>
      <c r="C75" s="1" t="n">
        <v>46003</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50391-2025</t>
        </is>
      </c>
      <c r="B76" s="1" t="n">
        <v>45944.61743055555</v>
      </c>
      <c r="C76" s="1" t="n">
        <v>46003</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32669-2025</t>
        </is>
      </c>
      <c r="B77" s="1" t="n">
        <v>45838.69793981482</v>
      </c>
      <c r="C77" s="1" t="n">
        <v>46003</v>
      </c>
      <c r="D77" t="inlineStr">
        <is>
          <t>NORRBOTTENS LÄN</t>
        </is>
      </c>
      <c r="E77" t="inlineStr">
        <is>
          <t>JOKKMOKK</t>
        </is>
      </c>
      <c r="F77" t="inlineStr">
        <is>
          <t>Sveaskog</t>
        </is>
      </c>
      <c r="G77" t="n">
        <v>14.6</v>
      </c>
      <c r="H77" t="n">
        <v>1</v>
      </c>
      <c r="I77" t="n">
        <v>1</v>
      </c>
      <c r="J77" t="n">
        <v>0</v>
      </c>
      <c r="K77" t="n">
        <v>0</v>
      </c>
      <c r="L77" t="n">
        <v>0</v>
      </c>
      <c r="M77" t="n">
        <v>0</v>
      </c>
      <c r="N77" t="n">
        <v>0</v>
      </c>
      <c r="O77" t="n">
        <v>0</v>
      </c>
      <c r="P77" t="n">
        <v>0</v>
      </c>
      <c r="Q77" t="n">
        <v>1</v>
      </c>
      <c r="R77" s="2" t="inlineStr">
        <is>
          <t>Plattlummer</t>
        </is>
      </c>
      <c r="S77">
        <f>HYPERLINK("https://klasma.github.io/Logging_2510/artfynd/A 32669-2025 artfynd.xlsx", "A 32669-2025")</f>
        <v/>
      </c>
      <c r="T77">
        <f>HYPERLINK("https://klasma.github.io/Logging_2510/kartor/A 32669-2025 karta.png", "A 32669-2025")</f>
        <v/>
      </c>
      <c r="V77">
        <f>HYPERLINK("https://klasma.github.io/Logging_2510/klagomål/A 32669-2025 FSC-klagomål.docx", "A 32669-2025")</f>
        <v/>
      </c>
      <c r="W77">
        <f>HYPERLINK("https://klasma.github.io/Logging_2510/klagomålsmail/A 32669-2025 FSC-klagomål mail.docx", "A 32669-2025")</f>
        <v/>
      </c>
      <c r="X77">
        <f>HYPERLINK("https://klasma.github.io/Logging_2510/tillsyn/A 32669-2025 tillsynsbegäran.docx", "A 32669-2025")</f>
        <v/>
      </c>
      <c r="Y77">
        <f>HYPERLINK("https://klasma.github.io/Logging_2510/tillsynsmail/A 32669-2025 tillsynsbegäran mail.docx", "A 32669-2025")</f>
        <v/>
      </c>
    </row>
    <row r="78" ht="15" customHeight="1">
      <c r="A78" t="inlineStr">
        <is>
          <t>A 34135-2025</t>
        </is>
      </c>
      <c r="B78" s="1" t="n">
        <v>45845.5409375</v>
      </c>
      <c r="C78" s="1" t="n">
        <v>46003</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42834-2025</t>
        </is>
      </c>
      <c r="B79" s="1" t="n">
        <v>45908</v>
      </c>
      <c r="C79" s="1" t="n">
        <v>46003</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53035-2025</t>
        </is>
      </c>
      <c r="B80" s="1" t="n">
        <v>45958.34751157407</v>
      </c>
      <c r="C80" s="1" t="n">
        <v>46003</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37252-2025</t>
        </is>
      </c>
      <c r="B81" s="1" t="n">
        <v>45876.4228125</v>
      </c>
      <c r="C81" s="1" t="n">
        <v>46003</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38039-2021</t>
        </is>
      </c>
      <c r="B82" s="1" t="n">
        <v>44404</v>
      </c>
      <c r="C82" s="1" t="n">
        <v>46003</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46003</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46003</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46003</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46003</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46003</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46003</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46003</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46003</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46003</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46003</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46003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46003</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46003</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46003</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46003</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46003</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46003</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3771-2022</t>
        </is>
      </c>
      <c r="B100" s="1" t="n">
        <v>44586</v>
      </c>
      <c r="C100" s="1" t="n">
        <v>46003</v>
      </c>
      <c r="D100" t="inlineStr">
        <is>
          <t>NORRBOTTENS LÄN</t>
        </is>
      </c>
      <c r="E100" t="inlineStr">
        <is>
          <t>JOKKMOKK</t>
        </is>
      </c>
      <c r="F100" t="inlineStr">
        <is>
          <t>SCA</t>
        </is>
      </c>
      <c r="G100" t="n">
        <v>10</v>
      </c>
      <c r="H100" t="n">
        <v>0</v>
      </c>
      <c r="I100" t="n">
        <v>0</v>
      </c>
      <c r="J100" t="n">
        <v>0</v>
      </c>
      <c r="K100" t="n">
        <v>0</v>
      </c>
      <c r="L100" t="n">
        <v>0</v>
      </c>
      <c r="M100" t="n">
        <v>0</v>
      </c>
      <c r="N100" t="n">
        <v>0</v>
      </c>
      <c r="O100" t="n">
        <v>0</v>
      </c>
      <c r="P100" t="n">
        <v>0</v>
      </c>
      <c r="Q100" t="n">
        <v>0</v>
      </c>
      <c r="R100" s="2" t="inlineStr"/>
    </row>
    <row r="101" ht="15" customHeight="1">
      <c r="A101" t="inlineStr">
        <is>
          <t>A 1631-2022</t>
        </is>
      </c>
      <c r="B101" s="1" t="n">
        <v>44573</v>
      </c>
      <c r="C101" s="1" t="n">
        <v>46003</v>
      </c>
      <c r="D101" t="inlineStr">
        <is>
          <t>NORRBOTTENS LÄN</t>
        </is>
      </c>
      <c r="E101" t="inlineStr">
        <is>
          <t>JOKKMOKK</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71370-2021</t>
        </is>
      </c>
      <c r="B102" s="1" t="n">
        <v>44539</v>
      </c>
      <c r="C102" s="1" t="n">
        <v>46003</v>
      </c>
      <c r="D102" t="inlineStr">
        <is>
          <t>NORRBOTTENS LÄN</t>
        </is>
      </c>
      <c r="E102" t="inlineStr">
        <is>
          <t>JOKKMOKK</t>
        </is>
      </c>
      <c r="F102" t="inlineStr">
        <is>
          <t>SCA</t>
        </is>
      </c>
      <c r="G102" t="n">
        <v>2.9</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46003</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40129-2022</t>
        </is>
      </c>
      <c r="B104" s="1" t="n">
        <v>44820</v>
      </c>
      <c r="C104" s="1" t="n">
        <v>46003</v>
      </c>
      <c r="D104" t="inlineStr">
        <is>
          <t>NORRBOTTENS LÄN</t>
        </is>
      </c>
      <c r="E104" t="inlineStr">
        <is>
          <t>JOKKMOKK</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46003</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46003</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46003</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46003</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46003</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71368-2021</t>
        </is>
      </c>
      <c r="B110" s="1" t="n">
        <v>44539</v>
      </c>
      <c r="C110" s="1" t="n">
        <v>46003</v>
      </c>
      <c r="D110" t="inlineStr">
        <is>
          <t>NORRBOTTENS LÄN</t>
        </is>
      </c>
      <c r="E110" t="inlineStr">
        <is>
          <t>JOKKMOKK</t>
        </is>
      </c>
      <c r="F110" t="inlineStr">
        <is>
          <t>SCA</t>
        </is>
      </c>
      <c r="G110" t="n">
        <v>2.1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46003</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34084-2021</t>
        </is>
      </c>
      <c r="B112" s="1" t="n">
        <v>44378</v>
      </c>
      <c r="C112" s="1" t="n">
        <v>46003</v>
      </c>
      <c r="D112" t="inlineStr">
        <is>
          <t>NORRBOTTENS LÄN</t>
        </is>
      </c>
      <c r="E112" t="inlineStr">
        <is>
          <t>JOKKMOKK</t>
        </is>
      </c>
      <c r="G112" t="n">
        <v>9.6</v>
      </c>
      <c r="H112" t="n">
        <v>0</v>
      </c>
      <c r="I112" t="n">
        <v>0</v>
      </c>
      <c r="J112" t="n">
        <v>0</v>
      </c>
      <c r="K112" t="n">
        <v>0</v>
      </c>
      <c r="L112" t="n">
        <v>0</v>
      </c>
      <c r="M112" t="n">
        <v>0</v>
      </c>
      <c r="N112" t="n">
        <v>0</v>
      </c>
      <c r="O112" t="n">
        <v>0</v>
      </c>
      <c r="P112" t="n">
        <v>0</v>
      </c>
      <c r="Q112" t="n">
        <v>0</v>
      </c>
      <c r="R112" s="2" t="inlineStr"/>
    </row>
    <row r="113" ht="15" customHeight="1">
      <c r="A113" t="inlineStr">
        <is>
          <t>A 71947-2021</t>
        </is>
      </c>
      <c r="B113" s="1" t="n">
        <v>44543</v>
      </c>
      <c r="C113" s="1" t="n">
        <v>46003</v>
      </c>
      <c r="D113" t="inlineStr">
        <is>
          <t>NORRBOTTENS LÄN</t>
        </is>
      </c>
      <c r="E113" t="inlineStr">
        <is>
          <t>JOKKMOKK</t>
        </is>
      </c>
      <c r="F113" t="inlineStr">
        <is>
          <t>SCA</t>
        </is>
      </c>
      <c r="G113" t="n">
        <v>3.4</v>
      </c>
      <c r="H113" t="n">
        <v>0</v>
      </c>
      <c r="I113" t="n">
        <v>0</v>
      </c>
      <c r="J113" t="n">
        <v>0</v>
      </c>
      <c r="K113" t="n">
        <v>0</v>
      </c>
      <c r="L113" t="n">
        <v>0</v>
      </c>
      <c r="M113" t="n">
        <v>0</v>
      </c>
      <c r="N113" t="n">
        <v>0</v>
      </c>
      <c r="O113" t="n">
        <v>0</v>
      </c>
      <c r="P113" t="n">
        <v>0</v>
      </c>
      <c r="Q113" t="n">
        <v>0</v>
      </c>
      <c r="R113" s="2" t="inlineStr"/>
    </row>
    <row r="114" ht="15" customHeight="1">
      <c r="A114" t="inlineStr">
        <is>
          <t>A 71954-2021</t>
        </is>
      </c>
      <c r="B114" s="1" t="n">
        <v>44543</v>
      </c>
      <c r="C114" s="1" t="n">
        <v>46003</v>
      </c>
      <c r="D114" t="inlineStr">
        <is>
          <t>NORRBOTTENS LÄN</t>
        </is>
      </c>
      <c r="E114" t="inlineStr">
        <is>
          <t>JOKKMOKK</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12576-2022</t>
        </is>
      </c>
      <c r="B115" s="1" t="n">
        <v>44638</v>
      </c>
      <c r="C115" s="1" t="n">
        <v>46003</v>
      </c>
      <c r="D115" t="inlineStr">
        <is>
          <t>NORRBOTTENS LÄN</t>
        </is>
      </c>
      <c r="E115" t="inlineStr">
        <is>
          <t>JOKKMOKK</t>
        </is>
      </c>
      <c r="F115" t="inlineStr">
        <is>
          <t>SCA</t>
        </is>
      </c>
      <c r="G115" t="n">
        <v>5.1</v>
      </c>
      <c r="H115" t="n">
        <v>0</v>
      </c>
      <c r="I115" t="n">
        <v>0</v>
      </c>
      <c r="J115" t="n">
        <v>0</v>
      </c>
      <c r="K115" t="n">
        <v>0</v>
      </c>
      <c r="L115" t="n">
        <v>0</v>
      </c>
      <c r="M115" t="n">
        <v>0</v>
      </c>
      <c r="N115" t="n">
        <v>0</v>
      </c>
      <c r="O115" t="n">
        <v>0</v>
      </c>
      <c r="P115" t="n">
        <v>0</v>
      </c>
      <c r="Q115" t="n">
        <v>0</v>
      </c>
      <c r="R115" s="2" t="inlineStr"/>
    </row>
    <row r="116" ht="15" customHeight="1">
      <c r="A116" t="inlineStr">
        <is>
          <t>A 71922-2021</t>
        </is>
      </c>
      <c r="B116" s="1" t="n">
        <v>44543</v>
      </c>
      <c r="C116" s="1" t="n">
        <v>46003</v>
      </c>
      <c r="D116" t="inlineStr">
        <is>
          <t>NORRBOTTENS LÄN</t>
        </is>
      </c>
      <c r="E116" t="inlineStr">
        <is>
          <t>JOKKMOKK</t>
        </is>
      </c>
      <c r="F116" t="inlineStr">
        <is>
          <t>SCA</t>
        </is>
      </c>
      <c r="G116" t="n">
        <v>6.8</v>
      </c>
      <c r="H116" t="n">
        <v>0</v>
      </c>
      <c r="I116" t="n">
        <v>0</v>
      </c>
      <c r="J116" t="n">
        <v>0</v>
      </c>
      <c r="K116" t="n">
        <v>0</v>
      </c>
      <c r="L116" t="n">
        <v>0</v>
      </c>
      <c r="M116" t="n">
        <v>0</v>
      </c>
      <c r="N116" t="n">
        <v>0</v>
      </c>
      <c r="O116" t="n">
        <v>0</v>
      </c>
      <c r="P116" t="n">
        <v>0</v>
      </c>
      <c r="Q116" t="n">
        <v>0</v>
      </c>
      <c r="R116" s="2" t="inlineStr"/>
    </row>
    <row r="117" ht="15" customHeight="1">
      <c r="A117" t="inlineStr">
        <is>
          <t>A 8855-2021</t>
        </is>
      </c>
      <c r="B117" s="1" t="n">
        <v>44246</v>
      </c>
      <c r="C117" s="1" t="n">
        <v>46003</v>
      </c>
      <c r="D117" t="inlineStr">
        <is>
          <t>NORRBOTTENS LÄN</t>
        </is>
      </c>
      <c r="E117" t="inlineStr">
        <is>
          <t>JOKKMOKK</t>
        </is>
      </c>
      <c r="F117" t="inlineStr">
        <is>
          <t>SCA</t>
        </is>
      </c>
      <c r="G117" t="n">
        <v>14.3</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46003</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8360-2021</t>
        </is>
      </c>
      <c r="B119" s="1" t="n">
        <v>44244</v>
      </c>
      <c r="C119" s="1" t="n">
        <v>46003</v>
      </c>
      <c r="D119" t="inlineStr">
        <is>
          <t>NORRBOTTENS LÄN</t>
        </is>
      </c>
      <c r="E119" t="inlineStr">
        <is>
          <t>JOKKMOKK</t>
        </is>
      </c>
      <c r="F119" t="inlineStr">
        <is>
          <t>SCA</t>
        </is>
      </c>
      <c r="G119" t="n">
        <v>5</v>
      </c>
      <c r="H119" t="n">
        <v>0</v>
      </c>
      <c r="I119" t="n">
        <v>0</v>
      </c>
      <c r="J119" t="n">
        <v>0</v>
      </c>
      <c r="K119" t="n">
        <v>0</v>
      </c>
      <c r="L119" t="n">
        <v>0</v>
      </c>
      <c r="M119" t="n">
        <v>0</v>
      </c>
      <c r="N119" t="n">
        <v>0</v>
      </c>
      <c r="O119" t="n">
        <v>0</v>
      </c>
      <c r="P119" t="n">
        <v>0</v>
      </c>
      <c r="Q119" t="n">
        <v>0</v>
      </c>
      <c r="R119" s="2" t="inlineStr"/>
    </row>
    <row r="120" ht="15" customHeight="1">
      <c r="A120" t="inlineStr">
        <is>
          <t>A 69883-2021</t>
        </is>
      </c>
      <c r="B120" s="1" t="n">
        <v>44532</v>
      </c>
      <c r="C120" s="1" t="n">
        <v>46003</v>
      </c>
      <c r="D120" t="inlineStr">
        <is>
          <t>NORRBOTTENS LÄN</t>
        </is>
      </c>
      <c r="E120" t="inlineStr">
        <is>
          <t>JOKKMOKK</t>
        </is>
      </c>
      <c r="G120" t="n">
        <v>12.5</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46003</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43783-2021</t>
        </is>
      </c>
      <c r="B122" s="1" t="n">
        <v>44433</v>
      </c>
      <c r="C122" s="1" t="n">
        <v>46003</v>
      </c>
      <c r="D122" t="inlineStr">
        <is>
          <t>NORRBOTTENS LÄN</t>
        </is>
      </c>
      <c r="E122" t="inlineStr">
        <is>
          <t>JOKKMOKK</t>
        </is>
      </c>
      <c r="G122" t="n">
        <v>2.3</v>
      </c>
      <c r="H122" t="n">
        <v>0</v>
      </c>
      <c r="I122" t="n">
        <v>0</v>
      </c>
      <c r="J122" t="n">
        <v>0</v>
      </c>
      <c r="K122" t="n">
        <v>0</v>
      </c>
      <c r="L122" t="n">
        <v>0</v>
      </c>
      <c r="M122" t="n">
        <v>0</v>
      </c>
      <c r="N122" t="n">
        <v>0</v>
      </c>
      <c r="O122" t="n">
        <v>0</v>
      </c>
      <c r="P122" t="n">
        <v>0</v>
      </c>
      <c r="Q122" t="n">
        <v>0</v>
      </c>
      <c r="R122" s="2" t="inlineStr"/>
    </row>
    <row r="123" ht="15" customHeight="1">
      <c r="A123" t="inlineStr">
        <is>
          <t>A 43785-2021</t>
        </is>
      </c>
      <c r="B123" s="1" t="n">
        <v>44433</v>
      </c>
      <c r="C123" s="1" t="n">
        <v>46003</v>
      </c>
      <c r="D123" t="inlineStr">
        <is>
          <t>NORRBOTTENS LÄN</t>
        </is>
      </c>
      <c r="E123" t="inlineStr">
        <is>
          <t>JOKKMOKK</t>
        </is>
      </c>
      <c r="G123" t="n">
        <v>3.8</v>
      </c>
      <c r="H123" t="n">
        <v>0</v>
      </c>
      <c r="I123" t="n">
        <v>0</v>
      </c>
      <c r="J123" t="n">
        <v>0</v>
      </c>
      <c r="K123" t="n">
        <v>0</v>
      </c>
      <c r="L123" t="n">
        <v>0</v>
      </c>
      <c r="M123" t="n">
        <v>0</v>
      </c>
      <c r="N123" t="n">
        <v>0</v>
      </c>
      <c r="O123" t="n">
        <v>0</v>
      </c>
      <c r="P123" t="n">
        <v>0</v>
      </c>
      <c r="Q123" t="n">
        <v>0</v>
      </c>
      <c r="R123" s="2" t="inlineStr"/>
    </row>
    <row r="124" ht="15" customHeight="1">
      <c r="A124" t="inlineStr">
        <is>
          <t>A 49477-2024</t>
        </is>
      </c>
      <c r="B124" s="1" t="n">
        <v>45596.34576388889</v>
      </c>
      <c r="C124" s="1" t="n">
        <v>46003</v>
      </c>
      <c r="D124" t="inlineStr">
        <is>
          <t>NORRBOTTENS LÄN</t>
        </is>
      </c>
      <c r="E124" t="inlineStr">
        <is>
          <t>JOKKMOKK</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46003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3055-2025</t>
        </is>
      </c>
      <c r="B126" s="1" t="n">
        <v>45678.61530092593</v>
      </c>
      <c r="C126" s="1" t="n">
        <v>46003</v>
      </c>
      <c r="D126" t="inlineStr">
        <is>
          <t>NORRBOTTENS LÄN</t>
        </is>
      </c>
      <c r="E126" t="inlineStr">
        <is>
          <t>JOKKMOKK</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9874-2023</t>
        </is>
      </c>
      <c r="B127" s="1" t="n">
        <v>44984.94069444444</v>
      </c>
      <c r="C127" s="1" t="n">
        <v>46003</v>
      </c>
      <c r="D127" t="inlineStr">
        <is>
          <t>NORRBOTTENS LÄN</t>
        </is>
      </c>
      <c r="E127" t="inlineStr">
        <is>
          <t>JOKKMOKK</t>
        </is>
      </c>
      <c r="G127" t="n">
        <v>1.7</v>
      </c>
      <c r="H127" t="n">
        <v>0</v>
      </c>
      <c r="I127" t="n">
        <v>0</v>
      </c>
      <c r="J127" t="n">
        <v>0</v>
      </c>
      <c r="K127" t="n">
        <v>0</v>
      </c>
      <c r="L127" t="n">
        <v>0</v>
      </c>
      <c r="M127" t="n">
        <v>0</v>
      </c>
      <c r="N127" t="n">
        <v>0</v>
      </c>
      <c r="O127" t="n">
        <v>0</v>
      </c>
      <c r="P127" t="n">
        <v>0</v>
      </c>
      <c r="Q127" t="n">
        <v>0</v>
      </c>
      <c r="R127" s="2" t="inlineStr"/>
    </row>
    <row r="128" ht="15" customHeight="1">
      <c r="A128" t="inlineStr">
        <is>
          <t>A 9875-2023</t>
        </is>
      </c>
      <c r="B128" s="1" t="n">
        <v>44984.94076388889</v>
      </c>
      <c r="C128" s="1" t="n">
        <v>46003</v>
      </c>
      <c r="D128" t="inlineStr">
        <is>
          <t>NORRBOTTENS LÄN</t>
        </is>
      </c>
      <c r="E128" t="inlineStr">
        <is>
          <t>JOKKMOKK</t>
        </is>
      </c>
      <c r="G128" t="n">
        <v>0.6</v>
      </c>
      <c r="H128" t="n">
        <v>0</v>
      </c>
      <c r="I128" t="n">
        <v>0</v>
      </c>
      <c r="J128" t="n">
        <v>0</v>
      </c>
      <c r="K128" t="n">
        <v>0</v>
      </c>
      <c r="L128" t="n">
        <v>0</v>
      </c>
      <c r="M128" t="n">
        <v>0</v>
      </c>
      <c r="N128" t="n">
        <v>0</v>
      </c>
      <c r="O128" t="n">
        <v>0</v>
      </c>
      <c r="P128" t="n">
        <v>0</v>
      </c>
      <c r="Q128" t="n">
        <v>0</v>
      </c>
      <c r="R128" s="2" t="inlineStr"/>
    </row>
    <row r="129" ht="15" customHeight="1">
      <c r="A129" t="inlineStr">
        <is>
          <t>A 34639-2024</t>
        </is>
      </c>
      <c r="B129" s="1" t="n">
        <v>45526.47293981481</v>
      </c>
      <c r="C129" s="1" t="n">
        <v>46003</v>
      </c>
      <c r="D129" t="inlineStr">
        <is>
          <t>NORRBOTTENS LÄN</t>
        </is>
      </c>
      <c r="E129" t="inlineStr">
        <is>
          <t>JOKKMOKK</t>
        </is>
      </c>
      <c r="G129" t="n">
        <v>7.7</v>
      </c>
      <c r="H129" t="n">
        <v>0</v>
      </c>
      <c r="I129" t="n">
        <v>0</v>
      </c>
      <c r="J129" t="n">
        <v>0</v>
      </c>
      <c r="K129" t="n">
        <v>0</v>
      </c>
      <c r="L129" t="n">
        <v>0</v>
      </c>
      <c r="M129" t="n">
        <v>0</v>
      </c>
      <c r="N129" t="n">
        <v>0</v>
      </c>
      <c r="O129" t="n">
        <v>0</v>
      </c>
      <c r="P129" t="n">
        <v>0</v>
      </c>
      <c r="Q129" t="n">
        <v>0</v>
      </c>
      <c r="R129" s="2" t="inlineStr"/>
    </row>
    <row r="130" ht="15" customHeight="1">
      <c r="A130" t="inlineStr">
        <is>
          <t>A 47157-2024</t>
        </is>
      </c>
      <c r="B130" s="1" t="n">
        <v>45586</v>
      </c>
      <c r="C130" s="1" t="n">
        <v>46003</v>
      </c>
      <c r="D130" t="inlineStr">
        <is>
          <t>NORRBOTTENS LÄN</t>
        </is>
      </c>
      <c r="E130" t="inlineStr">
        <is>
          <t>JOKKMOKK</t>
        </is>
      </c>
      <c r="G130" t="n">
        <v>0.6</v>
      </c>
      <c r="H130" t="n">
        <v>0</v>
      </c>
      <c r="I130" t="n">
        <v>0</v>
      </c>
      <c r="J130" t="n">
        <v>0</v>
      </c>
      <c r="K130" t="n">
        <v>0</v>
      </c>
      <c r="L130" t="n">
        <v>0</v>
      </c>
      <c r="M130" t="n">
        <v>0</v>
      </c>
      <c r="N130" t="n">
        <v>0</v>
      </c>
      <c r="O130" t="n">
        <v>0</v>
      </c>
      <c r="P130" t="n">
        <v>0</v>
      </c>
      <c r="Q130" t="n">
        <v>0</v>
      </c>
      <c r="R130" s="2" t="inlineStr"/>
    </row>
    <row r="131" ht="15" customHeight="1">
      <c r="A131" t="inlineStr">
        <is>
          <t>A 42639-2024</t>
        </is>
      </c>
      <c r="B131" s="1" t="n">
        <v>45565.91135416667</v>
      </c>
      <c r="C131" s="1" t="n">
        <v>46003</v>
      </c>
      <c r="D131" t="inlineStr">
        <is>
          <t>NORRBOTTENS LÄN</t>
        </is>
      </c>
      <c r="E131" t="inlineStr">
        <is>
          <t>JOKKMOKK</t>
        </is>
      </c>
      <c r="G131" t="n">
        <v>34.5</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46003</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52181-2023</t>
        </is>
      </c>
      <c r="B133" s="1" t="n">
        <v>45224</v>
      </c>
      <c r="C133" s="1" t="n">
        <v>46003</v>
      </c>
      <c r="D133" t="inlineStr">
        <is>
          <t>NORRBOTTENS LÄN</t>
        </is>
      </c>
      <c r="E133" t="inlineStr">
        <is>
          <t>JOKKMOKK</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41923-2021</t>
        </is>
      </c>
      <c r="B134" s="1" t="n">
        <v>44425</v>
      </c>
      <c r="C134" s="1" t="n">
        <v>46003</v>
      </c>
      <c r="D134" t="inlineStr">
        <is>
          <t>NORRBOTTENS LÄN</t>
        </is>
      </c>
      <c r="E134" t="inlineStr">
        <is>
          <t>JOKKMOKK</t>
        </is>
      </c>
      <c r="F134" t="inlineStr">
        <is>
          <t>Övriga statliga verk och myndigheter</t>
        </is>
      </c>
      <c r="G134" t="n">
        <v>22</v>
      </c>
      <c r="H134" t="n">
        <v>0</v>
      </c>
      <c r="I134" t="n">
        <v>0</v>
      </c>
      <c r="J134" t="n">
        <v>0</v>
      </c>
      <c r="K134" t="n">
        <v>0</v>
      </c>
      <c r="L134" t="n">
        <v>0</v>
      </c>
      <c r="M134" t="n">
        <v>0</v>
      </c>
      <c r="N134" t="n">
        <v>0</v>
      </c>
      <c r="O134" t="n">
        <v>0</v>
      </c>
      <c r="P134" t="n">
        <v>0</v>
      </c>
      <c r="Q134" t="n">
        <v>0</v>
      </c>
      <c r="R134" s="2" t="inlineStr"/>
    </row>
    <row r="135" ht="15" customHeight="1">
      <c r="A135" t="inlineStr">
        <is>
          <t>A 48586-2022</t>
        </is>
      </c>
      <c r="B135" s="1" t="n">
        <v>44854</v>
      </c>
      <c r="C135" s="1" t="n">
        <v>46003</v>
      </c>
      <c r="D135" t="inlineStr">
        <is>
          <t>NORRBOTTENS LÄN</t>
        </is>
      </c>
      <c r="E135" t="inlineStr">
        <is>
          <t>JOKKMOKK</t>
        </is>
      </c>
      <c r="F135" t="inlineStr">
        <is>
          <t>Övriga statliga verk och myndigheter</t>
        </is>
      </c>
      <c r="G135" t="n">
        <v>26.1</v>
      </c>
      <c r="H135" t="n">
        <v>0</v>
      </c>
      <c r="I135" t="n">
        <v>0</v>
      </c>
      <c r="J135" t="n">
        <v>0</v>
      </c>
      <c r="K135" t="n">
        <v>0</v>
      </c>
      <c r="L135" t="n">
        <v>0</v>
      </c>
      <c r="M135" t="n">
        <v>0</v>
      </c>
      <c r="N135" t="n">
        <v>0</v>
      </c>
      <c r="O135" t="n">
        <v>0</v>
      </c>
      <c r="P135" t="n">
        <v>0</v>
      </c>
      <c r="Q135" t="n">
        <v>0</v>
      </c>
      <c r="R135" s="2" t="inlineStr"/>
    </row>
    <row r="136" ht="15" customHeight="1">
      <c r="A136" t="inlineStr">
        <is>
          <t>A 50651-2024</t>
        </is>
      </c>
      <c r="B136" s="1" t="n">
        <v>45601.70364583333</v>
      </c>
      <c r="C136" s="1" t="n">
        <v>46003</v>
      </c>
      <c r="D136" t="inlineStr">
        <is>
          <t>NORRBOTTENS LÄN</t>
        </is>
      </c>
      <c r="E136" t="inlineStr">
        <is>
          <t>JOKKMOKK</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50716-2022</t>
        </is>
      </c>
      <c r="B137" s="1" t="n">
        <v>44862</v>
      </c>
      <c r="C137" s="1" t="n">
        <v>46003</v>
      </c>
      <c r="D137" t="inlineStr">
        <is>
          <t>NORRBOTTENS LÄN</t>
        </is>
      </c>
      <c r="E137" t="inlineStr">
        <is>
          <t>JOKKMOKK</t>
        </is>
      </c>
      <c r="G137" t="n">
        <v>30.2</v>
      </c>
      <c r="H137" t="n">
        <v>0</v>
      </c>
      <c r="I137" t="n">
        <v>0</v>
      </c>
      <c r="J137" t="n">
        <v>0</v>
      </c>
      <c r="K137" t="n">
        <v>0</v>
      </c>
      <c r="L137" t="n">
        <v>0</v>
      </c>
      <c r="M137" t="n">
        <v>0</v>
      </c>
      <c r="N137" t="n">
        <v>0</v>
      </c>
      <c r="O137" t="n">
        <v>0</v>
      </c>
      <c r="P137" t="n">
        <v>0</v>
      </c>
      <c r="Q137" t="n">
        <v>0</v>
      </c>
      <c r="R137" s="2" t="inlineStr"/>
    </row>
    <row r="138" ht="15" customHeight="1">
      <c r="A138" t="inlineStr">
        <is>
          <t>A 40432-2024</t>
        </is>
      </c>
      <c r="B138" s="1" t="n">
        <v>45555.47401620371</v>
      </c>
      <c r="C138" s="1" t="n">
        <v>46003</v>
      </c>
      <c r="D138" t="inlineStr">
        <is>
          <t>NORRBOTTENS LÄN</t>
        </is>
      </c>
      <c r="E138" t="inlineStr">
        <is>
          <t>JOKKMOKK</t>
        </is>
      </c>
      <c r="G138" t="n">
        <v>0.5</v>
      </c>
      <c r="H138" t="n">
        <v>0</v>
      </c>
      <c r="I138" t="n">
        <v>0</v>
      </c>
      <c r="J138" t="n">
        <v>0</v>
      </c>
      <c r="K138" t="n">
        <v>0</v>
      </c>
      <c r="L138" t="n">
        <v>0</v>
      </c>
      <c r="M138" t="n">
        <v>0</v>
      </c>
      <c r="N138" t="n">
        <v>0</v>
      </c>
      <c r="O138" t="n">
        <v>0</v>
      </c>
      <c r="P138" t="n">
        <v>0</v>
      </c>
      <c r="Q138" t="n">
        <v>0</v>
      </c>
      <c r="R138" s="2" t="inlineStr"/>
    </row>
    <row r="139" ht="15" customHeight="1">
      <c r="A139" t="inlineStr">
        <is>
          <t>A 7845-2024</t>
        </is>
      </c>
      <c r="B139" s="1" t="n">
        <v>45349</v>
      </c>
      <c r="C139" s="1" t="n">
        <v>46003</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14567-2024</t>
        </is>
      </c>
      <c r="B140" s="1" t="n">
        <v>45394</v>
      </c>
      <c r="C140" s="1" t="n">
        <v>46003</v>
      </c>
      <c r="D140" t="inlineStr">
        <is>
          <t>NORRBOTTENS LÄN</t>
        </is>
      </c>
      <c r="E140" t="inlineStr">
        <is>
          <t>JOKKMOKK</t>
        </is>
      </c>
      <c r="G140" t="n">
        <v>24.5</v>
      </c>
      <c r="H140" t="n">
        <v>0</v>
      </c>
      <c r="I140" t="n">
        <v>0</v>
      </c>
      <c r="J140" t="n">
        <v>0</v>
      </c>
      <c r="K140" t="n">
        <v>0</v>
      </c>
      <c r="L140" t="n">
        <v>0</v>
      </c>
      <c r="M140" t="n">
        <v>0</v>
      </c>
      <c r="N140" t="n">
        <v>0</v>
      </c>
      <c r="O140" t="n">
        <v>0</v>
      </c>
      <c r="P140" t="n">
        <v>0</v>
      </c>
      <c r="Q140" t="n">
        <v>0</v>
      </c>
      <c r="R140" s="2" t="inlineStr"/>
    </row>
    <row r="141" ht="15" customHeight="1">
      <c r="A141" t="inlineStr">
        <is>
          <t>A 45510-2022</t>
        </is>
      </c>
      <c r="B141" s="1" t="n">
        <v>44841</v>
      </c>
      <c r="C141" s="1" t="n">
        <v>46003</v>
      </c>
      <c r="D141" t="inlineStr">
        <is>
          <t>NORRBOTTENS LÄN</t>
        </is>
      </c>
      <c r="E141" t="inlineStr">
        <is>
          <t>JOKKMOKK</t>
        </is>
      </c>
      <c r="F141" t="inlineStr">
        <is>
          <t>Övriga Aktiebolag</t>
        </is>
      </c>
      <c r="G141" t="n">
        <v>2.1</v>
      </c>
      <c r="H141" t="n">
        <v>0</v>
      </c>
      <c r="I141" t="n">
        <v>0</v>
      </c>
      <c r="J141" t="n">
        <v>0</v>
      </c>
      <c r="K141" t="n">
        <v>0</v>
      </c>
      <c r="L141" t="n">
        <v>0</v>
      </c>
      <c r="M141" t="n">
        <v>0</v>
      </c>
      <c r="N141" t="n">
        <v>0</v>
      </c>
      <c r="O141" t="n">
        <v>0</v>
      </c>
      <c r="P141" t="n">
        <v>0</v>
      </c>
      <c r="Q141" t="n">
        <v>0</v>
      </c>
      <c r="R141" s="2" t="inlineStr"/>
    </row>
    <row r="142" ht="15" customHeight="1">
      <c r="A142" t="inlineStr">
        <is>
          <t>A 11657-2024</t>
        </is>
      </c>
      <c r="B142" s="1" t="n">
        <v>45373</v>
      </c>
      <c r="C142" s="1" t="n">
        <v>46003</v>
      </c>
      <c r="D142" t="inlineStr">
        <is>
          <t>NORRBOTTENS LÄN</t>
        </is>
      </c>
      <c r="E142" t="inlineStr">
        <is>
          <t>JOKKMOKK</t>
        </is>
      </c>
      <c r="G142" t="n">
        <v>14.3</v>
      </c>
      <c r="H142" t="n">
        <v>0</v>
      </c>
      <c r="I142" t="n">
        <v>0</v>
      </c>
      <c r="J142" t="n">
        <v>0</v>
      </c>
      <c r="K142" t="n">
        <v>0</v>
      </c>
      <c r="L142" t="n">
        <v>0</v>
      </c>
      <c r="M142" t="n">
        <v>0</v>
      </c>
      <c r="N142" t="n">
        <v>0</v>
      </c>
      <c r="O142" t="n">
        <v>0</v>
      </c>
      <c r="P142" t="n">
        <v>0</v>
      </c>
      <c r="Q142" t="n">
        <v>0</v>
      </c>
      <c r="R142" s="2" t="inlineStr"/>
    </row>
    <row r="143" ht="15" customHeight="1">
      <c r="A143" t="inlineStr">
        <is>
          <t>A 49483-2021</t>
        </is>
      </c>
      <c r="B143" s="1" t="n">
        <v>44454</v>
      </c>
      <c r="C143" s="1" t="n">
        <v>46003</v>
      </c>
      <c r="D143" t="inlineStr">
        <is>
          <t>NORRBOTTENS LÄN</t>
        </is>
      </c>
      <c r="E143" t="inlineStr">
        <is>
          <t>JOKKMOKK</t>
        </is>
      </c>
      <c r="F143" t="inlineStr">
        <is>
          <t>SCA</t>
        </is>
      </c>
      <c r="G143" t="n">
        <v>24.2</v>
      </c>
      <c r="H143" t="n">
        <v>0</v>
      </c>
      <c r="I143" t="n">
        <v>0</v>
      </c>
      <c r="J143" t="n">
        <v>0</v>
      </c>
      <c r="K143" t="n">
        <v>0</v>
      </c>
      <c r="L143" t="n">
        <v>0</v>
      </c>
      <c r="M143" t="n">
        <v>0</v>
      </c>
      <c r="N143" t="n">
        <v>0</v>
      </c>
      <c r="O143" t="n">
        <v>0</v>
      </c>
      <c r="P143" t="n">
        <v>0</v>
      </c>
      <c r="Q143" t="n">
        <v>0</v>
      </c>
      <c r="R143" s="2" t="inlineStr"/>
    </row>
    <row r="144" ht="15" customHeight="1">
      <c r="A144" t="inlineStr">
        <is>
          <t>A 48210-2024</t>
        </is>
      </c>
      <c r="B144" s="1" t="n">
        <v>45590</v>
      </c>
      <c r="C144" s="1" t="n">
        <v>46003</v>
      </c>
      <c r="D144" t="inlineStr">
        <is>
          <t>NORRBOTTENS LÄN</t>
        </is>
      </c>
      <c r="E144" t="inlineStr">
        <is>
          <t>JOKKMOKK</t>
        </is>
      </c>
      <c r="F144" t="inlineStr">
        <is>
          <t>SCA</t>
        </is>
      </c>
      <c r="G144" t="n">
        <v>6.5</v>
      </c>
      <c r="H144" t="n">
        <v>0</v>
      </c>
      <c r="I144" t="n">
        <v>0</v>
      </c>
      <c r="J144" t="n">
        <v>0</v>
      </c>
      <c r="K144" t="n">
        <v>0</v>
      </c>
      <c r="L144" t="n">
        <v>0</v>
      </c>
      <c r="M144" t="n">
        <v>0</v>
      </c>
      <c r="N144" t="n">
        <v>0</v>
      </c>
      <c r="O144" t="n">
        <v>0</v>
      </c>
      <c r="P144" t="n">
        <v>0</v>
      </c>
      <c r="Q144" t="n">
        <v>0</v>
      </c>
      <c r="R144" s="2" t="inlineStr"/>
    </row>
    <row r="145" ht="15" customHeight="1">
      <c r="A145" t="inlineStr">
        <is>
          <t>A 27781-2022</t>
        </is>
      </c>
      <c r="B145" s="1" t="n">
        <v>44743</v>
      </c>
      <c r="C145" s="1" t="n">
        <v>46003</v>
      </c>
      <c r="D145" t="inlineStr">
        <is>
          <t>NORRBOTTENS LÄN</t>
        </is>
      </c>
      <c r="E145" t="inlineStr">
        <is>
          <t>JOKKMOKK</t>
        </is>
      </c>
      <c r="F145" t="inlineStr">
        <is>
          <t>Sveaskog</t>
        </is>
      </c>
      <c r="G145" t="n">
        <v>0.1</v>
      </c>
      <c r="H145" t="n">
        <v>0</v>
      </c>
      <c r="I145" t="n">
        <v>0</v>
      </c>
      <c r="J145" t="n">
        <v>0</v>
      </c>
      <c r="K145" t="n">
        <v>0</v>
      </c>
      <c r="L145" t="n">
        <v>0</v>
      </c>
      <c r="M145" t="n">
        <v>0</v>
      </c>
      <c r="N145" t="n">
        <v>0</v>
      </c>
      <c r="O145" t="n">
        <v>0</v>
      </c>
      <c r="P145" t="n">
        <v>0</v>
      </c>
      <c r="Q145" t="n">
        <v>0</v>
      </c>
      <c r="R145" s="2" t="inlineStr"/>
    </row>
    <row r="146" ht="15" customHeight="1">
      <c r="A146" t="inlineStr">
        <is>
          <t>A 49478-2024</t>
        </is>
      </c>
      <c r="B146" s="1" t="n">
        <v>45596.34599537037</v>
      </c>
      <c r="C146" s="1" t="n">
        <v>46003</v>
      </c>
      <c r="D146" t="inlineStr">
        <is>
          <t>NORRBOTTENS LÄN</t>
        </is>
      </c>
      <c r="E146" t="inlineStr">
        <is>
          <t>JOKKMOKK</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45505-2022</t>
        </is>
      </c>
      <c r="B147" s="1" t="n">
        <v>44841</v>
      </c>
      <c r="C147" s="1" t="n">
        <v>46003</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40836-2022</t>
        </is>
      </c>
      <c r="B148" s="1" t="n">
        <v>44824</v>
      </c>
      <c r="C148" s="1" t="n">
        <v>46003</v>
      </c>
      <c r="D148" t="inlineStr">
        <is>
          <t>NORRBOTTENS LÄN</t>
        </is>
      </c>
      <c r="E148" t="inlineStr">
        <is>
          <t>JOKKMOKK</t>
        </is>
      </c>
      <c r="F148" t="inlineStr">
        <is>
          <t>SCA</t>
        </is>
      </c>
      <c r="G148" t="n">
        <v>229.8</v>
      </c>
      <c r="H148" t="n">
        <v>0</v>
      </c>
      <c r="I148" t="n">
        <v>0</v>
      </c>
      <c r="J148" t="n">
        <v>0</v>
      </c>
      <c r="K148" t="n">
        <v>0</v>
      </c>
      <c r="L148" t="n">
        <v>0</v>
      </c>
      <c r="M148" t="n">
        <v>0</v>
      </c>
      <c r="N148" t="n">
        <v>0</v>
      </c>
      <c r="O148" t="n">
        <v>0</v>
      </c>
      <c r="P148" t="n">
        <v>0</v>
      </c>
      <c r="Q148" t="n">
        <v>0</v>
      </c>
      <c r="R148" s="2" t="inlineStr"/>
    </row>
    <row r="149" ht="15" customHeight="1">
      <c r="A149" t="inlineStr">
        <is>
          <t>A 30292-2023</t>
        </is>
      </c>
      <c r="B149" s="1" t="n">
        <v>45110</v>
      </c>
      <c r="C149" s="1" t="n">
        <v>46003</v>
      </c>
      <c r="D149" t="inlineStr">
        <is>
          <t>NORRBOTTENS LÄN</t>
        </is>
      </c>
      <c r="E149" t="inlineStr">
        <is>
          <t>JOKKMOKK</t>
        </is>
      </c>
      <c r="G149" t="n">
        <v>1.4</v>
      </c>
      <c r="H149" t="n">
        <v>0</v>
      </c>
      <c r="I149" t="n">
        <v>0</v>
      </c>
      <c r="J149" t="n">
        <v>0</v>
      </c>
      <c r="K149" t="n">
        <v>0</v>
      </c>
      <c r="L149" t="n">
        <v>0</v>
      </c>
      <c r="M149" t="n">
        <v>0</v>
      </c>
      <c r="N149" t="n">
        <v>0</v>
      </c>
      <c r="O149" t="n">
        <v>0</v>
      </c>
      <c r="P149" t="n">
        <v>0</v>
      </c>
      <c r="Q149" t="n">
        <v>0</v>
      </c>
      <c r="R149" s="2" t="inlineStr"/>
    </row>
    <row r="150" ht="15" customHeight="1">
      <c r="A150" t="inlineStr">
        <is>
          <t>A 53100-2022</t>
        </is>
      </c>
      <c r="B150" s="1" t="n">
        <v>44873</v>
      </c>
      <c r="C150" s="1" t="n">
        <v>46003</v>
      </c>
      <c r="D150" t="inlineStr">
        <is>
          <t>NORRBOTTENS LÄN</t>
        </is>
      </c>
      <c r="E150" t="inlineStr">
        <is>
          <t>JOKKMOKK</t>
        </is>
      </c>
      <c r="F150" t="inlineStr">
        <is>
          <t>Övriga statliga verk och myndigheter</t>
        </is>
      </c>
      <c r="G150" t="n">
        <v>37.1</v>
      </c>
      <c r="H150" t="n">
        <v>0</v>
      </c>
      <c r="I150" t="n">
        <v>0</v>
      </c>
      <c r="J150" t="n">
        <v>0</v>
      </c>
      <c r="K150" t="n">
        <v>0</v>
      </c>
      <c r="L150" t="n">
        <v>0</v>
      </c>
      <c r="M150" t="n">
        <v>0</v>
      </c>
      <c r="N150" t="n">
        <v>0</v>
      </c>
      <c r="O150" t="n">
        <v>0</v>
      </c>
      <c r="P150" t="n">
        <v>0</v>
      </c>
      <c r="Q150" t="n">
        <v>0</v>
      </c>
      <c r="R150" s="2" t="inlineStr"/>
    </row>
    <row r="151" ht="15" customHeight="1">
      <c r="A151" t="inlineStr">
        <is>
          <t>A 50436-2024</t>
        </is>
      </c>
      <c r="B151" s="1" t="n">
        <v>45601.4096875</v>
      </c>
      <c r="C151" s="1" t="n">
        <v>46003</v>
      </c>
      <c r="D151" t="inlineStr">
        <is>
          <t>NORRBOTTENS LÄN</t>
        </is>
      </c>
      <c r="E151" t="inlineStr">
        <is>
          <t>JOKKMOKK</t>
        </is>
      </c>
      <c r="F151" t="inlineStr">
        <is>
          <t>Allmännings- och besparingsskogar</t>
        </is>
      </c>
      <c r="G151" t="n">
        <v>6.5</v>
      </c>
      <c r="H151" t="n">
        <v>0</v>
      </c>
      <c r="I151" t="n">
        <v>0</v>
      </c>
      <c r="J151" t="n">
        <v>0</v>
      </c>
      <c r="K151" t="n">
        <v>0</v>
      </c>
      <c r="L151" t="n">
        <v>0</v>
      </c>
      <c r="M151" t="n">
        <v>0</v>
      </c>
      <c r="N151" t="n">
        <v>0</v>
      </c>
      <c r="O151" t="n">
        <v>0</v>
      </c>
      <c r="P151" t="n">
        <v>0</v>
      </c>
      <c r="Q151" t="n">
        <v>0</v>
      </c>
      <c r="R151" s="2" t="inlineStr"/>
    </row>
    <row r="152" ht="15" customHeight="1">
      <c r="A152" t="inlineStr">
        <is>
          <t>A 34752-2021</t>
        </is>
      </c>
      <c r="B152" s="1" t="n">
        <v>44382</v>
      </c>
      <c r="C152" s="1" t="n">
        <v>46003</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52901-2023</t>
        </is>
      </c>
      <c r="B153" s="1" t="n">
        <v>45222</v>
      </c>
      <c r="C153" s="1" t="n">
        <v>46003</v>
      </c>
      <c r="D153" t="inlineStr">
        <is>
          <t>NORRBOTTENS LÄN</t>
        </is>
      </c>
      <c r="E153" t="inlineStr">
        <is>
          <t>JOKKMOKK</t>
        </is>
      </c>
      <c r="G153" t="n">
        <v>16.6</v>
      </c>
      <c r="H153" t="n">
        <v>0</v>
      </c>
      <c r="I153" t="n">
        <v>0</v>
      </c>
      <c r="J153" t="n">
        <v>0</v>
      </c>
      <c r="K153" t="n">
        <v>0</v>
      </c>
      <c r="L153" t="n">
        <v>0</v>
      </c>
      <c r="M153" t="n">
        <v>0</v>
      </c>
      <c r="N153" t="n">
        <v>0</v>
      </c>
      <c r="O153" t="n">
        <v>0</v>
      </c>
      <c r="P153" t="n">
        <v>0</v>
      </c>
      <c r="Q153" t="n">
        <v>0</v>
      </c>
      <c r="R153" s="2" t="inlineStr"/>
    </row>
    <row r="154" ht="15" customHeight="1">
      <c r="A154" t="inlineStr">
        <is>
          <t>A 31208-2023</t>
        </is>
      </c>
      <c r="B154" s="1" t="n">
        <v>45113.95083333334</v>
      </c>
      <c r="C154" s="1" t="n">
        <v>46003</v>
      </c>
      <c r="D154" t="inlineStr">
        <is>
          <t>NORRBOTTENS LÄN</t>
        </is>
      </c>
      <c r="E154" t="inlineStr">
        <is>
          <t>JOKKMOKK</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51617-2024</t>
        </is>
      </c>
      <c r="B155" s="1" t="n">
        <v>45604.71908564815</v>
      </c>
      <c r="C155" s="1" t="n">
        <v>46003</v>
      </c>
      <c r="D155" t="inlineStr">
        <is>
          <t>NORRBOTTENS LÄN</t>
        </is>
      </c>
      <c r="E155" t="inlineStr">
        <is>
          <t>JOKKMOKK</t>
        </is>
      </c>
      <c r="F155" t="inlineStr">
        <is>
          <t>SCA</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28090-2023</t>
        </is>
      </c>
      <c r="B156" s="1" t="n">
        <v>45099</v>
      </c>
      <c r="C156" s="1" t="n">
        <v>46003</v>
      </c>
      <c r="D156" t="inlineStr">
        <is>
          <t>NORRBOTTENS LÄN</t>
        </is>
      </c>
      <c r="E156" t="inlineStr">
        <is>
          <t>JOKKMOKK</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29625-2023</t>
        </is>
      </c>
      <c r="B157" s="1" t="n">
        <v>45106.94556712963</v>
      </c>
      <c r="C157" s="1" t="n">
        <v>46003</v>
      </c>
      <c r="D157" t="inlineStr">
        <is>
          <t>NORRBOTTENS LÄN</t>
        </is>
      </c>
      <c r="E157" t="inlineStr">
        <is>
          <t>JOKKMOKK</t>
        </is>
      </c>
      <c r="F157" t="inlineStr">
        <is>
          <t>SCA</t>
        </is>
      </c>
      <c r="G157" t="n">
        <v>7.2</v>
      </c>
      <c r="H157" t="n">
        <v>0</v>
      </c>
      <c r="I157" t="n">
        <v>0</v>
      </c>
      <c r="J157" t="n">
        <v>0</v>
      </c>
      <c r="K157" t="n">
        <v>0</v>
      </c>
      <c r="L157" t="n">
        <v>0</v>
      </c>
      <c r="M157" t="n">
        <v>0</v>
      </c>
      <c r="N157" t="n">
        <v>0</v>
      </c>
      <c r="O157" t="n">
        <v>0</v>
      </c>
      <c r="P157" t="n">
        <v>0</v>
      </c>
      <c r="Q157" t="n">
        <v>0</v>
      </c>
      <c r="R157" s="2" t="inlineStr"/>
    </row>
    <row r="158" ht="15" customHeight="1">
      <c r="A158" t="inlineStr">
        <is>
          <t>A 51304-2022</t>
        </is>
      </c>
      <c r="B158" s="1" t="n">
        <v>44868</v>
      </c>
      <c r="C158" s="1" t="n">
        <v>46003</v>
      </c>
      <c r="D158" t="inlineStr">
        <is>
          <t>NORRBOTTENS LÄN</t>
        </is>
      </c>
      <c r="E158" t="inlineStr">
        <is>
          <t>JOKKMOKK</t>
        </is>
      </c>
      <c r="G158" t="n">
        <v>1.5</v>
      </c>
      <c r="H158" t="n">
        <v>0</v>
      </c>
      <c r="I158" t="n">
        <v>0</v>
      </c>
      <c r="J158" t="n">
        <v>0</v>
      </c>
      <c r="K158" t="n">
        <v>0</v>
      </c>
      <c r="L158" t="n">
        <v>0</v>
      </c>
      <c r="M158" t="n">
        <v>0</v>
      </c>
      <c r="N158" t="n">
        <v>0</v>
      </c>
      <c r="O158" t="n">
        <v>0</v>
      </c>
      <c r="P158" t="n">
        <v>0</v>
      </c>
      <c r="Q158" t="n">
        <v>0</v>
      </c>
      <c r="R158" s="2" t="inlineStr"/>
    </row>
    <row r="159" ht="15" customHeight="1">
      <c r="A159" t="inlineStr">
        <is>
          <t>A 50568-2022</t>
        </is>
      </c>
      <c r="B159" s="1" t="n">
        <v>44866</v>
      </c>
      <c r="C159" s="1" t="n">
        <v>46003</v>
      </c>
      <c r="D159" t="inlineStr">
        <is>
          <t>NORRBOTTENS LÄN</t>
        </is>
      </c>
      <c r="E159" t="inlineStr">
        <is>
          <t>JOKKMOKK</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16972-2025</t>
        </is>
      </c>
      <c r="B160" s="1" t="n">
        <v>45755.46942129629</v>
      </c>
      <c r="C160" s="1" t="n">
        <v>46003</v>
      </c>
      <c r="D160" t="inlineStr">
        <is>
          <t>NORRBOTTENS LÄN</t>
        </is>
      </c>
      <c r="E160" t="inlineStr">
        <is>
          <t>JOKKMOKK</t>
        </is>
      </c>
      <c r="F160" t="inlineStr">
        <is>
          <t>SCA</t>
        </is>
      </c>
      <c r="G160" t="n">
        <v>4.5</v>
      </c>
      <c r="H160" t="n">
        <v>0</v>
      </c>
      <c r="I160" t="n">
        <v>0</v>
      </c>
      <c r="J160" t="n">
        <v>0</v>
      </c>
      <c r="K160" t="n">
        <v>0</v>
      </c>
      <c r="L160" t="n">
        <v>0</v>
      </c>
      <c r="M160" t="n">
        <v>0</v>
      </c>
      <c r="N160" t="n">
        <v>0</v>
      </c>
      <c r="O160" t="n">
        <v>0</v>
      </c>
      <c r="P160" t="n">
        <v>0</v>
      </c>
      <c r="Q160" t="n">
        <v>0</v>
      </c>
      <c r="R160" s="2" t="inlineStr"/>
    </row>
    <row r="161" ht="15" customHeight="1">
      <c r="A161" t="inlineStr">
        <is>
          <t>A 14815-2024</t>
        </is>
      </c>
      <c r="B161" s="1" t="n">
        <v>45397.95770833334</v>
      </c>
      <c r="C161" s="1" t="n">
        <v>46003</v>
      </c>
      <c r="D161" t="inlineStr">
        <is>
          <t>NORRBOTTENS LÄN</t>
        </is>
      </c>
      <c r="E161" t="inlineStr">
        <is>
          <t>JOKKMOKK</t>
        </is>
      </c>
      <c r="F161" t="inlineStr">
        <is>
          <t>SCA</t>
        </is>
      </c>
      <c r="G161" t="n">
        <v>54.1</v>
      </c>
      <c r="H161" t="n">
        <v>0</v>
      </c>
      <c r="I161" t="n">
        <v>0</v>
      </c>
      <c r="J161" t="n">
        <v>0</v>
      </c>
      <c r="K161" t="n">
        <v>0</v>
      </c>
      <c r="L161" t="n">
        <v>0</v>
      </c>
      <c r="M161" t="n">
        <v>0</v>
      </c>
      <c r="N161" t="n">
        <v>0</v>
      </c>
      <c r="O161" t="n">
        <v>0</v>
      </c>
      <c r="P161" t="n">
        <v>0</v>
      </c>
      <c r="Q161" t="n">
        <v>0</v>
      </c>
      <c r="R161" s="2" t="inlineStr"/>
    </row>
    <row r="162" ht="15" customHeight="1">
      <c r="A162" t="inlineStr">
        <is>
          <t>A 44646-2021</t>
        </is>
      </c>
      <c r="B162" s="1" t="n">
        <v>44437</v>
      </c>
      <c r="C162" s="1" t="n">
        <v>46003</v>
      </c>
      <c r="D162" t="inlineStr">
        <is>
          <t>NORRBOTTENS LÄN</t>
        </is>
      </c>
      <c r="E162" t="inlineStr">
        <is>
          <t>JOKKMOKK</t>
        </is>
      </c>
      <c r="G162" t="n">
        <v>10</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46003</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7273-2021</t>
        </is>
      </c>
      <c r="B164" s="1" t="n">
        <v>44238</v>
      </c>
      <c r="C164" s="1" t="n">
        <v>46003</v>
      </c>
      <c r="D164" t="inlineStr">
        <is>
          <t>NORRBOTTENS LÄN</t>
        </is>
      </c>
      <c r="E164" t="inlineStr">
        <is>
          <t>JOKKMOKK</t>
        </is>
      </c>
      <c r="F164" t="inlineStr">
        <is>
          <t>Övriga statliga verk och myndigheter</t>
        </is>
      </c>
      <c r="G164" t="n">
        <v>19.8</v>
      </c>
      <c r="H164" t="n">
        <v>0</v>
      </c>
      <c r="I164" t="n">
        <v>0</v>
      </c>
      <c r="J164" t="n">
        <v>0</v>
      </c>
      <c r="K164" t="n">
        <v>0</v>
      </c>
      <c r="L164" t="n">
        <v>0</v>
      </c>
      <c r="M164" t="n">
        <v>0</v>
      </c>
      <c r="N164" t="n">
        <v>0</v>
      </c>
      <c r="O164" t="n">
        <v>0</v>
      </c>
      <c r="P164" t="n">
        <v>0</v>
      </c>
      <c r="Q164" t="n">
        <v>0</v>
      </c>
      <c r="R164" s="2" t="inlineStr"/>
    </row>
    <row r="165" ht="15" customHeight="1">
      <c r="A165" t="inlineStr">
        <is>
          <t>A 42481-2024</t>
        </is>
      </c>
      <c r="B165" s="1" t="n">
        <v>45565.49210648148</v>
      </c>
      <c r="C165" s="1" t="n">
        <v>46003</v>
      </c>
      <c r="D165" t="inlineStr">
        <is>
          <t>NORRBOTTENS LÄN</t>
        </is>
      </c>
      <c r="E165" t="inlineStr">
        <is>
          <t>JOKKMOKK</t>
        </is>
      </c>
      <c r="F165" t="inlineStr">
        <is>
          <t>SCA</t>
        </is>
      </c>
      <c r="G165" t="n">
        <v>25.2</v>
      </c>
      <c r="H165" t="n">
        <v>0</v>
      </c>
      <c r="I165" t="n">
        <v>0</v>
      </c>
      <c r="J165" t="n">
        <v>0</v>
      </c>
      <c r="K165" t="n">
        <v>0</v>
      </c>
      <c r="L165" t="n">
        <v>0</v>
      </c>
      <c r="M165" t="n">
        <v>0</v>
      </c>
      <c r="N165" t="n">
        <v>0</v>
      </c>
      <c r="O165" t="n">
        <v>0</v>
      </c>
      <c r="P165" t="n">
        <v>0</v>
      </c>
      <c r="Q165" t="n">
        <v>0</v>
      </c>
      <c r="R165" s="2" t="inlineStr"/>
    </row>
    <row r="166" ht="15" customHeight="1">
      <c r="A166" t="inlineStr">
        <is>
          <t>A 53232-2024</t>
        </is>
      </c>
      <c r="B166" s="1" t="n">
        <v>45613.67967592592</v>
      </c>
      <c r="C166" s="1" t="n">
        <v>46003</v>
      </c>
      <c r="D166" t="inlineStr">
        <is>
          <t>NORRBOTTENS LÄN</t>
        </is>
      </c>
      <c r="E166" t="inlineStr">
        <is>
          <t>JOKKMOKK</t>
        </is>
      </c>
      <c r="G166" t="n">
        <v>1.9</v>
      </c>
      <c r="H166" t="n">
        <v>0</v>
      </c>
      <c r="I166" t="n">
        <v>0</v>
      </c>
      <c r="J166" t="n">
        <v>0</v>
      </c>
      <c r="K166" t="n">
        <v>0</v>
      </c>
      <c r="L166" t="n">
        <v>0</v>
      </c>
      <c r="M166" t="n">
        <v>0</v>
      </c>
      <c r="N166" t="n">
        <v>0</v>
      </c>
      <c r="O166" t="n">
        <v>0</v>
      </c>
      <c r="P166" t="n">
        <v>0</v>
      </c>
      <c r="Q166" t="n">
        <v>0</v>
      </c>
      <c r="R166" s="2" t="inlineStr"/>
    </row>
    <row r="167" ht="15" customHeight="1">
      <c r="A167" t="inlineStr">
        <is>
          <t>A 50628-2024</t>
        </is>
      </c>
      <c r="B167" s="1" t="n">
        <v>45601.66423611111</v>
      </c>
      <c r="C167" s="1" t="n">
        <v>46003</v>
      </c>
      <c r="D167" t="inlineStr">
        <is>
          <t>NORRBOTTENS LÄN</t>
        </is>
      </c>
      <c r="E167" t="inlineStr">
        <is>
          <t>JOKKMOKK</t>
        </is>
      </c>
      <c r="F167" t="inlineStr">
        <is>
          <t>Allmännings- och besparingsskogar</t>
        </is>
      </c>
      <c r="G167" t="n">
        <v>2.4</v>
      </c>
      <c r="H167" t="n">
        <v>0</v>
      </c>
      <c r="I167" t="n">
        <v>0</v>
      </c>
      <c r="J167" t="n">
        <v>0</v>
      </c>
      <c r="K167" t="n">
        <v>0</v>
      </c>
      <c r="L167" t="n">
        <v>0</v>
      </c>
      <c r="M167" t="n">
        <v>0</v>
      </c>
      <c r="N167" t="n">
        <v>0</v>
      </c>
      <c r="O167" t="n">
        <v>0</v>
      </c>
      <c r="P167" t="n">
        <v>0</v>
      </c>
      <c r="Q167" t="n">
        <v>0</v>
      </c>
      <c r="R167" s="2" t="inlineStr"/>
    </row>
    <row r="168" ht="15" customHeight="1">
      <c r="A168" t="inlineStr">
        <is>
          <t>A 27657-2024</t>
        </is>
      </c>
      <c r="B168" s="1" t="n">
        <v>45474.95196759259</v>
      </c>
      <c r="C168" s="1" t="n">
        <v>46003</v>
      </c>
      <c r="D168" t="inlineStr">
        <is>
          <t>NORRBOTTENS LÄN</t>
        </is>
      </c>
      <c r="E168" t="inlineStr">
        <is>
          <t>JOKKMOKK</t>
        </is>
      </c>
      <c r="F168" t="inlineStr">
        <is>
          <t>SCA</t>
        </is>
      </c>
      <c r="G168" t="n">
        <v>2.8</v>
      </c>
      <c r="H168" t="n">
        <v>0</v>
      </c>
      <c r="I168" t="n">
        <v>0</v>
      </c>
      <c r="J168" t="n">
        <v>0</v>
      </c>
      <c r="K168" t="n">
        <v>0</v>
      </c>
      <c r="L168" t="n">
        <v>0</v>
      </c>
      <c r="M168" t="n">
        <v>0</v>
      </c>
      <c r="N168" t="n">
        <v>0</v>
      </c>
      <c r="O168" t="n">
        <v>0</v>
      </c>
      <c r="P168" t="n">
        <v>0</v>
      </c>
      <c r="Q168" t="n">
        <v>0</v>
      </c>
      <c r="R168" s="2" t="inlineStr"/>
    </row>
    <row r="169" ht="15" customHeight="1">
      <c r="A169" t="inlineStr">
        <is>
          <t>A 453-2025</t>
        </is>
      </c>
      <c r="B169" s="1" t="n">
        <v>45664.4005787037</v>
      </c>
      <c r="C169" s="1" t="n">
        <v>46003</v>
      </c>
      <c r="D169" t="inlineStr">
        <is>
          <t>NORRBOTTENS LÄN</t>
        </is>
      </c>
      <c r="E169" t="inlineStr">
        <is>
          <t>JOKKMOKK</t>
        </is>
      </c>
      <c r="F169" t="inlineStr">
        <is>
          <t>Övriga statliga verk och myndigheter</t>
        </is>
      </c>
      <c r="G169" t="n">
        <v>5</v>
      </c>
      <c r="H169" t="n">
        <v>0</v>
      </c>
      <c r="I169" t="n">
        <v>0</v>
      </c>
      <c r="J169" t="n">
        <v>0</v>
      </c>
      <c r="K169" t="n">
        <v>0</v>
      </c>
      <c r="L169" t="n">
        <v>0</v>
      </c>
      <c r="M169" t="n">
        <v>0</v>
      </c>
      <c r="N169" t="n">
        <v>0</v>
      </c>
      <c r="O169" t="n">
        <v>0</v>
      </c>
      <c r="P169" t="n">
        <v>0</v>
      </c>
      <c r="Q169" t="n">
        <v>0</v>
      </c>
      <c r="R169" s="2" t="inlineStr"/>
    </row>
    <row r="170" ht="15" customHeight="1">
      <c r="A170" t="inlineStr">
        <is>
          <t>A 27658-2024</t>
        </is>
      </c>
      <c r="B170" s="1" t="n">
        <v>45474.95246527778</v>
      </c>
      <c r="C170" s="1" t="n">
        <v>46003</v>
      </c>
      <c r="D170" t="inlineStr">
        <is>
          <t>NORRBOTTENS LÄN</t>
        </is>
      </c>
      <c r="E170" t="inlineStr">
        <is>
          <t>JOKKMOKK</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27653-2024</t>
        </is>
      </c>
      <c r="B171" s="1" t="n">
        <v>45474.95037037037</v>
      </c>
      <c r="C171" s="1" t="n">
        <v>46003</v>
      </c>
      <c r="D171" t="inlineStr">
        <is>
          <t>NORRBOTTENS LÄN</t>
        </is>
      </c>
      <c r="E171" t="inlineStr">
        <is>
          <t>JOKKMOKK</t>
        </is>
      </c>
      <c r="F171" t="inlineStr">
        <is>
          <t>SCA</t>
        </is>
      </c>
      <c r="G171" t="n">
        <v>7.1</v>
      </c>
      <c r="H171" t="n">
        <v>0</v>
      </c>
      <c r="I171" t="n">
        <v>0</v>
      </c>
      <c r="J171" t="n">
        <v>0</v>
      </c>
      <c r="K171" t="n">
        <v>0</v>
      </c>
      <c r="L171" t="n">
        <v>0</v>
      </c>
      <c r="M171" t="n">
        <v>0</v>
      </c>
      <c r="N171" t="n">
        <v>0</v>
      </c>
      <c r="O171" t="n">
        <v>0</v>
      </c>
      <c r="P171" t="n">
        <v>0</v>
      </c>
      <c r="Q171" t="n">
        <v>0</v>
      </c>
      <c r="R171" s="2" t="inlineStr"/>
    </row>
    <row r="172" ht="15" customHeight="1">
      <c r="A172" t="inlineStr">
        <is>
          <t>A 27654-2024</t>
        </is>
      </c>
      <c r="B172" s="1" t="n">
        <v>45474</v>
      </c>
      <c r="C172" s="1" t="n">
        <v>46003</v>
      </c>
      <c r="D172" t="inlineStr">
        <is>
          <t>NORRBOTTENS LÄN</t>
        </is>
      </c>
      <c r="E172" t="inlineStr">
        <is>
          <t>JOKKMOKK</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27656-2024</t>
        </is>
      </c>
      <c r="B173" s="1" t="n">
        <v>45474</v>
      </c>
      <c r="C173" s="1" t="n">
        <v>46003</v>
      </c>
      <c r="D173" t="inlineStr">
        <is>
          <t>NORRBOTTENS LÄN</t>
        </is>
      </c>
      <c r="E173" t="inlineStr">
        <is>
          <t>JOKKMOKK</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56523-2021</t>
        </is>
      </c>
      <c r="B174" s="1" t="n">
        <v>44477</v>
      </c>
      <c r="C174" s="1" t="n">
        <v>46003</v>
      </c>
      <c r="D174" t="inlineStr">
        <is>
          <t>NORRBOTTENS LÄN</t>
        </is>
      </c>
      <c r="E174" t="inlineStr">
        <is>
          <t>JOKKMOKK</t>
        </is>
      </c>
      <c r="G174" t="n">
        <v>6.6</v>
      </c>
      <c r="H174" t="n">
        <v>0</v>
      </c>
      <c r="I174" t="n">
        <v>0</v>
      </c>
      <c r="J174" t="n">
        <v>0</v>
      </c>
      <c r="K174" t="n">
        <v>0</v>
      </c>
      <c r="L174" t="n">
        <v>0</v>
      </c>
      <c r="M174" t="n">
        <v>0</v>
      </c>
      <c r="N174" t="n">
        <v>0</v>
      </c>
      <c r="O174" t="n">
        <v>0</v>
      </c>
      <c r="P174" t="n">
        <v>0</v>
      </c>
      <c r="Q174" t="n">
        <v>0</v>
      </c>
      <c r="R174" s="2" t="inlineStr"/>
    </row>
    <row r="175" ht="15" customHeight="1">
      <c r="A175" t="inlineStr">
        <is>
          <t>A 60215-2023</t>
        </is>
      </c>
      <c r="B175" s="1" t="n">
        <v>45258.60766203704</v>
      </c>
      <c r="C175" s="1" t="n">
        <v>46003</v>
      </c>
      <c r="D175" t="inlineStr">
        <is>
          <t>NORRBOTTENS LÄN</t>
        </is>
      </c>
      <c r="E175" t="inlineStr">
        <is>
          <t>JOKKMOKK</t>
        </is>
      </c>
      <c r="F175" t="inlineStr">
        <is>
          <t>Allmännings- och besparingsskogar</t>
        </is>
      </c>
      <c r="G175" t="n">
        <v>7.8</v>
      </c>
      <c r="H175" t="n">
        <v>0</v>
      </c>
      <c r="I175" t="n">
        <v>0</v>
      </c>
      <c r="J175" t="n">
        <v>0</v>
      </c>
      <c r="K175" t="n">
        <v>0</v>
      </c>
      <c r="L175" t="n">
        <v>0</v>
      </c>
      <c r="M175" t="n">
        <v>0</v>
      </c>
      <c r="N175" t="n">
        <v>0</v>
      </c>
      <c r="O175" t="n">
        <v>0</v>
      </c>
      <c r="P175" t="n">
        <v>0</v>
      </c>
      <c r="Q175" t="n">
        <v>0</v>
      </c>
      <c r="R175" s="2" t="inlineStr"/>
    </row>
    <row r="176" ht="15" customHeight="1">
      <c r="A176" t="inlineStr">
        <is>
          <t>A 26969-2024</t>
        </is>
      </c>
      <c r="B176" s="1" t="n">
        <v>45471.27252314815</v>
      </c>
      <c r="C176" s="1" t="n">
        <v>46003</v>
      </c>
      <c r="D176" t="inlineStr">
        <is>
          <t>NORRBOTTENS LÄN</t>
        </is>
      </c>
      <c r="E176" t="inlineStr">
        <is>
          <t>JOKKMOKK</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4661-2022</t>
        </is>
      </c>
      <c r="B177" s="1" t="n">
        <v>44589</v>
      </c>
      <c r="C177" s="1" t="n">
        <v>46003</v>
      </c>
      <c r="D177" t="inlineStr">
        <is>
          <t>NORRBOTTENS LÄN</t>
        </is>
      </c>
      <c r="E177" t="inlineStr">
        <is>
          <t>JOKKMOKK</t>
        </is>
      </c>
      <c r="G177" t="n">
        <v>39.5</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46003</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30511-2023</t>
        </is>
      </c>
      <c r="B179" s="1" t="n">
        <v>45111</v>
      </c>
      <c r="C179" s="1" t="n">
        <v>46003</v>
      </c>
      <c r="D179" t="inlineStr">
        <is>
          <t>NORRBOTTENS LÄN</t>
        </is>
      </c>
      <c r="E179" t="inlineStr">
        <is>
          <t>JOKKMOKK</t>
        </is>
      </c>
      <c r="G179" t="n">
        <v>0.9</v>
      </c>
      <c r="H179" t="n">
        <v>0</v>
      </c>
      <c r="I179" t="n">
        <v>0</v>
      </c>
      <c r="J179" t="n">
        <v>0</v>
      </c>
      <c r="K179" t="n">
        <v>0</v>
      </c>
      <c r="L179" t="n">
        <v>0</v>
      </c>
      <c r="M179" t="n">
        <v>0</v>
      </c>
      <c r="N179" t="n">
        <v>0</v>
      </c>
      <c r="O179" t="n">
        <v>0</v>
      </c>
      <c r="P179" t="n">
        <v>0</v>
      </c>
      <c r="Q179" t="n">
        <v>0</v>
      </c>
      <c r="R179" s="2" t="inlineStr"/>
    </row>
    <row r="180" ht="15" customHeight="1">
      <c r="A180" t="inlineStr">
        <is>
          <t>A 34609-2024</t>
        </is>
      </c>
      <c r="B180" s="1" t="n">
        <v>45526</v>
      </c>
      <c r="C180" s="1" t="n">
        <v>46003</v>
      </c>
      <c r="D180" t="inlineStr">
        <is>
          <t>NORRBOTTENS LÄN</t>
        </is>
      </c>
      <c r="E180" t="inlineStr">
        <is>
          <t>JOKKMOKK</t>
        </is>
      </c>
      <c r="G180" t="n">
        <v>27</v>
      </c>
      <c r="H180" t="n">
        <v>0</v>
      </c>
      <c r="I180" t="n">
        <v>0</v>
      </c>
      <c r="J180" t="n">
        <v>0</v>
      </c>
      <c r="K180" t="n">
        <v>0</v>
      </c>
      <c r="L180" t="n">
        <v>0</v>
      </c>
      <c r="M180" t="n">
        <v>0</v>
      </c>
      <c r="N180" t="n">
        <v>0</v>
      </c>
      <c r="O180" t="n">
        <v>0</v>
      </c>
      <c r="P180" t="n">
        <v>0</v>
      </c>
      <c r="Q180" t="n">
        <v>0</v>
      </c>
      <c r="R180" s="2" t="inlineStr"/>
    </row>
    <row r="181" ht="15" customHeight="1">
      <c r="A181" t="inlineStr">
        <is>
          <t>A 52733-2024</t>
        </is>
      </c>
      <c r="B181" s="1" t="n">
        <v>45610</v>
      </c>
      <c r="C181" s="1" t="n">
        <v>46003</v>
      </c>
      <c r="D181" t="inlineStr">
        <is>
          <t>NORRBOTTENS LÄN</t>
        </is>
      </c>
      <c r="E181" t="inlineStr">
        <is>
          <t>JOKKMOKK</t>
        </is>
      </c>
      <c r="F181" t="inlineStr">
        <is>
          <t>Allmännings- och besparingsskogar</t>
        </is>
      </c>
      <c r="G181" t="n">
        <v>6.1</v>
      </c>
      <c r="H181" t="n">
        <v>0</v>
      </c>
      <c r="I181" t="n">
        <v>0</v>
      </c>
      <c r="J181" t="n">
        <v>0</v>
      </c>
      <c r="K181" t="n">
        <v>0</v>
      </c>
      <c r="L181" t="n">
        <v>0</v>
      </c>
      <c r="M181" t="n">
        <v>0</v>
      </c>
      <c r="N181" t="n">
        <v>0</v>
      </c>
      <c r="O181" t="n">
        <v>0</v>
      </c>
      <c r="P181" t="n">
        <v>0</v>
      </c>
      <c r="Q181" t="n">
        <v>0</v>
      </c>
      <c r="R181" s="2" t="inlineStr"/>
    </row>
    <row r="182" ht="15" customHeight="1">
      <c r="A182" t="inlineStr">
        <is>
          <t>A 52855-2024</t>
        </is>
      </c>
      <c r="B182" s="1" t="n">
        <v>45610</v>
      </c>
      <c r="C182" s="1" t="n">
        <v>46003</v>
      </c>
      <c r="D182" t="inlineStr">
        <is>
          <t>NORRBOTTENS LÄN</t>
        </is>
      </c>
      <c r="E182" t="inlineStr">
        <is>
          <t>JOKKMOKK</t>
        </is>
      </c>
      <c r="F182" t="inlineStr">
        <is>
          <t>Allmännings- och besparingsskogar</t>
        </is>
      </c>
      <c r="G182" t="n">
        <v>2.4</v>
      </c>
      <c r="H182" t="n">
        <v>0</v>
      </c>
      <c r="I182" t="n">
        <v>0</v>
      </c>
      <c r="J182" t="n">
        <v>0</v>
      </c>
      <c r="K182" t="n">
        <v>0</v>
      </c>
      <c r="L182" t="n">
        <v>0</v>
      </c>
      <c r="M182" t="n">
        <v>0</v>
      </c>
      <c r="N182" t="n">
        <v>0</v>
      </c>
      <c r="O182" t="n">
        <v>0</v>
      </c>
      <c r="P182" t="n">
        <v>0</v>
      </c>
      <c r="Q182" t="n">
        <v>0</v>
      </c>
      <c r="R182" s="2" t="inlineStr"/>
    </row>
    <row r="183" ht="15" customHeight="1">
      <c r="A183" t="inlineStr">
        <is>
          <t>A 46418-2023</t>
        </is>
      </c>
      <c r="B183" s="1" t="n">
        <v>45197</v>
      </c>
      <c r="C183" s="1" t="n">
        <v>46003</v>
      </c>
      <c r="D183" t="inlineStr">
        <is>
          <t>NORRBOTTENS LÄN</t>
        </is>
      </c>
      <c r="E183" t="inlineStr">
        <is>
          <t>JOKKMOKK</t>
        </is>
      </c>
      <c r="G183" t="n">
        <v>7.4</v>
      </c>
      <c r="H183" t="n">
        <v>0</v>
      </c>
      <c r="I183" t="n">
        <v>0</v>
      </c>
      <c r="J183" t="n">
        <v>0</v>
      </c>
      <c r="K183" t="n">
        <v>0</v>
      </c>
      <c r="L183" t="n">
        <v>0</v>
      </c>
      <c r="M183" t="n">
        <v>0</v>
      </c>
      <c r="N183" t="n">
        <v>0</v>
      </c>
      <c r="O183" t="n">
        <v>0</v>
      </c>
      <c r="P183" t="n">
        <v>0</v>
      </c>
      <c r="Q183" t="n">
        <v>0</v>
      </c>
      <c r="R183" s="2" t="inlineStr"/>
    </row>
    <row r="184" ht="15" customHeight="1">
      <c r="A184" t="inlineStr">
        <is>
          <t>A 6777-2023</t>
        </is>
      </c>
      <c r="B184" s="1" t="n">
        <v>44966</v>
      </c>
      <c r="C184" s="1" t="n">
        <v>46003</v>
      </c>
      <c r="D184" t="inlineStr">
        <is>
          <t>NORRBOTTENS LÄN</t>
        </is>
      </c>
      <c r="E184" t="inlineStr">
        <is>
          <t>JOKKMOKK</t>
        </is>
      </c>
      <c r="G184" t="n">
        <v>2.2</v>
      </c>
      <c r="H184" t="n">
        <v>0</v>
      </c>
      <c r="I184" t="n">
        <v>0</v>
      </c>
      <c r="J184" t="n">
        <v>0</v>
      </c>
      <c r="K184" t="n">
        <v>0</v>
      </c>
      <c r="L184" t="n">
        <v>0</v>
      </c>
      <c r="M184" t="n">
        <v>0</v>
      </c>
      <c r="N184" t="n">
        <v>0</v>
      </c>
      <c r="O184" t="n">
        <v>0</v>
      </c>
      <c r="P184" t="n">
        <v>0</v>
      </c>
      <c r="Q184" t="n">
        <v>0</v>
      </c>
      <c r="R184" s="2" t="inlineStr"/>
    </row>
    <row r="185" ht="15" customHeight="1">
      <c r="A185" t="inlineStr">
        <is>
          <t>A 50496-2024</t>
        </is>
      </c>
      <c r="B185" s="1" t="n">
        <v>45601.51266203704</v>
      </c>
      <c r="C185" s="1" t="n">
        <v>46003</v>
      </c>
      <c r="D185" t="inlineStr">
        <is>
          <t>NORRBOTTENS LÄN</t>
        </is>
      </c>
      <c r="E185" t="inlineStr">
        <is>
          <t>JOKKMOKK</t>
        </is>
      </c>
      <c r="F185" t="inlineStr">
        <is>
          <t>Allmännings- och besparingsskogar</t>
        </is>
      </c>
      <c r="G185" t="n">
        <v>2.1</v>
      </c>
      <c r="H185" t="n">
        <v>0</v>
      </c>
      <c r="I185" t="n">
        <v>0</v>
      </c>
      <c r="J185" t="n">
        <v>0</v>
      </c>
      <c r="K185" t="n">
        <v>0</v>
      </c>
      <c r="L185" t="n">
        <v>0</v>
      </c>
      <c r="M185" t="n">
        <v>0</v>
      </c>
      <c r="N185" t="n">
        <v>0</v>
      </c>
      <c r="O185" t="n">
        <v>0</v>
      </c>
      <c r="P185" t="n">
        <v>0</v>
      </c>
      <c r="Q185" t="n">
        <v>0</v>
      </c>
      <c r="R185" s="2" t="inlineStr"/>
    </row>
    <row r="186" ht="15" customHeight="1">
      <c r="A186" t="inlineStr">
        <is>
          <t>A 61500-2024</t>
        </is>
      </c>
      <c r="B186" s="1" t="n">
        <v>45645</v>
      </c>
      <c r="C186" s="1" t="n">
        <v>46003</v>
      </c>
      <c r="D186" t="inlineStr">
        <is>
          <t>NORRBOTTENS LÄN</t>
        </is>
      </c>
      <c r="E186" t="inlineStr">
        <is>
          <t>JOKKMOKK</t>
        </is>
      </c>
      <c r="G186" t="n">
        <v>39.8</v>
      </c>
      <c r="H186" t="n">
        <v>0</v>
      </c>
      <c r="I186" t="n">
        <v>0</v>
      </c>
      <c r="J186" t="n">
        <v>0</v>
      </c>
      <c r="K186" t="n">
        <v>0</v>
      </c>
      <c r="L186" t="n">
        <v>0</v>
      </c>
      <c r="M186" t="n">
        <v>0</v>
      </c>
      <c r="N186" t="n">
        <v>0</v>
      </c>
      <c r="O186" t="n">
        <v>0</v>
      </c>
      <c r="P186" t="n">
        <v>0</v>
      </c>
      <c r="Q186" t="n">
        <v>0</v>
      </c>
      <c r="R186" s="2" t="inlineStr"/>
    </row>
    <row r="187" ht="15" customHeight="1">
      <c r="A187" t="inlineStr">
        <is>
          <t>A 29213-2024</t>
        </is>
      </c>
      <c r="B187" s="1" t="n">
        <v>45482</v>
      </c>
      <c r="C187" s="1" t="n">
        <v>46003</v>
      </c>
      <c r="D187" t="inlineStr">
        <is>
          <t>NORRBOTTENS LÄN</t>
        </is>
      </c>
      <c r="E187" t="inlineStr">
        <is>
          <t>JOKKMOKK</t>
        </is>
      </c>
      <c r="G187" t="n">
        <v>55</v>
      </c>
      <c r="H187" t="n">
        <v>0</v>
      </c>
      <c r="I187" t="n">
        <v>0</v>
      </c>
      <c r="J187" t="n">
        <v>0</v>
      </c>
      <c r="K187" t="n">
        <v>0</v>
      </c>
      <c r="L187" t="n">
        <v>0</v>
      </c>
      <c r="M187" t="n">
        <v>0</v>
      </c>
      <c r="N187" t="n">
        <v>0</v>
      </c>
      <c r="O187" t="n">
        <v>0</v>
      </c>
      <c r="P187" t="n">
        <v>0</v>
      </c>
      <c r="Q187" t="n">
        <v>0</v>
      </c>
      <c r="R187" s="2" t="inlineStr"/>
    </row>
    <row r="188" ht="15" customHeight="1">
      <c r="A188" t="inlineStr">
        <is>
          <t>A 35876-2022</t>
        </is>
      </c>
      <c r="B188" s="1" t="n">
        <v>44802</v>
      </c>
      <c r="C188" s="1" t="n">
        <v>46003</v>
      </c>
      <c r="D188" t="inlineStr">
        <is>
          <t>NORRBOTTENS LÄN</t>
        </is>
      </c>
      <c r="E188" t="inlineStr">
        <is>
          <t>JOKKMOKK</t>
        </is>
      </c>
      <c r="G188" t="n">
        <v>9.5</v>
      </c>
      <c r="H188" t="n">
        <v>0</v>
      </c>
      <c r="I188" t="n">
        <v>0</v>
      </c>
      <c r="J188" t="n">
        <v>0</v>
      </c>
      <c r="K188" t="n">
        <v>0</v>
      </c>
      <c r="L188" t="n">
        <v>0</v>
      </c>
      <c r="M188" t="n">
        <v>0</v>
      </c>
      <c r="N188" t="n">
        <v>0</v>
      </c>
      <c r="O188" t="n">
        <v>0</v>
      </c>
      <c r="P188" t="n">
        <v>0</v>
      </c>
      <c r="Q188" t="n">
        <v>0</v>
      </c>
      <c r="R188" s="2" t="inlineStr"/>
    </row>
    <row r="189" ht="15" customHeight="1">
      <c r="A189" t="inlineStr">
        <is>
          <t>A 31535-2024</t>
        </is>
      </c>
      <c r="B189" s="1" t="n">
        <v>45505</v>
      </c>
      <c r="C189" s="1" t="n">
        <v>46003</v>
      </c>
      <c r="D189" t="inlineStr">
        <is>
          <t>NORRBOTTENS LÄN</t>
        </is>
      </c>
      <c r="E189" t="inlineStr">
        <is>
          <t>JOKKMOKK</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60275-2023</t>
        </is>
      </c>
      <c r="B190" s="1" t="n">
        <v>45258.67847222222</v>
      </c>
      <c r="C190" s="1" t="n">
        <v>46003</v>
      </c>
      <c r="D190" t="inlineStr">
        <is>
          <t>NORRBOTTENS LÄN</t>
        </is>
      </c>
      <c r="E190" t="inlineStr">
        <is>
          <t>JOKKMOKK</t>
        </is>
      </c>
      <c r="G190" t="n">
        <v>3.2</v>
      </c>
      <c r="H190" t="n">
        <v>0</v>
      </c>
      <c r="I190" t="n">
        <v>0</v>
      </c>
      <c r="J190" t="n">
        <v>0</v>
      </c>
      <c r="K190" t="n">
        <v>0</v>
      </c>
      <c r="L190" t="n">
        <v>0</v>
      </c>
      <c r="M190" t="n">
        <v>0</v>
      </c>
      <c r="N190" t="n">
        <v>0</v>
      </c>
      <c r="O190" t="n">
        <v>0</v>
      </c>
      <c r="P190" t="n">
        <v>0</v>
      </c>
      <c r="Q190" t="n">
        <v>0</v>
      </c>
      <c r="R190" s="2" t="inlineStr"/>
    </row>
    <row r="191" ht="15" customHeight="1">
      <c r="A191" t="inlineStr">
        <is>
          <t>A 51336-2024</t>
        </is>
      </c>
      <c r="B191" s="1" t="n">
        <v>45604.34443287037</v>
      </c>
      <c r="C191" s="1" t="n">
        <v>46003</v>
      </c>
      <c r="D191" t="inlineStr">
        <is>
          <t>NORRBOTTENS LÄN</t>
        </is>
      </c>
      <c r="E191" t="inlineStr">
        <is>
          <t>JOKKMOKK</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40345-2024</t>
        </is>
      </c>
      <c r="B192" s="1" t="n">
        <v>45555.344375</v>
      </c>
      <c r="C192" s="1" t="n">
        <v>46003</v>
      </c>
      <c r="D192" t="inlineStr">
        <is>
          <t>NORRBOTTENS LÄN</t>
        </is>
      </c>
      <c r="E192" t="inlineStr">
        <is>
          <t>JOKKMOKK</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40771-2023</t>
        </is>
      </c>
      <c r="B193" s="1" t="n">
        <v>45170.95657407407</v>
      </c>
      <c r="C193" s="1" t="n">
        <v>46003</v>
      </c>
      <c r="D193" t="inlineStr">
        <is>
          <t>NORRBOTTENS LÄN</t>
        </is>
      </c>
      <c r="E193" t="inlineStr">
        <is>
          <t>JOKKMOKK</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9349-2023</t>
        </is>
      </c>
      <c r="B194" s="1" t="n">
        <v>44980</v>
      </c>
      <c r="C194" s="1" t="n">
        <v>46003</v>
      </c>
      <c r="D194" t="inlineStr">
        <is>
          <t>NORRBOTTENS LÄN</t>
        </is>
      </c>
      <c r="E194" t="inlineStr">
        <is>
          <t>JOKKMOKK</t>
        </is>
      </c>
      <c r="F194" t="inlineStr">
        <is>
          <t>SCA</t>
        </is>
      </c>
      <c r="G194" t="n">
        <v>5.2</v>
      </c>
      <c r="H194" t="n">
        <v>0</v>
      </c>
      <c r="I194" t="n">
        <v>0</v>
      </c>
      <c r="J194" t="n">
        <v>0</v>
      </c>
      <c r="K194" t="n">
        <v>0</v>
      </c>
      <c r="L194" t="n">
        <v>0</v>
      </c>
      <c r="M194" t="n">
        <v>0</v>
      </c>
      <c r="N194" t="n">
        <v>0</v>
      </c>
      <c r="O194" t="n">
        <v>0</v>
      </c>
      <c r="P194" t="n">
        <v>0</v>
      </c>
      <c r="Q194" t="n">
        <v>0</v>
      </c>
      <c r="R194" s="2" t="inlineStr"/>
    </row>
    <row r="195" ht="15" customHeight="1">
      <c r="A195" t="inlineStr">
        <is>
          <t>A 9351-2023</t>
        </is>
      </c>
      <c r="B195" s="1" t="n">
        <v>44980</v>
      </c>
      <c r="C195" s="1" t="n">
        <v>46003</v>
      </c>
      <c r="D195" t="inlineStr">
        <is>
          <t>NORRBOTTENS LÄN</t>
        </is>
      </c>
      <c r="E195" t="inlineStr">
        <is>
          <t>JOKKMOKK</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56412-2021</t>
        </is>
      </c>
      <c r="B196" s="1" t="n">
        <v>44477</v>
      </c>
      <c r="C196" s="1" t="n">
        <v>46003</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45512-2022</t>
        </is>
      </c>
      <c r="B197" s="1" t="n">
        <v>44841</v>
      </c>
      <c r="C197" s="1" t="n">
        <v>46003</v>
      </c>
      <c r="D197" t="inlineStr">
        <is>
          <t>NORRBOTTENS LÄN</t>
        </is>
      </c>
      <c r="E197" t="inlineStr">
        <is>
          <t>JOKKMOKK</t>
        </is>
      </c>
      <c r="F197" t="inlineStr">
        <is>
          <t>Övriga Aktiebolag</t>
        </is>
      </c>
      <c r="G197" t="n">
        <v>0.6</v>
      </c>
      <c r="H197" t="n">
        <v>0</v>
      </c>
      <c r="I197" t="n">
        <v>0</v>
      </c>
      <c r="J197" t="n">
        <v>0</v>
      </c>
      <c r="K197" t="n">
        <v>0</v>
      </c>
      <c r="L197" t="n">
        <v>0</v>
      </c>
      <c r="M197" t="n">
        <v>0</v>
      </c>
      <c r="N197" t="n">
        <v>0</v>
      </c>
      <c r="O197" t="n">
        <v>0</v>
      </c>
      <c r="P197" t="n">
        <v>0</v>
      </c>
      <c r="Q197" t="n">
        <v>0</v>
      </c>
      <c r="R197" s="2" t="inlineStr"/>
    </row>
    <row r="198" ht="15" customHeight="1">
      <c r="A198" t="inlineStr">
        <is>
          <t>A 47208-2022</t>
        </is>
      </c>
      <c r="B198" s="1" t="n">
        <v>44851</v>
      </c>
      <c r="C198" s="1" t="n">
        <v>46003</v>
      </c>
      <c r="D198" t="inlineStr">
        <is>
          <t>NORRBOTTENS LÄN</t>
        </is>
      </c>
      <c r="E198" t="inlineStr">
        <is>
          <t>JOKKMOKK</t>
        </is>
      </c>
      <c r="G198" t="n">
        <v>1.2</v>
      </c>
      <c r="H198" t="n">
        <v>0</v>
      </c>
      <c r="I198" t="n">
        <v>0</v>
      </c>
      <c r="J198" t="n">
        <v>0</v>
      </c>
      <c r="K198" t="n">
        <v>0</v>
      </c>
      <c r="L198" t="n">
        <v>0</v>
      </c>
      <c r="M198" t="n">
        <v>0</v>
      </c>
      <c r="N198" t="n">
        <v>0</v>
      </c>
      <c r="O198" t="n">
        <v>0</v>
      </c>
      <c r="P198" t="n">
        <v>0</v>
      </c>
      <c r="Q198" t="n">
        <v>0</v>
      </c>
      <c r="R198" s="2" t="inlineStr"/>
    </row>
    <row r="199" ht="15" customHeight="1">
      <c r="A199" t="inlineStr">
        <is>
          <t>A 68636-2020</t>
        </is>
      </c>
      <c r="B199" s="1" t="n">
        <v>44186</v>
      </c>
      <c r="C199" s="1" t="n">
        <v>46003</v>
      </c>
      <c r="D199" t="inlineStr">
        <is>
          <t>NORRBOTTENS LÄN</t>
        </is>
      </c>
      <c r="E199" t="inlineStr">
        <is>
          <t>JOKKMOKK</t>
        </is>
      </c>
      <c r="F199" t="inlineStr">
        <is>
          <t>SCA</t>
        </is>
      </c>
      <c r="G199" t="n">
        <v>42.3</v>
      </c>
      <c r="H199" t="n">
        <v>0</v>
      </c>
      <c r="I199" t="n">
        <v>0</v>
      </c>
      <c r="J199" t="n">
        <v>0</v>
      </c>
      <c r="K199" t="n">
        <v>0</v>
      </c>
      <c r="L199" t="n">
        <v>0</v>
      </c>
      <c r="M199" t="n">
        <v>0</v>
      </c>
      <c r="N199" t="n">
        <v>0</v>
      </c>
      <c r="O199" t="n">
        <v>0</v>
      </c>
      <c r="P199" t="n">
        <v>0</v>
      </c>
      <c r="Q199" t="n">
        <v>0</v>
      </c>
      <c r="R199" s="2" t="inlineStr"/>
    </row>
    <row r="200" ht="15" customHeight="1">
      <c r="A200" t="inlineStr">
        <is>
          <t>A 61760-2024</t>
        </is>
      </c>
      <c r="B200" s="1" t="n">
        <v>45649</v>
      </c>
      <c r="C200" s="1" t="n">
        <v>46003</v>
      </c>
      <c r="D200" t="inlineStr">
        <is>
          <t>NORRBOTTENS LÄN</t>
        </is>
      </c>
      <c r="E200" t="inlineStr">
        <is>
          <t>JOKKMOKK</t>
        </is>
      </c>
      <c r="F200" t="inlineStr">
        <is>
          <t>Övriga statliga verk och myndigheter</t>
        </is>
      </c>
      <c r="G200" t="n">
        <v>19.3</v>
      </c>
      <c r="H200" t="n">
        <v>0</v>
      </c>
      <c r="I200" t="n">
        <v>0</v>
      </c>
      <c r="J200" t="n">
        <v>0</v>
      </c>
      <c r="K200" t="n">
        <v>0</v>
      </c>
      <c r="L200" t="n">
        <v>0</v>
      </c>
      <c r="M200" t="n">
        <v>0</v>
      </c>
      <c r="N200" t="n">
        <v>0</v>
      </c>
      <c r="O200" t="n">
        <v>0</v>
      </c>
      <c r="P200" t="n">
        <v>0</v>
      </c>
      <c r="Q200" t="n">
        <v>0</v>
      </c>
      <c r="R200" s="2" t="inlineStr"/>
    </row>
    <row r="201" ht="15" customHeight="1">
      <c r="A201" t="inlineStr">
        <is>
          <t>A 9878-2023</t>
        </is>
      </c>
      <c r="B201" s="1" t="n">
        <v>44984</v>
      </c>
      <c r="C201" s="1" t="n">
        <v>46003</v>
      </c>
      <c r="D201" t="inlineStr">
        <is>
          <t>NORRBOTTENS LÄN</t>
        </is>
      </c>
      <c r="E201" t="inlineStr">
        <is>
          <t>JOKKMOKK</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5670-2025</t>
        </is>
      </c>
      <c r="B202" s="1" t="n">
        <v>45693</v>
      </c>
      <c r="C202" s="1" t="n">
        <v>46003</v>
      </c>
      <c r="D202" t="inlineStr">
        <is>
          <t>NORRBOTTENS LÄN</t>
        </is>
      </c>
      <c r="E202" t="inlineStr">
        <is>
          <t>JOKKMOKK</t>
        </is>
      </c>
      <c r="G202" t="n">
        <v>2.1</v>
      </c>
      <c r="H202" t="n">
        <v>0</v>
      </c>
      <c r="I202" t="n">
        <v>0</v>
      </c>
      <c r="J202" t="n">
        <v>0</v>
      </c>
      <c r="K202" t="n">
        <v>0</v>
      </c>
      <c r="L202" t="n">
        <v>0</v>
      </c>
      <c r="M202" t="n">
        <v>0</v>
      </c>
      <c r="N202" t="n">
        <v>0</v>
      </c>
      <c r="O202" t="n">
        <v>0</v>
      </c>
      <c r="P202" t="n">
        <v>0</v>
      </c>
      <c r="Q202" t="n">
        <v>0</v>
      </c>
      <c r="R202" s="2" t="inlineStr"/>
    </row>
    <row r="203" ht="15" customHeight="1">
      <c r="A203" t="inlineStr">
        <is>
          <t>A 32915-2023</t>
        </is>
      </c>
      <c r="B203" s="1" t="n">
        <v>45124.95214120371</v>
      </c>
      <c r="C203" s="1" t="n">
        <v>46003</v>
      </c>
      <c r="D203" t="inlineStr">
        <is>
          <t>NORRBOTTENS LÄN</t>
        </is>
      </c>
      <c r="E203" t="inlineStr">
        <is>
          <t>JOKKMOKK</t>
        </is>
      </c>
      <c r="F203" t="inlineStr">
        <is>
          <t>SCA</t>
        </is>
      </c>
      <c r="G203" t="n">
        <v>15.1</v>
      </c>
      <c r="H203" t="n">
        <v>0</v>
      </c>
      <c r="I203" t="n">
        <v>0</v>
      </c>
      <c r="J203" t="n">
        <v>0</v>
      </c>
      <c r="K203" t="n">
        <v>0</v>
      </c>
      <c r="L203" t="n">
        <v>0</v>
      </c>
      <c r="M203" t="n">
        <v>0</v>
      </c>
      <c r="N203" t="n">
        <v>0</v>
      </c>
      <c r="O203" t="n">
        <v>0</v>
      </c>
      <c r="P203" t="n">
        <v>0</v>
      </c>
      <c r="Q203" t="n">
        <v>0</v>
      </c>
      <c r="R203" s="2" t="inlineStr"/>
    </row>
    <row r="204" ht="15" customHeight="1">
      <c r="A204" t="inlineStr">
        <is>
          <t>A 30041-2024</t>
        </is>
      </c>
      <c r="B204" s="1" t="n">
        <v>45488</v>
      </c>
      <c r="C204" s="1" t="n">
        <v>46003</v>
      </c>
      <c r="D204" t="inlineStr">
        <is>
          <t>NORRBOTTENS LÄN</t>
        </is>
      </c>
      <c r="E204" t="inlineStr">
        <is>
          <t>JOKKMOKK</t>
        </is>
      </c>
      <c r="G204" t="n">
        <v>19.9</v>
      </c>
      <c r="H204" t="n">
        <v>0</v>
      </c>
      <c r="I204" t="n">
        <v>0</v>
      </c>
      <c r="J204" t="n">
        <v>0</v>
      </c>
      <c r="K204" t="n">
        <v>0</v>
      </c>
      <c r="L204" t="n">
        <v>0</v>
      </c>
      <c r="M204" t="n">
        <v>0</v>
      </c>
      <c r="N204" t="n">
        <v>0</v>
      </c>
      <c r="O204" t="n">
        <v>0</v>
      </c>
      <c r="P204" t="n">
        <v>0</v>
      </c>
      <c r="Q204" t="n">
        <v>0</v>
      </c>
      <c r="R204" s="2" t="inlineStr"/>
    </row>
    <row r="205" ht="15" customHeight="1">
      <c r="A205" t="inlineStr">
        <is>
          <t>A 23023-2023</t>
        </is>
      </c>
      <c r="B205" s="1" t="n">
        <v>45073</v>
      </c>
      <c r="C205" s="1" t="n">
        <v>46003</v>
      </c>
      <c r="D205" t="inlineStr">
        <is>
          <t>NORRBOTTENS LÄN</t>
        </is>
      </c>
      <c r="E205" t="inlineStr">
        <is>
          <t>JOKKMOKK</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30399-2024</t>
        </is>
      </c>
      <c r="B206" s="1" t="n">
        <v>45491</v>
      </c>
      <c r="C206" s="1" t="n">
        <v>46003</v>
      </c>
      <c r="D206" t="inlineStr">
        <is>
          <t>NORRBOTTENS LÄN</t>
        </is>
      </c>
      <c r="E206" t="inlineStr">
        <is>
          <t>JOKKMOKK</t>
        </is>
      </c>
      <c r="G206" t="n">
        <v>4.6</v>
      </c>
      <c r="H206" t="n">
        <v>0</v>
      </c>
      <c r="I206" t="n">
        <v>0</v>
      </c>
      <c r="J206" t="n">
        <v>0</v>
      </c>
      <c r="K206" t="n">
        <v>0</v>
      </c>
      <c r="L206" t="n">
        <v>0</v>
      </c>
      <c r="M206" t="n">
        <v>0</v>
      </c>
      <c r="N206" t="n">
        <v>0</v>
      </c>
      <c r="O206" t="n">
        <v>0</v>
      </c>
      <c r="P206" t="n">
        <v>0</v>
      </c>
      <c r="Q206" t="n">
        <v>0</v>
      </c>
      <c r="R206" s="2" t="inlineStr"/>
    </row>
    <row r="207" ht="15" customHeight="1">
      <c r="A207" t="inlineStr">
        <is>
          <t>A 61640-2024</t>
        </is>
      </c>
      <c r="B207" s="1" t="n">
        <v>45646.68362268519</v>
      </c>
      <c r="C207" s="1" t="n">
        <v>46003</v>
      </c>
      <c r="D207" t="inlineStr">
        <is>
          <t>NORRBOTTENS LÄN</t>
        </is>
      </c>
      <c r="E207" t="inlineStr">
        <is>
          <t>JOKKMOKK</t>
        </is>
      </c>
      <c r="G207" t="n">
        <v>10.6</v>
      </c>
      <c r="H207" t="n">
        <v>0</v>
      </c>
      <c r="I207" t="n">
        <v>0</v>
      </c>
      <c r="J207" t="n">
        <v>0</v>
      </c>
      <c r="K207" t="n">
        <v>0</v>
      </c>
      <c r="L207" t="n">
        <v>0</v>
      </c>
      <c r="M207" t="n">
        <v>0</v>
      </c>
      <c r="N207" t="n">
        <v>0</v>
      </c>
      <c r="O207" t="n">
        <v>0</v>
      </c>
      <c r="P207" t="n">
        <v>0</v>
      </c>
      <c r="Q207" t="n">
        <v>0</v>
      </c>
      <c r="R207" s="2" t="inlineStr"/>
    </row>
    <row r="208" ht="15" customHeight="1">
      <c r="A208" t="inlineStr">
        <is>
          <t>A 61641-2024</t>
        </is>
      </c>
      <c r="B208" s="1" t="n">
        <v>45646</v>
      </c>
      <c r="C208" s="1" t="n">
        <v>46003</v>
      </c>
      <c r="D208" t="inlineStr">
        <is>
          <t>NORRBOTTENS LÄN</t>
        </is>
      </c>
      <c r="E208" t="inlineStr">
        <is>
          <t>JOKKMOKK</t>
        </is>
      </c>
      <c r="G208" t="n">
        <v>3.2</v>
      </c>
      <c r="H208" t="n">
        <v>0</v>
      </c>
      <c r="I208" t="n">
        <v>0</v>
      </c>
      <c r="J208" t="n">
        <v>0</v>
      </c>
      <c r="K208" t="n">
        <v>0</v>
      </c>
      <c r="L208" t="n">
        <v>0</v>
      </c>
      <c r="M208" t="n">
        <v>0</v>
      </c>
      <c r="N208" t="n">
        <v>0</v>
      </c>
      <c r="O208" t="n">
        <v>0</v>
      </c>
      <c r="P208" t="n">
        <v>0</v>
      </c>
      <c r="Q208" t="n">
        <v>0</v>
      </c>
      <c r="R208" s="2" t="inlineStr"/>
    </row>
    <row r="209" ht="15" customHeight="1">
      <c r="A209" t="inlineStr">
        <is>
          <t>A 37827-2024</t>
        </is>
      </c>
      <c r="B209" s="1" t="n">
        <v>45544</v>
      </c>
      <c r="C209" s="1" t="n">
        <v>46003</v>
      </c>
      <c r="D209" t="inlineStr">
        <is>
          <t>NORRBOTTENS LÄN</t>
        </is>
      </c>
      <c r="E209" t="inlineStr">
        <is>
          <t>JOKKMOKK</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16864-2023</t>
        </is>
      </c>
      <c r="B210" s="1" t="n">
        <v>45028</v>
      </c>
      <c r="C210" s="1" t="n">
        <v>46003</v>
      </c>
      <c r="D210" t="inlineStr">
        <is>
          <t>NORRBOTTENS LÄN</t>
        </is>
      </c>
      <c r="E210" t="inlineStr">
        <is>
          <t>JOKKMOKK</t>
        </is>
      </c>
      <c r="G210" t="n">
        <v>4</v>
      </c>
      <c r="H210" t="n">
        <v>0</v>
      </c>
      <c r="I210" t="n">
        <v>0</v>
      </c>
      <c r="J210" t="n">
        <v>0</v>
      </c>
      <c r="K210" t="n">
        <v>0</v>
      </c>
      <c r="L210" t="n">
        <v>0</v>
      </c>
      <c r="M210" t="n">
        <v>0</v>
      </c>
      <c r="N210" t="n">
        <v>0</v>
      </c>
      <c r="O210" t="n">
        <v>0</v>
      </c>
      <c r="P210" t="n">
        <v>0</v>
      </c>
      <c r="Q210" t="n">
        <v>0</v>
      </c>
      <c r="R210" s="2" t="inlineStr"/>
    </row>
    <row r="211" ht="15" customHeight="1">
      <c r="A211" t="inlineStr">
        <is>
          <t>A 60390-2023</t>
        </is>
      </c>
      <c r="B211" s="1" t="n">
        <v>45259.43483796297</v>
      </c>
      <c r="C211" s="1" t="n">
        <v>46003</v>
      </c>
      <c r="D211" t="inlineStr">
        <is>
          <t>NORRBOTTENS LÄN</t>
        </is>
      </c>
      <c r="E211" t="inlineStr">
        <is>
          <t>JOKKMOKK</t>
        </is>
      </c>
      <c r="F211" t="inlineStr">
        <is>
          <t>Sveaskog</t>
        </is>
      </c>
      <c r="G211" t="n">
        <v>10.9</v>
      </c>
      <c r="H211" t="n">
        <v>0</v>
      </c>
      <c r="I211" t="n">
        <v>0</v>
      </c>
      <c r="J211" t="n">
        <v>0</v>
      </c>
      <c r="K211" t="n">
        <v>0</v>
      </c>
      <c r="L211" t="n">
        <v>0</v>
      </c>
      <c r="M211" t="n">
        <v>0</v>
      </c>
      <c r="N211" t="n">
        <v>0</v>
      </c>
      <c r="O211" t="n">
        <v>0</v>
      </c>
      <c r="P211" t="n">
        <v>0</v>
      </c>
      <c r="Q211" t="n">
        <v>0</v>
      </c>
      <c r="R211" s="2" t="inlineStr"/>
    </row>
    <row r="212" ht="15" customHeight="1">
      <c r="A212" t="inlineStr">
        <is>
          <t>A 1615-2024</t>
        </is>
      </c>
      <c r="B212" s="1" t="n">
        <v>45306</v>
      </c>
      <c r="C212" s="1" t="n">
        <v>46003</v>
      </c>
      <c r="D212" t="inlineStr">
        <is>
          <t>NORRBOTTENS LÄN</t>
        </is>
      </c>
      <c r="E212" t="inlineStr">
        <is>
          <t>JOKKMOKK</t>
        </is>
      </c>
      <c r="G212" t="n">
        <v>10.8</v>
      </c>
      <c r="H212" t="n">
        <v>0</v>
      </c>
      <c r="I212" t="n">
        <v>0</v>
      </c>
      <c r="J212" t="n">
        <v>0</v>
      </c>
      <c r="K212" t="n">
        <v>0</v>
      </c>
      <c r="L212" t="n">
        <v>0</v>
      </c>
      <c r="M212" t="n">
        <v>0</v>
      </c>
      <c r="N212" t="n">
        <v>0</v>
      </c>
      <c r="O212" t="n">
        <v>0</v>
      </c>
      <c r="P212" t="n">
        <v>0</v>
      </c>
      <c r="Q212" t="n">
        <v>0</v>
      </c>
      <c r="R212" s="2" t="inlineStr"/>
    </row>
    <row r="213" ht="15" customHeight="1">
      <c r="A213" t="inlineStr">
        <is>
          <t>A 59849-2023</t>
        </is>
      </c>
      <c r="B213" s="1" t="n">
        <v>45257</v>
      </c>
      <c r="C213" s="1" t="n">
        <v>46003</v>
      </c>
      <c r="D213" t="inlineStr">
        <is>
          <t>NORRBOTTENS LÄN</t>
        </is>
      </c>
      <c r="E213" t="inlineStr">
        <is>
          <t>JOKKMOKK</t>
        </is>
      </c>
      <c r="F213" t="inlineStr">
        <is>
          <t>Allmännings- och besparingsskogar</t>
        </is>
      </c>
      <c r="G213" t="n">
        <v>12.7</v>
      </c>
      <c r="H213" t="n">
        <v>0</v>
      </c>
      <c r="I213" t="n">
        <v>0</v>
      </c>
      <c r="J213" t="n">
        <v>0</v>
      </c>
      <c r="K213" t="n">
        <v>0</v>
      </c>
      <c r="L213" t="n">
        <v>0</v>
      </c>
      <c r="M213" t="n">
        <v>0</v>
      </c>
      <c r="N213" t="n">
        <v>0</v>
      </c>
      <c r="O213" t="n">
        <v>0</v>
      </c>
      <c r="P213" t="n">
        <v>0</v>
      </c>
      <c r="Q213" t="n">
        <v>0</v>
      </c>
      <c r="R213" s="2" t="inlineStr"/>
    </row>
    <row r="214" ht="15" customHeight="1">
      <c r="A214" t="inlineStr">
        <is>
          <t>A 40658-2024</t>
        </is>
      </c>
      <c r="B214" s="1" t="n">
        <v>45558</v>
      </c>
      <c r="C214" s="1" t="n">
        <v>46003</v>
      </c>
      <c r="D214" t="inlineStr">
        <is>
          <t>NORRBOTTENS LÄN</t>
        </is>
      </c>
      <c r="E214" t="inlineStr">
        <is>
          <t>JOKKMOKK</t>
        </is>
      </c>
      <c r="F214" t="inlineStr">
        <is>
          <t>SCA</t>
        </is>
      </c>
      <c r="G214" t="n">
        <v>3.7</v>
      </c>
      <c r="H214" t="n">
        <v>0</v>
      </c>
      <c r="I214" t="n">
        <v>0</v>
      </c>
      <c r="J214" t="n">
        <v>0</v>
      </c>
      <c r="K214" t="n">
        <v>0</v>
      </c>
      <c r="L214" t="n">
        <v>0</v>
      </c>
      <c r="M214" t="n">
        <v>0</v>
      </c>
      <c r="N214" t="n">
        <v>0</v>
      </c>
      <c r="O214" t="n">
        <v>0</v>
      </c>
      <c r="P214" t="n">
        <v>0</v>
      </c>
      <c r="Q214" t="n">
        <v>0</v>
      </c>
      <c r="R214" s="2" t="inlineStr"/>
    </row>
    <row r="215" ht="15" customHeight="1">
      <c r="A215" t="inlineStr">
        <is>
          <t>A 34598-2024</t>
        </is>
      </c>
      <c r="B215" s="1" t="n">
        <v>45526.39714120371</v>
      </c>
      <c r="C215" s="1" t="n">
        <v>46003</v>
      </c>
      <c r="D215" t="inlineStr">
        <is>
          <t>NORRBOTTENS LÄN</t>
        </is>
      </c>
      <c r="E215" t="inlineStr">
        <is>
          <t>JOKKMOKK</t>
        </is>
      </c>
      <c r="G215" t="n">
        <v>2.5</v>
      </c>
      <c r="H215" t="n">
        <v>0</v>
      </c>
      <c r="I215" t="n">
        <v>0</v>
      </c>
      <c r="J215" t="n">
        <v>0</v>
      </c>
      <c r="K215" t="n">
        <v>0</v>
      </c>
      <c r="L215" t="n">
        <v>0</v>
      </c>
      <c r="M215" t="n">
        <v>0</v>
      </c>
      <c r="N215" t="n">
        <v>0</v>
      </c>
      <c r="O215" t="n">
        <v>0</v>
      </c>
      <c r="P215" t="n">
        <v>0</v>
      </c>
      <c r="Q215" t="n">
        <v>0</v>
      </c>
      <c r="R215" s="2" t="inlineStr"/>
    </row>
    <row r="216" ht="15" customHeight="1">
      <c r="A216" t="inlineStr">
        <is>
          <t>A 45468-2022</t>
        </is>
      </c>
      <c r="B216" s="1" t="n">
        <v>44841</v>
      </c>
      <c r="C216" s="1" t="n">
        <v>46003</v>
      </c>
      <c r="D216" t="inlineStr">
        <is>
          <t>NORRBOTTENS LÄN</t>
        </is>
      </c>
      <c r="E216" t="inlineStr">
        <is>
          <t>JOKKMOKK</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30313-2024</t>
        </is>
      </c>
      <c r="B217" s="1" t="n">
        <v>45490</v>
      </c>
      <c r="C217" s="1" t="n">
        <v>46003</v>
      </c>
      <c r="D217" t="inlineStr">
        <is>
          <t>NORRBOTTENS LÄN</t>
        </is>
      </c>
      <c r="E217" t="inlineStr">
        <is>
          <t>JOKKMOKK</t>
        </is>
      </c>
      <c r="G217" t="n">
        <v>3.4</v>
      </c>
      <c r="H217" t="n">
        <v>0</v>
      </c>
      <c r="I217" t="n">
        <v>0</v>
      </c>
      <c r="J217" t="n">
        <v>0</v>
      </c>
      <c r="K217" t="n">
        <v>0</v>
      </c>
      <c r="L217" t="n">
        <v>0</v>
      </c>
      <c r="M217" t="n">
        <v>0</v>
      </c>
      <c r="N217" t="n">
        <v>0</v>
      </c>
      <c r="O217" t="n">
        <v>0</v>
      </c>
      <c r="P217" t="n">
        <v>0</v>
      </c>
      <c r="Q217" t="n">
        <v>0</v>
      </c>
      <c r="R217" s="2" t="inlineStr"/>
    </row>
    <row r="218" ht="15" customHeight="1">
      <c r="A218" t="inlineStr">
        <is>
          <t>A 52882-2023</t>
        </is>
      </c>
      <c r="B218" s="1" t="n">
        <v>45222</v>
      </c>
      <c r="C218" s="1" t="n">
        <v>46003</v>
      </c>
      <c r="D218" t="inlineStr">
        <is>
          <t>NORRBOTTENS LÄN</t>
        </is>
      </c>
      <c r="E218" t="inlineStr">
        <is>
          <t>JOKKMOKK</t>
        </is>
      </c>
      <c r="G218" t="n">
        <v>56.1</v>
      </c>
      <c r="H218" t="n">
        <v>0</v>
      </c>
      <c r="I218" t="n">
        <v>0</v>
      </c>
      <c r="J218" t="n">
        <v>0</v>
      </c>
      <c r="K218" t="n">
        <v>0</v>
      </c>
      <c r="L218" t="n">
        <v>0</v>
      </c>
      <c r="M218" t="n">
        <v>0</v>
      </c>
      <c r="N218" t="n">
        <v>0</v>
      </c>
      <c r="O218" t="n">
        <v>0</v>
      </c>
      <c r="P218" t="n">
        <v>0</v>
      </c>
      <c r="Q218" t="n">
        <v>0</v>
      </c>
      <c r="R218" s="2" t="inlineStr"/>
    </row>
    <row r="219" ht="15" customHeight="1">
      <c r="A219" t="inlineStr">
        <is>
          <t>A 51261-2024</t>
        </is>
      </c>
      <c r="B219" s="1" t="n">
        <v>45603.69465277778</v>
      </c>
      <c r="C219" s="1" t="n">
        <v>46003</v>
      </c>
      <c r="D219" t="inlineStr">
        <is>
          <t>NORRBOTTENS LÄN</t>
        </is>
      </c>
      <c r="E219" t="inlineStr">
        <is>
          <t>JOKKMOKK</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50258-2023</t>
        </is>
      </c>
      <c r="B220" s="1" t="n">
        <v>45216</v>
      </c>
      <c r="C220" s="1" t="n">
        <v>46003</v>
      </c>
      <c r="D220" t="inlineStr">
        <is>
          <t>NORRBOTTENS LÄN</t>
        </is>
      </c>
      <c r="E220" t="inlineStr">
        <is>
          <t>JOKKMOKK</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14869-2025</t>
        </is>
      </c>
      <c r="B221" s="1" t="n">
        <v>45743.44828703703</v>
      </c>
      <c r="C221" s="1" t="n">
        <v>46003</v>
      </c>
      <c r="D221" t="inlineStr">
        <is>
          <t>NORRBOTTENS LÄN</t>
        </is>
      </c>
      <c r="E221" t="inlineStr">
        <is>
          <t>JOKKMOKK</t>
        </is>
      </c>
      <c r="G221" t="n">
        <v>4.9</v>
      </c>
      <c r="H221" t="n">
        <v>0</v>
      </c>
      <c r="I221" t="n">
        <v>0</v>
      </c>
      <c r="J221" t="n">
        <v>0</v>
      </c>
      <c r="K221" t="n">
        <v>0</v>
      </c>
      <c r="L221" t="n">
        <v>0</v>
      </c>
      <c r="M221" t="n">
        <v>0</v>
      </c>
      <c r="N221" t="n">
        <v>0</v>
      </c>
      <c r="O221" t="n">
        <v>0</v>
      </c>
      <c r="P221" t="n">
        <v>0</v>
      </c>
      <c r="Q221" t="n">
        <v>0</v>
      </c>
      <c r="R221" s="2" t="inlineStr"/>
    </row>
    <row r="222" ht="15" customHeight="1">
      <c r="A222" t="inlineStr">
        <is>
          <t>A 13863-2025</t>
        </is>
      </c>
      <c r="B222" s="1" t="n">
        <v>45737.57435185185</v>
      </c>
      <c r="C222" s="1" t="n">
        <v>46003</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26962-2023</t>
        </is>
      </c>
      <c r="B223" s="1" t="n">
        <v>45093</v>
      </c>
      <c r="C223" s="1" t="n">
        <v>46003</v>
      </c>
      <c r="D223" t="inlineStr">
        <is>
          <t>NORRBOTTENS LÄN</t>
        </is>
      </c>
      <c r="E223" t="inlineStr">
        <is>
          <t>JOKKMOKK</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13864-2025</t>
        </is>
      </c>
      <c r="B224" s="1" t="n">
        <v>45737.57438657407</v>
      </c>
      <c r="C224" s="1" t="n">
        <v>46003</v>
      </c>
      <c r="D224" t="inlineStr">
        <is>
          <t>NORRBOTTENS LÄN</t>
        </is>
      </c>
      <c r="E224" t="inlineStr">
        <is>
          <t>JOKKMOKK</t>
        </is>
      </c>
      <c r="G224" t="n">
        <v>1.7</v>
      </c>
      <c r="H224" t="n">
        <v>0</v>
      </c>
      <c r="I224" t="n">
        <v>0</v>
      </c>
      <c r="J224" t="n">
        <v>0</v>
      </c>
      <c r="K224" t="n">
        <v>0</v>
      </c>
      <c r="L224" t="n">
        <v>0</v>
      </c>
      <c r="M224" t="n">
        <v>0</v>
      </c>
      <c r="N224" t="n">
        <v>0</v>
      </c>
      <c r="O224" t="n">
        <v>0</v>
      </c>
      <c r="P224" t="n">
        <v>0</v>
      </c>
      <c r="Q224" t="n">
        <v>0</v>
      </c>
      <c r="R224" s="2" t="inlineStr"/>
    </row>
    <row r="225" ht="15" customHeight="1">
      <c r="A225" t="inlineStr">
        <is>
          <t>A 61762-2024</t>
        </is>
      </c>
      <c r="B225" s="1" t="n">
        <v>45649</v>
      </c>
      <c r="C225" s="1" t="n">
        <v>46003</v>
      </c>
      <c r="D225" t="inlineStr">
        <is>
          <t>NORRBOTTENS LÄN</t>
        </is>
      </c>
      <c r="E225" t="inlineStr">
        <is>
          <t>JOKKMOKK</t>
        </is>
      </c>
      <c r="F225" t="inlineStr">
        <is>
          <t>Övriga statliga verk och myndigheter</t>
        </is>
      </c>
      <c r="G225" t="n">
        <v>15.4</v>
      </c>
      <c r="H225" t="n">
        <v>0</v>
      </c>
      <c r="I225" t="n">
        <v>0</v>
      </c>
      <c r="J225" t="n">
        <v>0</v>
      </c>
      <c r="K225" t="n">
        <v>0</v>
      </c>
      <c r="L225" t="n">
        <v>0</v>
      </c>
      <c r="M225" t="n">
        <v>0</v>
      </c>
      <c r="N225" t="n">
        <v>0</v>
      </c>
      <c r="O225" t="n">
        <v>0</v>
      </c>
      <c r="P225" t="n">
        <v>0</v>
      </c>
      <c r="Q225" t="n">
        <v>0</v>
      </c>
      <c r="R225" s="2" t="inlineStr"/>
    </row>
    <row r="226" ht="15" customHeight="1">
      <c r="A226" t="inlineStr">
        <is>
          <t>A 30305-2024</t>
        </is>
      </c>
      <c r="B226" s="1" t="n">
        <v>45490</v>
      </c>
      <c r="C226" s="1" t="n">
        <v>46003</v>
      </c>
      <c r="D226" t="inlineStr">
        <is>
          <t>NORRBOTTENS LÄN</t>
        </is>
      </c>
      <c r="E226" t="inlineStr">
        <is>
          <t>JOKKMOKK</t>
        </is>
      </c>
      <c r="G226" t="n">
        <v>1.5</v>
      </c>
      <c r="H226" t="n">
        <v>0</v>
      </c>
      <c r="I226" t="n">
        <v>0</v>
      </c>
      <c r="J226" t="n">
        <v>0</v>
      </c>
      <c r="K226" t="n">
        <v>0</v>
      </c>
      <c r="L226" t="n">
        <v>0</v>
      </c>
      <c r="M226" t="n">
        <v>0</v>
      </c>
      <c r="N226" t="n">
        <v>0</v>
      </c>
      <c r="O226" t="n">
        <v>0</v>
      </c>
      <c r="P226" t="n">
        <v>0</v>
      </c>
      <c r="Q226" t="n">
        <v>0</v>
      </c>
      <c r="R226" s="2" t="inlineStr"/>
    </row>
    <row r="227" ht="15" customHeight="1">
      <c r="A227" t="inlineStr">
        <is>
          <t>A 30308-2024</t>
        </is>
      </c>
      <c r="B227" s="1" t="n">
        <v>45490</v>
      </c>
      <c r="C227" s="1" t="n">
        <v>46003</v>
      </c>
      <c r="D227" t="inlineStr">
        <is>
          <t>NORRBOTTENS LÄN</t>
        </is>
      </c>
      <c r="E227" t="inlineStr">
        <is>
          <t>JOKKMOKK</t>
        </is>
      </c>
      <c r="G227" t="n">
        <v>2.2</v>
      </c>
      <c r="H227" t="n">
        <v>0</v>
      </c>
      <c r="I227" t="n">
        <v>0</v>
      </c>
      <c r="J227" t="n">
        <v>0</v>
      </c>
      <c r="K227" t="n">
        <v>0</v>
      </c>
      <c r="L227" t="n">
        <v>0</v>
      </c>
      <c r="M227" t="n">
        <v>0</v>
      </c>
      <c r="N227" t="n">
        <v>0</v>
      </c>
      <c r="O227" t="n">
        <v>0</v>
      </c>
      <c r="P227" t="n">
        <v>0</v>
      </c>
      <c r="Q227" t="n">
        <v>0</v>
      </c>
      <c r="R227" s="2" t="inlineStr"/>
    </row>
    <row r="228" ht="15" customHeight="1">
      <c r="A228" t="inlineStr">
        <is>
          <t>A 30310-2024</t>
        </is>
      </c>
      <c r="B228" s="1" t="n">
        <v>45490</v>
      </c>
      <c r="C228" s="1" t="n">
        <v>46003</v>
      </c>
      <c r="D228" t="inlineStr">
        <is>
          <t>NORRBOTTENS LÄN</t>
        </is>
      </c>
      <c r="E228" t="inlineStr">
        <is>
          <t>JOKKMOKK</t>
        </is>
      </c>
      <c r="G228" t="n">
        <v>2.3</v>
      </c>
      <c r="H228" t="n">
        <v>0</v>
      </c>
      <c r="I228" t="n">
        <v>0</v>
      </c>
      <c r="J228" t="n">
        <v>0</v>
      </c>
      <c r="K228" t="n">
        <v>0</v>
      </c>
      <c r="L228" t="n">
        <v>0</v>
      </c>
      <c r="M228" t="n">
        <v>0</v>
      </c>
      <c r="N228" t="n">
        <v>0</v>
      </c>
      <c r="O228" t="n">
        <v>0</v>
      </c>
      <c r="P228" t="n">
        <v>0</v>
      </c>
      <c r="Q228" t="n">
        <v>0</v>
      </c>
      <c r="R228" s="2" t="inlineStr"/>
    </row>
    <row r="229" ht="15" customHeight="1">
      <c r="A229" t="inlineStr">
        <is>
          <t>A 30312-2024</t>
        </is>
      </c>
      <c r="B229" s="1" t="n">
        <v>45490</v>
      </c>
      <c r="C229" s="1" t="n">
        <v>46003</v>
      </c>
      <c r="D229" t="inlineStr">
        <is>
          <t>NORRBOTTENS LÄN</t>
        </is>
      </c>
      <c r="E229" t="inlineStr">
        <is>
          <t>JOKKMOKK</t>
        </is>
      </c>
      <c r="G229" t="n">
        <v>1.6</v>
      </c>
      <c r="H229" t="n">
        <v>0</v>
      </c>
      <c r="I229" t="n">
        <v>0</v>
      </c>
      <c r="J229" t="n">
        <v>0</v>
      </c>
      <c r="K229" t="n">
        <v>0</v>
      </c>
      <c r="L229" t="n">
        <v>0</v>
      </c>
      <c r="M229" t="n">
        <v>0</v>
      </c>
      <c r="N229" t="n">
        <v>0</v>
      </c>
      <c r="O229" t="n">
        <v>0</v>
      </c>
      <c r="P229" t="n">
        <v>0</v>
      </c>
      <c r="Q229" t="n">
        <v>0</v>
      </c>
      <c r="R229" s="2" t="inlineStr"/>
    </row>
    <row r="230" ht="15" customHeight="1">
      <c r="A230" t="inlineStr">
        <is>
          <t>A 53172-2024</t>
        </is>
      </c>
      <c r="B230" s="1" t="n">
        <v>45611.65689814815</v>
      </c>
      <c r="C230" s="1" t="n">
        <v>46003</v>
      </c>
      <c r="D230" t="inlineStr">
        <is>
          <t>NORRBOTTENS LÄN</t>
        </is>
      </c>
      <c r="E230" t="inlineStr">
        <is>
          <t>JOKKMOKK</t>
        </is>
      </c>
      <c r="F230" t="inlineStr">
        <is>
          <t>Allmännings- och besparingsskogar</t>
        </is>
      </c>
      <c r="G230" t="n">
        <v>6.5</v>
      </c>
      <c r="H230" t="n">
        <v>0</v>
      </c>
      <c r="I230" t="n">
        <v>0</v>
      </c>
      <c r="J230" t="n">
        <v>0</v>
      </c>
      <c r="K230" t="n">
        <v>0</v>
      </c>
      <c r="L230" t="n">
        <v>0</v>
      </c>
      <c r="M230" t="n">
        <v>0</v>
      </c>
      <c r="N230" t="n">
        <v>0</v>
      </c>
      <c r="O230" t="n">
        <v>0</v>
      </c>
      <c r="P230" t="n">
        <v>0</v>
      </c>
      <c r="Q230" t="n">
        <v>0</v>
      </c>
      <c r="R230" s="2" t="inlineStr"/>
    </row>
    <row r="231" ht="15" customHeight="1">
      <c r="A231" t="inlineStr">
        <is>
          <t>A 2037-2025</t>
        </is>
      </c>
      <c r="B231" s="1" t="n">
        <v>45671</v>
      </c>
      <c r="C231" s="1" t="n">
        <v>46003</v>
      </c>
      <c r="D231" t="inlineStr">
        <is>
          <t>NORRBOTTENS LÄN</t>
        </is>
      </c>
      <c r="E231" t="inlineStr">
        <is>
          <t>JOKKMOKK</t>
        </is>
      </c>
      <c r="G231" t="n">
        <v>5.4</v>
      </c>
      <c r="H231" t="n">
        <v>0</v>
      </c>
      <c r="I231" t="n">
        <v>0</v>
      </c>
      <c r="J231" t="n">
        <v>0</v>
      </c>
      <c r="K231" t="n">
        <v>0</v>
      </c>
      <c r="L231" t="n">
        <v>0</v>
      </c>
      <c r="M231" t="n">
        <v>0</v>
      </c>
      <c r="N231" t="n">
        <v>0</v>
      </c>
      <c r="O231" t="n">
        <v>0</v>
      </c>
      <c r="P231" t="n">
        <v>0</v>
      </c>
      <c r="Q231" t="n">
        <v>0</v>
      </c>
      <c r="R231" s="2" t="inlineStr"/>
    </row>
    <row r="232" ht="15" customHeight="1">
      <c r="A232" t="inlineStr">
        <is>
          <t>A 425-2025</t>
        </is>
      </c>
      <c r="B232" s="1" t="n">
        <v>45664.34549768519</v>
      </c>
      <c r="C232" s="1" t="n">
        <v>46003</v>
      </c>
      <c r="D232" t="inlineStr">
        <is>
          <t>NORRBOTTENS LÄN</t>
        </is>
      </c>
      <c r="E232" t="inlineStr">
        <is>
          <t>JOKKMOKK</t>
        </is>
      </c>
      <c r="F232" t="inlineStr">
        <is>
          <t>Övriga statliga verk och myndigheter</t>
        </is>
      </c>
      <c r="G232" t="n">
        <v>36.5</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46003</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46003</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36607-2021</t>
        </is>
      </c>
      <c r="B235" s="1" t="n">
        <v>44391</v>
      </c>
      <c r="C235" s="1" t="n">
        <v>46003</v>
      </c>
      <c r="D235" t="inlineStr">
        <is>
          <t>NORRBOTTENS LÄN</t>
        </is>
      </c>
      <c r="E235" t="inlineStr">
        <is>
          <t>JOKKMOKK</t>
        </is>
      </c>
      <c r="F235" t="inlineStr">
        <is>
          <t>Allmännings- och besparingsskogar</t>
        </is>
      </c>
      <c r="G235" t="n">
        <v>9.5</v>
      </c>
      <c r="H235" t="n">
        <v>0</v>
      </c>
      <c r="I235" t="n">
        <v>0</v>
      </c>
      <c r="J235" t="n">
        <v>0</v>
      </c>
      <c r="K235" t="n">
        <v>0</v>
      </c>
      <c r="L235" t="n">
        <v>0</v>
      </c>
      <c r="M235" t="n">
        <v>0</v>
      </c>
      <c r="N235" t="n">
        <v>0</v>
      </c>
      <c r="O235" t="n">
        <v>0</v>
      </c>
      <c r="P235" t="n">
        <v>0</v>
      </c>
      <c r="Q235" t="n">
        <v>0</v>
      </c>
      <c r="R235" s="2" t="inlineStr"/>
    </row>
    <row r="236" ht="15" customHeight="1">
      <c r="A236" t="inlineStr">
        <is>
          <t>A 30401-2024</t>
        </is>
      </c>
      <c r="B236" s="1" t="n">
        <v>45491</v>
      </c>
      <c r="C236" s="1" t="n">
        <v>46003</v>
      </c>
      <c r="D236" t="inlineStr">
        <is>
          <t>NORRBOTTENS LÄN</t>
        </is>
      </c>
      <c r="E236" t="inlineStr">
        <is>
          <t>JOKKMOKK</t>
        </is>
      </c>
      <c r="G236" t="n">
        <v>1</v>
      </c>
      <c r="H236" t="n">
        <v>0</v>
      </c>
      <c r="I236" t="n">
        <v>0</v>
      </c>
      <c r="J236" t="n">
        <v>0</v>
      </c>
      <c r="K236" t="n">
        <v>0</v>
      </c>
      <c r="L236" t="n">
        <v>0</v>
      </c>
      <c r="M236" t="n">
        <v>0</v>
      </c>
      <c r="N236" t="n">
        <v>0</v>
      </c>
      <c r="O236" t="n">
        <v>0</v>
      </c>
      <c r="P236" t="n">
        <v>0</v>
      </c>
      <c r="Q236" t="n">
        <v>0</v>
      </c>
      <c r="R236" s="2" t="inlineStr"/>
    </row>
    <row r="237" ht="15" customHeight="1">
      <c r="A237" t="inlineStr">
        <is>
          <t>A 30291-2023</t>
        </is>
      </c>
      <c r="B237" s="1" t="n">
        <v>45110.92523148148</v>
      </c>
      <c r="C237" s="1" t="n">
        <v>46003</v>
      </c>
      <c r="D237" t="inlineStr">
        <is>
          <t>NORRBOTTENS LÄN</t>
        </is>
      </c>
      <c r="E237" t="inlineStr">
        <is>
          <t>JOKKMOKK</t>
        </is>
      </c>
      <c r="G237" t="n">
        <v>1.6</v>
      </c>
      <c r="H237" t="n">
        <v>0</v>
      </c>
      <c r="I237" t="n">
        <v>0</v>
      </c>
      <c r="J237" t="n">
        <v>0</v>
      </c>
      <c r="K237" t="n">
        <v>0</v>
      </c>
      <c r="L237" t="n">
        <v>0</v>
      </c>
      <c r="M237" t="n">
        <v>0</v>
      </c>
      <c r="N237" t="n">
        <v>0</v>
      </c>
      <c r="O237" t="n">
        <v>0</v>
      </c>
      <c r="P237" t="n">
        <v>0</v>
      </c>
      <c r="Q237" t="n">
        <v>0</v>
      </c>
      <c r="R237" s="2" t="inlineStr"/>
    </row>
    <row r="238" ht="15" customHeight="1">
      <c r="A238" t="inlineStr">
        <is>
          <t>A 44145-2024</t>
        </is>
      </c>
      <c r="B238" s="1" t="n">
        <v>45572.66908564815</v>
      </c>
      <c r="C238" s="1" t="n">
        <v>46003</v>
      </c>
      <c r="D238" t="inlineStr">
        <is>
          <t>NORRBOTTENS LÄN</t>
        </is>
      </c>
      <c r="E238" t="inlineStr">
        <is>
          <t>JOKKMOKK</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27652-2024</t>
        </is>
      </c>
      <c r="B239" s="1" t="n">
        <v>45474.94982638889</v>
      </c>
      <c r="C239" s="1" t="n">
        <v>46003</v>
      </c>
      <c r="D239" t="inlineStr">
        <is>
          <t>NORRBOTTENS LÄN</t>
        </is>
      </c>
      <c r="E239" t="inlineStr">
        <is>
          <t>JOKKMOKK</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16847-2023</t>
        </is>
      </c>
      <c r="B240" s="1" t="n">
        <v>45028</v>
      </c>
      <c r="C240" s="1" t="n">
        <v>46003</v>
      </c>
      <c r="D240" t="inlineStr">
        <is>
          <t>NORRBOTTENS LÄN</t>
        </is>
      </c>
      <c r="E240" t="inlineStr">
        <is>
          <t>JOKKMOKK</t>
        </is>
      </c>
      <c r="G240" t="n">
        <v>7.3</v>
      </c>
      <c r="H240" t="n">
        <v>0</v>
      </c>
      <c r="I240" t="n">
        <v>0</v>
      </c>
      <c r="J240" t="n">
        <v>0</v>
      </c>
      <c r="K240" t="n">
        <v>0</v>
      </c>
      <c r="L240" t="n">
        <v>0</v>
      </c>
      <c r="M240" t="n">
        <v>0</v>
      </c>
      <c r="N240" t="n">
        <v>0</v>
      </c>
      <c r="O240" t="n">
        <v>0</v>
      </c>
      <c r="P240" t="n">
        <v>0</v>
      </c>
      <c r="Q240" t="n">
        <v>0</v>
      </c>
      <c r="R240" s="2" t="inlineStr"/>
    </row>
    <row r="241" ht="15" customHeight="1">
      <c r="A241" t="inlineStr">
        <is>
          <t>A 18493-2025</t>
        </is>
      </c>
      <c r="B241" s="1" t="n">
        <v>45763.34474537037</v>
      </c>
      <c r="C241" s="1" t="n">
        <v>46003</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46003</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27651-2024</t>
        </is>
      </c>
      <c r="B243" s="1" t="n">
        <v>45474</v>
      </c>
      <c r="C243" s="1" t="n">
        <v>46003</v>
      </c>
      <c r="D243" t="inlineStr">
        <is>
          <t>NORRBOTTENS LÄN</t>
        </is>
      </c>
      <c r="E243" t="inlineStr">
        <is>
          <t>JOKKMOKK</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9864-2023</t>
        </is>
      </c>
      <c r="B244" s="1" t="n">
        <v>44984</v>
      </c>
      <c r="C244" s="1" t="n">
        <v>46003</v>
      </c>
      <c r="D244" t="inlineStr">
        <is>
          <t>NORRBOTTENS LÄN</t>
        </is>
      </c>
      <c r="E244" t="inlineStr">
        <is>
          <t>JOKKMOKK</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10630-2025</t>
        </is>
      </c>
      <c r="B245" s="1" t="n">
        <v>45721.63606481482</v>
      </c>
      <c r="C245" s="1" t="n">
        <v>46003</v>
      </c>
      <c r="D245" t="inlineStr">
        <is>
          <t>NORRBOTTENS LÄN</t>
        </is>
      </c>
      <c r="E245" t="inlineStr">
        <is>
          <t>JOKKMOKK</t>
        </is>
      </c>
      <c r="G245" t="n">
        <v>1.7</v>
      </c>
      <c r="H245" t="n">
        <v>0</v>
      </c>
      <c r="I245" t="n">
        <v>0</v>
      </c>
      <c r="J245" t="n">
        <v>0</v>
      </c>
      <c r="K245" t="n">
        <v>0</v>
      </c>
      <c r="L245" t="n">
        <v>0</v>
      </c>
      <c r="M245" t="n">
        <v>0</v>
      </c>
      <c r="N245" t="n">
        <v>0</v>
      </c>
      <c r="O245" t="n">
        <v>0</v>
      </c>
      <c r="P245" t="n">
        <v>0</v>
      </c>
      <c r="Q245" t="n">
        <v>0</v>
      </c>
      <c r="R245" s="2" t="inlineStr"/>
    </row>
    <row r="246" ht="15" customHeight="1">
      <c r="A246" t="inlineStr">
        <is>
          <t>A 32915-2024</t>
        </is>
      </c>
      <c r="B246" s="1" t="n">
        <v>45516</v>
      </c>
      <c r="C246" s="1" t="n">
        <v>46003</v>
      </c>
      <c r="D246" t="inlineStr">
        <is>
          <t>NORRBOTTENS LÄN</t>
        </is>
      </c>
      <c r="E246" t="inlineStr">
        <is>
          <t>JOKKMOKK</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38595-2025</t>
        </is>
      </c>
      <c r="B247" s="1" t="n">
        <v>45884.49027777778</v>
      </c>
      <c r="C247" s="1" t="n">
        <v>46003</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2040-2025</t>
        </is>
      </c>
      <c r="B248" s="1" t="n">
        <v>45671</v>
      </c>
      <c r="C248" s="1" t="n">
        <v>46003</v>
      </c>
      <c r="D248" t="inlineStr">
        <is>
          <t>NORRBOTTENS LÄN</t>
        </is>
      </c>
      <c r="E248" t="inlineStr">
        <is>
          <t>JOKKMOKK</t>
        </is>
      </c>
      <c r="G248" t="n">
        <v>5.1</v>
      </c>
      <c r="H248" t="n">
        <v>0</v>
      </c>
      <c r="I248" t="n">
        <v>0</v>
      </c>
      <c r="J248" t="n">
        <v>0</v>
      </c>
      <c r="K248" t="n">
        <v>0</v>
      </c>
      <c r="L248" t="n">
        <v>0</v>
      </c>
      <c r="M248" t="n">
        <v>0</v>
      </c>
      <c r="N248" t="n">
        <v>0</v>
      </c>
      <c r="O248" t="n">
        <v>0</v>
      </c>
      <c r="P248" t="n">
        <v>0</v>
      </c>
      <c r="Q248" t="n">
        <v>0</v>
      </c>
      <c r="R248" s="2" t="inlineStr"/>
    </row>
    <row r="249" ht="15" customHeight="1">
      <c r="A249" t="inlineStr">
        <is>
          <t>A 38226-2025</t>
        </is>
      </c>
      <c r="B249" s="1" t="n">
        <v>45883.34521990741</v>
      </c>
      <c r="C249" s="1" t="n">
        <v>46003</v>
      </c>
      <c r="D249" t="inlineStr">
        <is>
          <t>NORRBOTTENS LÄN</t>
        </is>
      </c>
      <c r="E249" t="inlineStr">
        <is>
          <t>JOKKMOKK</t>
        </is>
      </c>
      <c r="F249" t="inlineStr">
        <is>
          <t>SCA</t>
        </is>
      </c>
      <c r="G249" t="n">
        <v>14.5</v>
      </c>
      <c r="H249" t="n">
        <v>0</v>
      </c>
      <c r="I249" t="n">
        <v>0</v>
      </c>
      <c r="J249" t="n">
        <v>0</v>
      </c>
      <c r="K249" t="n">
        <v>0</v>
      </c>
      <c r="L249" t="n">
        <v>0</v>
      </c>
      <c r="M249" t="n">
        <v>0</v>
      </c>
      <c r="N249" t="n">
        <v>0</v>
      </c>
      <c r="O249" t="n">
        <v>0</v>
      </c>
      <c r="P249" t="n">
        <v>0</v>
      </c>
      <c r="Q249" t="n">
        <v>0</v>
      </c>
      <c r="R249" s="2" t="inlineStr"/>
    </row>
    <row r="250" ht="15" customHeight="1">
      <c r="A250" t="inlineStr">
        <is>
          <t>A 18772-2023</t>
        </is>
      </c>
      <c r="B250" s="1" t="n">
        <v>45043</v>
      </c>
      <c r="C250" s="1" t="n">
        <v>46003</v>
      </c>
      <c r="D250" t="inlineStr">
        <is>
          <t>NORRBOTTENS LÄN</t>
        </is>
      </c>
      <c r="E250" t="inlineStr">
        <is>
          <t>JOKKMOKK</t>
        </is>
      </c>
      <c r="F250" t="inlineStr">
        <is>
          <t>SCA</t>
        </is>
      </c>
      <c r="G250" t="n">
        <v>11.9</v>
      </c>
      <c r="H250" t="n">
        <v>0</v>
      </c>
      <c r="I250" t="n">
        <v>0</v>
      </c>
      <c r="J250" t="n">
        <v>0</v>
      </c>
      <c r="K250" t="n">
        <v>0</v>
      </c>
      <c r="L250" t="n">
        <v>0</v>
      </c>
      <c r="M250" t="n">
        <v>0</v>
      </c>
      <c r="N250" t="n">
        <v>0</v>
      </c>
      <c r="O250" t="n">
        <v>0</v>
      </c>
      <c r="P250" t="n">
        <v>0</v>
      </c>
      <c r="Q250" t="n">
        <v>0</v>
      </c>
      <c r="R250" s="2" t="inlineStr"/>
    </row>
    <row r="251" ht="15" customHeight="1">
      <c r="A251" t="inlineStr">
        <is>
          <t>A 9854-2023</t>
        </is>
      </c>
      <c r="B251" s="1" t="n">
        <v>44984</v>
      </c>
      <c r="C251" s="1" t="n">
        <v>46003</v>
      </c>
      <c r="D251" t="inlineStr">
        <is>
          <t>NORRBOTTENS LÄN</t>
        </is>
      </c>
      <c r="E251" t="inlineStr">
        <is>
          <t>JOKKMOKK</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16336-2023</t>
        </is>
      </c>
      <c r="B252" s="1" t="n">
        <v>45022</v>
      </c>
      <c r="C252" s="1" t="n">
        <v>46003</v>
      </c>
      <c r="D252" t="inlineStr">
        <is>
          <t>NORRBOTTENS LÄN</t>
        </is>
      </c>
      <c r="E252" t="inlineStr">
        <is>
          <t>JOKKMOKK</t>
        </is>
      </c>
      <c r="F252" t="inlineStr">
        <is>
          <t>Övriga statliga verk och myndigheter</t>
        </is>
      </c>
      <c r="G252" t="n">
        <v>130.2</v>
      </c>
      <c r="H252" t="n">
        <v>0</v>
      </c>
      <c r="I252" t="n">
        <v>0</v>
      </c>
      <c r="J252" t="n">
        <v>0</v>
      </c>
      <c r="K252" t="n">
        <v>0</v>
      </c>
      <c r="L252" t="n">
        <v>0</v>
      </c>
      <c r="M252" t="n">
        <v>0</v>
      </c>
      <c r="N252" t="n">
        <v>0</v>
      </c>
      <c r="O252" t="n">
        <v>0</v>
      </c>
      <c r="P252" t="n">
        <v>0</v>
      </c>
      <c r="Q252" t="n">
        <v>0</v>
      </c>
      <c r="R252" s="2" t="inlineStr"/>
    </row>
    <row r="253" ht="15" customHeight="1">
      <c r="A253" t="inlineStr">
        <is>
          <t>A 21829-2025</t>
        </is>
      </c>
      <c r="B253" s="1" t="n">
        <v>45783.96920138889</v>
      </c>
      <c r="C253" s="1" t="n">
        <v>46003</v>
      </c>
      <c r="D253" t="inlineStr">
        <is>
          <t>NORRBOTTENS LÄN</t>
        </is>
      </c>
      <c r="E253" t="inlineStr">
        <is>
          <t>JOKKMOKK</t>
        </is>
      </c>
      <c r="G253" t="n">
        <v>7.1</v>
      </c>
      <c r="H253" t="n">
        <v>0</v>
      </c>
      <c r="I253" t="n">
        <v>0</v>
      </c>
      <c r="J253" t="n">
        <v>0</v>
      </c>
      <c r="K253" t="n">
        <v>0</v>
      </c>
      <c r="L253" t="n">
        <v>0</v>
      </c>
      <c r="M253" t="n">
        <v>0</v>
      </c>
      <c r="N253" t="n">
        <v>0</v>
      </c>
      <c r="O253" t="n">
        <v>0</v>
      </c>
      <c r="P253" t="n">
        <v>0</v>
      </c>
      <c r="Q253" t="n">
        <v>0</v>
      </c>
      <c r="R253" s="2" t="inlineStr"/>
    </row>
    <row r="254" ht="15" customHeight="1">
      <c r="A254" t="inlineStr">
        <is>
          <t>A 56168-2022</t>
        </is>
      </c>
      <c r="B254" s="1" t="n">
        <v>44889</v>
      </c>
      <c r="C254" s="1" t="n">
        <v>46003</v>
      </c>
      <c r="D254" t="inlineStr">
        <is>
          <t>NORRBOTTENS LÄN</t>
        </is>
      </c>
      <c r="E254" t="inlineStr">
        <is>
          <t>JOKKMOKK</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9865-2023</t>
        </is>
      </c>
      <c r="B255" s="1" t="n">
        <v>44984</v>
      </c>
      <c r="C255" s="1" t="n">
        <v>46003</v>
      </c>
      <c r="D255" t="inlineStr">
        <is>
          <t>NORRBOTTENS LÄN</t>
        </is>
      </c>
      <c r="E255" t="inlineStr">
        <is>
          <t>JOKKMOKK</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36361-2024</t>
        </is>
      </c>
      <c r="B256" s="1" t="n">
        <v>45534.64626157407</v>
      </c>
      <c r="C256" s="1" t="n">
        <v>46003</v>
      </c>
      <c r="D256" t="inlineStr">
        <is>
          <t>NORRBOTTENS LÄN</t>
        </is>
      </c>
      <c r="E256" t="inlineStr">
        <is>
          <t>JOKKMOKK</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45469-2022</t>
        </is>
      </c>
      <c r="B257" s="1" t="n">
        <v>44841</v>
      </c>
      <c r="C257" s="1" t="n">
        <v>46003</v>
      </c>
      <c r="D257" t="inlineStr">
        <is>
          <t>NORRBOTTENS LÄN</t>
        </is>
      </c>
      <c r="E257" t="inlineStr">
        <is>
          <t>JOKKMOKK</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61761-2024</t>
        </is>
      </c>
      <c r="B258" s="1" t="n">
        <v>45649</v>
      </c>
      <c r="C258" s="1" t="n">
        <v>46003</v>
      </c>
      <c r="D258" t="inlineStr">
        <is>
          <t>NORRBOTTENS LÄN</t>
        </is>
      </c>
      <c r="E258" t="inlineStr">
        <is>
          <t>JOKKMOKK</t>
        </is>
      </c>
      <c r="F258" t="inlineStr">
        <is>
          <t>Övriga statliga verk och myndigheter</t>
        </is>
      </c>
      <c r="G258" t="n">
        <v>3.7</v>
      </c>
      <c r="H258" t="n">
        <v>0</v>
      </c>
      <c r="I258" t="n">
        <v>0</v>
      </c>
      <c r="J258" t="n">
        <v>0</v>
      </c>
      <c r="K258" t="n">
        <v>0</v>
      </c>
      <c r="L258" t="n">
        <v>0</v>
      </c>
      <c r="M258" t="n">
        <v>0</v>
      </c>
      <c r="N258" t="n">
        <v>0</v>
      </c>
      <c r="O258" t="n">
        <v>0</v>
      </c>
      <c r="P258" t="n">
        <v>0</v>
      </c>
      <c r="Q258" t="n">
        <v>0</v>
      </c>
      <c r="R258" s="2" t="inlineStr"/>
    </row>
    <row r="259" ht="15" customHeight="1">
      <c r="A259" t="inlineStr">
        <is>
          <t>A 38579-2025</t>
        </is>
      </c>
      <c r="B259" s="1" t="n">
        <v>45884.46925925926</v>
      </c>
      <c r="C259" s="1" t="n">
        <v>46003</v>
      </c>
      <c r="D259" t="inlineStr">
        <is>
          <t>NORRBOTTENS LÄN</t>
        </is>
      </c>
      <c r="E259" t="inlineStr">
        <is>
          <t>JOKKMOKK</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32957-2024</t>
        </is>
      </c>
      <c r="B260" s="1" t="n">
        <v>45517.3762037037</v>
      </c>
      <c r="C260" s="1" t="n">
        <v>46003</v>
      </c>
      <c r="D260" t="inlineStr">
        <is>
          <t>NORRBOTTENS LÄN</t>
        </is>
      </c>
      <c r="E260" t="inlineStr">
        <is>
          <t>JOKKMOKK</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38223-2025</t>
        </is>
      </c>
      <c r="B261" s="1" t="n">
        <v>45883</v>
      </c>
      <c r="C261" s="1" t="n">
        <v>46003</v>
      </c>
      <c r="D261" t="inlineStr">
        <is>
          <t>NORRBOTTENS LÄN</t>
        </is>
      </c>
      <c r="E261" t="inlineStr">
        <is>
          <t>JOKKMOKK</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31902-2021</t>
        </is>
      </c>
      <c r="B262" s="1" t="n">
        <v>44370</v>
      </c>
      <c r="C262" s="1" t="n">
        <v>46003</v>
      </c>
      <c r="D262" t="inlineStr">
        <is>
          <t>NORRBOTTENS LÄN</t>
        </is>
      </c>
      <c r="E262" t="inlineStr">
        <is>
          <t>JOKKMOKK</t>
        </is>
      </c>
      <c r="G262" t="n">
        <v>20</v>
      </c>
      <c r="H262" t="n">
        <v>0</v>
      </c>
      <c r="I262" t="n">
        <v>0</v>
      </c>
      <c r="J262" t="n">
        <v>0</v>
      </c>
      <c r="K262" t="n">
        <v>0</v>
      </c>
      <c r="L262" t="n">
        <v>0</v>
      </c>
      <c r="M262" t="n">
        <v>0</v>
      </c>
      <c r="N262" t="n">
        <v>0</v>
      </c>
      <c r="O262" t="n">
        <v>0</v>
      </c>
      <c r="P262" t="n">
        <v>0</v>
      </c>
      <c r="Q262" t="n">
        <v>0</v>
      </c>
      <c r="R262" s="2" t="inlineStr"/>
    </row>
    <row r="263" ht="15" customHeight="1">
      <c r="A263" t="inlineStr">
        <is>
          <t>A 38228-2025</t>
        </is>
      </c>
      <c r="B263" s="1" t="n">
        <v>45883.34554398148</v>
      </c>
      <c r="C263" s="1" t="n">
        <v>46003</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45333-2024</t>
        </is>
      </c>
      <c r="B264" s="1" t="n">
        <v>45576</v>
      </c>
      <c r="C264" s="1" t="n">
        <v>46003</v>
      </c>
      <c r="D264" t="inlineStr">
        <is>
          <t>NORRBOTTENS LÄN</t>
        </is>
      </c>
      <c r="E264" t="inlineStr">
        <is>
          <t>JOKKMOKK</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6778-2023</t>
        </is>
      </c>
      <c r="B265" s="1" t="n">
        <v>44966</v>
      </c>
      <c r="C265" s="1" t="n">
        <v>46003</v>
      </c>
      <c r="D265" t="inlineStr">
        <is>
          <t>NORRBOTTENS LÄN</t>
        </is>
      </c>
      <c r="E265" t="inlineStr">
        <is>
          <t>JOKKMOKK</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31209-2023</t>
        </is>
      </c>
      <c r="B266" s="1" t="n">
        <v>45113.95096064815</v>
      </c>
      <c r="C266" s="1" t="n">
        <v>46003</v>
      </c>
      <c r="D266" t="inlineStr">
        <is>
          <t>NORRBOTTENS LÄN</t>
        </is>
      </c>
      <c r="E266" t="inlineStr">
        <is>
          <t>JOKKMOKK</t>
        </is>
      </c>
      <c r="F266" t="inlineStr">
        <is>
          <t>SCA</t>
        </is>
      </c>
      <c r="G266" t="n">
        <v>5.7</v>
      </c>
      <c r="H266" t="n">
        <v>0</v>
      </c>
      <c r="I266" t="n">
        <v>0</v>
      </c>
      <c r="J266" t="n">
        <v>0</v>
      </c>
      <c r="K266" t="n">
        <v>0</v>
      </c>
      <c r="L266" t="n">
        <v>0</v>
      </c>
      <c r="M266" t="n">
        <v>0</v>
      </c>
      <c r="N266" t="n">
        <v>0</v>
      </c>
      <c r="O266" t="n">
        <v>0</v>
      </c>
      <c r="P266" t="n">
        <v>0</v>
      </c>
      <c r="Q266" t="n">
        <v>0</v>
      </c>
      <c r="R266" s="2" t="inlineStr"/>
    </row>
    <row r="267" ht="15" customHeight="1">
      <c r="A267" t="inlineStr">
        <is>
          <t>A 27650-2024</t>
        </is>
      </c>
      <c r="B267" s="1" t="n">
        <v>45474.94802083333</v>
      </c>
      <c r="C267" s="1" t="n">
        <v>46003</v>
      </c>
      <c r="D267" t="inlineStr">
        <is>
          <t>NORRBOTTENS LÄN</t>
        </is>
      </c>
      <c r="E267" t="inlineStr">
        <is>
          <t>JOKKMOKK</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23019-2023</t>
        </is>
      </c>
      <c r="B268" s="1" t="n">
        <v>45073</v>
      </c>
      <c r="C268" s="1" t="n">
        <v>46003</v>
      </c>
      <c r="D268" t="inlineStr">
        <is>
          <t>NORRBOTTENS LÄN</t>
        </is>
      </c>
      <c r="E268" t="inlineStr">
        <is>
          <t>JOKKMOKK</t>
        </is>
      </c>
      <c r="F268" t="inlineStr">
        <is>
          <t>SCA</t>
        </is>
      </c>
      <c r="G268" t="n">
        <v>6.3</v>
      </c>
      <c r="H268" t="n">
        <v>0</v>
      </c>
      <c r="I268" t="n">
        <v>0</v>
      </c>
      <c r="J268" t="n">
        <v>0</v>
      </c>
      <c r="K268" t="n">
        <v>0</v>
      </c>
      <c r="L268" t="n">
        <v>0</v>
      </c>
      <c r="M268" t="n">
        <v>0</v>
      </c>
      <c r="N268" t="n">
        <v>0</v>
      </c>
      <c r="O268" t="n">
        <v>0</v>
      </c>
      <c r="P268" t="n">
        <v>0</v>
      </c>
      <c r="Q268" t="n">
        <v>0</v>
      </c>
      <c r="R268" s="2" t="inlineStr"/>
    </row>
    <row r="269" ht="15" customHeight="1">
      <c r="A269" t="inlineStr">
        <is>
          <t>A 34062-2021</t>
        </is>
      </c>
      <c r="B269" s="1" t="n">
        <v>44378</v>
      </c>
      <c r="C269" s="1" t="n">
        <v>46003</v>
      </c>
      <c r="D269" t="inlineStr">
        <is>
          <t>NORRBOTTENS LÄN</t>
        </is>
      </c>
      <c r="E269" t="inlineStr">
        <is>
          <t>JOKKMOKK</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4136-2024</t>
        </is>
      </c>
      <c r="B270" s="1" t="n">
        <v>45323</v>
      </c>
      <c r="C270" s="1" t="n">
        <v>46003</v>
      </c>
      <c r="D270" t="inlineStr">
        <is>
          <t>NORRBOTTENS LÄN</t>
        </is>
      </c>
      <c r="E270" t="inlineStr">
        <is>
          <t>JOKKMOKK</t>
        </is>
      </c>
      <c r="G270" t="n">
        <v>27.3</v>
      </c>
      <c r="H270" t="n">
        <v>0</v>
      </c>
      <c r="I270" t="n">
        <v>0</v>
      </c>
      <c r="J270" t="n">
        <v>0</v>
      </c>
      <c r="K270" t="n">
        <v>0</v>
      </c>
      <c r="L270" t="n">
        <v>0</v>
      </c>
      <c r="M270" t="n">
        <v>0</v>
      </c>
      <c r="N270" t="n">
        <v>0</v>
      </c>
      <c r="O270" t="n">
        <v>0</v>
      </c>
      <c r="P270" t="n">
        <v>0</v>
      </c>
      <c r="Q270" t="n">
        <v>0</v>
      </c>
      <c r="R270" s="2" t="inlineStr"/>
    </row>
    <row r="271" ht="15" customHeight="1">
      <c r="A271" t="inlineStr">
        <is>
          <t>A 39846-2025</t>
        </is>
      </c>
      <c r="B271" s="1" t="n">
        <v>45891.58376157407</v>
      </c>
      <c r="C271" s="1" t="n">
        <v>46003</v>
      </c>
      <c r="D271" t="inlineStr">
        <is>
          <t>NORRBOTTENS LÄN</t>
        </is>
      </c>
      <c r="E271" t="inlineStr">
        <is>
          <t>JOKKMOKK</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24052-2023</t>
        </is>
      </c>
      <c r="B272" s="1" t="n">
        <v>45078</v>
      </c>
      <c r="C272" s="1" t="n">
        <v>46003</v>
      </c>
      <c r="D272" t="inlineStr">
        <is>
          <t>NORRBOTTENS LÄN</t>
        </is>
      </c>
      <c r="E272" t="inlineStr">
        <is>
          <t>JOKKMOKK</t>
        </is>
      </c>
      <c r="F272" t="inlineStr">
        <is>
          <t>Naturvårdsverket</t>
        </is>
      </c>
      <c r="G272" t="n">
        <v>58.1</v>
      </c>
      <c r="H272" t="n">
        <v>0</v>
      </c>
      <c r="I272" t="n">
        <v>0</v>
      </c>
      <c r="J272" t="n">
        <v>0</v>
      </c>
      <c r="K272" t="n">
        <v>0</v>
      </c>
      <c r="L272" t="n">
        <v>0</v>
      </c>
      <c r="M272" t="n">
        <v>0</v>
      </c>
      <c r="N272" t="n">
        <v>0</v>
      </c>
      <c r="O272" t="n">
        <v>0</v>
      </c>
      <c r="P272" t="n">
        <v>0</v>
      </c>
      <c r="Q272" t="n">
        <v>0</v>
      </c>
      <c r="R272" s="2" t="inlineStr"/>
    </row>
    <row r="273" ht="15" customHeight="1">
      <c r="A273" t="inlineStr">
        <is>
          <t>A 18537-2023</t>
        </is>
      </c>
      <c r="B273" s="1" t="n">
        <v>45028</v>
      </c>
      <c r="C273" s="1" t="n">
        <v>46003</v>
      </c>
      <c r="D273" t="inlineStr">
        <is>
          <t>NORRBOTTENS LÄN</t>
        </is>
      </c>
      <c r="E273" t="inlineStr">
        <is>
          <t>JOKKMOKK</t>
        </is>
      </c>
      <c r="G273" t="n">
        <v>1</v>
      </c>
      <c r="H273" t="n">
        <v>0</v>
      </c>
      <c r="I273" t="n">
        <v>0</v>
      </c>
      <c r="J273" t="n">
        <v>0</v>
      </c>
      <c r="K273" t="n">
        <v>0</v>
      </c>
      <c r="L273" t="n">
        <v>0</v>
      </c>
      <c r="M273" t="n">
        <v>0</v>
      </c>
      <c r="N273" t="n">
        <v>0</v>
      </c>
      <c r="O273" t="n">
        <v>0</v>
      </c>
      <c r="P273" t="n">
        <v>0</v>
      </c>
      <c r="Q273" t="n">
        <v>0</v>
      </c>
      <c r="R273" s="2" t="inlineStr"/>
    </row>
    <row r="274" ht="15" customHeight="1">
      <c r="A274" t="inlineStr">
        <is>
          <t>A 52280-2021</t>
        </is>
      </c>
      <c r="B274" s="1" t="n">
        <v>44462</v>
      </c>
      <c r="C274" s="1" t="n">
        <v>46003</v>
      </c>
      <c r="D274" t="inlineStr">
        <is>
          <t>NORRBOTTENS LÄN</t>
        </is>
      </c>
      <c r="E274" t="inlineStr">
        <is>
          <t>JOKKMOKK</t>
        </is>
      </c>
      <c r="F274" t="inlineStr">
        <is>
          <t>Övriga statliga verk och myndigheter</t>
        </is>
      </c>
      <c r="G274" t="n">
        <v>25.9</v>
      </c>
      <c r="H274" t="n">
        <v>0</v>
      </c>
      <c r="I274" t="n">
        <v>0</v>
      </c>
      <c r="J274" t="n">
        <v>0</v>
      </c>
      <c r="K274" t="n">
        <v>0</v>
      </c>
      <c r="L274" t="n">
        <v>0</v>
      </c>
      <c r="M274" t="n">
        <v>0</v>
      </c>
      <c r="N274" t="n">
        <v>0</v>
      </c>
      <c r="O274" t="n">
        <v>0</v>
      </c>
      <c r="P274" t="n">
        <v>0</v>
      </c>
      <c r="Q274" t="n">
        <v>0</v>
      </c>
      <c r="R274" s="2" t="inlineStr"/>
    </row>
    <row r="275" ht="15" customHeight="1">
      <c r="A275" t="inlineStr">
        <is>
          <t>A 49474-2024</t>
        </is>
      </c>
      <c r="B275" s="1" t="n">
        <v>45596.34523148148</v>
      </c>
      <c r="C275" s="1" t="n">
        <v>46003</v>
      </c>
      <c r="D275" t="inlineStr">
        <is>
          <t>NORRBOTTENS LÄN</t>
        </is>
      </c>
      <c r="E275" t="inlineStr">
        <is>
          <t>JOKKMOKK</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46003</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49679-2024</t>
        </is>
      </c>
      <c r="B277" s="1" t="n">
        <v>45596.6649537037</v>
      </c>
      <c r="C277" s="1" t="n">
        <v>46003</v>
      </c>
      <c r="D277" t="inlineStr">
        <is>
          <t>NORRBOTTENS LÄN</t>
        </is>
      </c>
      <c r="E277" t="inlineStr">
        <is>
          <t>JOKKMOKK</t>
        </is>
      </c>
      <c r="F277" t="inlineStr">
        <is>
          <t>Allmännings- och besparingsskogar</t>
        </is>
      </c>
      <c r="G277" t="n">
        <v>14.1</v>
      </c>
      <c r="H277" t="n">
        <v>0</v>
      </c>
      <c r="I277" t="n">
        <v>0</v>
      </c>
      <c r="J277" t="n">
        <v>0</v>
      </c>
      <c r="K277" t="n">
        <v>0</v>
      </c>
      <c r="L277" t="n">
        <v>0</v>
      </c>
      <c r="M277" t="n">
        <v>0</v>
      </c>
      <c r="N277" t="n">
        <v>0</v>
      </c>
      <c r="O277" t="n">
        <v>0</v>
      </c>
      <c r="P277" t="n">
        <v>0</v>
      </c>
      <c r="Q277" t="n">
        <v>0</v>
      </c>
      <c r="R277" s="2" t="inlineStr"/>
    </row>
    <row r="278" ht="15" customHeight="1">
      <c r="A278" t="inlineStr">
        <is>
          <t>A 48645-2025</t>
        </is>
      </c>
      <c r="B278" s="1" t="n">
        <v>45935</v>
      </c>
      <c r="C278" s="1" t="n">
        <v>46003</v>
      </c>
      <c r="D278" t="inlineStr">
        <is>
          <t>NORRBOTTENS LÄN</t>
        </is>
      </c>
      <c r="E278" t="inlineStr">
        <is>
          <t>JOKKMOKK</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40756-2025</t>
        </is>
      </c>
      <c r="B279" s="1" t="n">
        <v>45897.38686342593</v>
      </c>
      <c r="C279" s="1" t="n">
        <v>46003</v>
      </c>
      <c r="D279" t="inlineStr">
        <is>
          <t>NORRBOTTENS LÄN</t>
        </is>
      </c>
      <c r="E279" t="inlineStr">
        <is>
          <t>JOKKMOKK</t>
        </is>
      </c>
      <c r="G279" t="n">
        <v>24.7</v>
      </c>
      <c r="H279" t="n">
        <v>0</v>
      </c>
      <c r="I279" t="n">
        <v>0</v>
      </c>
      <c r="J279" t="n">
        <v>0</v>
      </c>
      <c r="K279" t="n">
        <v>0</v>
      </c>
      <c r="L279" t="n">
        <v>0</v>
      </c>
      <c r="M279" t="n">
        <v>0</v>
      </c>
      <c r="N279" t="n">
        <v>0</v>
      </c>
      <c r="O279" t="n">
        <v>0</v>
      </c>
      <c r="P279" t="n">
        <v>0</v>
      </c>
      <c r="Q279" t="n">
        <v>0</v>
      </c>
      <c r="R279" s="2" t="inlineStr"/>
    </row>
    <row r="280" ht="15" customHeight="1">
      <c r="A280" t="inlineStr">
        <is>
          <t>A 40779-2025</t>
        </is>
      </c>
      <c r="B280" s="1" t="n">
        <v>45897</v>
      </c>
      <c r="C280" s="1" t="n">
        <v>46003</v>
      </c>
      <c r="D280" t="inlineStr">
        <is>
          <t>NORRBOTTENS LÄN</t>
        </is>
      </c>
      <c r="E280" t="inlineStr">
        <is>
          <t>JOKKMOKK</t>
        </is>
      </c>
      <c r="F280" t="inlineStr">
        <is>
          <t>Sveaskog</t>
        </is>
      </c>
      <c r="G280" t="n">
        <v>53.8</v>
      </c>
      <c r="H280" t="n">
        <v>0</v>
      </c>
      <c r="I280" t="n">
        <v>0</v>
      </c>
      <c r="J280" t="n">
        <v>0</v>
      </c>
      <c r="K280" t="n">
        <v>0</v>
      </c>
      <c r="L280" t="n">
        <v>0</v>
      </c>
      <c r="M280" t="n">
        <v>0</v>
      </c>
      <c r="N280" t="n">
        <v>0</v>
      </c>
      <c r="O280" t="n">
        <v>0</v>
      </c>
      <c r="P280" t="n">
        <v>0</v>
      </c>
      <c r="Q280" t="n">
        <v>0</v>
      </c>
      <c r="R280" s="2" t="inlineStr"/>
    </row>
    <row r="281" ht="15" customHeight="1">
      <c r="A281" t="inlineStr">
        <is>
          <t>A 40808-2025</t>
        </is>
      </c>
      <c r="B281" s="1" t="n">
        <v>45897.46922453704</v>
      </c>
      <c r="C281" s="1" t="n">
        <v>46003</v>
      </c>
      <c r="D281" t="inlineStr">
        <is>
          <t>NORRBOTTENS LÄN</t>
        </is>
      </c>
      <c r="E281" t="inlineStr">
        <is>
          <t>JOKKMOKK</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18903-2025</t>
        </is>
      </c>
      <c r="B282" s="1" t="n">
        <v>45764.46019675926</v>
      </c>
      <c r="C282" s="1" t="n">
        <v>46003</v>
      </c>
      <c r="D282" t="inlineStr">
        <is>
          <t>NORRBOTTENS LÄN</t>
        </is>
      </c>
      <c r="E282" t="inlineStr">
        <is>
          <t>JOKKMOKK</t>
        </is>
      </c>
      <c r="G282" t="n">
        <v>9.1</v>
      </c>
      <c r="H282" t="n">
        <v>0</v>
      </c>
      <c r="I282" t="n">
        <v>0</v>
      </c>
      <c r="J282" t="n">
        <v>0</v>
      </c>
      <c r="K282" t="n">
        <v>0</v>
      </c>
      <c r="L282" t="n">
        <v>0</v>
      </c>
      <c r="M282" t="n">
        <v>0</v>
      </c>
      <c r="N282" t="n">
        <v>0</v>
      </c>
      <c r="O282" t="n">
        <v>0</v>
      </c>
      <c r="P282" t="n">
        <v>0</v>
      </c>
      <c r="Q282" t="n">
        <v>0</v>
      </c>
      <c r="R282" s="2" t="inlineStr"/>
    </row>
    <row r="283" ht="15" customHeight="1">
      <c r="A283" t="inlineStr">
        <is>
          <t>A 32900-2023</t>
        </is>
      </c>
      <c r="B283" s="1" t="n">
        <v>45124</v>
      </c>
      <c r="C283" s="1" t="n">
        <v>46003</v>
      </c>
      <c r="D283" t="inlineStr">
        <is>
          <t>NORRBOTTENS LÄN</t>
        </is>
      </c>
      <c r="E283" t="inlineStr">
        <is>
          <t>JOKKMOKK</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51269-2024</t>
        </is>
      </c>
      <c r="B284" s="1" t="n">
        <v>45603.71284722222</v>
      </c>
      <c r="C284" s="1" t="n">
        <v>46003</v>
      </c>
      <c r="D284" t="inlineStr">
        <is>
          <t>NORRBOTTENS LÄN</t>
        </is>
      </c>
      <c r="E284" t="inlineStr">
        <is>
          <t>JOKKMOKK</t>
        </is>
      </c>
      <c r="F284" t="inlineStr">
        <is>
          <t>Allmännings- och besparingsskogar</t>
        </is>
      </c>
      <c r="G284" t="n">
        <v>4.4</v>
      </c>
      <c r="H284" t="n">
        <v>0</v>
      </c>
      <c r="I284" t="n">
        <v>0</v>
      </c>
      <c r="J284" t="n">
        <v>0</v>
      </c>
      <c r="K284" t="n">
        <v>0</v>
      </c>
      <c r="L284" t="n">
        <v>0</v>
      </c>
      <c r="M284" t="n">
        <v>0</v>
      </c>
      <c r="N284" t="n">
        <v>0</v>
      </c>
      <c r="O284" t="n">
        <v>0</v>
      </c>
      <c r="P284" t="n">
        <v>0</v>
      </c>
      <c r="Q284" t="n">
        <v>0</v>
      </c>
      <c r="R284" s="2" t="inlineStr"/>
    </row>
    <row r="285" ht="15" customHeight="1">
      <c r="A285" t="inlineStr">
        <is>
          <t>A 20593-2023</t>
        </is>
      </c>
      <c r="B285" s="1" t="n">
        <v>45057</v>
      </c>
      <c r="C285" s="1" t="n">
        <v>46003</v>
      </c>
      <c r="D285" t="inlineStr">
        <is>
          <t>NORRBOTTENS LÄN</t>
        </is>
      </c>
      <c r="E285" t="inlineStr">
        <is>
          <t>JOKKMOKK</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33014-2023</t>
        </is>
      </c>
      <c r="B286" s="1" t="n">
        <v>45113</v>
      </c>
      <c r="C286" s="1" t="n">
        <v>46003</v>
      </c>
      <c r="D286" t="inlineStr">
        <is>
          <t>NORRBOTTENS LÄN</t>
        </is>
      </c>
      <c r="E286" t="inlineStr">
        <is>
          <t>JOKKMOKK</t>
        </is>
      </c>
      <c r="F286" t="inlineStr">
        <is>
          <t>Övriga statliga verk och myndigheter</t>
        </is>
      </c>
      <c r="G286" t="n">
        <v>7.2</v>
      </c>
      <c r="H286" t="n">
        <v>0</v>
      </c>
      <c r="I286" t="n">
        <v>0</v>
      </c>
      <c r="J286" t="n">
        <v>0</v>
      </c>
      <c r="K286" t="n">
        <v>0</v>
      </c>
      <c r="L286" t="n">
        <v>0</v>
      </c>
      <c r="M286" t="n">
        <v>0</v>
      </c>
      <c r="N286" t="n">
        <v>0</v>
      </c>
      <c r="O286" t="n">
        <v>0</v>
      </c>
      <c r="P286" t="n">
        <v>0</v>
      </c>
      <c r="Q286" t="n">
        <v>0</v>
      </c>
      <c r="R286" s="2" t="inlineStr"/>
    </row>
    <row r="287" ht="15" customHeight="1">
      <c r="A287" t="inlineStr">
        <is>
          <t>A 41403-2025</t>
        </is>
      </c>
      <c r="B287" s="1" t="n">
        <v>45901.344375</v>
      </c>
      <c r="C287" s="1" t="n">
        <v>46003</v>
      </c>
      <c r="D287" t="inlineStr">
        <is>
          <t>NORRBOTTENS LÄN</t>
        </is>
      </c>
      <c r="E287" t="inlineStr">
        <is>
          <t>JOKKMOKK</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52812-2024</t>
        </is>
      </c>
      <c r="B288" s="1" t="n">
        <v>45610.58070601852</v>
      </c>
      <c r="C288" s="1" t="n">
        <v>46003</v>
      </c>
      <c r="D288" t="inlineStr">
        <is>
          <t>NORRBOTTENS LÄN</t>
        </is>
      </c>
      <c r="E288" t="inlineStr">
        <is>
          <t>JOKKMOKK</t>
        </is>
      </c>
      <c r="G288" t="n">
        <v>84</v>
      </c>
      <c r="H288" t="n">
        <v>0</v>
      </c>
      <c r="I288" t="n">
        <v>0</v>
      </c>
      <c r="J288" t="n">
        <v>0</v>
      </c>
      <c r="K288" t="n">
        <v>0</v>
      </c>
      <c r="L288" t="n">
        <v>0</v>
      </c>
      <c r="M288" t="n">
        <v>0</v>
      </c>
      <c r="N288" t="n">
        <v>0</v>
      </c>
      <c r="O288" t="n">
        <v>0</v>
      </c>
      <c r="P288" t="n">
        <v>0</v>
      </c>
      <c r="Q288" t="n">
        <v>0</v>
      </c>
      <c r="R288" s="2" t="inlineStr"/>
    </row>
    <row r="289" ht="15" customHeight="1">
      <c r="A289" t="inlineStr">
        <is>
          <t>A 51293-2024</t>
        </is>
      </c>
      <c r="B289" s="1" t="n">
        <v>45603.92878472222</v>
      </c>
      <c r="C289" s="1" t="n">
        <v>46003</v>
      </c>
      <c r="D289" t="inlineStr">
        <is>
          <t>NORRBOTTENS LÄN</t>
        </is>
      </c>
      <c r="E289" t="inlineStr">
        <is>
          <t>JOKKMOKK</t>
        </is>
      </c>
      <c r="G289" t="n">
        <v>2.5</v>
      </c>
      <c r="H289" t="n">
        <v>0</v>
      </c>
      <c r="I289" t="n">
        <v>0</v>
      </c>
      <c r="J289" t="n">
        <v>0</v>
      </c>
      <c r="K289" t="n">
        <v>0</v>
      </c>
      <c r="L289" t="n">
        <v>0</v>
      </c>
      <c r="M289" t="n">
        <v>0</v>
      </c>
      <c r="N289" t="n">
        <v>0</v>
      </c>
      <c r="O289" t="n">
        <v>0</v>
      </c>
      <c r="P289" t="n">
        <v>0</v>
      </c>
      <c r="Q289" t="n">
        <v>0</v>
      </c>
      <c r="R289" s="2" t="inlineStr"/>
    </row>
    <row r="290" ht="15" customHeight="1">
      <c r="A290" t="inlineStr">
        <is>
          <t>A 42322-2025</t>
        </is>
      </c>
      <c r="B290" s="1" t="n">
        <v>45904</v>
      </c>
      <c r="C290" s="1" t="n">
        <v>46003</v>
      </c>
      <c r="D290" t="inlineStr">
        <is>
          <t>NORRBOTTENS LÄN</t>
        </is>
      </c>
      <c r="E290" t="inlineStr">
        <is>
          <t>JOKKMOKK</t>
        </is>
      </c>
      <c r="G290" t="n">
        <v>3.8</v>
      </c>
      <c r="H290" t="n">
        <v>0</v>
      </c>
      <c r="I290" t="n">
        <v>0</v>
      </c>
      <c r="J290" t="n">
        <v>0</v>
      </c>
      <c r="K290" t="n">
        <v>0</v>
      </c>
      <c r="L290" t="n">
        <v>0</v>
      </c>
      <c r="M290" t="n">
        <v>0</v>
      </c>
      <c r="N290" t="n">
        <v>0</v>
      </c>
      <c r="O290" t="n">
        <v>0</v>
      </c>
      <c r="P290" t="n">
        <v>0</v>
      </c>
      <c r="Q290" t="n">
        <v>0</v>
      </c>
      <c r="R290" s="2" t="inlineStr"/>
    </row>
    <row r="291" ht="15" customHeight="1">
      <c r="A291" t="inlineStr">
        <is>
          <t>A 42126-2025</t>
        </is>
      </c>
      <c r="B291" s="1" t="n">
        <v>45904.34486111111</v>
      </c>
      <c r="C291" s="1" t="n">
        <v>46003</v>
      </c>
      <c r="D291" t="inlineStr">
        <is>
          <t>NORRBOTTENS LÄN</t>
        </is>
      </c>
      <c r="E291" t="inlineStr">
        <is>
          <t>JOKKMOKK</t>
        </is>
      </c>
      <c r="F291" t="inlineStr">
        <is>
          <t>SCA</t>
        </is>
      </c>
      <c r="G291" t="n">
        <v>4.9</v>
      </c>
      <c r="H291" t="n">
        <v>0</v>
      </c>
      <c r="I291" t="n">
        <v>0</v>
      </c>
      <c r="J291" t="n">
        <v>0</v>
      </c>
      <c r="K291" t="n">
        <v>0</v>
      </c>
      <c r="L291" t="n">
        <v>0</v>
      </c>
      <c r="M291" t="n">
        <v>0</v>
      </c>
      <c r="N291" t="n">
        <v>0</v>
      </c>
      <c r="O291" t="n">
        <v>0</v>
      </c>
      <c r="P291" t="n">
        <v>0</v>
      </c>
      <c r="Q291" t="n">
        <v>0</v>
      </c>
      <c r="R291" s="2" t="inlineStr"/>
    </row>
    <row r="292" ht="15" customHeight="1">
      <c r="A292" t="inlineStr">
        <is>
          <t>A 23203-2024</t>
        </is>
      </c>
      <c r="B292" s="1" t="n">
        <v>45451</v>
      </c>
      <c r="C292" s="1" t="n">
        <v>46003</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6437-2025</t>
        </is>
      </c>
      <c r="B293" s="1" t="n">
        <v>45699</v>
      </c>
      <c r="C293" s="1" t="n">
        <v>46003</v>
      </c>
      <c r="D293" t="inlineStr">
        <is>
          <t>NORRBOTTENS LÄN</t>
        </is>
      </c>
      <c r="E293" t="inlineStr">
        <is>
          <t>JOKKMOKK</t>
        </is>
      </c>
      <c r="G293" t="n">
        <v>3.4</v>
      </c>
      <c r="H293" t="n">
        <v>0</v>
      </c>
      <c r="I293" t="n">
        <v>0</v>
      </c>
      <c r="J293" t="n">
        <v>0</v>
      </c>
      <c r="K293" t="n">
        <v>0</v>
      </c>
      <c r="L293" t="n">
        <v>0</v>
      </c>
      <c r="M293" t="n">
        <v>0</v>
      </c>
      <c r="N293" t="n">
        <v>0</v>
      </c>
      <c r="O293" t="n">
        <v>0</v>
      </c>
      <c r="P293" t="n">
        <v>0</v>
      </c>
      <c r="Q293" t="n">
        <v>0</v>
      </c>
      <c r="R293" s="2" t="inlineStr"/>
    </row>
    <row r="294" ht="15" customHeight="1">
      <c r="A294" t="inlineStr">
        <is>
          <t>A 28319-2021</t>
        </is>
      </c>
      <c r="B294" s="1" t="n">
        <v>44355</v>
      </c>
      <c r="C294" s="1" t="n">
        <v>46003</v>
      </c>
      <c r="D294" t="inlineStr">
        <is>
          <t>NORRBOTTENS LÄN</t>
        </is>
      </c>
      <c r="E294" t="inlineStr">
        <is>
          <t>JOKKMOKK</t>
        </is>
      </c>
      <c r="F294" t="inlineStr">
        <is>
          <t>Övriga statliga verk och myndigheter</t>
        </is>
      </c>
      <c r="G294" t="n">
        <v>40</v>
      </c>
      <c r="H294" t="n">
        <v>0</v>
      </c>
      <c r="I294" t="n">
        <v>0</v>
      </c>
      <c r="J294" t="n">
        <v>0</v>
      </c>
      <c r="K294" t="n">
        <v>0</v>
      </c>
      <c r="L294" t="n">
        <v>0</v>
      </c>
      <c r="M294" t="n">
        <v>0</v>
      </c>
      <c r="N294" t="n">
        <v>0</v>
      </c>
      <c r="O294" t="n">
        <v>0</v>
      </c>
      <c r="P294" t="n">
        <v>0</v>
      </c>
      <c r="Q294" t="n">
        <v>0</v>
      </c>
      <c r="R294" s="2" t="inlineStr"/>
    </row>
    <row r="295" ht="15" customHeight="1">
      <c r="A295" t="inlineStr">
        <is>
          <t>A 42575-2025</t>
        </is>
      </c>
      <c r="B295" s="1" t="n">
        <v>45905.61263888889</v>
      </c>
      <c r="C295" s="1" t="n">
        <v>46003</v>
      </c>
      <c r="D295" t="inlineStr">
        <is>
          <t>NORRBOTTENS LÄN</t>
        </is>
      </c>
      <c r="E295" t="inlineStr">
        <is>
          <t>JOKKMOKK</t>
        </is>
      </c>
      <c r="F295" t="inlineStr">
        <is>
          <t>Sveaskog</t>
        </is>
      </c>
      <c r="G295" t="n">
        <v>17.4</v>
      </c>
      <c r="H295" t="n">
        <v>0</v>
      </c>
      <c r="I295" t="n">
        <v>0</v>
      </c>
      <c r="J295" t="n">
        <v>0</v>
      </c>
      <c r="K295" t="n">
        <v>0</v>
      </c>
      <c r="L295" t="n">
        <v>0</v>
      </c>
      <c r="M295" t="n">
        <v>0</v>
      </c>
      <c r="N295" t="n">
        <v>0</v>
      </c>
      <c r="O295" t="n">
        <v>0</v>
      </c>
      <c r="P295" t="n">
        <v>0</v>
      </c>
      <c r="Q295" t="n">
        <v>0</v>
      </c>
      <c r="R295" s="2" t="inlineStr"/>
    </row>
    <row r="296" ht="15" customHeight="1">
      <c r="A296" t="inlineStr">
        <is>
          <t>A 42664-2025</t>
        </is>
      </c>
      <c r="B296" s="1" t="n">
        <v>45907</v>
      </c>
      <c r="C296" s="1" t="n">
        <v>46003</v>
      </c>
      <c r="D296" t="inlineStr">
        <is>
          <t>NORRBOTTENS LÄN</t>
        </is>
      </c>
      <c r="E296" t="inlineStr">
        <is>
          <t>JOKKMOKK</t>
        </is>
      </c>
      <c r="G296" t="n">
        <v>1.9</v>
      </c>
      <c r="H296" t="n">
        <v>0</v>
      </c>
      <c r="I296" t="n">
        <v>0</v>
      </c>
      <c r="J296" t="n">
        <v>0</v>
      </c>
      <c r="K296" t="n">
        <v>0</v>
      </c>
      <c r="L296" t="n">
        <v>0</v>
      </c>
      <c r="M296" t="n">
        <v>0</v>
      </c>
      <c r="N296" t="n">
        <v>0</v>
      </c>
      <c r="O296" t="n">
        <v>0</v>
      </c>
      <c r="P296" t="n">
        <v>0</v>
      </c>
      <c r="Q296" t="n">
        <v>0</v>
      </c>
      <c r="R296" s="2" t="inlineStr"/>
    </row>
    <row r="297" ht="15" customHeight="1">
      <c r="A297" t="inlineStr">
        <is>
          <t>A 71369-2021</t>
        </is>
      </c>
      <c r="B297" s="1" t="n">
        <v>44539.94476851852</v>
      </c>
      <c r="C297" s="1" t="n">
        <v>46003</v>
      </c>
      <c r="D297" t="inlineStr">
        <is>
          <t>NORRBOTTENS LÄN</t>
        </is>
      </c>
      <c r="E297" t="inlineStr">
        <is>
          <t>JOKKMOKK</t>
        </is>
      </c>
      <c r="F297" t="inlineStr">
        <is>
          <t>SCA</t>
        </is>
      </c>
      <c r="G297" t="n">
        <v>15.7</v>
      </c>
      <c r="H297" t="n">
        <v>0</v>
      </c>
      <c r="I297" t="n">
        <v>0</v>
      </c>
      <c r="J297" t="n">
        <v>0</v>
      </c>
      <c r="K297" t="n">
        <v>0</v>
      </c>
      <c r="L297" t="n">
        <v>0</v>
      </c>
      <c r="M297" t="n">
        <v>0</v>
      </c>
      <c r="N297" t="n">
        <v>0</v>
      </c>
      <c r="O297" t="n">
        <v>0</v>
      </c>
      <c r="P297" t="n">
        <v>0</v>
      </c>
      <c r="Q297" t="n">
        <v>0</v>
      </c>
      <c r="R297" s="2" t="inlineStr"/>
    </row>
    <row r="298" ht="15" customHeight="1">
      <c r="A298" t="inlineStr">
        <is>
          <t>A 56199-2021</t>
        </is>
      </c>
      <c r="B298" s="1" t="n">
        <v>44477</v>
      </c>
      <c r="C298" s="1" t="n">
        <v>46003</v>
      </c>
      <c r="D298" t="inlineStr">
        <is>
          <t>NORRBOTTENS LÄN</t>
        </is>
      </c>
      <c r="E298" t="inlineStr">
        <is>
          <t>JOKKMOKK</t>
        </is>
      </c>
      <c r="G298" t="n">
        <v>1</v>
      </c>
      <c r="H298" t="n">
        <v>0</v>
      </c>
      <c r="I298" t="n">
        <v>0</v>
      </c>
      <c r="J298" t="n">
        <v>0</v>
      </c>
      <c r="K298" t="n">
        <v>0</v>
      </c>
      <c r="L298" t="n">
        <v>0</v>
      </c>
      <c r="M298" t="n">
        <v>0</v>
      </c>
      <c r="N298" t="n">
        <v>0</v>
      </c>
      <c r="O298" t="n">
        <v>0</v>
      </c>
      <c r="P298" t="n">
        <v>0</v>
      </c>
      <c r="Q298" t="n">
        <v>0</v>
      </c>
      <c r="R298" s="2" t="inlineStr"/>
    </row>
    <row r="299" ht="15" customHeight="1">
      <c r="A299" t="inlineStr">
        <is>
          <t>A 50820-2024</t>
        </is>
      </c>
      <c r="B299" s="1" t="n">
        <v>45602</v>
      </c>
      <c r="C299" s="1" t="n">
        <v>46003</v>
      </c>
      <c r="D299" t="inlineStr">
        <is>
          <t>NORRBOTTENS LÄN</t>
        </is>
      </c>
      <c r="E299" t="inlineStr">
        <is>
          <t>JOKKMOKK</t>
        </is>
      </c>
      <c r="F299" t="inlineStr">
        <is>
          <t>Allmännings- och besparingsskogar</t>
        </is>
      </c>
      <c r="G299" t="n">
        <v>4</v>
      </c>
      <c r="H299" t="n">
        <v>0</v>
      </c>
      <c r="I299" t="n">
        <v>0</v>
      </c>
      <c r="J299" t="n">
        <v>0</v>
      </c>
      <c r="K299" t="n">
        <v>0</v>
      </c>
      <c r="L299" t="n">
        <v>0</v>
      </c>
      <c r="M299" t="n">
        <v>0</v>
      </c>
      <c r="N299" t="n">
        <v>0</v>
      </c>
      <c r="O299" t="n">
        <v>0</v>
      </c>
      <c r="P299" t="n">
        <v>0</v>
      </c>
      <c r="Q299" t="n">
        <v>0</v>
      </c>
      <c r="R299" s="2" t="inlineStr"/>
    </row>
    <row r="300" ht="15" customHeight="1">
      <c r="A300" t="inlineStr">
        <is>
          <t>A 2826-2025</t>
        </is>
      </c>
      <c r="B300" s="1" t="n">
        <v>45677.61483796296</v>
      </c>
      <c r="C300" s="1" t="n">
        <v>46003</v>
      </c>
      <c r="D300" t="inlineStr">
        <is>
          <t>NORRBOTTENS LÄN</t>
        </is>
      </c>
      <c r="E300" t="inlineStr">
        <is>
          <t>JOKKMOKK</t>
        </is>
      </c>
      <c r="F300" t="inlineStr">
        <is>
          <t>Övriga statliga verk och myndigheter</t>
        </is>
      </c>
      <c r="G300" t="n">
        <v>10.5</v>
      </c>
      <c r="H300" t="n">
        <v>0</v>
      </c>
      <c r="I300" t="n">
        <v>0</v>
      </c>
      <c r="J300" t="n">
        <v>0</v>
      </c>
      <c r="K300" t="n">
        <v>0</v>
      </c>
      <c r="L300" t="n">
        <v>0</v>
      </c>
      <c r="M300" t="n">
        <v>0</v>
      </c>
      <c r="N300" t="n">
        <v>0</v>
      </c>
      <c r="O300" t="n">
        <v>0</v>
      </c>
      <c r="P300" t="n">
        <v>0</v>
      </c>
      <c r="Q300" t="n">
        <v>0</v>
      </c>
      <c r="R300" s="2" t="inlineStr"/>
    </row>
    <row r="301" ht="15" customHeight="1">
      <c r="A301" t="inlineStr">
        <is>
          <t>A 59793-2024</t>
        </is>
      </c>
      <c r="B301" s="1" t="n">
        <v>45639.58967592593</v>
      </c>
      <c r="C301" s="1" t="n">
        <v>46003</v>
      </c>
      <c r="D301" t="inlineStr">
        <is>
          <t>NORRBOTTENS LÄN</t>
        </is>
      </c>
      <c r="E301" t="inlineStr">
        <is>
          <t>JOKKMOKK</t>
        </is>
      </c>
      <c r="F301" t="inlineStr">
        <is>
          <t>Sveaskog</t>
        </is>
      </c>
      <c r="G301" t="n">
        <v>10.8</v>
      </c>
      <c r="H301" t="n">
        <v>0</v>
      </c>
      <c r="I301" t="n">
        <v>0</v>
      </c>
      <c r="J301" t="n">
        <v>0</v>
      </c>
      <c r="K301" t="n">
        <v>0</v>
      </c>
      <c r="L301" t="n">
        <v>0</v>
      </c>
      <c r="M301" t="n">
        <v>0</v>
      </c>
      <c r="N301" t="n">
        <v>0</v>
      </c>
      <c r="O301" t="n">
        <v>0</v>
      </c>
      <c r="P301" t="n">
        <v>0</v>
      </c>
      <c r="Q301" t="n">
        <v>0</v>
      </c>
      <c r="R301" s="2" t="inlineStr"/>
    </row>
    <row r="302" ht="15" customHeight="1">
      <c r="A302" t="inlineStr">
        <is>
          <t>A 39684-2023</t>
        </is>
      </c>
      <c r="B302" s="1" t="n">
        <v>45166</v>
      </c>
      <c r="C302" s="1" t="n">
        <v>46003</v>
      </c>
      <c r="D302" t="inlineStr">
        <is>
          <t>NORRBOTTENS LÄN</t>
        </is>
      </c>
      <c r="E302" t="inlineStr">
        <is>
          <t>JOKKMOKK</t>
        </is>
      </c>
      <c r="G302" t="n">
        <v>6.8</v>
      </c>
      <c r="H302" t="n">
        <v>0</v>
      </c>
      <c r="I302" t="n">
        <v>0</v>
      </c>
      <c r="J302" t="n">
        <v>0</v>
      </c>
      <c r="K302" t="n">
        <v>0</v>
      </c>
      <c r="L302" t="n">
        <v>0</v>
      </c>
      <c r="M302" t="n">
        <v>0</v>
      </c>
      <c r="N302" t="n">
        <v>0</v>
      </c>
      <c r="O302" t="n">
        <v>0</v>
      </c>
      <c r="P302" t="n">
        <v>0</v>
      </c>
      <c r="Q302" t="n">
        <v>0</v>
      </c>
      <c r="R302" s="2" t="inlineStr"/>
    </row>
    <row r="303" ht="15" customHeight="1">
      <c r="A303" t="inlineStr">
        <is>
          <t>A 42959-2025</t>
        </is>
      </c>
      <c r="B303" s="1" t="n">
        <v>45909</v>
      </c>
      <c r="C303" s="1" t="n">
        <v>46003</v>
      </c>
      <c r="D303" t="inlineStr">
        <is>
          <t>NORRBOTTENS LÄN</t>
        </is>
      </c>
      <c r="E303" t="inlineStr">
        <is>
          <t>JOKKMOKK</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55491-2024</t>
        </is>
      </c>
      <c r="B304" s="1" t="n">
        <v>45622</v>
      </c>
      <c r="C304" s="1" t="n">
        <v>46003</v>
      </c>
      <c r="D304" t="inlineStr">
        <is>
          <t>NORRBOTTENS LÄN</t>
        </is>
      </c>
      <c r="E304" t="inlineStr">
        <is>
          <t>JOKKMOKK</t>
        </is>
      </c>
      <c r="F304" t="inlineStr">
        <is>
          <t>Allmännings- och besparingsskogar</t>
        </is>
      </c>
      <c r="G304" t="n">
        <v>25.2</v>
      </c>
      <c r="H304" t="n">
        <v>0</v>
      </c>
      <c r="I304" t="n">
        <v>0</v>
      </c>
      <c r="J304" t="n">
        <v>0</v>
      </c>
      <c r="K304" t="n">
        <v>0</v>
      </c>
      <c r="L304" t="n">
        <v>0</v>
      </c>
      <c r="M304" t="n">
        <v>0</v>
      </c>
      <c r="N304" t="n">
        <v>0</v>
      </c>
      <c r="O304" t="n">
        <v>0</v>
      </c>
      <c r="P304" t="n">
        <v>0</v>
      </c>
      <c r="Q304" t="n">
        <v>0</v>
      </c>
      <c r="R304" s="2" t="inlineStr"/>
    </row>
    <row r="305" ht="15" customHeight="1">
      <c r="A305" t="inlineStr">
        <is>
          <t>A 42944-2025</t>
        </is>
      </c>
      <c r="B305" s="1" t="n">
        <v>45909.34434027778</v>
      </c>
      <c r="C305" s="1" t="n">
        <v>46003</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40106-2023</t>
        </is>
      </c>
      <c r="B306" s="1" t="n">
        <v>45168.93785879629</v>
      </c>
      <c r="C306" s="1" t="n">
        <v>46003</v>
      </c>
      <c r="D306" t="inlineStr">
        <is>
          <t>NORRBOTTENS LÄN</t>
        </is>
      </c>
      <c r="E306" t="inlineStr">
        <is>
          <t>JOKKMOKK</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23204-2024</t>
        </is>
      </c>
      <c r="B307" s="1" t="n">
        <v>45451</v>
      </c>
      <c r="C307" s="1" t="n">
        <v>46003</v>
      </c>
      <c r="D307" t="inlineStr">
        <is>
          <t>NORRBOTTENS LÄN</t>
        </is>
      </c>
      <c r="E307" t="inlineStr">
        <is>
          <t>JOKKMOKK</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9860-2023</t>
        </is>
      </c>
      <c r="B308" s="1" t="n">
        <v>44984</v>
      </c>
      <c r="C308" s="1" t="n">
        <v>46003</v>
      </c>
      <c r="D308" t="inlineStr">
        <is>
          <t>NORRBOTTENS LÄN</t>
        </is>
      </c>
      <c r="E308" t="inlineStr">
        <is>
          <t>JOKKMOKK</t>
        </is>
      </c>
      <c r="F308" t="inlineStr">
        <is>
          <t>SCA</t>
        </is>
      </c>
      <c r="G308" t="n">
        <v>8</v>
      </c>
      <c r="H308" t="n">
        <v>0</v>
      </c>
      <c r="I308" t="n">
        <v>0</v>
      </c>
      <c r="J308" t="n">
        <v>0</v>
      </c>
      <c r="K308" t="n">
        <v>0</v>
      </c>
      <c r="L308" t="n">
        <v>0</v>
      </c>
      <c r="M308" t="n">
        <v>0</v>
      </c>
      <c r="N308" t="n">
        <v>0</v>
      </c>
      <c r="O308" t="n">
        <v>0</v>
      </c>
      <c r="P308" t="n">
        <v>0</v>
      </c>
      <c r="Q308" t="n">
        <v>0</v>
      </c>
      <c r="R308" s="2" t="inlineStr"/>
    </row>
    <row r="309" ht="15" customHeight="1">
      <c r="A309" t="inlineStr">
        <is>
          <t>A 9863-2023</t>
        </is>
      </c>
      <c r="B309" s="1" t="n">
        <v>44984</v>
      </c>
      <c r="C309" s="1" t="n">
        <v>46003</v>
      </c>
      <c r="D309" t="inlineStr">
        <is>
          <t>NORRBOTTENS LÄN</t>
        </is>
      </c>
      <c r="E309" t="inlineStr">
        <is>
          <t>JOKKMOKK</t>
        </is>
      </c>
      <c r="F309" t="inlineStr">
        <is>
          <t>SCA</t>
        </is>
      </c>
      <c r="G309" t="n">
        <v>14.4</v>
      </c>
      <c r="H309" t="n">
        <v>0</v>
      </c>
      <c r="I309" t="n">
        <v>0</v>
      </c>
      <c r="J309" t="n">
        <v>0</v>
      </c>
      <c r="K309" t="n">
        <v>0</v>
      </c>
      <c r="L309" t="n">
        <v>0</v>
      </c>
      <c r="M309" t="n">
        <v>0</v>
      </c>
      <c r="N309" t="n">
        <v>0</v>
      </c>
      <c r="O309" t="n">
        <v>0</v>
      </c>
      <c r="P309" t="n">
        <v>0</v>
      </c>
      <c r="Q309" t="n">
        <v>0</v>
      </c>
      <c r="R309" s="2" t="inlineStr"/>
    </row>
    <row r="310" ht="15" customHeight="1">
      <c r="A310" t="inlineStr">
        <is>
          <t>A 9872-2023</t>
        </is>
      </c>
      <c r="B310" s="1" t="n">
        <v>44984</v>
      </c>
      <c r="C310" s="1" t="n">
        <v>46003</v>
      </c>
      <c r="D310" t="inlineStr">
        <is>
          <t>NORRBOTTENS LÄN</t>
        </is>
      </c>
      <c r="E310" t="inlineStr">
        <is>
          <t>JOKKMOKK</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9873-2023</t>
        </is>
      </c>
      <c r="B311" s="1" t="n">
        <v>44984</v>
      </c>
      <c r="C311" s="1" t="n">
        <v>46003</v>
      </c>
      <c r="D311" t="inlineStr">
        <is>
          <t>NORRBOTTENS LÄN</t>
        </is>
      </c>
      <c r="E311" t="inlineStr">
        <is>
          <t>JOKKMOKK</t>
        </is>
      </c>
      <c r="G311" t="n">
        <v>1.6</v>
      </c>
      <c r="H311" t="n">
        <v>0</v>
      </c>
      <c r="I311" t="n">
        <v>0</v>
      </c>
      <c r="J311" t="n">
        <v>0</v>
      </c>
      <c r="K311" t="n">
        <v>0</v>
      </c>
      <c r="L311" t="n">
        <v>0</v>
      </c>
      <c r="M311" t="n">
        <v>0</v>
      </c>
      <c r="N311" t="n">
        <v>0</v>
      </c>
      <c r="O311" t="n">
        <v>0</v>
      </c>
      <c r="P311" t="n">
        <v>0</v>
      </c>
      <c r="Q311" t="n">
        <v>0</v>
      </c>
      <c r="R311" s="2" t="inlineStr"/>
    </row>
    <row r="312" ht="15" customHeight="1">
      <c r="A312" t="inlineStr">
        <is>
          <t>A 9877-2023</t>
        </is>
      </c>
      <c r="B312" s="1" t="n">
        <v>44984.94033564815</v>
      </c>
      <c r="C312" s="1" t="n">
        <v>46003</v>
      </c>
      <c r="D312" t="inlineStr">
        <is>
          <t>NORRBOTTENS LÄN</t>
        </is>
      </c>
      <c r="E312" t="inlineStr">
        <is>
          <t>JOKKMOKK</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43658-2025</t>
        </is>
      </c>
      <c r="B313" s="1" t="n">
        <v>45912.34276620371</v>
      </c>
      <c r="C313" s="1" t="n">
        <v>46003</v>
      </c>
      <c r="D313" t="inlineStr">
        <is>
          <t>NORRBOTTENS LÄN</t>
        </is>
      </c>
      <c r="E313" t="inlineStr">
        <is>
          <t>JOKKMOKK</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52240-2025</t>
        </is>
      </c>
      <c r="B314" s="1" t="n">
        <v>45953.46320601852</v>
      </c>
      <c r="C314" s="1" t="n">
        <v>46003</v>
      </c>
      <c r="D314" t="inlineStr">
        <is>
          <t>NORRBOTTENS LÄN</t>
        </is>
      </c>
      <c r="E314" t="inlineStr">
        <is>
          <t>JOKKMOKK</t>
        </is>
      </c>
      <c r="F314" t="inlineStr">
        <is>
          <t>Övriga statliga verk och myndigheter</t>
        </is>
      </c>
      <c r="G314" t="n">
        <v>17.6</v>
      </c>
      <c r="H314" t="n">
        <v>0</v>
      </c>
      <c r="I314" t="n">
        <v>0</v>
      </c>
      <c r="J314" t="n">
        <v>0</v>
      </c>
      <c r="K314" t="n">
        <v>0</v>
      </c>
      <c r="L314" t="n">
        <v>0</v>
      </c>
      <c r="M314" t="n">
        <v>0</v>
      </c>
      <c r="N314" t="n">
        <v>0</v>
      </c>
      <c r="O314" t="n">
        <v>0</v>
      </c>
      <c r="P314" t="n">
        <v>0</v>
      </c>
      <c r="Q314" t="n">
        <v>0</v>
      </c>
      <c r="R314" s="2" t="inlineStr"/>
    </row>
    <row r="315" ht="15" customHeight="1">
      <c r="A315" t="inlineStr">
        <is>
          <t>A 17784-2025</t>
        </is>
      </c>
      <c r="B315" s="1" t="n">
        <v>45758</v>
      </c>
      <c r="C315" s="1" t="n">
        <v>46003</v>
      </c>
      <c r="D315" t="inlineStr">
        <is>
          <t>NORRBOTTENS LÄN</t>
        </is>
      </c>
      <c r="E315" t="inlineStr">
        <is>
          <t>JOKKMOKK</t>
        </is>
      </c>
      <c r="F315" t="inlineStr">
        <is>
          <t>SCA</t>
        </is>
      </c>
      <c r="G315" t="n">
        <v>11.2</v>
      </c>
      <c r="H315" t="n">
        <v>0</v>
      </c>
      <c r="I315" t="n">
        <v>0</v>
      </c>
      <c r="J315" t="n">
        <v>0</v>
      </c>
      <c r="K315" t="n">
        <v>0</v>
      </c>
      <c r="L315" t="n">
        <v>0</v>
      </c>
      <c r="M315" t="n">
        <v>0</v>
      </c>
      <c r="N315" t="n">
        <v>0</v>
      </c>
      <c r="O315" t="n">
        <v>0</v>
      </c>
      <c r="P315" t="n">
        <v>0</v>
      </c>
      <c r="Q315" t="n">
        <v>0</v>
      </c>
      <c r="R315" s="2" t="inlineStr"/>
    </row>
    <row r="316" ht="15" customHeight="1">
      <c r="A316" t="inlineStr">
        <is>
          <t>A 52289-2024</t>
        </is>
      </c>
      <c r="B316" s="1" t="n">
        <v>45608.69555555555</v>
      </c>
      <c r="C316" s="1" t="n">
        <v>46003</v>
      </c>
      <c r="D316" t="inlineStr">
        <is>
          <t>NORRBOTTENS LÄN</t>
        </is>
      </c>
      <c r="E316" t="inlineStr">
        <is>
          <t>JOKKMOKK</t>
        </is>
      </c>
      <c r="F316" t="inlineStr">
        <is>
          <t>Allmännings- och besparingsskogar</t>
        </is>
      </c>
      <c r="G316" t="n">
        <v>11.6</v>
      </c>
      <c r="H316" t="n">
        <v>0</v>
      </c>
      <c r="I316" t="n">
        <v>0</v>
      </c>
      <c r="J316" t="n">
        <v>0</v>
      </c>
      <c r="K316" t="n">
        <v>0</v>
      </c>
      <c r="L316" t="n">
        <v>0</v>
      </c>
      <c r="M316" t="n">
        <v>0</v>
      </c>
      <c r="N316" t="n">
        <v>0</v>
      </c>
      <c r="O316" t="n">
        <v>0</v>
      </c>
      <c r="P316" t="n">
        <v>0</v>
      </c>
      <c r="Q316" t="n">
        <v>0</v>
      </c>
      <c r="R316" s="2" t="inlineStr"/>
    </row>
    <row r="317" ht="15" customHeight="1">
      <c r="A317" t="inlineStr">
        <is>
          <t>A 16018-2024</t>
        </is>
      </c>
      <c r="B317" s="1" t="n">
        <v>45405.67028935185</v>
      </c>
      <c r="C317" s="1" t="n">
        <v>46003</v>
      </c>
      <c r="D317" t="inlineStr">
        <is>
          <t>NORRBOTTENS LÄN</t>
        </is>
      </c>
      <c r="E317" t="inlineStr">
        <is>
          <t>JOKKMOKK</t>
        </is>
      </c>
      <c r="G317" t="n">
        <v>1.8</v>
      </c>
      <c r="H317" t="n">
        <v>0</v>
      </c>
      <c r="I317" t="n">
        <v>0</v>
      </c>
      <c r="J317" t="n">
        <v>0</v>
      </c>
      <c r="K317" t="n">
        <v>0</v>
      </c>
      <c r="L317" t="n">
        <v>0</v>
      </c>
      <c r="M317" t="n">
        <v>0</v>
      </c>
      <c r="N317" t="n">
        <v>0</v>
      </c>
      <c r="O317" t="n">
        <v>0</v>
      </c>
      <c r="P317" t="n">
        <v>0</v>
      </c>
      <c r="Q317" t="n">
        <v>0</v>
      </c>
      <c r="R317" s="2" t="inlineStr"/>
    </row>
    <row r="318" ht="15" customHeight="1">
      <c r="A318" t="inlineStr">
        <is>
          <t>A 25720-2023</t>
        </is>
      </c>
      <c r="B318" s="1" t="n">
        <v>45090</v>
      </c>
      <c r="C318" s="1" t="n">
        <v>46003</v>
      </c>
      <c r="D318" t="inlineStr">
        <is>
          <t>NORRBOTTENS LÄN</t>
        </is>
      </c>
      <c r="E318" t="inlineStr">
        <is>
          <t>JOKKMOKK</t>
        </is>
      </c>
      <c r="G318" t="n">
        <v>2.1</v>
      </c>
      <c r="H318" t="n">
        <v>0</v>
      </c>
      <c r="I318" t="n">
        <v>0</v>
      </c>
      <c r="J318" t="n">
        <v>0</v>
      </c>
      <c r="K318" t="n">
        <v>0</v>
      </c>
      <c r="L318" t="n">
        <v>0</v>
      </c>
      <c r="M318" t="n">
        <v>0</v>
      </c>
      <c r="N318" t="n">
        <v>0</v>
      </c>
      <c r="O318" t="n">
        <v>0</v>
      </c>
      <c r="P318" t="n">
        <v>0</v>
      </c>
      <c r="Q318" t="n">
        <v>0</v>
      </c>
      <c r="R318" s="2" t="inlineStr"/>
    </row>
    <row r="319" ht="15" customHeight="1">
      <c r="A319" t="inlineStr">
        <is>
          <t>A 43803-2025</t>
        </is>
      </c>
      <c r="B319" s="1" t="n">
        <v>45912</v>
      </c>
      <c r="C319" s="1" t="n">
        <v>46003</v>
      </c>
      <c r="D319" t="inlineStr">
        <is>
          <t>NORRBOTTENS LÄN</t>
        </is>
      </c>
      <c r="E319" t="inlineStr">
        <is>
          <t>JOKKMOKK</t>
        </is>
      </c>
      <c r="F319" t="inlineStr">
        <is>
          <t>SCA</t>
        </is>
      </c>
      <c r="G319" t="n">
        <v>6.2</v>
      </c>
      <c r="H319" t="n">
        <v>0</v>
      </c>
      <c r="I319" t="n">
        <v>0</v>
      </c>
      <c r="J319" t="n">
        <v>0</v>
      </c>
      <c r="K319" t="n">
        <v>0</v>
      </c>
      <c r="L319" t="n">
        <v>0</v>
      </c>
      <c r="M319" t="n">
        <v>0</v>
      </c>
      <c r="N319" t="n">
        <v>0</v>
      </c>
      <c r="O319" t="n">
        <v>0</v>
      </c>
      <c r="P319" t="n">
        <v>0</v>
      </c>
      <c r="Q319" t="n">
        <v>0</v>
      </c>
      <c r="R319" s="2" t="inlineStr"/>
    </row>
    <row r="320" ht="15" customHeight="1">
      <c r="A320" t="inlineStr">
        <is>
          <t>A 43997-2025</t>
        </is>
      </c>
      <c r="B320" s="1" t="n">
        <v>45915.44868055556</v>
      </c>
      <c r="C320" s="1" t="n">
        <v>46003</v>
      </c>
      <c r="D320" t="inlineStr">
        <is>
          <t>NORRBOTTENS LÄN</t>
        </is>
      </c>
      <c r="E320" t="inlineStr">
        <is>
          <t>JOKKMOKK</t>
        </is>
      </c>
      <c r="G320" t="n">
        <v>4.5</v>
      </c>
      <c r="H320" t="n">
        <v>0</v>
      </c>
      <c r="I320" t="n">
        <v>0</v>
      </c>
      <c r="J320" t="n">
        <v>0</v>
      </c>
      <c r="K320" t="n">
        <v>0</v>
      </c>
      <c r="L320" t="n">
        <v>0</v>
      </c>
      <c r="M320" t="n">
        <v>0</v>
      </c>
      <c r="N320" t="n">
        <v>0</v>
      </c>
      <c r="O320" t="n">
        <v>0</v>
      </c>
      <c r="P320" t="n">
        <v>0</v>
      </c>
      <c r="Q320" t="n">
        <v>0</v>
      </c>
      <c r="R320" s="2" t="inlineStr"/>
    </row>
    <row r="321" ht="15" customHeight="1">
      <c r="A321" t="inlineStr">
        <is>
          <t>A 32899-2023</t>
        </is>
      </c>
      <c r="B321" s="1" t="n">
        <v>45124</v>
      </c>
      <c r="C321" s="1" t="n">
        <v>46003</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29212-2024</t>
        </is>
      </c>
      <c r="B322" s="1" t="n">
        <v>45482</v>
      </c>
      <c r="C322" s="1" t="n">
        <v>46003</v>
      </c>
      <c r="D322" t="inlineStr">
        <is>
          <t>NORRBOTTENS LÄN</t>
        </is>
      </c>
      <c r="E322" t="inlineStr">
        <is>
          <t>JOKKMOKK</t>
        </is>
      </c>
      <c r="G322" t="n">
        <v>8.5</v>
      </c>
      <c r="H322" t="n">
        <v>0</v>
      </c>
      <c r="I322" t="n">
        <v>0</v>
      </c>
      <c r="J322" t="n">
        <v>0</v>
      </c>
      <c r="K322" t="n">
        <v>0</v>
      </c>
      <c r="L322" t="n">
        <v>0</v>
      </c>
      <c r="M322" t="n">
        <v>0</v>
      </c>
      <c r="N322" t="n">
        <v>0</v>
      </c>
      <c r="O322" t="n">
        <v>0</v>
      </c>
      <c r="P322" t="n">
        <v>0</v>
      </c>
      <c r="Q322" t="n">
        <v>0</v>
      </c>
      <c r="R322" s="2" t="inlineStr"/>
    </row>
    <row r="323" ht="15" customHeight="1">
      <c r="A323" t="inlineStr">
        <is>
          <t>A 23317-2025</t>
        </is>
      </c>
      <c r="B323" s="1" t="n">
        <v>45791.61278935185</v>
      </c>
      <c r="C323" s="1" t="n">
        <v>46003</v>
      </c>
      <c r="D323" t="inlineStr">
        <is>
          <t>NORRBOTTENS LÄN</t>
        </is>
      </c>
      <c r="E323" t="inlineStr">
        <is>
          <t>JOKKMOKK</t>
        </is>
      </c>
      <c r="F323" t="inlineStr">
        <is>
          <t>Sveaskog</t>
        </is>
      </c>
      <c r="G323" t="n">
        <v>22.4</v>
      </c>
      <c r="H323" t="n">
        <v>0</v>
      </c>
      <c r="I323" t="n">
        <v>0</v>
      </c>
      <c r="J323" t="n">
        <v>0</v>
      </c>
      <c r="K323" t="n">
        <v>0</v>
      </c>
      <c r="L323" t="n">
        <v>0</v>
      </c>
      <c r="M323" t="n">
        <v>0</v>
      </c>
      <c r="N323" t="n">
        <v>0</v>
      </c>
      <c r="O323" t="n">
        <v>0</v>
      </c>
      <c r="P323" t="n">
        <v>0</v>
      </c>
      <c r="Q323" t="n">
        <v>0</v>
      </c>
      <c r="R323" s="2" t="inlineStr"/>
    </row>
    <row r="324" ht="15" customHeight="1">
      <c r="A324" t="inlineStr">
        <is>
          <t>A 32853-2024</t>
        </is>
      </c>
      <c r="B324" s="1" t="n">
        <v>45516.63964120371</v>
      </c>
      <c r="C324" s="1" t="n">
        <v>46003</v>
      </c>
      <c r="D324" t="inlineStr">
        <is>
          <t>NORRBOTTENS LÄN</t>
        </is>
      </c>
      <c r="E324" t="inlineStr">
        <is>
          <t>JOKKMOKK</t>
        </is>
      </c>
      <c r="F324" t="inlineStr">
        <is>
          <t>Sveaskog</t>
        </is>
      </c>
      <c r="G324" t="n">
        <v>40.4</v>
      </c>
      <c r="H324" t="n">
        <v>0</v>
      </c>
      <c r="I324" t="n">
        <v>0</v>
      </c>
      <c r="J324" t="n">
        <v>0</v>
      </c>
      <c r="K324" t="n">
        <v>0</v>
      </c>
      <c r="L324" t="n">
        <v>0</v>
      </c>
      <c r="M324" t="n">
        <v>0</v>
      </c>
      <c r="N324" t="n">
        <v>0</v>
      </c>
      <c r="O324" t="n">
        <v>0</v>
      </c>
      <c r="P324" t="n">
        <v>0</v>
      </c>
      <c r="Q324" t="n">
        <v>0</v>
      </c>
      <c r="R324" s="2" t="inlineStr"/>
    </row>
    <row r="325" ht="15" customHeight="1">
      <c r="A325" t="inlineStr">
        <is>
          <t>A 3206-2025</t>
        </is>
      </c>
      <c r="B325" s="1" t="n">
        <v>45679</v>
      </c>
      <c r="C325" s="1" t="n">
        <v>46003</v>
      </c>
      <c r="D325" t="inlineStr">
        <is>
          <t>NORRBOTTENS LÄN</t>
        </is>
      </c>
      <c r="E325" t="inlineStr">
        <is>
          <t>JOKKMOKK</t>
        </is>
      </c>
      <c r="F325" t="inlineStr">
        <is>
          <t>SCA</t>
        </is>
      </c>
      <c r="G325" t="n">
        <v>9.1</v>
      </c>
      <c r="H325" t="n">
        <v>0</v>
      </c>
      <c r="I325" t="n">
        <v>0</v>
      </c>
      <c r="J325" t="n">
        <v>0</v>
      </c>
      <c r="K325" t="n">
        <v>0</v>
      </c>
      <c r="L325" t="n">
        <v>0</v>
      </c>
      <c r="M325" t="n">
        <v>0</v>
      </c>
      <c r="N325" t="n">
        <v>0</v>
      </c>
      <c r="O325" t="n">
        <v>0</v>
      </c>
      <c r="P325" t="n">
        <v>0</v>
      </c>
      <c r="Q325" t="n">
        <v>0</v>
      </c>
      <c r="R325" s="2" t="inlineStr"/>
    </row>
    <row r="326" ht="15" customHeight="1">
      <c r="A326" t="inlineStr">
        <is>
          <t>A 36113-2024</t>
        </is>
      </c>
      <c r="B326" s="1" t="n">
        <v>45534.30302083334</v>
      </c>
      <c r="C326" s="1" t="n">
        <v>46003</v>
      </c>
      <c r="D326" t="inlineStr">
        <is>
          <t>NORRBOTTENS LÄN</t>
        </is>
      </c>
      <c r="E326" t="inlineStr">
        <is>
          <t>JOKKMOKK</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44842-2025</t>
        </is>
      </c>
      <c r="B327" s="1" t="n">
        <v>45918.42957175926</v>
      </c>
      <c r="C327" s="1" t="n">
        <v>46003</v>
      </c>
      <c r="D327" t="inlineStr">
        <is>
          <t>NORRBOTTENS LÄN</t>
        </is>
      </c>
      <c r="E327" t="inlineStr">
        <is>
          <t>JOKKMOKK</t>
        </is>
      </c>
      <c r="G327" t="n">
        <v>7.7</v>
      </c>
      <c r="H327" t="n">
        <v>0</v>
      </c>
      <c r="I327" t="n">
        <v>0</v>
      </c>
      <c r="J327" t="n">
        <v>0</v>
      </c>
      <c r="K327" t="n">
        <v>0</v>
      </c>
      <c r="L327" t="n">
        <v>0</v>
      </c>
      <c r="M327" t="n">
        <v>0</v>
      </c>
      <c r="N327" t="n">
        <v>0</v>
      </c>
      <c r="O327" t="n">
        <v>0</v>
      </c>
      <c r="P327" t="n">
        <v>0</v>
      </c>
      <c r="Q327" t="n">
        <v>0</v>
      </c>
      <c r="R327" s="2" t="inlineStr"/>
    </row>
    <row r="328" ht="15" customHeight="1">
      <c r="A328" t="inlineStr">
        <is>
          <t>A 44691-2025</t>
        </is>
      </c>
      <c r="B328" s="1" t="n">
        <v>45917.59425925926</v>
      </c>
      <c r="C328" s="1" t="n">
        <v>46003</v>
      </c>
      <c r="D328" t="inlineStr">
        <is>
          <t>NORRBOTTENS LÄN</t>
        </is>
      </c>
      <c r="E328" t="inlineStr">
        <is>
          <t>JOKKMOKK</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33827-2024</t>
        </is>
      </c>
      <c r="B329" s="1" t="n">
        <v>45520</v>
      </c>
      <c r="C329" s="1" t="n">
        <v>46003</v>
      </c>
      <c r="D329" t="inlineStr">
        <is>
          <t>NORRBOTTENS LÄN</t>
        </is>
      </c>
      <c r="E329" t="inlineStr">
        <is>
          <t>JOKKMOKK</t>
        </is>
      </c>
      <c r="F329" t="inlineStr">
        <is>
          <t>SCA</t>
        </is>
      </c>
      <c r="G329" t="n">
        <v>12.8</v>
      </c>
      <c r="H329" t="n">
        <v>0</v>
      </c>
      <c r="I329" t="n">
        <v>0</v>
      </c>
      <c r="J329" t="n">
        <v>0</v>
      </c>
      <c r="K329" t="n">
        <v>0</v>
      </c>
      <c r="L329" t="n">
        <v>0</v>
      </c>
      <c r="M329" t="n">
        <v>0</v>
      </c>
      <c r="N329" t="n">
        <v>0</v>
      </c>
      <c r="O329" t="n">
        <v>0</v>
      </c>
      <c r="P329" t="n">
        <v>0</v>
      </c>
      <c r="Q329" t="n">
        <v>0</v>
      </c>
      <c r="R329" s="2" t="inlineStr"/>
    </row>
    <row r="330" ht="15" customHeight="1">
      <c r="A330" t="inlineStr">
        <is>
          <t>A 44606-2025</t>
        </is>
      </c>
      <c r="B330" s="1" t="n">
        <v>45917.4485300926</v>
      </c>
      <c r="C330" s="1" t="n">
        <v>46003</v>
      </c>
      <c r="D330" t="inlineStr">
        <is>
          <t>NORRBOTTENS LÄN</t>
        </is>
      </c>
      <c r="E330" t="inlineStr">
        <is>
          <t>JOKKMOKK</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20270-2025</t>
        </is>
      </c>
      <c r="B331" s="1" t="n">
        <v>45773.71444444444</v>
      </c>
      <c r="C331" s="1" t="n">
        <v>46003</v>
      </c>
      <c r="D331" t="inlineStr">
        <is>
          <t>NORRBOTTENS LÄN</t>
        </is>
      </c>
      <c r="E331" t="inlineStr">
        <is>
          <t>JOKKMOKK</t>
        </is>
      </c>
      <c r="G331" t="n">
        <v>90.09999999999999</v>
      </c>
      <c r="H331" t="n">
        <v>0</v>
      </c>
      <c r="I331" t="n">
        <v>0</v>
      </c>
      <c r="J331" t="n">
        <v>0</v>
      </c>
      <c r="K331" t="n">
        <v>0</v>
      </c>
      <c r="L331" t="n">
        <v>0</v>
      </c>
      <c r="M331" t="n">
        <v>0</v>
      </c>
      <c r="N331" t="n">
        <v>0</v>
      </c>
      <c r="O331" t="n">
        <v>0</v>
      </c>
      <c r="P331" t="n">
        <v>0</v>
      </c>
      <c r="Q331" t="n">
        <v>0</v>
      </c>
      <c r="R331" s="2" t="inlineStr"/>
    </row>
    <row r="332" ht="15" customHeight="1">
      <c r="A332" t="inlineStr">
        <is>
          <t>A 46442-2023</t>
        </is>
      </c>
      <c r="B332" s="1" t="n">
        <v>45197.59248842593</v>
      </c>
      <c r="C332" s="1" t="n">
        <v>46003</v>
      </c>
      <c r="D332" t="inlineStr">
        <is>
          <t>NORRBOTTENS LÄN</t>
        </is>
      </c>
      <c r="E332" t="inlineStr">
        <is>
          <t>JOKKMOKK</t>
        </is>
      </c>
      <c r="G332" t="n">
        <v>6.4</v>
      </c>
      <c r="H332" t="n">
        <v>0</v>
      </c>
      <c r="I332" t="n">
        <v>0</v>
      </c>
      <c r="J332" t="n">
        <v>0</v>
      </c>
      <c r="K332" t="n">
        <v>0</v>
      </c>
      <c r="L332" t="n">
        <v>0</v>
      </c>
      <c r="M332" t="n">
        <v>0</v>
      </c>
      <c r="N332" t="n">
        <v>0</v>
      </c>
      <c r="O332" t="n">
        <v>0</v>
      </c>
      <c r="P332" t="n">
        <v>0</v>
      </c>
      <c r="Q332" t="n">
        <v>0</v>
      </c>
      <c r="R332" s="2" t="inlineStr"/>
    </row>
    <row r="333" ht="15" customHeight="1">
      <c r="A333" t="inlineStr">
        <is>
          <t>A 52564-2024</t>
        </is>
      </c>
      <c r="B333" s="1" t="n">
        <v>45609</v>
      </c>
      <c r="C333" s="1" t="n">
        <v>46003</v>
      </c>
      <c r="D333" t="inlineStr">
        <is>
          <t>NORRBOTTENS LÄN</t>
        </is>
      </c>
      <c r="E333" t="inlineStr">
        <is>
          <t>JOKKMOKK</t>
        </is>
      </c>
      <c r="F333" t="inlineStr">
        <is>
          <t>Allmännings- och besparingsskogar</t>
        </is>
      </c>
      <c r="G333" t="n">
        <v>16.5</v>
      </c>
      <c r="H333" t="n">
        <v>0</v>
      </c>
      <c r="I333" t="n">
        <v>0</v>
      </c>
      <c r="J333" t="n">
        <v>0</v>
      </c>
      <c r="K333" t="n">
        <v>0</v>
      </c>
      <c r="L333" t="n">
        <v>0</v>
      </c>
      <c r="M333" t="n">
        <v>0</v>
      </c>
      <c r="N333" t="n">
        <v>0</v>
      </c>
      <c r="O333" t="n">
        <v>0</v>
      </c>
      <c r="P333" t="n">
        <v>0</v>
      </c>
      <c r="Q333" t="n">
        <v>0</v>
      </c>
      <c r="R333" s="2" t="inlineStr"/>
    </row>
    <row r="334" ht="15" customHeight="1">
      <c r="A334" t="inlineStr">
        <is>
          <t>A 44958-2025</t>
        </is>
      </c>
      <c r="B334" s="1" t="n">
        <v>45918.61519675926</v>
      </c>
      <c r="C334" s="1" t="n">
        <v>46003</v>
      </c>
      <c r="D334" t="inlineStr">
        <is>
          <t>NORRBOTTENS LÄN</t>
        </is>
      </c>
      <c r="E334" t="inlineStr">
        <is>
          <t>JOKKMOKK</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44150-2024</t>
        </is>
      </c>
      <c r="B335" s="1" t="n">
        <v>45572.67520833333</v>
      </c>
      <c r="C335" s="1" t="n">
        <v>46003</v>
      </c>
      <c r="D335" t="inlineStr">
        <is>
          <t>NORRBOTTENS LÄN</t>
        </is>
      </c>
      <c r="E335" t="inlineStr">
        <is>
          <t>JOKKMOKK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45065-2025</t>
        </is>
      </c>
      <c r="B336" s="1" t="n">
        <v>45919.34540509259</v>
      </c>
      <c r="C336" s="1" t="n">
        <v>46003</v>
      </c>
      <c r="D336" t="inlineStr">
        <is>
          <t>NORRBOTTENS LÄN</t>
        </is>
      </c>
      <c r="E336" t="inlineStr">
        <is>
          <t>JOKKMOKK</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45064-2025</t>
        </is>
      </c>
      <c r="B337" s="1" t="n">
        <v>45919.34533564815</v>
      </c>
      <c r="C337" s="1" t="n">
        <v>46003</v>
      </c>
      <c r="D337" t="inlineStr">
        <is>
          <t>NORRBOTTENS LÄN</t>
        </is>
      </c>
      <c r="E337" t="inlineStr">
        <is>
          <t>JOKKMOKK</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45709-2025</t>
        </is>
      </c>
      <c r="B338" s="1" t="n">
        <v>45923</v>
      </c>
      <c r="C338" s="1" t="n">
        <v>46003</v>
      </c>
      <c r="D338" t="inlineStr">
        <is>
          <t>NORRBOTTENS LÄN</t>
        </is>
      </c>
      <c r="E338" t="inlineStr">
        <is>
          <t>JOKKMOKK</t>
        </is>
      </c>
      <c r="G338" t="n">
        <v>11.7</v>
      </c>
      <c r="H338" t="n">
        <v>0</v>
      </c>
      <c r="I338" t="n">
        <v>0</v>
      </c>
      <c r="J338" t="n">
        <v>0</v>
      </c>
      <c r="K338" t="n">
        <v>0</v>
      </c>
      <c r="L338" t="n">
        <v>0</v>
      </c>
      <c r="M338" t="n">
        <v>0</v>
      </c>
      <c r="N338" t="n">
        <v>0</v>
      </c>
      <c r="O338" t="n">
        <v>0</v>
      </c>
      <c r="P338" t="n">
        <v>0</v>
      </c>
      <c r="Q338" t="n">
        <v>0</v>
      </c>
      <c r="R338" s="2" t="inlineStr"/>
    </row>
    <row r="339" ht="15" customHeight="1">
      <c r="A339" t="inlineStr">
        <is>
          <t>A 54585-2025</t>
        </is>
      </c>
      <c r="B339" s="1" t="n">
        <v>45965.72071759259</v>
      </c>
      <c r="C339" s="1" t="n">
        <v>46003</v>
      </c>
      <c r="D339" t="inlineStr">
        <is>
          <t>NORRBOTTENS LÄN</t>
        </is>
      </c>
      <c r="E339" t="inlineStr">
        <is>
          <t>JOKKMOKK</t>
        </is>
      </c>
      <c r="F339" t="inlineStr">
        <is>
          <t>Allmännings- och besparingsskogar</t>
        </is>
      </c>
      <c r="G339" t="n">
        <v>10.2</v>
      </c>
      <c r="H339" t="n">
        <v>0</v>
      </c>
      <c r="I339" t="n">
        <v>0</v>
      </c>
      <c r="J339" t="n">
        <v>0</v>
      </c>
      <c r="K339" t="n">
        <v>0</v>
      </c>
      <c r="L339" t="n">
        <v>0</v>
      </c>
      <c r="M339" t="n">
        <v>0</v>
      </c>
      <c r="N339" t="n">
        <v>0</v>
      </c>
      <c r="O339" t="n">
        <v>0</v>
      </c>
      <c r="P339" t="n">
        <v>0</v>
      </c>
      <c r="Q339" t="n">
        <v>0</v>
      </c>
      <c r="R339" s="2" t="inlineStr"/>
    </row>
    <row r="340" ht="15" customHeight="1">
      <c r="A340" t="inlineStr">
        <is>
          <t>A 33740-2025</t>
        </is>
      </c>
      <c r="B340" s="1" t="n">
        <v>45842.34456018519</v>
      </c>
      <c r="C340" s="1" t="n">
        <v>46003</v>
      </c>
      <c r="D340" t="inlineStr">
        <is>
          <t>NORRBOTTENS LÄN</t>
        </is>
      </c>
      <c r="E340" t="inlineStr">
        <is>
          <t>JOKKMOKK</t>
        </is>
      </c>
      <c r="F340" t="inlineStr">
        <is>
          <t>SCA</t>
        </is>
      </c>
      <c r="G340" t="n">
        <v>23.3</v>
      </c>
      <c r="H340" t="n">
        <v>0</v>
      </c>
      <c r="I340" t="n">
        <v>0</v>
      </c>
      <c r="J340" t="n">
        <v>0</v>
      </c>
      <c r="K340" t="n">
        <v>0</v>
      </c>
      <c r="L340" t="n">
        <v>0</v>
      </c>
      <c r="M340" t="n">
        <v>0</v>
      </c>
      <c r="N340" t="n">
        <v>0</v>
      </c>
      <c r="O340" t="n">
        <v>0</v>
      </c>
      <c r="P340" t="n">
        <v>0</v>
      </c>
      <c r="Q340" t="n">
        <v>0</v>
      </c>
      <c r="R340" s="2" t="inlineStr"/>
    </row>
    <row r="341" ht="15" customHeight="1">
      <c r="A341" t="inlineStr">
        <is>
          <t>A 46458-2025</t>
        </is>
      </c>
      <c r="B341" s="1" t="n">
        <v>45925.66335648148</v>
      </c>
      <c r="C341" s="1" t="n">
        <v>46003</v>
      </c>
      <c r="D341" t="inlineStr">
        <is>
          <t>NORRBOTTENS LÄN</t>
        </is>
      </c>
      <c r="E341" t="inlineStr">
        <is>
          <t>JOKKMOKK</t>
        </is>
      </c>
      <c r="G341" t="n">
        <v>0.9</v>
      </c>
      <c r="H341" t="n">
        <v>0</v>
      </c>
      <c r="I341" t="n">
        <v>0</v>
      </c>
      <c r="J341" t="n">
        <v>0</v>
      </c>
      <c r="K341" t="n">
        <v>0</v>
      </c>
      <c r="L341" t="n">
        <v>0</v>
      </c>
      <c r="M341" t="n">
        <v>0</v>
      </c>
      <c r="N341" t="n">
        <v>0</v>
      </c>
      <c r="O341" t="n">
        <v>0</v>
      </c>
      <c r="P341" t="n">
        <v>0</v>
      </c>
      <c r="Q341" t="n">
        <v>0</v>
      </c>
      <c r="R341" s="2" t="inlineStr"/>
    </row>
    <row r="342" ht="15" customHeight="1">
      <c r="A342" t="inlineStr">
        <is>
          <t>A 46465-2025</t>
        </is>
      </c>
      <c r="B342" s="1" t="n">
        <v>45925.67710648148</v>
      </c>
      <c r="C342" s="1" t="n">
        <v>46003</v>
      </c>
      <c r="D342" t="inlineStr">
        <is>
          <t>NORRBOTTENS LÄN</t>
        </is>
      </c>
      <c r="E342" t="inlineStr">
        <is>
          <t>JOKKMOKK</t>
        </is>
      </c>
      <c r="G342" t="n">
        <v>3.6</v>
      </c>
      <c r="H342" t="n">
        <v>0</v>
      </c>
      <c r="I342" t="n">
        <v>0</v>
      </c>
      <c r="J342" t="n">
        <v>0</v>
      </c>
      <c r="K342" t="n">
        <v>0</v>
      </c>
      <c r="L342" t="n">
        <v>0</v>
      </c>
      <c r="M342" t="n">
        <v>0</v>
      </c>
      <c r="N342" t="n">
        <v>0</v>
      </c>
      <c r="O342" t="n">
        <v>0</v>
      </c>
      <c r="P342" t="n">
        <v>0</v>
      </c>
      <c r="Q342" t="n">
        <v>0</v>
      </c>
      <c r="R342" s="2" t="inlineStr"/>
    </row>
    <row r="343" ht="15" customHeight="1">
      <c r="A343" t="inlineStr">
        <is>
          <t>A 46460-2025</t>
        </is>
      </c>
      <c r="B343" s="1" t="n">
        <v>45925.66606481482</v>
      </c>
      <c r="C343" s="1" t="n">
        <v>46003</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55195-2025</t>
        </is>
      </c>
      <c r="B344" s="1" t="n">
        <v>45968.5525</v>
      </c>
      <c r="C344" s="1" t="n">
        <v>46003</v>
      </c>
      <c r="D344" t="inlineStr">
        <is>
          <t>NORRBOTTENS LÄN</t>
        </is>
      </c>
      <c r="E344" t="inlineStr">
        <is>
          <t>JOKKMOKK</t>
        </is>
      </c>
      <c r="G344" t="n">
        <v>5.3</v>
      </c>
      <c r="H344" t="n">
        <v>0</v>
      </c>
      <c r="I344" t="n">
        <v>0</v>
      </c>
      <c r="J344" t="n">
        <v>0</v>
      </c>
      <c r="K344" t="n">
        <v>0</v>
      </c>
      <c r="L344" t="n">
        <v>0</v>
      </c>
      <c r="M344" t="n">
        <v>0</v>
      </c>
      <c r="N344" t="n">
        <v>0</v>
      </c>
      <c r="O344" t="n">
        <v>0</v>
      </c>
      <c r="P344" t="n">
        <v>0</v>
      </c>
      <c r="Q344" t="n">
        <v>0</v>
      </c>
      <c r="R344" s="2" t="inlineStr"/>
    </row>
    <row r="345" ht="15" customHeight="1">
      <c r="A345" t="inlineStr">
        <is>
          <t>A 60193-2023</t>
        </is>
      </c>
      <c r="B345" s="1" t="n">
        <v>45258</v>
      </c>
      <c r="C345" s="1" t="n">
        <v>46003</v>
      </c>
      <c r="D345" t="inlineStr">
        <is>
          <t>NORRBOTTENS LÄN</t>
        </is>
      </c>
      <c r="E345" t="inlineStr">
        <is>
          <t>JOKKMOKK</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28036-2024</t>
        </is>
      </c>
      <c r="B346" s="1" t="n">
        <v>45476.49958333333</v>
      </c>
      <c r="C346" s="1" t="n">
        <v>46003</v>
      </c>
      <c r="D346" t="inlineStr">
        <is>
          <t>NORRBOTTENS LÄN</t>
        </is>
      </c>
      <c r="E346" t="inlineStr">
        <is>
          <t>JOKKMOKK</t>
        </is>
      </c>
      <c r="G346" t="n">
        <v>7.4</v>
      </c>
      <c r="H346" t="n">
        <v>0</v>
      </c>
      <c r="I346" t="n">
        <v>0</v>
      </c>
      <c r="J346" t="n">
        <v>0</v>
      </c>
      <c r="K346" t="n">
        <v>0</v>
      </c>
      <c r="L346" t="n">
        <v>0</v>
      </c>
      <c r="M346" t="n">
        <v>0</v>
      </c>
      <c r="N346" t="n">
        <v>0</v>
      </c>
      <c r="O346" t="n">
        <v>0</v>
      </c>
      <c r="P346" t="n">
        <v>0</v>
      </c>
      <c r="Q346" t="n">
        <v>0</v>
      </c>
      <c r="R346" s="2" t="inlineStr"/>
    </row>
    <row r="347" ht="15" customHeight="1">
      <c r="A347" t="inlineStr">
        <is>
          <t>A 46837-2025</t>
        </is>
      </c>
      <c r="B347" s="1" t="n">
        <v>45928.34450231482</v>
      </c>
      <c r="C347" s="1" t="n">
        <v>46003</v>
      </c>
      <c r="D347" t="inlineStr">
        <is>
          <t>NORRBOTTENS LÄN</t>
        </is>
      </c>
      <c r="E347" t="inlineStr">
        <is>
          <t>JOKKMOKK</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54546-2025</t>
        </is>
      </c>
      <c r="B348" s="1" t="n">
        <v>45965.65212962963</v>
      </c>
      <c r="C348" s="1" t="n">
        <v>46003</v>
      </c>
      <c r="D348" t="inlineStr">
        <is>
          <t>NORRBOTTENS LÄN</t>
        </is>
      </c>
      <c r="E348" t="inlineStr">
        <is>
          <t>JOKKMOKK</t>
        </is>
      </c>
      <c r="F348" t="inlineStr">
        <is>
          <t>Allmännings- och besparingsskogar</t>
        </is>
      </c>
      <c r="G348" t="n">
        <v>5.4</v>
      </c>
      <c r="H348" t="n">
        <v>0</v>
      </c>
      <c r="I348" t="n">
        <v>0</v>
      </c>
      <c r="J348" t="n">
        <v>0</v>
      </c>
      <c r="K348" t="n">
        <v>0</v>
      </c>
      <c r="L348" t="n">
        <v>0</v>
      </c>
      <c r="M348" t="n">
        <v>0</v>
      </c>
      <c r="N348" t="n">
        <v>0</v>
      </c>
      <c r="O348" t="n">
        <v>0</v>
      </c>
      <c r="P348" t="n">
        <v>0</v>
      </c>
      <c r="Q348" t="n">
        <v>0</v>
      </c>
      <c r="R348" s="2" t="inlineStr"/>
    </row>
    <row r="349" ht="15" customHeight="1">
      <c r="A349" t="inlineStr">
        <is>
          <t>A 43997-2024</t>
        </is>
      </c>
      <c r="B349" s="1" t="n">
        <v>45572.54165509259</v>
      </c>
      <c r="C349" s="1" t="n">
        <v>46003</v>
      </c>
      <c r="D349" t="inlineStr">
        <is>
          <t>NORRBOTTENS LÄN</t>
        </is>
      </c>
      <c r="E349" t="inlineStr">
        <is>
          <t>JOKKMOKK</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24746-2025</t>
        </is>
      </c>
      <c r="B350" s="1" t="n">
        <v>45799.34662037037</v>
      </c>
      <c r="C350" s="1" t="n">
        <v>46003</v>
      </c>
      <c r="D350" t="inlineStr">
        <is>
          <t>NORRBOTTENS LÄN</t>
        </is>
      </c>
      <c r="E350" t="inlineStr">
        <is>
          <t>JOKKMOKK</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54270-2025</t>
        </is>
      </c>
      <c r="B351" s="1" t="n">
        <v>45964.67798611111</v>
      </c>
      <c r="C351" s="1" t="n">
        <v>46003</v>
      </c>
      <c r="D351" t="inlineStr">
        <is>
          <t>NORRBOTTENS LÄN</t>
        </is>
      </c>
      <c r="E351" t="inlineStr">
        <is>
          <t>JOKKMOKK</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55015-2025</t>
        </is>
      </c>
      <c r="B352" s="1" t="n">
        <v>45967</v>
      </c>
      <c r="C352" s="1" t="n">
        <v>46003</v>
      </c>
      <c r="D352" t="inlineStr">
        <is>
          <t>NORRBOTTENS LÄN</t>
        </is>
      </c>
      <c r="E352" t="inlineStr">
        <is>
          <t>JOKKMOKK</t>
        </is>
      </c>
      <c r="G352" t="n">
        <v>14.9</v>
      </c>
      <c r="H352" t="n">
        <v>0</v>
      </c>
      <c r="I352" t="n">
        <v>0</v>
      </c>
      <c r="J352" t="n">
        <v>0</v>
      </c>
      <c r="K352" t="n">
        <v>0</v>
      </c>
      <c r="L352" t="n">
        <v>0</v>
      </c>
      <c r="M352" t="n">
        <v>0</v>
      </c>
      <c r="N352" t="n">
        <v>0</v>
      </c>
      <c r="O352" t="n">
        <v>0</v>
      </c>
      <c r="P352" t="n">
        <v>0</v>
      </c>
      <c r="Q352" t="n">
        <v>0</v>
      </c>
      <c r="R352" s="2" t="inlineStr"/>
    </row>
    <row r="353" ht="15" customHeight="1">
      <c r="A353" t="inlineStr">
        <is>
          <t>A 47472-2025</t>
        </is>
      </c>
      <c r="B353" s="1" t="n">
        <v>45930.67752314815</v>
      </c>
      <c r="C353" s="1" t="n">
        <v>46003</v>
      </c>
      <c r="D353" t="inlineStr">
        <is>
          <t>NORRBOTTENS LÄN</t>
        </is>
      </c>
      <c r="E353" t="inlineStr">
        <is>
          <t>JOKKMOKK</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55673-2025</t>
        </is>
      </c>
      <c r="B354" s="1" t="n">
        <v>45972.40754629629</v>
      </c>
      <c r="C354" s="1" t="n">
        <v>46003</v>
      </c>
      <c r="D354" t="inlineStr">
        <is>
          <t>NORRBOTTENS LÄN</t>
        </is>
      </c>
      <c r="E354" t="inlineStr">
        <is>
          <t>JOKKMOKK</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24740-2025</t>
        </is>
      </c>
      <c r="B355" s="1" t="n">
        <v>45799.34543981482</v>
      </c>
      <c r="C355" s="1" t="n">
        <v>46003</v>
      </c>
      <c r="D355" t="inlineStr">
        <is>
          <t>NORRBOTTENS LÄN</t>
        </is>
      </c>
      <c r="E355" t="inlineStr">
        <is>
          <t>JOKKMOKK</t>
        </is>
      </c>
      <c r="F355" t="inlineStr">
        <is>
          <t>SCA</t>
        </is>
      </c>
      <c r="G355" t="n">
        <v>5.9</v>
      </c>
      <c r="H355" t="n">
        <v>0</v>
      </c>
      <c r="I355" t="n">
        <v>0</v>
      </c>
      <c r="J355" t="n">
        <v>0</v>
      </c>
      <c r="K355" t="n">
        <v>0</v>
      </c>
      <c r="L355" t="n">
        <v>0</v>
      </c>
      <c r="M355" t="n">
        <v>0</v>
      </c>
      <c r="N355" t="n">
        <v>0</v>
      </c>
      <c r="O355" t="n">
        <v>0</v>
      </c>
      <c r="P355" t="n">
        <v>0</v>
      </c>
      <c r="Q355" t="n">
        <v>0</v>
      </c>
      <c r="R355" s="2" t="inlineStr"/>
    </row>
    <row r="356" ht="15" customHeight="1">
      <c r="A356" t="inlineStr">
        <is>
          <t>A 24743-2025</t>
        </is>
      </c>
      <c r="B356" s="1" t="n">
        <v>45799.34598379629</v>
      </c>
      <c r="C356" s="1" t="n">
        <v>46003</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60418-2023</t>
        </is>
      </c>
      <c r="B357" s="1" t="n">
        <v>45259.49666666667</v>
      </c>
      <c r="C357" s="1" t="n">
        <v>46003</v>
      </c>
      <c r="D357" t="inlineStr">
        <is>
          <t>NORRBOTTENS LÄN</t>
        </is>
      </c>
      <c r="E357" t="inlineStr">
        <is>
          <t>JOKKMOKK</t>
        </is>
      </c>
      <c r="F357" t="inlineStr">
        <is>
          <t>Allmännings- och besparingsskogar</t>
        </is>
      </c>
      <c r="G357" t="n">
        <v>12.7</v>
      </c>
      <c r="H357" t="n">
        <v>0</v>
      </c>
      <c r="I357" t="n">
        <v>0</v>
      </c>
      <c r="J357" t="n">
        <v>0</v>
      </c>
      <c r="K357" t="n">
        <v>0</v>
      </c>
      <c r="L357" t="n">
        <v>0</v>
      </c>
      <c r="M357" t="n">
        <v>0</v>
      </c>
      <c r="N357" t="n">
        <v>0</v>
      </c>
      <c r="O357" t="n">
        <v>0</v>
      </c>
      <c r="P357" t="n">
        <v>0</v>
      </c>
      <c r="Q357" t="n">
        <v>0</v>
      </c>
      <c r="R357" s="2" t="inlineStr"/>
    </row>
    <row r="358" ht="15" customHeight="1">
      <c r="A358" t="inlineStr">
        <is>
          <t>A 44151-2024</t>
        </is>
      </c>
      <c r="B358" s="1" t="n">
        <v>45572.67773148148</v>
      </c>
      <c r="C358" s="1" t="n">
        <v>46003</v>
      </c>
      <c r="D358" t="inlineStr">
        <is>
          <t>NORRBOTTENS LÄN</t>
        </is>
      </c>
      <c r="E358" t="inlineStr">
        <is>
          <t>JOKKMOKK</t>
        </is>
      </c>
      <c r="F358" t="inlineStr">
        <is>
          <t>Sveaskog</t>
        </is>
      </c>
      <c r="G358" t="n">
        <v>9.4</v>
      </c>
      <c r="H358" t="n">
        <v>0</v>
      </c>
      <c r="I358" t="n">
        <v>0</v>
      </c>
      <c r="J358" t="n">
        <v>0</v>
      </c>
      <c r="K358" t="n">
        <v>0</v>
      </c>
      <c r="L358" t="n">
        <v>0</v>
      </c>
      <c r="M358" t="n">
        <v>0</v>
      </c>
      <c r="N358" t="n">
        <v>0</v>
      </c>
      <c r="O358" t="n">
        <v>0</v>
      </c>
      <c r="P358" t="n">
        <v>0</v>
      </c>
      <c r="Q358" t="n">
        <v>0</v>
      </c>
      <c r="R358" s="2" t="inlineStr"/>
    </row>
    <row r="359" ht="15" customHeight="1">
      <c r="A359" t="inlineStr">
        <is>
          <t>A 38928-2025</t>
        </is>
      </c>
      <c r="B359" s="1" t="n">
        <v>45887</v>
      </c>
      <c r="C359" s="1" t="n">
        <v>46003</v>
      </c>
      <c r="D359" t="inlineStr">
        <is>
          <t>NORRBOTTENS LÄN</t>
        </is>
      </c>
      <c r="E359" t="inlineStr">
        <is>
          <t>JOKKMOKK</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60164-2023</t>
        </is>
      </c>
      <c r="B360" s="1" t="n">
        <v>45258</v>
      </c>
      <c r="C360" s="1" t="n">
        <v>46003</v>
      </c>
      <c r="D360" t="inlineStr">
        <is>
          <t>NORRBOTTENS LÄN</t>
        </is>
      </c>
      <c r="E360" t="inlineStr">
        <is>
          <t>JOKKMOKK</t>
        </is>
      </c>
      <c r="F360" t="inlineStr">
        <is>
          <t>Allmännings- och besparingsskogar</t>
        </is>
      </c>
      <c r="G360" t="n">
        <v>14.3</v>
      </c>
      <c r="H360" t="n">
        <v>0</v>
      </c>
      <c r="I360" t="n">
        <v>0</v>
      </c>
      <c r="J360" t="n">
        <v>0</v>
      </c>
      <c r="K360" t="n">
        <v>0</v>
      </c>
      <c r="L360" t="n">
        <v>0</v>
      </c>
      <c r="M360" t="n">
        <v>0</v>
      </c>
      <c r="N360" t="n">
        <v>0</v>
      </c>
      <c r="O360" t="n">
        <v>0</v>
      </c>
      <c r="P360" t="n">
        <v>0</v>
      </c>
      <c r="Q360" t="n">
        <v>0</v>
      </c>
      <c r="R360" s="2" t="inlineStr"/>
    </row>
    <row r="361" ht="15" customHeight="1">
      <c r="A361" t="inlineStr">
        <is>
          <t>A 49562-2024</t>
        </is>
      </c>
      <c r="B361" s="1" t="n">
        <v>45596</v>
      </c>
      <c r="C361" s="1" t="n">
        <v>46003</v>
      </c>
      <c r="D361" t="inlineStr">
        <is>
          <t>NORRBOTTENS LÄN</t>
        </is>
      </c>
      <c r="E361" t="inlineStr">
        <is>
          <t>JOKKMOKK</t>
        </is>
      </c>
      <c r="F361" t="inlineStr">
        <is>
          <t>Allmännings- och besparingsskogar</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49953-2024</t>
        </is>
      </c>
      <c r="B362" s="1" t="n">
        <v>45597</v>
      </c>
      <c r="C362" s="1" t="n">
        <v>46003</v>
      </c>
      <c r="D362" t="inlineStr">
        <is>
          <t>NORRBOTTENS LÄN</t>
        </is>
      </c>
      <c r="E362" t="inlineStr">
        <is>
          <t>JOKKMOKK</t>
        </is>
      </c>
      <c r="F362" t="inlineStr">
        <is>
          <t>Allmännings- och besparingsskogar</t>
        </is>
      </c>
      <c r="G362" t="n">
        <v>9.4</v>
      </c>
      <c r="H362" t="n">
        <v>0</v>
      </c>
      <c r="I362" t="n">
        <v>0</v>
      </c>
      <c r="J362" t="n">
        <v>0</v>
      </c>
      <c r="K362" t="n">
        <v>0</v>
      </c>
      <c r="L362" t="n">
        <v>0</v>
      </c>
      <c r="M362" t="n">
        <v>0</v>
      </c>
      <c r="N362" t="n">
        <v>0</v>
      </c>
      <c r="O362" t="n">
        <v>0</v>
      </c>
      <c r="P362" t="n">
        <v>0</v>
      </c>
      <c r="Q362" t="n">
        <v>0</v>
      </c>
      <c r="R362" s="2" t="inlineStr"/>
    </row>
    <row r="363" ht="15" customHeight="1">
      <c r="A363" t="inlineStr">
        <is>
          <t>A 55577-2025</t>
        </is>
      </c>
      <c r="B363" s="1" t="n">
        <v>45971.6684837963</v>
      </c>
      <c r="C363" s="1" t="n">
        <v>46003</v>
      </c>
      <c r="D363" t="inlineStr">
        <is>
          <t>NORRBOTTENS LÄN</t>
        </is>
      </c>
      <c r="E363" t="inlineStr">
        <is>
          <t>JOKKMOKK</t>
        </is>
      </c>
      <c r="F363" t="inlineStr">
        <is>
          <t>Allmännings- och besparingsskogar</t>
        </is>
      </c>
      <c r="G363" t="n">
        <v>7.8</v>
      </c>
      <c r="H363" t="n">
        <v>0</v>
      </c>
      <c r="I363" t="n">
        <v>0</v>
      </c>
      <c r="J363" t="n">
        <v>0</v>
      </c>
      <c r="K363" t="n">
        <v>0</v>
      </c>
      <c r="L363" t="n">
        <v>0</v>
      </c>
      <c r="M363" t="n">
        <v>0</v>
      </c>
      <c r="N363" t="n">
        <v>0</v>
      </c>
      <c r="O363" t="n">
        <v>0</v>
      </c>
      <c r="P363" t="n">
        <v>0</v>
      </c>
      <c r="Q363" t="n">
        <v>0</v>
      </c>
      <c r="R363" s="2" t="inlineStr"/>
    </row>
    <row r="364" ht="15" customHeight="1">
      <c r="A364" t="inlineStr">
        <is>
          <t>A 37828-2024</t>
        </is>
      </c>
      <c r="B364" s="1" t="n">
        <v>45544</v>
      </c>
      <c r="C364" s="1" t="n">
        <v>46003</v>
      </c>
      <c r="D364" t="inlineStr">
        <is>
          <t>NORRBOTTENS LÄN</t>
        </is>
      </c>
      <c r="E364" t="inlineStr">
        <is>
          <t>JOKKMOKK</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52130-2024</t>
        </is>
      </c>
      <c r="B365" s="1" t="n">
        <v>45608</v>
      </c>
      <c r="C365" s="1" t="n">
        <v>46003</v>
      </c>
      <c r="D365" t="inlineStr">
        <is>
          <t>NORRBOTTENS LÄN</t>
        </is>
      </c>
      <c r="E365" t="inlineStr">
        <is>
          <t>JOKKMOKK</t>
        </is>
      </c>
      <c r="G365" t="n">
        <v>84</v>
      </c>
      <c r="H365" t="n">
        <v>0</v>
      </c>
      <c r="I365" t="n">
        <v>0</v>
      </c>
      <c r="J365" t="n">
        <v>0</v>
      </c>
      <c r="K365" t="n">
        <v>0</v>
      </c>
      <c r="L365" t="n">
        <v>0</v>
      </c>
      <c r="M365" t="n">
        <v>0</v>
      </c>
      <c r="N365" t="n">
        <v>0</v>
      </c>
      <c r="O365" t="n">
        <v>0</v>
      </c>
      <c r="P365" t="n">
        <v>0</v>
      </c>
      <c r="Q365" t="n">
        <v>0</v>
      </c>
      <c r="R365" s="2" t="inlineStr"/>
    </row>
    <row r="366" ht="15" customHeight="1">
      <c r="A366" t="inlineStr">
        <is>
          <t>A 56192-2025</t>
        </is>
      </c>
      <c r="B366" s="1" t="n">
        <v>45974.44472222222</v>
      </c>
      <c r="C366" s="1" t="n">
        <v>46003</v>
      </c>
      <c r="D366" t="inlineStr">
        <is>
          <t>NORRBOTTENS LÄN</t>
        </is>
      </c>
      <c r="E366" t="inlineStr">
        <is>
          <t>JOKKMOKK</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56193-2025</t>
        </is>
      </c>
      <c r="B367" s="1" t="n">
        <v>45974.44701388889</v>
      </c>
      <c r="C367" s="1" t="n">
        <v>46003</v>
      </c>
      <c r="D367" t="inlineStr">
        <is>
          <t>NORRBOTTENS LÄN</t>
        </is>
      </c>
      <c r="E367" t="inlineStr">
        <is>
          <t>JOKKMOKK</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18602-2024</t>
        </is>
      </c>
      <c r="B368" s="1" t="n">
        <v>45425</v>
      </c>
      <c r="C368" s="1" t="n">
        <v>46003</v>
      </c>
      <c r="D368" t="inlineStr">
        <is>
          <t>NORRBOTTENS LÄN</t>
        </is>
      </c>
      <c r="E368" t="inlineStr">
        <is>
          <t>JOKKMOKK</t>
        </is>
      </c>
      <c r="G368" t="n">
        <v>4.6</v>
      </c>
      <c r="H368" t="n">
        <v>0</v>
      </c>
      <c r="I368" t="n">
        <v>0</v>
      </c>
      <c r="J368" t="n">
        <v>0</v>
      </c>
      <c r="K368" t="n">
        <v>0</v>
      </c>
      <c r="L368" t="n">
        <v>0</v>
      </c>
      <c r="M368" t="n">
        <v>0</v>
      </c>
      <c r="N368" t="n">
        <v>0</v>
      </c>
      <c r="O368" t="n">
        <v>0</v>
      </c>
      <c r="P368" t="n">
        <v>0</v>
      </c>
      <c r="Q368" t="n">
        <v>0</v>
      </c>
      <c r="R368" s="2" t="inlineStr"/>
    </row>
    <row r="369" ht="15" customHeight="1">
      <c r="A369" t="inlineStr">
        <is>
          <t>A 55635-2024</t>
        </is>
      </c>
      <c r="B369" s="1" t="n">
        <v>45622</v>
      </c>
      <c r="C369" s="1" t="n">
        <v>46003</v>
      </c>
      <c r="D369" t="inlineStr">
        <is>
          <t>NORRBOTTENS LÄN</t>
        </is>
      </c>
      <c r="E369" t="inlineStr">
        <is>
          <t>JOKKMOKK</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55990-2025</t>
        </is>
      </c>
      <c r="B370" s="1" t="n">
        <v>45973.55615740741</v>
      </c>
      <c r="C370" s="1" t="n">
        <v>46003</v>
      </c>
      <c r="D370" t="inlineStr">
        <is>
          <t>NORRBOTTENS LÄN</t>
        </is>
      </c>
      <c r="E370" t="inlineStr">
        <is>
          <t>JOKKMOKK</t>
        </is>
      </c>
      <c r="F370" t="inlineStr">
        <is>
          <t>Naturvårdsverket</t>
        </is>
      </c>
      <c r="G370" t="n">
        <v>6.2</v>
      </c>
      <c r="H370" t="n">
        <v>0</v>
      </c>
      <c r="I370" t="n">
        <v>0</v>
      </c>
      <c r="J370" t="n">
        <v>0</v>
      </c>
      <c r="K370" t="n">
        <v>0</v>
      </c>
      <c r="L370" t="n">
        <v>0</v>
      </c>
      <c r="M370" t="n">
        <v>0</v>
      </c>
      <c r="N370" t="n">
        <v>0</v>
      </c>
      <c r="O370" t="n">
        <v>0</v>
      </c>
      <c r="P370" t="n">
        <v>0</v>
      </c>
      <c r="Q370" t="n">
        <v>0</v>
      </c>
      <c r="R370" s="2" t="inlineStr"/>
    </row>
    <row r="371" ht="15" customHeight="1">
      <c r="A371" t="inlineStr">
        <is>
          <t>A 56317-2025</t>
        </is>
      </c>
      <c r="B371" s="1" t="n">
        <v>45974.63099537037</v>
      </c>
      <c r="C371" s="1" t="n">
        <v>46003</v>
      </c>
      <c r="D371" t="inlineStr">
        <is>
          <t>NORRBOTTENS LÄN</t>
        </is>
      </c>
      <c r="E371" t="inlineStr">
        <is>
          <t>JOKKMOKK</t>
        </is>
      </c>
      <c r="F371" t="inlineStr">
        <is>
          <t>Övriga statliga verk och myndigheter</t>
        </is>
      </c>
      <c r="G371" t="n">
        <v>14.5</v>
      </c>
      <c r="H371" t="n">
        <v>0</v>
      </c>
      <c r="I371" t="n">
        <v>0</v>
      </c>
      <c r="J371" t="n">
        <v>0</v>
      </c>
      <c r="K371" t="n">
        <v>0</v>
      </c>
      <c r="L371" t="n">
        <v>0</v>
      </c>
      <c r="M371" t="n">
        <v>0</v>
      </c>
      <c r="N371" t="n">
        <v>0</v>
      </c>
      <c r="O371" t="n">
        <v>0</v>
      </c>
      <c r="P371" t="n">
        <v>0</v>
      </c>
      <c r="Q371" t="n">
        <v>0</v>
      </c>
      <c r="R371" s="2" t="inlineStr"/>
    </row>
    <row r="372" ht="15" customHeight="1">
      <c r="A372" t="inlineStr">
        <is>
          <t>A 56322-2025</t>
        </is>
      </c>
      <c r="B372" s="1" t="n">
        <v>45974.63550925926</v>
      </c>
      <c r="C372" s="1" t="n">
        <v>46003</v>
      </c>
      <c r="D372" t="inlineStr">
        <is>
          <t>NORRBOTTENS LÄN</t>
        </is>
      </c>
      <c r="E372" t="inlineStr">
        <is>
          <t>JOKKMOKK</t>
        </is>
      </c>
      <c r="F372" t="inlineStr">
        <is>
          <t>Övriga statliga verk och myndigheter</t>
        </is>
      </c>
      <c r="G372" t="n">
        <v>6.2</v>
      </c>
      <c r="H372" t="n">
        <v>0</v>
      </c>
      <c r="I372" t="n">
        <v>0</v>
      </c>
      <c r="J372" t="n">
        <v>0</v>
      </c>
      <c r="K372" t="n">
        <v>0</v>
      </c>
      <c r="L372" t="n">
        <v>0</v>
      </c>
      <c r="M372" t="n">
        <v>0</v>
      </c>
      <c r="N372" t="n">
        <v>0</v>
      </c>
      <c r="O372" t="n">
        <v>0</v>
      </c>
      <c r="P372" t="n">
        <v>0</v>
      </c>
      <c r="Q372" t="n">
        <v>0</v>
      </c>
      <c r="R372" s="2" t="inlineStr"/>
    </row>
    <row r="373" ht="15" customHeight="1">
      <c r="A373" t="inlineStr">
        <is>
          <t>A 56012-2025</t>
        </is>
      </c>
      <c r="B373" s="1" t="n">
        <v>45973.58731481482</v>
      </c>
      <c r="C373" s="1" t="n">
        <v>46003</v>
      </c>
      <c r="D373" t="inlineStr">
        <is>
          <t>NORRBOTTENS LÄN</t>
        </is>
      </c>
      <c r="E373" t="inlineStr">
        <is>
          <t>JOKKMOKK</t>
        </is>
      </c>
      <c r="F373" t="inlineStr">
        <is>
          <t>Naturvårdsverket</t>
        </is>
      </c>
      <c r="G373" t="n">
        <v>1.5</v>
      </c>
      <c r="H373" t="n">
        <v>0</v>
      </c>
      <c r="I373" t="n">
        <v>0</v>
      </c>
      <c r="J373" t="n">
        <v>0</v>
      </c>
      <c r="K373" t="n">
        <v>0</v>
      </c>
      <c r="L373" t="n">
        <v>0</v>
      </c>
      <c r="M373" t="n">
        <v>0</v>
      </c>
      <c r="N373" t="n">
        <v>0</v>
      </c>
      <c r="O373" t="n">
        <v>0</v>
      </c>
      <c r="P373" t="n">
        <v>0</v>
      </c>
      <c r="Q373" t="n">
        <v>0</v>
      </c>
      <c r="R373" s="2" t="inlineStr"/>
    </row>
    <row r="374" ht="15" customHeight="1">
      <c r="A374" t="inlineStr">
        <is>
          <t>A 35675-2024</t>
        </is>
      </c>
      <c r="B374" s="1" t="n">
        <v>45532</v>
      </c>
      <c r="C374" s="1" t="n">
        <v>46003</v>
      </c>
      <c r="D374" t="inlineStr">
        <is>
          <t>NORRBOTTENS LÄN</t>
        </is>
      </c>
      <c r="E374" t="inlineStr">
        <is>
          <t>JOKKMOKK</t>
        </is>
      </c>
      <c r="G374" t="n">
        <v>1.4</v>
      </c>
      <c r="H374" t="n">
        <v>0</v>
      </c>
      <c r="I374" t="n">
        <v>0</v>
      </c>
      <c r="J374" t="n">
        <v>0</v>
      </c>
      <c r="K374" t="n">
        <v>0</v>
      </c>
      <c r="L374" t="n">
        <v>0</v>
      </c>
      <c r="M374" t="n">
        <v>0</v>
      </c>
      <c r="N374" t="n">
        <v>0</v>
      </c>
      <c r="O374" t="n">
        <v>0</v>
      </c>
      <c r="P374" t="n">
        <v>0</v>
      </c>
      <c r="Q374" t="n">
        <v>0</v>
      </c>
      <c r="R374" s="2" t="inlineStr"/>
    </row>
    <row r="375" ht="15" customHeight="1">
      <c r="A375" t="inlineStr">
        <is>
          <t>A 47530-2025</t>
        </is>
      </c>
      <c r="B375" s="1" t="n">
        <v>45931</v>
      </c>
      <c r="C375" s="1" t="n">
        <v>46003</v>
      </c>
      <c r="D375" t="inlineStr">
        <is>
          <t>NORRBOTTENS LÄN</t>
        </is>
      </c>
      <c r="E375" t="inlineStr">
        <is>
          <t>JOKKMOKK</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56372-2025</t>
        </is>
      </c>
      <c r="B376" s="1" t="n">
        <v>45974.68207175926</v>
      </c>
      <c r="C376" s="1" t="n">
        <v>46003</v>
      </c>
      <c r="D376" t="inlineStr">
        <is>
          <t>NORRBOTTENS LÄN</t>
        </is>
      </c>
      <c r="E376" t="inlineStr">
        <is>
          <t>JOKKMOKK</t>
        </is>
      </c>
      <c r="F376" t="inlineStr">
        <is>
          <t>Sveaskog</t>
        </is>
      </c>
      <c r="G376" t="n">
        <v>26.4</v>
      </c>
      <c r="H376" t="n">
        <v>0</v>
      </c>
      <c r="I376" t="n">
        <v>0</v>
      </c>
      <c r="J376" t="n">
        <v>0</v>
      </c>
      <c r="K376" t="n">
        <v>0</v>
      </c>
      <c r="L376" t="n">
        <v>0</v>
      </c>
      <c r="M376" t="n">
        <v>0</v>
      </c>
      <c r="N376" t="n">
        <v>0</v>
      </c>
      <c r="O376" t="n">
        <v>0</v>
      </c>
      <c r="P376" t="n">
        <v>0</v>
      </c>
      <c r="Q376" t="n">
        <v>0</v>
      </c>
      <c r="R376" s="2" t="inlineStr"/>
    </row>
    <row r="377" ht="15" customHeight="1">
      <c r="A377" t="inlineStr">
        <is>
          <t>A 42095-2025</t>
        </is>
      </c>
      <c r="B377" s="1" t="n">
        <v>45903</v>
      </c>
      <c r="C377" s="1" t="n">
        <v>46003</v>
      </c>
      <c r="D377" t="inlineStr">
        <is>
          <t>NORRBOTTENS LÄN</t>
        </is>
      </c>
      <c r="E377" t="inlineStr">
        <is>
          <t>JOKKMOKK</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56286-2025</t>
        </is>
      </c>
      <c r="B378" s="1" t="n">
        <v>45974.59608796296</v>
      </c>
      <c r="C378" s="1" t="n">
        <v>46003</v>
      </c>
      <c r="D378" t="inlineStr">
        <is>
          <t>NORRBOTTENS LÄN</t>
        </is>
      </c>
      <c r="E378" t="inlineStr">
        <is>
          <t>JOKKMOKK</t>
        </is>
      </c>
      <c r="F378" t="inlineStr">
        <is>
          <t>Sveaskog</t>
        </is>
      </c>
      <c r="G378" t="n">
        <v>22.8</v>
      </c>
      <c r="H378" t="n">
        <v>0</v>
      </c>
      <c r="I378" t="n">
        <v>0</v>
      </c>
      <c r="J378" t="n">
        <v>0</v>
      </c>
      <c r="K378" t="n">
        <v>0</v>
      </c>
      <c r="L378" t="n">
        <v>0</v>
      </c>
      <c r="M378" t="n">
        <v>0</v>
      </c>
      <c r="N378" t="n">
        <v>0</v>
      </c>
      <c r="O378" t="n">
        <v>0</v>
      </c>
      <c r="P378" t="n">
        <v>0</v>
      </c>
      <c r="Q378" t="n">
        <v>0</v>
      </c>
      <c r="R378" s="2" t="inlineStr"/>
    </row>
    <row r="379" ht="15" customHeight="1">
      <c r="A379" t="inlineStr">
        <is>
          <t>A 56321-2025</t>
        </is>
      </c>
      <c r="B379" s="1" t="n">
        <v>45974.63530092593</v>
      </c>
      <c r="C379" s="1" t="n">
        <v>46003</v>
      </c>
      <c r="D379" t="inlineStr">
        <is>
          <t>NORRBOTTENS LÄN</t>
        </is>
      </c>
      <c r="E379" t="inlineStr">
        <is>
          <t>JOKKMOKK</t>
        </is>
      </c>
      <c r="F379" t="inlineStr">
        <is>
          <t>Övriga statliga verk och myndigheter</t>
        </is>
      </c>
      <c r="G379" t="n">
        <v>14.6</v>
      </c>
      <c r="H379" t="n">
        <v>0</v>
      </c>
      <c r="I379" t="n">
        <v>0</v>
      </c>
      <c r="J379" t="n">
        <v>0</v>
      </c>
      <c r="K379" t="n">
        <v>0</v>
      </c>
      <c r="L379" t="n">
        <v>0</v>
      </c>
      <c r="M379" t="n">
        <v>0</v>
      </c>
      <c r="N379" t="n">
        <v>0</v>
      </c>
      <c r="O379" t="n">
        <v>0</v>
      </c>
      <c r="P379" t="n">
        <v>0</v>
      </c>
      <c r="Q379" t="n">
        <v>0</v>
      </c>
      <c r="R379" s="2" t="inlineStr"/>
    </row>
    <row r="380" ht="15" customHeight="1">
      <c r="A380" t="inlineStr">
        <is>
          <t>A 56323-2025</t>
        </is>
      </c>
      <c r="B380" s="1" t="n">
        <v>45974.63583333333</v>
      </c>
      <c r="C380" s="1" t="n">
        <v>46003</v>
      </c>
      <c r="D380" t="inlineStr">
        <is>
          <t>NORRBOTTENS LÄN</t>
        </is>
      </c>
      <c r="E380" t="inlineStr">
        <is>
          <t>JOKKMOKK</t>
        </is>
      </c>
      <c r="F380" t="inlineStr">
        <is>
          <t>Övriga statliga verk och myndigheter</t>
        </is>
      </c>
      <c r="G380" t="n">
        <v>5.5</v>
      </c>
      <c r="H380" t="n">
        <v>0</v>
      </c>
      <c r="I380" t="n">
        <v>0</v>
      </c>
      <c r="J380" t="n">
        <v>0</v>
      </c>
      <c r="K380" t="n">
        <v>0</v>
      </c>
      <c r="L380" t="n">
        <v>0</v>
      </c>
      <c r="M380" t="n">
        <v>0</v>
      </c>
      <c r="N380" t="n">
        <v>0</v>
      </c>
      <c r="O380" t="n">
        <v>0</v>
      </c>
      <c r="P380" t="n">
        <v>0</v>
      </c>
      <c r="Q380" t="n">
        <v>0</v>
      </c>
      <c r="R380" s="2" t="inlineStr"/>
    </row>
    <row r="381" ht="15" customHeight="1">
      <c r="A381" t="inlineStr">
        <is>
          <t>A 56343-2025</t>
        </is>
      </c>
      <c r="B381" s="1" t="n">
        <v>45974.64890046296</v>
      </c>
      <c r="C381" s="1" t="n">
        <v>46003</v>
      </c>
      <c r="D381" t="inlineStr">
        <is>
          <t>NORRBOTTENS LÄN</t>
        </is>
      </c>
      <c r="E381" t="inlineStr">
        <is>
          <t>JOKKMOKK</t>
        </is>
      </c>
      <c r="F381" t="inlineStr">
        <is>
          <t>Övriga statliga verk och myndigheter</t>
        </is>
      </c>
      <c r="G381" t="n">
        <v>14.8</v>
      </c>
      <c r="H381" t="n">
        <v>0</v>
      </c>
      <c r="I381" t="n">
        <v>0</v>
      </c>
      <c r="J381" t="n">
        <v>0</v>
      </c>
      <c r="K381" t="n">
        <v>0</v>
      </c>
      <c r="L381" t="n">
        <v>0</v>
      </c>
      <c r="M381" t="n">
        <v>0</v>
      </c>
      <c r="N381" t="n">
        <v>0</v>
      </c>
      <c r="O381" t="n">
        <v>0</v>
      </c>
      <c r="P381" t="n">
        <v>0</v>
      </c>
      <c r="Q381" t="n">
        <v>0</v>
      </c>
      <c r="R381" s="2" t="inlineStr"/>
    </row>
    <row r="382" ht="15" customHeight="1">
      <c r="A382" t="inlineStr">
        <is>
          <t>A 47529-2025</t>
        </is>
      </c>
      <c r="B382" s="1" t="n">
        <v>45931</v>
      </c>
      <c r="C382" s="1" t="n">
        <v>46003</v>
      </c>
      <c r="D382" t="inlineStr">
        <is>
          <t>NORRBOTTENS LÄN</t>
        </is>
      </c>
      <c r="E382" t="inlineStr">
        <is>
          <t>JOKKMOKK</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56387-2025</t>
        </is>
      </c>
      <c r="B383" s="1" t="n">
        <v>45974.72184027778</v>
      </c>
      <c r="C383" s="1" t="n">
        <v>46003</v>
      </c>
      <c r="D383" t="inlineStr">
        <is>
          <t>NORRBOTTENS LÄN</t>
        </is>
      </c>
      <c r="E383" t="inlineStr">
        <is>
          <t>JOKKMOKK</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27685-2025</t>
        </is>
      </c>
      <c r="B384" s="1" t="n">
        <v>45813.65023148148</v>
      </c>
      <c r="C384" s="1" t="n">
        <v>46003</v>
      </c>
      <c r="D384" t="inlineStr">
        <is>
          <t>NORRBOTTENS LÄN</t>
        </is>
      </c>
      <c r="E384" t="inlineStr">
        <is>
          <t>JOKKMOKK</t>
        </is>
      </c>
      <c r="G384" t="n">
        <v>2</v>
      </c>
      <c r="H384" t="n">
        <v>0</v>
      </c>
      <c r="I384" t="n">
        <v>0</v>
      </c>
      <c r="J384" t="n">
        <v>0</v>
      </c>
      <c r="K384" t="n">
        <v>0</v>
      </c>
      <c r="L384" t="n">
        <v>0</v>
      </c>
      <c r="M384" t="n">
        <v>0</v>
      </c>
      <c r="N384" t="n">
        <v>0</v>
      </c>
      <c r="O384" t="n">
        <v>0</v>
      </c>
      <c r="P384" t="n">
        <v>0</v>
      </c>
      <c r="Q384" t="n">
        <v>0</v>
      </c>
      <c r="R384" s="2" t="inlineStr"/>
    </row>
    <row r="385" ht="15" customHeight="1">
      <c r="A385" t="inlineStr">
        <is>
          <t>A 48166-2025</t>
        </is>
      </c>
      <c r="B385" s="1" t="n">
        <v>45933</v>
      </c>
      <c r="C385" s="1" t="n">
        <v>46003</v>
      </c>
      <c r="D385" t="inlineStr">
        <is>
          <t>NORRBOTTENS LÄN</t>
        </is>
      </c>
      <c r="E385" t="inlineStr">
        <is>
          <t>JOKKMOKK</t>
        </is>
      </c>
      <c r="G385" t="n">
        <v>41.8</v>
      </c>
      <c r="H385" t="n">
        <v>0</v>
      </c>
      <c r="I385" t="n">
        <v>0</v>
      </c>
      <c r="J385" t="n">
        <v>0</v>
      </c>
      <c r="K385" t="n">
        <v>0</v>
      </c>
      <c r="L385" t="n">
        <v>0</v>
      </c>
      <c r="M385" t="n">
        <v>0</v>
      </c>
      <c r="N385" t="n">
        <v>0</v>
      </c>
      <c r="O385" t="n">
        <v>0</v>
      </c>
      <c r="P385" t="n">
        <v>0</v>
      </c>
      <c r="Q385" t="n">
        <v>0</v>
      </c>
      <c r="R385" s="2" t="inlineStr"/>
    </row>
    <row r="386" ht="15" customHeight="1">
      <c r="A386" t="inlineStr">
        <is>
          <t>A 48167-2025</t>
        </is>
      </c>
      <c r="B386" s="1" t="n">
        <v>45933</v>
      </c>
      <c r="C386" s="1" t="n">
        <v>46003</v>
      </c>
      <c r="D386" t="inlineStr">
        <is>
          <t>NORRBOTTENS LÄN</t>
        </is>
      </c>
      <c r="E386" t="inlineStr">
        <is>
          <t>JOKKMOKK</t>
        </is>
      </c>
      <c r="G386" t="n">
        <v>3.4</v>
      </c>
      <c r="H386" t="n">
        <v>0</v>
      </c>
      <c r="I386" t="n">
        <v>0</v>
      </c>
      <c r="J386" t="n">
        <v>0</v>
      </c>
      <c r="K386" t="n">
        <v>0</v>
      </c>
      <c r="L386" t="n">
        <v>0</v>
      </c>
      <c r="M386" t="n">
        <v>0</v>
      </c>
      <c r="N386" t="n">
        <v>0</v>
      </c>
      <c r="O386" t="n">
        <v>0</v>
      </c>
      <c r="P386" t="n">
        <v>0</v>
      </c>
      <c r="Q386" t="n">
        <v>0</v>
      </c>
      <c r="R386" s="2" t="inlineStr"/>
    </row>
    <row r="387" ht="15" customHeight="1">
      <c r="A387" t="inlineStr">
        <is>
          <t>A 48141-2025</t>
        </is>
      </c>
      <c r="B387" s="1" t="n">
        <v>45933</v>
      </c>
      <c r="C387" s="1" t="n">
        <v>46003</v>
      </c>
      <c r="D387" t="inlineStr">
        <is>
          <t>NORRBOTTENS LÄN</t>
        </is>
      </c>
      <c r="E387" t="inlineStr">
        <is>
          <t>JOKKMOKK</t>
        </is>
      </c>
      <c r="G387" t="n">
        <v>17.7</v>
      </c>
      <c r="H387" t="n">
        <v>0</v>
      </c>
      <c r="I387" t="n">
        <v>0</v>
      </c>
      <c r="J387" t="n">
        <v>0</v>
      </c>
      <c r="K387" t="n">
        <v>0</v>
      </c>
      <c r="L387" t="n">
        <v>0</v>
      </c>
      <c r="M387" t="n">
        <v>0</v>
      </c>
      <c r="N387" t="n">
        <v>0</v>
      </c>
      <c r="O387" t="n">
        <v>0</v>
      </c>
      <c r="P387" t="n">
        <v>0</v>
      </c>
      <c r="Q387" t="n">
        <v>0</v>
      </c>
      <c r="R387" s="2" t="inlineStr"/>
    </row>
    <row r="388" ht="15" customHeight="1">
      <c r="A388" t="inlineStr">
        <is>
          <t>A 56445-2025</t>
        </is>
      </c>
      <c r="B388" s="1" t="n">
        <v>45975.34825231481</v>
      </c>
      <c r="C388" s="1" t="n">
        <v>46003</v>
      </c>
      <c r="D388" t="inlineStr">
        <is>
          <t>NORRBOTTENS LÄN</t>
        </is>
      </c>
      <c r="E388" t="inlineStr">
        <is>
          <t>JOKKMOKK</t>
        </is>
      </c>
      <c r="G388" t="n">
        <v>35.7</v>
      </c>
      <c r="H388" t="n">
        <v>0</v>
      </c>
      <c r="I388" t="n">
        <v>0</v>
      </c>
      <c r="J388" t="n">
        <v>0</v>
      </c>
      <c r="K388" t="n">
        <v>0</v>
      </c>
      <c r="L388" t="n">
        <v>0</v>
      </c>
      <c r="M388" t="n">
        <v>0</v>
      </c>
      <c r="N388" t="n">
        <v>0</v>
      </c>
      <c r="O388" t="n">
        <v>0</v>
      </c>
      <c r="P388" t="n">
        <v>0</v>
      </c>
      <c r="Q388" t="n">
        <v>0</v>
      </c>
      <c r="R388" s="2" t="inlineStr"/>
    </row>
    <row r="389" ht="15" customHeight="1">
      <c r="A389" t="inlineStr">
        <is>
          <t>A 48339-2024</t>
        </is>
      </c>
      <c r="B389" s="1" t="n">
        <v>45590</v>
      </c>
      <c r="C389" s="1" t="n">
        <v>46003</v>
      </c>
      <c r="D389" t="inlineStr">
        <is>
          <t>NORRBOTTENS LÄN</t>
        </is>
      </c>
      <c r="E389" t="inlineStr">
        <is>
          <t>JOKKMOKK</t>
        </is>
      </c>
      <c r="F389" t="inlineStr">
        <is>
          <t>Allmännings- och besparingsskogar</t>
        </is>
      </c>
      <c r="G389" t="n">
        <v>24.9</v>
      </c>
      <c r="H389" t="n">
        <v>0</v>
      </c>
      <c r="I389" t="n">
        <v>0</v>
      </c>
      <c r="J389" t="n">
        <v>0</v>
      </c>
      <c r="K389" t="n">
        <v>0</v>
      </c>
      <c r="L389" t="n">
        <v>0</v>
      </c>
      <c r="M389" t="n">
        <v>0</v>
      </c>
      <c r="N389" t="n">
        <v>0</v>
      </c>
      <c r="O389" t="n">
        <v>0</v>
      </c>
      <c r="P389" t="n">
        <v>0</v>
      </c>
      <c r="Q389" t="n">
        <v>0</v>
      </c>
      <c r="R389" s="2" t="inlineStr"/>
    </row>
    <row r="390" ht="15" customHeight="1">
      <c r="A390" t="inlineStr">
        <is>
          <t>A 56507-2025</t>
        </is>
      </c>
      <c r="B390" s="1" t="n">
        <v>45975</v>
      </c>
      <c r="C390" s="1" t="n">
        <v>46003</v>
      </c>
      <c r="D390" t="inlineStr">
        <is>
          <t>NORRBOTTENS LÄN</t>
        </is>
      </c>
      <c r="E390" t="inlineStr">
        <is>
          <t>JOKKMOKK</t>
        </is>
      </c>
      <c r="F390" t="inlineStr">
        <is>
          <t>Allmännings- och besparingsskogar</t>
        </is>
      </c>
      <c r="G390" t="n">
        <v>20</v>
      </c>
      <c r="H390" t="n">
        <v>0</v>
      </c>
      <c r="I390" t="n">
        <v>0</v>
      </c>
      <c r="J390" t="n">
        <v>0</v>
      </c>
      <c r="K390" t="n">
        <v>0</v>
      </c>
      <c r="L390" t="n">
        <v>0</v>
      </c>
      <c r="M390" t="n">
        <v>0</v>
      </c>
      <c r="N390" t="n">
        <v>0</v>
      </c>
      <c r="O390" t="n">
        <v>0</v>
      </c>
      <c r="P390" t="n">
        <v>0</v>
      </c>
      <c r="Q390" t="n">
        <v>0</v>
      </c>
      <c r="R390" s="2" t="inlineStr"/>
    </row>
    <row r="391" ht="15" customHeight="1">
      <c r="A391" t="inlineStr">
        <is>
          <t>A 28591-2025</t>
        </is>
      </c>
      <c r="B391" s="1" t="n">
        <v>45819.59027777778</v>
      </c>
      <c r="C391" s="1" t="n">
        <v>46003</v>
      </c>
      <c r="D391" t="inlineStr">
        <is>
          <t>NORRBOTTENS LÄN</t>
        </is>
      </c>
      <c r="E391" t="inlineStr">
        <is>
          <t>JOKKMOKK</t>
        </is>
      </c>
      <c r="F391" t="inlineStr">
        <is>
          <t>Sveaskog</t>
        </is>
      </c>
      <c r="G391" t="n">
        <v>11.9</v>
      </c>
      <c r="H391" t="n">
        <v>0</v>
      </c>
      <c r="I391" t="n">
        <v>0</v>
      </c>
      <c r="J391" t="n">
        <v>0</v>
      </c>
      <c r="K391" t="n">
        <v>0</v>
      </c>
      <c r="L391" t="n">
        <v>0</v>
      </c>
      <c r="M391" t="n">
        <v>0</v>
      </c>
      <c r="N391" t="n">
        <v>0</v>
      </c>
      <c r="O391" t="n">
        <v>0</v>
      </c>
      <c r="P391" t="n">
        <v>0</v>
      </c>
      <c r="Q391" t="n">
        <v>0</v>
      </c>
      <c r="R391" s="2" t="inlineStr"/>
    </row>
    <row r="392" ht="15" customHeight="1">
      <c r="A392" t="inlineStr">
        <is>
          <t>A 28639-2025</t>
        </is>
      </c>
      <c r="B392" s="1" t="n">
        <v>45819.63649305556</v>
      </c>
      <c r="C392" s="1" t="n">
        <v>46003</v>
      </c>
      <c r="D392" t="inlineStr">
        <is>
          <t>NORRBOTTENS LÄN</t>
        </is>
      </c>
      <c r="E392" t="inlineStr">
        <is>
          <t>JOKKMOKK</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28601-2025</t>
        </is>
      </c>
      <c r="B393" s="1" t="n">
        <v>45819.59802083333</v>
      </c>
      <c r="C393" s="1" t="n">
        <v>46003</v>
      </c>
      <c r="D393" t="inlineStr">
        <is>
          <t>NORRBOTTENS LÄN</t>
        </is>
      </c>
      <c r="E393" t="inlineStr">
        <is>
          <t>JOKKMOKK</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48946-2025</t>
        </is>
      </c>
      <c r="B394" s="1" t="n">
        <v>45937.53831018518</v>
      </c>
      <c r="C394" s="1" t="n">
        <v>46003</v>
      </c>
      <c r="D394" t="inlineStr">
        <is>
          <t>NORRBOTTENS LÄN</t>
        </is>
      </c>
      <c r="E394" t="inlineStr">
        <is>
          <t>JOKKMOKK</t>
        </is>
      </c>
      <c r="G394" t="n">
        <v>57.3</v>
      </c>
      <c r="H394" t="n">
        <v>0</v>
      </c>
      <c r="I394" t="n">
        <v>0</v>
      </c>
      <c r="J394" t="n">
        <v>0</v>
      </c>
      <c r="K394" t="n">
        <v>0</v>
      </c>
      <c r="L394" t="n">
        <v>0</v>
      </c>
      <c r="M394" t="n">
        <v>0</v>
      </c>
      <c r="N394" t="n">
        <v>0</v>
      </c>
      <c r="O394" t="n">
        <v>0</v>
      </c>
      <c r="P394" t="n">
        <v>0</v>
      </c>
      <c r="Q394" t="n">
        <v>0</v>
      </c>
      <c r="R394" s="2" t="inlineStr"/>
    </row>
    <row r="395" ht="15" customHeight="1">
      <c r="A395" t="inlineStr">
        <is>
          <t>A 29446-2025</t>
        </is>
      </c>
      <c r="B395" s="1" t="n">
        <v>45824</v>
      </c>
      <c r="C395" s="1" t="n">
        <v>46003</v>
      </c>
      <c r="D395" t="inlineStr">
        <is>
          <t>NORRBOTTENS LÄN</t>
        </is>
      </c>
      <c r="E395" t="inlineStr">
        <is>
          <t>JOKKMOKK</t>
        </is>
      </c>
      <c r="G395" t="n">
        <v>68.5</v>
      </c>
      <c r="H395" t="n">
        <v>0</v>
      </c>
      <c r="I395" t="n">
        <v>0</v>
      </c>
      <c r="J395" t="n">
        <v>0</v>
      </c>
      <c r="K395" t="n">
        <v>0</v>
      </c>
      <c r="L395" t="n">
        <v>0</v>
      </c>
      <c r="M395" t="n">
        <v>0</v>
      </c>
      <c r="N395" t="n">
        <v>0</v>
      </c>
      <c r="O395" t="n">
        <v>0</v>
      </c>
      <c r="P395" t="n">
        <v>0</v>
      </c>
      <c r="Q395" t="n">
        <v>0</v>
      </c>
      <c r="R395" s="2" t="inlineStr"/>
    </row>
    <row r="396" ht="15" customHeight="1">
      <c r="A396" t="inlineStr">
        <is>
          <t>A 29333-2025</t>
        </is>
      </c>
      <c r="B396" s="1" t="n">
        <v>45824</v>
      </c>
      <c r="C396" s="1" t="n">
        <v>46003</v>
      </c>
      <c r="D396" t="inlineStr">
        <is>
          <t>NORRBOTTENS LÄN</t>
        </is>
      </c>
      <c r="E396" t="inlineStr">
        <is>
          <t>JOKKMOKK</t>
        </is>
      </c>
      <c r="G396" t="n">
        <v>17.3</v>
      </c>
      <c r="H396" t="n">
        <v>0</v>
      </c>
      <c r="I396" t="n">
        <v>0</v>
      </c>
      <c r="J396" t="n">
        <v>0</v>
      </c>
      <c r="K396" t="n">
        <v>0</v>
      </c>
      <c r="L396" t="n">
        <v>0</v>
      </c>
      <c r="M396" t="n">
        <v>0</v>
      </c>
      <c r="N396" t="n">
        <v>0</v>
      </c>
      <c r="O396" t="n">
        <v>0</v>
      </c>
      <c r="P396" t="n">
        <v>0</v>
      </c>
      <c r="Q396" t="n">
        <v>0</v>
      </c>
      <c r="R396" s="2" t="inlineStr"/>
    </row>
    <row r="397" ht="15" customHeight="1">
      <c r="A397" t="inlineStr">
        <is>
          <t>A 29418-2025</t>
        </is>
      </c>
      <c r="B397" s="1" t="n">
        <v>45824.63607638889</v>
      </c>
      <c r="C397" s="1" t="n">
        <v>46003</v>
      </c>
      <c r="D397" t="inlineStr">
        <is>
          <t>NORRBOTTENS LÄN</t>
        </is>
      </c>
      <c r="E397" t="inlineStr">
        <is>
          <t>JOKKMOKK</t>
        </is>
      </c>
      <c r="G397" t="n">
        <v>17.8</v>
      </c>
      <c r="H397" t="n">
        <v>0</v>
      </c>
      <c r="I397" t="n">
        <v>0</v>
      </c>
      <c r="J397" t="n">
        <v>0</v>
      </c>
      <c r="K397" t="n">
        <v>0</v>
      </c>
      <c r="L397" t="n">
        <v>0</v>
      </c>
      <c r="M397" t="n">
        <v>0</v>
      </c>
      <c r="N397" t="n">
        <v>0</v>
      </c>
      <c r="O397" t="n">
        <v>0</v>
      </c>
      <c r="P397" t="n">
        <v>0</v>
      </c>
      <c r="Q397" t="n">
        <v>0</v>
      </c>
      <c r="R397" s="2" t="inlineStr"/>
    </row>
    <row r="398" ht="15" customHeight="1">
      <c r="A398" t="inlineStr">
        <is>
          <t>A 43886-2025</t>
        </is>
      </c>
      <c r="B398" s="1" t="n">
        <v>45912</v>
      </c>
      <c r="C398" s="1" t="n">
        <v>46003</v>
      </c>
      <c r="D398" t="inlineStr">
        <is>
          <t>NORRBOTTENS LÄN</t>
        </is>
      </c>
      <c r="E398" t="inlineStr">
        <is>
          <t>JOKKMOKK</t>
        </is>
      </c>
      <c r="G398" t="n">
        <v>38.1</v>
      </c>
      <c r="H398" t="n">
        <v>0</v>
      </c>
      <c r="I398" t="n">
        <v>0</v>
      </c>
      <c r="J398" t="n">
        <v>0</v>
      </c>
      <c r="K398" t="n">
        <v>0</v>
      </c>
      <c r="L398" t="n">
        <v>0</v>
      </c>
      <c r="M398" t="n">
        <v>0</v>
      </c>
      <c r="N398" t="n">
        <v>0</v>
      </c>
      <c r="O398" t="n">
        <v>0</v>
      </c>
      <c r="P398" t="n">
        <v>0</v>
      </c>
      <c r="Q398" t="n">
        <v>0</v>
      </c>
      <c r="R398" s="2" t="inlineStr"/>
    </row>
    <row r="399" ht="15" customHeight="1">
      <c r="A399" t="inlineStr">
        <is>
          <t>A 29853-2025</t>
        </is>
      </c>
      <c r="B399" s="1" t="n">
        <v>45826.34438657408</v>
      </c>
      <c r="C399" s="1" t="n">
        <v>46003</v>
      </c>
      <c r="D399" t="inlineStr">
        <is>
          <t>NORRBOTTENS LÄN</t>
        </is>
      </c>
      <c r="E399" t="inlineStr">
        <is>
          <t>JOKKMOKK</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29857-2025</t>
        </is>
      </c>
      <c r="B400" s="1" t="n">
        <v>45826.3453125</v>
      </c>
      <c r="C400" s="1" t="n">
        <v>46003</v>
      </c>
      <c r="D400" t="inlineStr">
        <is>
          <t>NORRBOTTENS LÄN</t>
        </is>
      </c>
      <c r="E400" t="inlineStr">
        <is>
          <t>JOKKMOKK</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49896-2025</t>
        </is>
      </c>
      <c r="B401" s="1" t="n">
        <v>45940.58270833334</v>
      </c>
      <c r="C401" s="1" t="n">
        <v>46003</v>
      </c>
      <c r="D401" t="inlineStr">
        <is>
          <t>NORRBOTTENS LÄN</t>
        </is>
      </c>
      <c r="E401" t="inlineStr">
        <is>
          <t>JOKKMOKK</t>
        </is>
      </c>
      <c r="F401" t="inlineStr">
        <is>
          <t>Sveaskog</t>
        </is>
      </c>
      <c r="G401" t="n">
        <v>7.6</v>
      </c>
      <c r="H401" t="n">
        <v>0</v>
      </c>
      <c r="I401" t="n">
        <v>0</v>
      </c>
      <c r="J401" t="n">
        <v>0</v>
      </c>
      <c r="K401" t="n">
        <v>0</v>
      </c>
      <c r="L401" t="n">
        <v>0</v>
      </c>
      <c r="M401" t="n">
        <v>0</v>
      </c>
      <c r="N401" t="n">
        <v>0</v>
      </c>
      <c r="O401" t="n">
        <v>0</v>
      </c>
      <c r="P401" t="n">
        <v>0</v>
      </c>
      <c r="Q401" t="n">
        <v>0</v>
      </c>
      <c r="R401" s="2" t="inlineStr"/>
    </row>
    <row r="402" ht="15" customHeight="1">
      <c r="A402" t="inlineStr">
        <is>
          <t>A 29856-2025</t>
        </is>
      </c>
      <c r="B402" s="1" t="n">
        <v>45826.345</v>
      </c>
      <c r="C402" s="1" t="n">
        <v>46003</v>
      </c>
      <c r="D402" t="inlineStr">
        <is>
          <t>NORRBOTTENS LÄN</t>
        </is>
      </c>
      <c r="E402" t="inlineStr">
        <is>
          <t>JOKKMOKK</t>
        </is>
      </c>
      <c r="F402" t="inlineStr">
        <is>
          <t>SCA</t>
        </is>
      </c>
      <c r="G402" t="n">
        <v>7.1</v>
      </c>
      <c r="H402" t="n">
        <v>0</v>
      </c>
      <c r="I402" t="n">
        <v>0</v>
      </c>
      <c r="J402" t="n">
        <v>0</v>
      </c>
      <c r="K402" t="n">
        <v>0</v>
      </c>
      <c r="L402" t="n">
        <v>0</v>
      </c>
      <c r="M402" t="n">
        <v>0</v>
      </c>
      <c r="N402" t="n">
        <v>0</v>
      </c>
      <c r="O402" t="n">
        <v>0</v>
      </c>
      <c r="P402" t="n">
        <v>0</v>
      </c>
      <c r="Q402" t="n">
        <v>0</v>
      </c>
      <c r="R402" s="2" t="inlineStr"/>
    </row>
    <row r="403" ht="15" customHeight="1">
      <c r="A403" t="inlineStr">
        <is>
          <t>A 29858-2025</t>
        </is>
      </c>
      <c r="B403" s="1" t="n">
        <v>45826.34565972222</v>
      </c>
      <c r="C403" s="1" t="n">
        <v>46003</v>
      </c>
      <c r="D403" t="inlineStr">
        <is>
          <t>NORRBOTTENS LÄN</t>
        </is>
      </c>
      <c r="E403" t="inlineStr">
        <is>
          <t>JOKKMOKK</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49477-2025</t>
        </is>
      </c>
      <c r="B404" s="1" t="n">
        <v>45939.34547453704</v>
      </c>
      <c r="C404" s="1" t="n">
        <v>46003</v>
      </c>
      <c r="D404" t="inlineStr">
        <is>
          <t>NORRBOTTENS LÄN</t>
        </is>
      </c>
      <c r="E404" t="inlineStr">
        <is>
          <t>JOKKMOKK</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49475-2025</t>
        </is>
      </c>
      <c r="B405" s="1" t="n">
        <v>45939.34488425926</v>
      </c>
      <c r="C405" s="1" t="n">
        <v>46003</v>
      </c>
      <c r="D405" t="inlineStr">
        <is>
          <t>NORRBOTTENS LÄN</t>
        </is>
      </c>
      <c r="E405" t="inlineStr">
        <is>
          <t>JOKKMOKK</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58133-2025</t>
        </is>
      </c>
      <c r="B406" s="1" t="n">
        <v>45982.61763888889</v>
      </c>
      <c r="C406" s="1" t="n">
        <v>46003</v>
      </c>
      <c r="D406" t="inlineStr">
        <is>
          <t>NORRBOTTENS LÄN</t>
        </is>
      </c>
      <c r="E406" t="inlineStr">
        <is>
          <t>JOKKMOKK</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30189-2025</t>
        </is>
      </c>
      <c r="B407" s="1" t="n">
        <v>45827.34756944444</v>
      </c>
      <c r="C407" s="1" t="n">
        <v>46003</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30178-2025</t>
        </is>
      </c>
      <c r="B408" s="1" t="n">
        <v>45827.34571759259</v>
      </c>
      <c r="C408" s="1" t="n">
        <v>46003</v>
      </c>
      <c r="D408" t="inlineStr">
        <is>
          <t>NORRBOTTENS LÄN</t>
        </is>
      </c>
      <c r="E408" t="inlineStr">
        <is>
          <t>JOKKMOKK</t>
        </is>
      </c>
      <c r="F408" t="inlineStr">
        <is>
          <t>SCA</t>
        </is>
      </c>
      <c r="G408" t="n">
        <v>4.5</v>
      </c>
      <c r="H408" t="n">
        <v>0</v>
      </c>
      <c r="I408" t="n">
        <v>0</v>
      </c>
      <c r="J408" t="n">
        <v>0</v>
      </c>
      <c r="K408" t="n">
        <v>0</v>
      </c>
      <c r="L408" t="n">
        <v>0</v>
      </c>
      <c r="M408" t="n">
        <v>0</v>
      </c>
      <c r="N408" t="n">
        <v>0</v>
      </c>
      <c r="O408" t="n">
        <v>0</v>
      </c>
      <c r="P408" t="n">
        <v>0</v>
      </c>
      <c r="Q408" t="n">
        <v>0</v>
      </c>
      <c r="R408" s="2" t="inlineStr"/>
    </row>
    <row r="409" ht="15" customHeight="1">
      <c r="A409" t="inlineStr">
        <is>
          <t>A 30181-2025</t>
        </is>
      </c>
      <c r="B409" s="1" t="n">
        <v>45827.34607638889</v>
      </c>
      <c r="C409" s="1" t="n">
        <v>46003</v>
      </c>
      <c r="D409" t="inlineStr">
        <is>
          <t>NORRBOTTENS LÄN</t>
        </is>
      </c>
      <c r="E409" t="inlineStr">
        <is>
          <t>JOKKMOKK</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30182-2025</t>
        </is>
      </c>
      <c r="B410" s="1" t="n">
        <v>45827.34640046296</v>
      </c>
      <c r="C410" s="1" t="n">
        <v>46003</v>
      </c>
      <c r="D410" t="inlineStr">
        <is>
          <t>NORRBOTTENS LÄN</t>
        </is>
      </c>
      <c r="E410" t="inlineStr">
        <is>
          <t>JOKKMOKK</t>
        </is>
      </c>
      <c r="F410" t="inlineStr">
        <is>
          <t>SCA</t>
        </is>
      </c>
      <c r="G410" t="n">
        <v>9.9</v>
      </c>
      <c r="H410" t="n">
        <v>0</v>
      </c>
      <c r="I410" t="n">
        <v>0</v>
      </c>
      <c r="J410" t="n">
        <v>0</v>
      </c>
      <c r="K410" t="n">
        <v>0</v>
      </c>
      <c r="L410" t="n">
        <v>0</v>
      </c>
      <c r="M410" t="n">
        <v>0</v>
      </c>
      <c r="N410" t="n">
        <v>0</v>
      </c>
      <c r="O410" t="n">
        <v>0</v>
      </c>
      <c r="P410" t="n">
        <v>0</v>
      </c>
      <c r="Q410" t="n">
        <v>0</v>
      </c>
      <c r="R410" s="2" t="inlineStr"/>
    </row>
    <row r="411" ht="15" customHeight="1">
      <c r="A411" t="inlineStr">
        <is>
          <t>A 30184-2025</t>
        </is>
      </c>
      <c r="B411" s="1" t="n">
        <v>45827.34695601852</v>
      </c>
      <c r="C411" s="1" t="n">
        <v>46003</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30177-2025</t>
        </is>
      </c>
      <c r="B412" s="1" t="n">
        <v>45827.34537037037</v>
      </c>
      <c r="C412" s="1" t="n">
        <v>46003</v>
      </c>
      <c r="D412" t="inlineStr">
        <is>
          <t>NORRBOTTENS LÄN</t>
        </is>
      </c>
      <c r="E412" t="inlineStr">
        <is>
          <t>JOKKMOKK</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30185-2025</t>
        </is>
      </c>
      <c r="B413" s="1" t="n">
        <v>45827.34717592593</v>
      </c>
      <c r="C413" s="1" t="n">
        <v>46003</v>
      </c>
      <c r="D413" t="inlineStr">
        <is>
          <t>NORRBOTTENS LÄN</t>
        </is>
      </c>
      <c r="E413" t="inlineStr">
        <is>
          <t>JOKKMOKK</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49856-2025</t>
        </is>
      </c>
      <c r="B414" s="1" t="n">
        <v>45940.50591435185</v>
      </c>
      <c r="C414" s="1" t="n">
        <v>46003</v>
      </c>
      <c r="D414" t="inlineStr">
        <is>
          <t>NORRBOTTENS LÄN</t>
        </is>
      </c>
      <c r="E414" t="inlineStr">
        <is>
          <t>JOKKMOKK</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58419-2025</t>
        </is>
      </c>
      <c r="B415" s="1" t="n">
        <v>45985.58466435185</v>
      </c>
      <c r="C415" s="1" t="n">
        <v>46003</v>
      </c>
      <c r="D415" t="inlineStr">
        <is>
          <t>NORRBOTTENS LÄN</t>
        </is>
      </c>
      <c r="E415" t="inlineStr">
        <is>
          <t>JOKKMOKK</t>
        </is>
      </c>
      <c r="F415" t="inlineStr">
        <is>
          <t>Övriga statliga verk och myndigheter</t>
        </is>
      </c>
      <c r="G415" t="n">
        <v>3.5</v>
      </c>
      <c r="H415" t="n">
        <v>0</v>
      </c>
      <c r="I415" t="n">
        <v>0</v>
      </c>
      <c r="J415" t="n">
        <v>0</v>
      </c>
      <c r="K415" t="n">
        <v>0</v>
      </c>
      <c r="L415" t="n">
        <v>0</v>
      </c>
      <c r="M415" t="n">
        <v>0</v>
      </c>
      <c r="N415" t="n">
        <v>0</v>
      </c>
      <c r="O415" t="n">
        <v>0</v>
      </c>
      <c r="P415" t="n">
        <v>0</v>
      </c>
      <c r="Q415" t="n">
        <v>0</v>
      </c>
      <c r="R415" s="2" t="inlineStr"/>
    </row>
    <row r="416" ht="15" customHeight="1">
      <c r="A416" t="inlineStr">
        <is>
          <t>A 50397-2025</t>
        </is>
      </c>
      <c r="B416" s="1" t="n">
        <v>45944.62211805556</v>
      </c>
      <c r="C416" s="1" t="n">
        <v>46003</v>
      </c>
      <c r="D416" t="inlineStr">
        <is>
          <t>NORRBOTTENS LÄN</t>
        </is>
      </c>
      <c r="E416" t="inlineStr">
        <is>
          <t>JOKKMOKK</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50185-2025</t>
        </is>
      </c>
      <c r="B417" s="1" t="n">
        <v>45943.62515046296</v>
      </c>
      <c r="C417" s="1" t="n">
        <v>46003</v>
      </c>
      <c r="D417" t="inlineStr">
        <is>
          <t>NORRBOTTENS LÄN</t>
        </is>
      </c>
      <c r="E417" t="inlineStr">
        <is>
          <t>JOKKMOKK</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58404-2025</t>
        </is>
      </c>
      <c r="B418" s="1" t="n">
        <v>45985.56795138889</v>
      </c>
      <c r="C418" s="1" t="n">
        <v>46003</v>
      </c>
      <c r="D418" t="inlineStr">
        <is>
          <t>NORRBOTTENS LÄN</t>
        </is>
      </c>
      <c r="E418" t="inlineStr">
        <is>
          <t>JOKKMOKK</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58418-2025</t>
        </is>
      </c>
      <c r="B419" s="1" t="n">
        <v>45985.58361111111</v>
      </c>
      <c r="C419" s="1" t="n">
        <v>46003</v>
      </c>
      <c r="D419" t="inlineStr">
        <is>
          <t>NORRBOTTENS LÄN</t>
        </is>
      </c>
      <c r="E419" t="inlineStr">
        <is>
          <t>JOKKMOKK</t>
        </is>
      </c>
      <c r="F419" t="inlineStr">
        <is>
          <t>Övriga statliga verk och myndigheter</t>
        </is>
      </c>
      <c r="G419" t="n">
        <v>18.1</v>
      </c>
      <c r="H419" t="n">
        <v>0</v>
      </c>
      <c r="I419" t="n">
        <v>0</v>
      </c>
      <c r="J419" t="n">
        <v>0</v>
      </c>
      <c r="K419" t="n">
        <v>0</v>
      </c>
      <c r="L419" t="n">
        <v>0</v>
      </c>
      <c r="M419" t="n">
        <v>0</v>
      </c>
      <c r="N419" t="n">
        <v>0</v>
      </c>
      <c r="O419" t="n">
        <v>0</v>
      </c>
      <c r="P419" t="n">
        <v>0</v>
      </c>
      <c r="Q419" t="n">
        <v>0</v>
      </c>
      <c r="R419" s="2" t="inlineStr"/>
    </row>
    <row r="420" ht="15" customHeight="1">
      <c r="A420" t="inlineStr">
        <is>
          <t>A 49976-2025</t>
        </is>
      </c>
      <c r="B420" s="1" t="n">
        <v>45942.61506944444</v>
      </c>
      <c r="C420" s="1" t="n">
        <v>46003</v>
      </c>
      <c r="D420" t="inlineStr">
        <is>
          <t>NORRBOTTENS LÄN</t>
        </is>
      </c>
      <c r="E420" t="inlineStr">
        <is>
          <t>JOKKMOKK</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49978-2025</t>
        </is>
      </c>
      <c r="B421" s="1" t="n">
        <v>45942.61520833334</v>
      </c>
      <c r="C421" s="1" t="n">
        <v>46003</v>
      </c>
      <c r="D421" t="inlineStr">
        <is>
          <t>NORRBOTTENS LÄN</t>
        </is>
      </c>
      <c r="E421" t="inlineStr">
        <is>
          <t>JOKKMOKK</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31918-2025</t>
        </is>
      </c>
      <c r="B422" s="1" t="n">
        <v>45834</v>
      </c>
      <c r="C422" s="1" t="n">
        <v>46003</v>
      </c>
      <c r="D422" t="inlineStr">
        <is>
          <t>NORRBOTTENS LÄN</t>
        </is>
      </c>
      <c r="E422" t="inlineStr">
        <is>
          <t>JOKKMOKK</t>
        </is>
      </c>
      <c r="G422" t="n">
        <v>15.2</v>
      </c>
      <c r="H422" t="n">
        <v>0</v>
      </c>
      <c r="I422" t="n">
        <v>0</v>
      </c>
      <c r="J422" t="n">
        <v>0</v>
      </c>
      <c r="K422" t="n">
        <v>0</v>
      </c>
      <c r="L422" t="n">
        <v>0</v>
      </c>
      <c r="M422" t="n">
        <v>0</v>
      </c>
      <c r="N422" t="n">
        <v>0</v>
      </c>
      <c r="O422" t="n">
        <v>0</v>
      </c>
      <c r="P422" t="n">
        <v>0</v>
      </c>
      <c r="Q422" t="n">
        <v>0</v>
      </c>
      <c r="R422" s="2" t="inlineStr"/>
    </row>
    <row r="423" ht="15" customHeight="1">
      <c r="A423" t="inlineStr">
        <is>
          <t>A 50731-2025</t>
        </is>
      </c>
      <c r="B423" s="1" t="n">
        <v>45946.36513888889</v>
      </c>
      <c r="C423" s="1" t="n">
        <v>46003</v>
      </c>
      <c r="D423" t="inlineStr">
        <is>
          <t>NORRBOTTENS LÄN</t>
        </is>
      </c>
      <c r="E423" t="inlineStr">
        <is>
          <t>JOKKMOKK</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50732-2025</t>
        </is>
      </c>
      <c r="B424" s="1" t="n">
        <v>45946.36519675926</v>
      </c>
      <c r="C424" s="1" t="n">
        <v>46003</v>
      </c>
      <c r="D424" t="inlineStr">
        <is>
          <t>NORRBOTTENS LÄN</t>
        </is>
      </c>
      <c r="E424" t="inlineStr">
        <is>
          <t>JOKKMOKK</t>
        </is>
      </c>
      <c r="F424" t="inlineStr">
        <is>
          <t>SCA</t>
        </is>
      </c>
      <c r="G424" t="n">
        <v>45.9</v>
      </c>
      <c r="H424" t="n">
        <v>0</v>
      </c>
      <c r="I424" t="n">
        <v>0</v>
      </c>
      <c r="J424" t="n">
        <v>0</v>
      </c>
      <c r="K424" t="n">
        <v>0</v>
      </c>
      <c r="L424" t="n">
        <v>0</v>
      </c>
      <c r="M424" t="n">
        <v>0</v>
      </c>
      <c r="N424" t="n">
        <v>0</v>
      </c>
      <c r="O424" t="n">
        <v>0</v>
      </c>
      <c r="P424" t="n">
        <v>0</v>
      </c>
      <c r="Q424" t="n">
        <v>0</v>
      </c>
      <c r="R424" s="2" t="inlineStr"/>
    </row>
    <row r="425" ht="15" customHeight="1">
      <c r="A425" t="inlineStr">
        <is>
          <t>A 50717-2025</t>
        </is>
      </c>
      <c r="B425" s="1" t="n">
        <v>45946.34598379629</v>
      </c>
      <c r="C425" s="1" t="n">
        <v>46003</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50723-2025</t>
        </is>
      </c>
      <c r="B426" s="1" t="n">
        <v>45946.34690972222</v>
      </c>
      <c r="C426" s="1" t="n">
        <v>46003</v>
      </c>
      <c r="D426" t="inlineStr">
        <is>
          <t>NORRBOTTENS LÄN</t>
        </is>
      </c>
      <c r="E426" t="inlineStr">
        <is>
          <t>JOKKMOKK</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32670-2025</t>
        </is>
      </c>
      <c r="B427" s="1" t="n">
        <v>45838.70071759259</v>
      </c>
      <c r="C427" s="1" t="n">
        <v>46003</v>
      </c>
      <c r="D427" t="inlineStr">
        <is>
          <t>NORRBOTTENS LÄN</t>
        </is>
      </c>
      <c r="E427" t="inlineStr">
        <is>
          <t>JOKKMOKK</t>
        </is>
      </c>
      <c r="F427" t="inlineStr">
        <is>
          <t>Sveaskog</t>
        </is>
      </c>
      <c r="G427" t="n">
        <v>6.8</v>
      </c>
      <c r="H427" t="n">
        <v>0</v>
      </c>
      <c r="I427" t="n">
        <v>0</v>
      </c>
      <c r="J427" t="n">
        <v>0</v>
      </c>
      <c r="K427" t="n">
        <v>0</v>
      </c>
      <c r="L427" t="n">
        <v>0</v>
      </c>
      <c r="M427" t="n">
        <v>0</v>
      </c>
      <c r="N427" t="n">
        <v>0</v>
      </c>
      <c r="O427" t="n">
        <v>0</v>
      </c>
      <c r="P427" t="n">
        <v>0</v>
      </c>
      <c r="Q427" t="n">
        <v>0</v>
      </c>
      <c r="R427" s="2" t="inlineStr"/>
    </row>
    <row r="428" ht="15" customHeight="1">
      <c r="A428" t="inlineStr">
        <is>
          <t>A 33551-2025</t>
        </is>
      </c>
      <c r="B428" s="1" t="n">
        <v>45841.57357638889</v>
      </c>
      <c r="C428" s="1" t="n">
        <v>46003</v>
      </c>
      <c r="D428" t="inlineStr">
        <is>
          <t>NORRBOTTENS LÄN</t>
        </is>
      </c>
      <c r="E428" t="inlineStr">
        <is>
          <t>JOKKMOKK</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51499-2025</t>
        </is>
      </c>
      <c r="B429" s="1" t="n">
        <v>45950.63737268518</v>
      </c>
      <c r="C429" s="1" t="n">
        <v>46003</v>
      </c>
      <c r="D429" t="inlineStr">
        <is>
          <t>NORRBOTTENS LÄN</t>
        </is>
      </c>
      <c r="E429" t="inlineStr">
        <is>
          <t>JOKKMOKK</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33349-2025</t>
        </is>
      </c>
      <c r="B430" s="1" t="n">
        <v>45841.3704050926</v>
      </c>
      <c r="C430" s="1" t="n">
        <v>46003</v>
      </c>
      <c r="D430" t="inlineStr">
        <is>
          <t>NORRBOTTENS LÄN</t>
        </is>
      </c>
      <c r="E430" t="inlineStr">
        <is>
          <t>JOKKMOKK</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33523-2025</t>
        </is>
      </c>
      <c r="B431" s="1" t="n">
        <v>45841.54601851852</v>
      </c>
      <c r="C431" s="1" t="n">
        <v>46003</v>
      </c>
      <c r="D431" t="inlineStr">
        <is>
          <t>NORRBOTTENS LÄN</t>
        </is>
      </c>
      <c r="E431" t="inlineStr">
        <is>
          <t>JOKKMOKK</t>
        </is>
      </c>
      <c r="F431" t="inlineStr">
        <is>
          <t>Sveaskog</t>
        </is>
      </c>
      <c r="G431" t="n">
        <v>5.5</v>
      </c>
      <c r="H431" t="n">
        <v>0</v>
      </c>
      <c r="I431" t="n">
        <v>0</v>
      </c>
      <c r="J431" t="n">
        <v>0</v>
      </c>
      <c r="K431" t="n">
        <v>0</v>
      </c>
      <c r="L431" t="n">
        <v>0</v>
      </c>
      <c r="M431" t="n">
        <v>0</v>
      </c>
      <c r="N431" t="n">
        <v>0</v>
      </c>
      <c r="O431" t="n">
        <v>0</v>
      </c>
      <c r="P431" t="n">
        <v>0</v>
      </c>
      <c r="Q431" t="n">
        <v>0</v>
      </c>
      <c r="R431" s="2" t="inlineStr"/>
    </row>
    <row r="432" ht="15" customHeight="1">
      <c r="A432" t="inlineStr">
        <is>
          <t>A 51500-2025</t>
        </is>
      </c>
      <c r="B432" s="1" t="n">
        <v>45950.63739583334</v>
      </c>
      <c r="C432" s="1" t="n">
        <v>46003</v>
      </c>
      <c r="D432" t="inlineStr">
        <is>
          <t>NORRBOTTENS LÄN</t>
        </is>
      </c>
      <c r="E432" t="inlineStr">
        <is>
          <t>JOKKMOKK</t>
        </is>
      </c>
      <c r="G432" t="n">
        <v>10.1</v>
      </c>
      <c r="H432" t="n">
        <v>0</v>
      </c>
      <c r="I432" t="n">
        <v>0</v>
      </c>
      <c r="J432" t="n">
        <v>0</v>
      </c>
      <c r="K432" t="n">
        <v>0</v>
      </c>
      <c r="L432" t="n">
        <v>0</v>
      </c>
      <c r="M432" t="n">
        <v>0</v>
      </c>
      <c r="N432" t="n">
        <v>0</v>
      </c>
      <c r="O432" t="n">
        <v>0</v>
      </c>
      <c r="P432" t="n">
        <v>0</v>
      </c>
      <c r="Q432" t="n">
        <v>0</v>
      </c>
      <c r="R432" s="2" t="inlineStr"/>
    </row>
    <row r="433" ht="15" customHeight="1">
      <c r="A433" t="inlineStr">
        <is>
          <t>A 33515-2025</t>
        </is>
      </c>
      <c r="B433" s="1" t="n">
        <v>45841.53164351852</v>
      </c>
      <c r="C433" s="1" t="n">
        <v>46003</v>
      </c>
      <c r="D433" t="inlineStr">
        <is>
          <t>NORRBOTTENS LÄN</t>
        </is>
      </c>
      <c r="E433" t="inlineStr">
        <is>
          <t>JOKKMOKK</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33554-2025</t>
        </is>
      </c>
      <c r="B434" s="1" t="n">
        <v>45841.57400462963</v>
      </c>
      <c r="C434" s="1" t="n">
        <v>46003</v>
      </c>
      <c r="D434" t="inlineStr">
        <is>
          <t>NORRBOTTENS LÄN</t>
        </is>
      </c>
      <c r="E434" t="inlineStr">
        <is>
          <t>JOKKMOKK</t>
        </is>
      </c>
      <c r="F434" t="inlineStr">
        <is>
          <t>SCA</t>
        </is>
      </c>
      <c r="G434" t="n">
        <v>11.4</v>
      </c>
      <c r="H434" t="n">
        <v>0</v>
      </c>
      <c r="I434" t="n">
        <v>0</v>
      </c>
      <c r="J434" t="n">
        <v>0</v>
      </c>
      <c r="K434" t="n">
        <v>0</v>
      </c>
      <c r="L434" t="n">
        <v>0</v>
      </c>
      <c r="M434" t="n">
        <v>0</v>
      </c>
      <c r="N434" t="n">
        <v>0</v>
      </c>
      <c r="O434" t="n">
        <v>0</v>
      </c>
      <c r="P434" t="n">
        <v>0</v>
      </c>
      <c r="Q434" t="n">
        <v>0</v>
      </c>
      <c r="R434" s="2" t="inlineStr"/>
    </row>
    <row r="435" ht="15" customHeight="1">
      <c r="A435" t="inlineStr">
        <is>
          <t>A 33741-2025</t>
        </is>
      </c>
      <c r="B435" s="1" t="n">
        <v>45842.3446875</v>
      </c>
      <c r="C435" s="1" t="n">
        <v>46003</v>
      </c>
      <c r="D435" t="inlineStr">
        <is>
          <t>NORRBOTTENS LÄN</t>
        </is>
      </c>
      <c r="E435" t="inlineStr">
        <is>
          <t>JOKKMOKK</t>
        </is>
      </c>
      <c r="F435" t="inlineStr">
        <is>
          <t>SCA</t>
        </is>
      </c>
      <c r="G435" t="n">
        <v>5.1</v>
      </c>
      <c r="H435" t="n">
        <v>0</v>
      </c>
      <c r="I435" t="n">
        <v>0</v>
      </c>
      <c r="J435" t="n">
        <v>0</v>
      </c>
      <c r="K435" t="n">
        <v>0</v>
      </c>
      <c r="L435" t="n">
        <v>0</v>
      </c>
      <c r="M435" t="n">
        <v>0</v>
      </c>
      <c r="N435" t="n">
        <v>0</v>
      </c>
      <c r="O435" t="n">
        <v>0</v>
      </c>
      <c r="P435" t="n">
        <v>0</v>
      </c>
      <c r="Q435" t="n">
        <v>0</v>
      </c>
      <c r="R435" s="2" t="inlineStr"/>
    </row>
    <row r="436" ht="15" customHeight="1">
      <c r="A436" t="inlineStr">
        <is>
          <t>A 50986-2025</t>
        </is>
      </c>
      <c r="B436" s="1" t="n">
        <v>45947.3453125</v>
      </c>
      <c r="C436" s="1" t="n">
        <v>46003</v>
      </c>
      <c r="D436" t="inlineStr">
        <is>
          <t>NORRBOTTENS LÄN</t>
        </is>
      </c>
      <c r="E436" t="inlineStr">
        <is>
          <t>JOKKMOKK</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58609-2025</t>
        </is>
      </c>
      <c r="B437" s="1" t="n">
        <v>45986</v>
      </c>
      <c r="C437" s="1" t="n">
        <v>46003</v>
      </c>
      <c r="D437" t="inlineStr">
        <is>
          <t>NORRBOTTENS LÄN</t>
        </is>
      </c>
      <c r="E437" t="inlineStr">
        <is>
          <t>JOKKMOKK</t>
        </is>
      </c>
      <c r="G437" t="n">
        <v>6.5</v>
      </c>
      <c r="H437" t="n">
        <v>0</v>
      </c>
      <c r="I437" t="n">
        <v>0</v>
      </c>
      <c r="J437" t="n">
        <v>0</v>
      </c>
      <c r="K437" t="n">
        <v>0</v>
      </c>
      <c r="L437" t="n">
        <v>0</v>
      </c>
      <c r="M437" t="n">
        <v>0</v>
      </c>
      <c r="N437" t="n">
        <v>0</v>
      </c>
      <c r="O437" t="n">
        <v>0</v>
      </c>
      <c r="P437" t="n">
        <v>0</v>
      </c>
      <c r="Q437" t="n">
        <v>0</v>
      </c>
      <c r="R437" s="2" t="inlineStr"/>
    </row>
    <row r="438" ht="15" customHeight="1">
      <c r="A438" t="inlineStr">
        <is>
          <t>A 60155-2025</t>
        </is>
      </c>
      <c r="B438" s="1" t="n">
        <v>45994.42386574074</v>
      </c>
      <c r="C438" s="1" t="n">
        <v>46003</v>
      </c>
      <c r="D438" t="inlineStr">
        <is>
          <t>NORRBOTTENS LÄN</t>
        </is>
      </c>
      <c r="E438" t="inlineStr">
        <is>
          <t>JOKKMOKK</t>
        </is>
      </c>
      <c r="F438" t="inlineStr">
        <is>
          <t>Övriga statliga verk och myndigheter</t>
        </is>
      </c>
      <c r="G438" t="n">
        <v>2.7</v>
      </c>
      <c r="H438" t="n">
        <v>0</v>
      </c>
      <c r="I438" t="n">
        <v>0</v>
      </c>
      <c r="J438" t="n">
        <v>0</v>
      </c>
      <c r="K438" t="n">
        <v>0</v>
      </c>
      <c r="L438" t="n">
        <v>0</v>
      </c>
      <c r="M438" t="n">
        <v>0</v>
      </c>
      <c r="N438" t="n">
        <v>0</v>
      </c>
      <c r="O438" t="n">
        <v>0</v>
      </c>
      <c r="P438" t="n">
        <v>0</v>
      </c>
      <c r="Q438" t="n">
        <v>0</v>
      </c>
      <c r="R438" s="2" t="inlineStr"/>
    </row>
    <row r="439" ht="15" customHeight="1">
      <c r="A439" t="inlineStr">
        <is>
          <t>A 51707-2025</t>
        </is>
      </c>
      <c r="B439" s="1" t="n">
        <v>45951</v>
      </c>
      <c r="C439" s="1" t="n">
        <v>46003</v>
      </c>
      <c r="D439" t="inlineStr">
        <is>
          <t>NORRBOTTENS LÄN</t>
        </is>
      </c>
      <c r="E439" t="inlineStr">
        <is>
          <t>JOKKMOKK</t>
        </is>
      </c>
      <c r="F439" t="inlineStr">
        <is>
          <t>Övriga statliga verk och myndigheter</t>
        </is>
      </c>
      <c r="G439" t="n">
        <v>7.2</v>
      </c>
      <c r="H439" t="n">
        <v>0</v>
      </c>
      <c r="I439" t="n">
        <v>0</v>
      </c>
      <c r="J439" t="n">
        <v>0</v>
      </c>
      <c r="K439" t="n">
        <v>0</v>
      </c>
      <c r="L439" t="n">
        <v>0</v>
      </c>
      <c r="M439" t="n">
        <v>0</v>
      </c>
      <c r="N439" t="n">
        <v>0</v>
      </c>
      <c r="O439" t="n">
        <v>0</v>
      </c>
      <c r="P439" t="n">
        <v>0</v>
      </c>
      <c r="Q439" t="n">
        <v>0</v>
      </c>
      <c r="R439" s="2" t="inlineStr"/>
    </row>
    <row r="440" ht="15" customHeight="1">
      <c r="A440" t="inlineStr">
        <is>
          <t>A 51717-2025</t>
        </is>
      </c>
      <c r="B440" s="1" t="n">
        <v>45951.57743055555</v>
      </c>
      <c r="C440" s="1" t="n">
        <v>46003</v>
      </c>
      <c r="D440" t="inlineStr">
        <is>
          <t>NORRBOTTENS LÄN</t>
        </is>
      </c>
      <c r="E440" t="inlineStr">
        <is>
          <t>JOKKMOKK</t>
        </is>
      </c>
      <c r="F440" t="inlineStr">
        <is>
          <t>Övriga statliga verk och myndigheter</t>
        </is>
      </c>
      <c r="G440" t="n">
        <v>3.4</v>
      </c>
      <c r="H440" t="n">
        <v>0</v>
      </c>
      <c r="I440" t="n">
        <v>0</v>
      </c>
      <c r="J440" t="n">
        <v>0</v>
      </c>
      <c r="K440" t="n">
        <v>0</v>
      </c>
      <c r="L440" t="n">
        <v>0</v>
      </c>
      <c r="M440" t="n">
        <v>0</v>
      </c>
      <c r="N440" t="n">
        <v>0</v>
      </c>
      <c r="O440" t="n">
        <v>0</v>
      </c>
      <c r="P440" t="n">
        <v>0</v>
      </c>
      <c r="Q440" t="n">
        <v>0</v>
      </c>
      <c r="R440" s="2" t="inlineStr"/>
    </row>
    <row r="441" ht="15" customHeight="1">
      <c r="A441" t="inlineStr">
        <is>
          <t>A 51718-2025</t>
        </is>
      </c>
      <c r="B441" s="1" t="n">
        <v>45951.57791666667</v>
      </c>
      <c r="C441" s="1" t="n">
        <v>46003</v>
      </c>
      <c r="D441" t="inlineStr">
        <is>
          <t>NORRBOTTENS LÄN</t>
        </is>
      </c>
      <c r="E441" t="inlineStr">
        <is>
          <t>JOKKMOKK</t>
        </is>
      </c>
      <c r="F441" t="inlineStr">
        <is>
          <t>Övriga statliga verk och myndigheter</t>
        </is>
      </c>
      <c r="G441" t="n">
        <v>31.9</v>
      </c>
      <c r="H441" t="n">
        <v>0</v>
      </c>
      <c r="I441" t="n">
        <v>0</v>
      </c>
      <c r="J441" t="n">
        <v>0</v>
      </c>
      <c r="K441" t="n">
        <v>0</v>
      </c>
      <c r="L441" t="n">
        <v>0</v>
      </c>
      <c r="M441" t="n">
        <v>0</v>
      </c>
      <c r="N441" t="n">
        <v>0</v>
      </c>
      <c r="O441" t="n">
        <v>0</v>
      </c>
      <c r="P441" t="n">
        <v>0</v>
      </c>
      <c r="Q441" t="n">
        <v>0</v>
      </c>
      <c r="R441" s="2" t="inlineStr"/>
    </row>
    <row r="442" ht="15" customHeight="1">
      <c r="A442" t="inlineStr">
        <is>
          <t>A 52112-2025</t>
        </is>
      </c>
      <c r="B442" s="1" t="n">
        <v>45952.69846064815</v>
      </c>
      <c r="C442" s="1" t="n">
        <v>46003</v>
      </c>
      <c r="D442" t="inlineStr">
        <is>
          <t>NORRBOTTENS LÄN</t>
        </is>
      </c>
      <c r="E442" t="inlineStr">
        <is>
          <t>JOKKMOKK</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51576-2025</t>
        </is>
      </c>
      <c r="B443" s="1" t="n">
        <v>45951.34469907408</v>
      </c>
      <c r="C443" s="1" t="n">
        <v>46003</v>
      </c>
      <c r="D443" t="inlineStr">
        <is>
          <t>NORRBOTTENS LÄN</t>
        </is>
      </c>
      <c r="E443" t="inlineStr">
        <is>
          <t>JOKKMOKK</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51577-2025</t>
        </is>
      </c>
      <c r="B444" s="1" t="n">
        <v>45951</v>
      </c>
      <c r="C444" s="1" t="n">
        <v>46003</v>
      </c>
      <c r="D444" t="inlineStr">
        <is>
          <t>NORRBOTTENS LÄN</t>
        </is>
      </c>
      <c r="E444" t="inlineStr">
        <is>
          <t>JOKKMOKK</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51721-2025</t>
        </is>
      </c>
      <c r="B445" s="1" t="n">
        <v>45951.58004629629</v>
      </c>
      <c r="C445" s="1" t="n">
        <v>46003</v>
      </c>
      <c r="D445" t="inlineStr">
        <is>
          <t>NORRBOTTENS LÄN</t>
        </is>
      </c>
      <c r="E445" t="inlineStr">
        <is>
          <t>JOKKMOKK</t>
        </is>
      </c>
      <c r="F445" t="inlineStr">
        <is>
          <t>Övriga statliga verk och myndigheter</t>
        </is>
      </c>
      <c r="G445" t="n">
        <v>16.3</v>
      </c>
      <c r="H445" t="n">
        <v>0</v>
      </c>
      <c r="I445" t="n">
        <v>0</v>
      </c>
      <c r="J445" t="n">
        <v>0</v>
      </c>
      <c r="K445" t="n">
        <v>0</v>
      </c>
      <c r="L445" t="n">
        <v>0</v>
      </c>
      <c r="M445" t="n">
        <v>0</v>
      </c>
      <c r="N445" t="n">
        <v>0</v>
      </c>
      <c r="O445" t="n">
        <v>0</v>
      </c>
      <c r="P445" t="n">
        <v>0</v>
      </c>
      <c r="Q445" t="n">
        <v>0</v>
      </c>
      <c r="R445" s="2" t="inlineStr"/>
    </row>
    <row r="446" ht="15" customHeight="1">
      <c r="A446" t="inlineStr">
        <is>
          <t>A 51699-2025</t>
        </is>
      </c>
      <c r="B446" s="1" t="n">
        <v>45951.55253472222</v>
      </c>
      <c r="C446" s="1" t="n">
        <v>46003</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35040-2025</t>
        </is>
      </c>
      <c r="B447" s="1" t="n">
        <v>45852.34420138889</v>
      </c>
      <c r="C447" s="1" t="n">
        <v>46003</v>
      </c>
      <c r="D447" t="inlineStr">
        <is>
          <t>NORRBOTTENS LÄN</t>
        </is>
      </c>
      <c r="E447" t="inlineStr">
        <is>
          <t>JOKKMOKK</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9852-2023</t>
        </is>
      </c>
      <c r="B448" s="1" t="n">
        <v>44984</v>
      </c>
      <c r="C448" s="1" t="n">
        <v>46003</v>
      </c>
      <c r="D448" t="inlineStr">
        <is>
          <t>NORRBOTTENS LÄN</t>
        </is>
      </c>
      <c r="E448" t="inlineStr">
        <is>
          <t>JOKKMOKK</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51679-2025</t>
        </is>
      </c>
      <c r="B449" s="1" t="n">
        <v>45951.51141203703</v>
      </c>
      <c r="C449" s="1" t="n">
        <v>46003</v>
      </c>
      <c r="D449" t="inlineStr">
        <is>
          <t>NORRBOTTENS LÄN</t>
        </is>
      </c>
      <c r="E449" t="inlineStr">
        <is>
          <t>JOKKMOKK</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51700-2025</t>
        </is>
      </c>
      <c r="B450" s="1" t="n">
        <v>45951.55287037037</v>
      </c>
      <c r="C450" s="1" t="n">
        <v>46003</v>
      </c>
      <c r="D450" t="inlineStr">
        <is>
          <t>NORRBOTTENS LÄN</t>
        </is>
      </c>
      <c r="E450" t="inlineStr">
        <is>
          <t>JOKKMOKK</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60161-2025</t>
        </is>
      </c>
      <c r="B451" s="1" t="n">
        <v>45994.42954861111</v>
      </c>
      <c r="C451" s="1" t="n">
        <v>46003</v>
      </c>
      <c r="D451" t="inlineStr">
        <is>
          <t>NORRBOTTENS LÄN</t>
        </is>
      </c>
      <c r="E451" t="inlineStr">
        <is>
          <t>JOKKMOKK</t>
        </is>
      </c>
      <c r="F451" t="inlineStr">
        <is>
          <t>Övriga statliga verk och myndigheter</t>
        </is>
      </c>
      <c r="G451" t="n">
        <v>4.1</v>
      </c>
      <c r="H451" t="n">
        <v>0</v>
      </c>
      <c r="I451" t="n">
        <v>0</v>
      </c>
      <c r="J451" t="n">
        <v>0</v>
      </c>
      <c r="K451" t="n">
        <v>0</v>
      </c>
      <c r="L451" t="n">
        <v>0</v>
      </c>
      <c r="M451" t="n">
        <v>0</v>
      </c>
      <c r="N451" t="n">
        <v>0</v>
      </c>
      <c r="O451" t="n">
        <v>0</v>
      </c>
      <c r="P451" t="n">
        <v>0</v>
      </c>
      <c r="Q451" t="n">
        <v>0</v>
      </c>
      <c r="R451" s="2" t="inlineStr"/>
    </row>
    <row r="452" ht="15" customHeight="1">
      <c r="A452" t="inlineStr">
        <is>
          <t>A 60028-2025</t>
        </is>
      </c>
      <c r="B452" s="1" t="n">
        <v>45993.60703703704</v>
      </c>
      <c r="C452" s="1" t="n">
        <v>46003</v>
      </c>
      <c r="D452" t="inlineStr">
        <is>
          <t>NORRBOTTENS LÄN</t>
        </is>
      </c>
      <c r="E452" t="inlineStr">
        <is>
          <t>JOKKMOKK</t>
        </is>
      </c>
      <c r="F452" t="inlineStr">
        <is>
          <t>Övriga statliga verk och myndigheter</t>
        </is>
      </c>
      <c r="G452" t="n">
        <v>15.8</v>
      </c>
      <c r="H452" t="n">
        <v>0</v>
      </c>
      <c r="I452" t="n">
        <v>0</v>
      </c>
      <c r="J452" t="n">
        <v>0</v>
      </c>
      <c r="K452" t="n">
        <v>0</v>
      </c>
      <c r="L452" t="n">
        <v>0</v>
      </c>
      <c r="M452" t="n">
        <v>0</v>
      </c>
      <c r="N452" t="n">
        <v>0</v>
      </c>
      <c r="O452" t="n">
        <v>0</v>
      </c>
      <c r="P452" t="n">
        <v>0</v>
      </c>
      <c r="Q452" t="n">
        <v>0</v>
      </c>
      <c r="R452" s="2" t="inlineStr"/>
    </row>
    <row r="453" ht="15" customHeight="1">
      <c r="A453" t="inlineStr">
        <is>
          <t>A 51715-2025</t>
        </is>
      </c>
      <c r="B453" s="1" t="n">
        <v>45951.57585648148</v>
      </c>
      <c r="C453" s="1" t="n">
        <v>46003</v>
      </c>
      <c r="D453" t="inlineStr">
        <is>
          <t>NORRBOTTENS LÄN</t>
        </is>
      </c>
      <c r="E453" t="inlineStr">
        <is>
          <t>JOKKMOKK</t>
        </is>
      </c>
      <c r="F453" t="inlineStr">
        <is>
          <t>Övriga statliga verk och myndigheter</t>
        </is>
      </c>
      <c r="G453" t="n">
        <v>4.1</v>
      </c>
      <c r="H453" t="n">
        <v>0</v>
      </c>
      <c r="I453" t="n">
        <v>0</v>
      </c>
      <c r="J453" t="n">
        <v>0</v>
      </c>
      <c r="K453" t="n">
        <v>0</v>
      </c>
      <c r="L453" t="n">
        <v>0</v>
      </c>
      <c r="M453" t="n">
        <v>0</v>
      </c>
      <c r="N453" t="n">
        <v>0</v>
      </c>
      <c r="O453" t="n">
        <v>0</v>
      </c>
      <c r="P453" t="n">
        <v>0</v>
      </c>
      <c r="Q453" t="n">
        <v>0</v>
      </c>
      <c r="R453" s="2" t="inlineStr"/>
    </row>
    <row r="454" ht="15" customHeight="1">
      <c r="A454" t="inlineStr">
        <is>
          <t>A 60408-2025</t>
        </is>
      </c>
      <c r="B454" s="1" t="n">
        <v>45995.44251157407</v>
      </c>
      <c r="C454" s="1" t="n">
        <v>46003</v>
      </c>
      <c r="D454" t="inlineStr">
        <is>
          <t>NORRBOTTENS LÄN</t>
        </is>
      </c>
      <c r="E454" t="inlineStr">
        <is>
          <t>JOKKMOKK</t>
        </is>
      </c>
      <c r="F454" t="inlineStr">
        <is>
          <t>Övriga statliga verk och myndigheter</t>
        </is>
      </c>
      <c r="G454" t="n">
        <v>9.6</v>
      </c>
      <c r="H454" t="n">
        <v>0</v>
      </c>
      <c r="I454" t="n">
        <v>0</v>
      </c>
      <c r="J454" t="n">
        <v>0</v>
      </c>
      <c r="K454" t="n">
        <v>0</v>
      </c>
      <c r="L454" t="n">
        <v>0</v>
      </c>
      <c r="M454" t="n">
        <v>0</v>
      </c>
      <c r="N454" t="n">
        <v>0</v>
      </c>
      <c r="O454" t="n">
        <v>0</v>
      </c>
      <c r="P454" t="n">
        <v>0</v>
      </c>
      <c r="Q454" t="n">
        <v>0</v>
      </c>
      <c r="R454" s="2" t="inlineStr"/>
    </row>
    <row r="455" ht="15" customHeight="1">
      <c r="A455" t="inlineStr">
        <is>
          <t>A 59074-2025</t>
        </is>
      </c>
      <c r="B455" s="1" t="n">
        <v>45988.42763888889</v>
      </c>
      <c r="C455" s="1" t="n">
        <v>46003</v>
      </c>
      <c r="D455" t="inlineStr">
        <is>
          <t>NORRBOTTENS LÄN</t>
        </is>
      </c>
      <c r="E455" t="inlineStr">
        <is>
          <t>JOKKMOKK</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35511-2025</t>
        </is>
      </c>
      <c r="B456" s="1" t="n">
        <v>45856.36497685185</v>
      </c>
      <c r="C456" s="1" t="n">
        <v>46003</v>
      </c>
      <c r="D456" t="inlineStr">
        <is>
          <t>NORRBOTTENS LÄN</t>
        </is>
      </c>
      <c r="E456" t="inlineStr">
        <is>
          <t>JOKKMOKK</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52278-2025</t>
        </is>
      </c>
      <c r="B457" s="1" t="n">
        <v>45953.56256944445</v>
      </c>
      <c r="C457" s="1" t="n">
        <v>46003</v>
      </c>
      <c r="D457" t="inlineStr">
        <is>
          <t>NORRBOTTENS LÄN</t>
        </is>
      </c>
      <c r="E457" t="inlineStr">
        <is>
          <t>JOKKMOKK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59984-2025</t>
        </is>
      </c>
      <c r="B458" s="1" t="n">
        <v>45993.54810185185</v>
      </c>
      <c r="C458" s="1" t="n">
        <v>46003</v>
      </c>
      <c r="D458" t="inlineStr">
        <is>
          <t>NORRBOTTENS LÄN</t>
        </is>
      </c>
      <c r="E458" t="inlineStr">
        <is>
          <t>JOKKMOKK</t>
        </is>
      </c>
      <c r="F458" t="inlineStr">
        <is>
          <t>Allmännings- och besparingsskogar</t>
        </is>
      </c>
      <c r="G458" t="n">
        <v>4.4</v>
      </c>
      <c r="H458" t="n">
        <v>0</v>
      </c>
      <c r="I458" t="n">
        <v>0</v>
      </c>
      <c r="J458" t="n">
        <v>0</v>
      </c>
      <c r="K458" t="n">
        <v>0</v>
      </c>
      <c r="L458" t="n">
        <v>0</v>
      </c>
      <c r="M458" t="n">
        <v>0</v>
      </c>
      <c r="N458" t="n">
        <v>0</v>
      </c>
      <c r="O458" t="n">
        <v>0</v>
      </c>
      <c r="P458" t="n">
        <v>0</v>
      </c>
      <c r="Q458" t="n">
        <v>0</v>
      </c>
      <c r="R458" s="2" t="inlineStr"/>
    </row>
    <row r="459" ht="15" customHeight="1">
      <c r="A459" t="inlineStr">
        <is>
          <t>A 52294-2025</t>
        </is>
      </c>
      <c r="B459" s="1" t="n">
        <v>45953.59979166667</v>
      </c>
      <c r="C459" s="1" t="n">
        <v>46003</v>
      </c>
      <c r="D459" t="inlineStr">
        <is>
          <t>NORRBOTTENS LÄN</t>
        </is>
      </c>
      <c r="E459" t="inlineStr">
        <is>
          <t>JOKKMOKK</t>
        </is>
      </c>
      <c r="F459" t="inlineStr">
        <is>
          <t>Övriga statliga verk och myndigheter</t>
        </is>
      </c>
      <c r="G459" t="n">
        <v>22</v>
      </c>
      <c r="H459" t="n">
        <v>0</v>
      </c>
      <c r="I459" t="n">
        <v>0</v>
      </c>
      <c r="J459" t="n">
        <v>0</v>
      </c>
      <c r="K459" t="n">
        <v>0</v>
      </c>
      <c r="L459" t="n">
        <v>0</v>
      </c>
      <c r="M459" t="n">
        <v>0</v>
      </c>
      <c r="N459" t="n">
        <v>0</v>
      </c>
      <c r="O459" t="n">
        <v>0</v>
      </c>
      <c r="P459" t="n">
        <v>0</v>
      </c>
      <c r="Q459" t="n">
        <v>0</v>
      </c>
      <c r="R459" s="2" t="inlineStr"/>
    </row>
    <row r="460" ht="15" customHeight="1">
      <c r="A460" t="inlineStr">
        <is>
          <t>A 52288-2025</t>
        </is>
      </c>
      <c r="B460" s="1" t="n">
        <v>45953.59483796296</v>
      </c>
      <c r="C460" s="1" t="n">
        <v>46003</v>
      </c>
      <c r="D460" t="inlineStr">
        <is>
          <t>NORRBOTTENS LÄN</t>
        </is>
      </c>
      <c r="E460" t="inlineStr">
        <is>
          <t>JOKKMOKK</t>
        </is>
      </c>
      <c r="F460" t="inlineStr">
        <is>
          <t>Övriga statliga verk och myndigheter</t>
        </is>
      </c>
      <c r="G460" t="n">
        <v>11.4</v>
      </c>
      <c r="H460" t="n">
        <v>0</v>
      </c>
      <c r="I460" t="n">
        <v>0</v>
      </c>
      <c r="J460" t="n">
        <v>0</v>
      </c>
      <c r="K460" t="n">
        <v>0</v>
      </c>
      <c r="L460" t="n">
        <v>0</v>
      </c>
      <c r="M460" t="n">
        <v>0</v>
      </c>
      <c r="N460" t="n">
        <v>0</v>
      </c>
      <c r="O460" t="n">
        <v>0</v>
      </c>
      <c r="P460" t="n">
        <v>0</v>
      </c>
      <c r="Q460" t="n">
        <v>0</v>
      </c>
      <c r="R460" s="2" t="inlineStr"/>
    </row>
    <row r="461" ht="15" customHeight="1">
      <c r="A461" t="inlineStr">
        <is>
          <t>A 52293-2025</t>
        </is>
      </c>
      <c r="B461" s="1" t="n">
        <v>45953.59943287037</v>
      </c>
      <c r="C461" s="1" t="n">
        <v>46003</v>
      </c>
      <c r="D461" t="inlineStr">
        <is>
          <t>NORRBOTTENS LÄN</t>
        </is>
      </c>
      <c r="E461" t="inlineStr">
        <is>
          <t>JOKKMOKK</t>
        </is>
      </c>
      <c r="F461" t="inlineStr">
        <is>
          <t>Övriga statliga verk och myndigheter</t>
        </is>
      </c>
      <c r="G461" t="n">
        <v>65.09999999999999</v>
      </c>
      <c r="H461" t="n">
        <v>0</v>
      </c>
      <c r="I461" t="n">
        <v>0</v>
      </c>
      <c r="J461" t="n">
        <v>0</v>
      </c>
      <c r="K461" t="n">
        <v>0</v>
      </c>
      <c r="L461" t="n">
        <v>0</v>
      </c>
      <c r="M461" t="n">
        <v>0</v>
      </c>
      <c r="N461" t="n">
        <v>0</v>
      </c>
      <c r="O461" t="n">
        <v>0</v>
      </c>
      <c r="P461" t="n">
        <v>0</v>
      </c>
      <c r="Q461" t="n">
        <v>0</v>
      </c>
      <c r="R461" s="2" t="inlineStr"/>
    </row>
    <row r="462" ht="15" customHeight="1">
      <c r="A462" t="inlineStr">
        <is>
          <t>A 35749-2025</t>
        </is>
      </c>
      <c r="B462" s="1" t="n">
        <v>45860</v>
      </c>
      <c r="C462" s="1" t="n">
        <v>46003</v>
      </c>
      <c r="D462" t="inlineStr">
        <is>
          <t>NORRBOTTENS LÄN</t>
        </is>
      </c>
      <c r="E462" t="inlineStr">
        <is>
          <t>JOKKMOKK</t>
        </is>
      </c>
      <c r="G462" t="n">
        <v>4.2</v>
      </c>
      <c r="H462" t="n">
        <v>0</v>
      </c>
      <c r="I462" t="n">
        <v>0</v>
      </c>
      <c r="J462" t="n">
        <v>0</v>
      </c>
      <c r="K462" t="n">
        <v>0</v>
      </c>
      <c r="L462" t="n">
        <v>0</v>
      </c>
      <c r="M462" t="n">
        <v>0</v>
      </c>
      <c r="N462" t="n">
        <v>0</v>
      </c>
      <c r="O462" t="n">
        <v>0</v>
      </c>
      <c r="P462" t="n">
        <v>0</v>
      </c>
      <c r="Q462" t="n">
        <v>0</v>
      </c>
      <c r="R462" s="2" t="inlineStr"/>
    </row>
    <row r="463" ht="15" customHeight="1">
      <c r="A463" t="inlineStr">
        <is>
          <t>A 60404-2025</t>
        </is>
      </c>
      <c r="B463" s="1" t="n">
        <v>45995.42780092593</v>
      </c>
      <c r="C463" s="1" t="n">
        <v>46003</v>
      </c>
      <c r="D463" t="inlineStr">
        <is>
          <t>NORRBOTTENS LÄN</t>
        </is>
      </c>
      <c r="E463" t="inlineStr">
        <is>
          <t>JOKKMOKK</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35805-2025</t>
        </is>
      </c>
      <c r="B464" s="1" t="n">
        <v>45861.4019212963</v>
      </c>
      <c r="C464" s="1" t="n">
        <v>46003</v>
      </c>
      <c r="D464" t="inlineStr">
        <is>
          <t>NORRBOTTENS LÄN</t>
        </is>
      </c>
      <c r="E464" t="inlineStr">
        <is>
          <t>JOKKMOKK</t>
        </is>
      </c>
      <c r="G464" t="n">
        <v>7</v>
      </c>
      <c r="H464" t="n">
        <v>0</v>
      </c>
      <c r="I464" t="n">
        <v>0</v>
      </c>
      <c r="J464" t="n">
        <v>0</v>
      </c>
      <c r="K464" t="n">
        <v>0</v>
      </c>
      <c r="L464" t="n">
        <v>0</v>
      </c>
      <c r="M464" t="n">
        <v>0</v>
      </c>
      <c r="N464" t="n">
        <v>0</v>
      </c>
      <c r="O464" t="n">
        <v>0</v>
      </c>
      <c r="P464" t="n">
        <v>0</v>
      </c>
      <c r="Q464" t="n">
        <v>0</v>
      </c>
      <c r="R464" s="2" t="inlineStr"/>
    </row>
    <row r="465" ht="15" customHeight="1">
      <c r="A465" t="inlineStr">
        <is>
          <t>A 59150-2025</t>
        </is>
      </c>
      <c r="B465" s="1" t="n">
        <v>45988.53171296296</v>
      </c>
      <c r="C465" s="1" t="n">
        <v>46003</v>
      </c>
      <c r="D465" t="inlineStr">
        <is>
          <t>NORRBOTTENS LÄN</t>
        </is>
      </c>
      <c r="E465" t="inlineStr">
        <is>
          <t>JOKKMOKK</t>
        </is>
      </c>
      <c r="F465" t="inlineStr">
        <is>
          <t>SCA</t>
        </is>
      </c>
      <c r="G465" t="n">
        <v>16.6</v>
      </c>
      <c r="H465" t="n">
        <v>0</v>
      </c>
      <c r="I465" t="n">
        <v>0</v>
      </c>
      <c r="J465" t="n">
        <v>0</v>
      </c>
      <c r="K465" t="n">
        <v>0</v>
      </c>
      <c r="L465" t="n">
        <v>0</v>
      </c>
      <c r="M465" t="n">
        <v>0</v>
      </c>
      <c r="N465" t="n">
        <v>0</v>
      </c>
      <c r="O465" t="n">
        <v>0</v>
      </c>
      <c r="P465" t="n">
        <v>0</v>
      </c>
      <c r="Q465" t="n">
        <v>0</v>
      </c>
      <c r="R465" s="2" t="inlineStr"/>
    </row>
    <row r="466" ht="15" customHeight="1">
      <c r="A466" t="inlineStr">
        <is>
          <t>A 57167-2025</t>
        </is>
      </c>
      <c r="B466" s="1" t="n">
        <v>45979.54135416666</v>
      </c>
      <c r="C466" s="1" t="n">
        <v>46003</v>
      </c>
      <c r="D466" t="inlineStr">
        <is>
          <t>NORRBOTTENS LÄN</t>
        </is>
      </c>
      <c r="E466" t="inlineStr">
        <is>
          <t>JOKKMOKK</t>
        </is>
      </c>
      <c r="F466" t="inlineStr">
        <is>
          <t>Allmännings- och besparingsskogar</t>
        </is>
      </c>
      <c r="G466" t="n">
        <v>12.8</v>
      </c>
      <c r="H466" t="n">
        <v>0</v>
      </c>
      <c r="I466" t="n">
        <v>0</v>
      </c>
      <c r="J466" t="n">
        <v>0</v>
      </c>
      <c r="K466" t="n">
        <v>0</v>
      </c>
      <c r="L466" t="n">
        <v>0</v>
      </c>
      <c r="M466" t="n">
        <v>0</v>
      </c>
      <c r="N466" t="n">
        <v>0</v>
      </c>
      <c r="O466" t="n">
        <v>0</v>
      </c>
      <c r="P466" t="n">
        <v>0</v>
      </c>
      <c r="Q466" t="n">
        <v>0</v>
      </c>
      <c r="R466" s="2" t="inlineStr"/>
    </row>
    <row r="467" ht="15" customHeight="1">
      <c r="A467" t="inlineStr">
        <is>
          <t>A 57256-2025</t>
        </is>
      </c>
      <c r="B467" s="1" t="n">
        <v>45979.65127314815</v>
      </c>
      <c r="C467" s="1" t="n">
        <v>46003</v>
      </c>
      <c r="D467" t="inlineStr">
        <is>
          <t>NORRBOTTENS LÄN</t>
        </is>
      </c>
      <c r="E467" t="inlineStr">
        <is>
          <t>JOKKMOKK</t>
        </is>
      </c>
      <c r="F467" t="inlineStr">
        <is>
          <t>Allmännings- och besparingsskogar</t>
        </is>
      </c>
      <c r="G467" t="n">
        <v>12.3</v>
      </c>
      <c r="H467" t="n">
        <v>0</v>
      </c>
      <c r="I467" t="n">
        <v>0</v>
      </c>
      <c r="J467" t="n">
        <v>0</v>
      </c>
      <c r="K467" t="n">
        <v>0</v>
      </c>
      <c r="L467" t="n">
        <v>0</v>
      </c>
      <c r="M467" t="n">
        <v>0</v>
      </c>
      <c r="N467" t="n">
        <v>0</v>
      </c>
      <c r="O467" t="n">
        <v>0</v>
      </c>
      <c r="P467" t="n">
        <v>0</v>
      </c>
      <c r="Q467" t="n">
        <v>0</v>
      </c>
      <c r="R467" s="2" t="inlineStr"/>
    </row>
    <row r="468" ht="15" customHeight="1">
      <c r="A468" t="inlineStr">
        <is>
          <t>A 52291-2025</t>
        </is>
      </c>
      <c r="B468" s="1" t="n">
        <v>45953.59836805556</v>
      </c>
      <c r="C468" s="1" t="n">
        <v>46003</v>
      </c>
      <c r="D468" t="inlineStr">
        <is>
          <t>NORRBOTTENS LÄN</t>
        </is>
      </c>
      <c r="E468" t="inlineStr">
        <is>
          <t>JOKKMOKK</t>
        </is>
      </c>
      <c r="F468" t="inlineStr">
        <is>
          <t>Övriga statliga verk och myndigheter</t>
        </is>
      </c>
      <c r="G468" t="n">
        <v>41.2</v>
      </c>
      <c r="H468" t="n">
        <v>0</v>
      </c>
      <c r="I468" t="n">
        <v>0</v>
      </c>
      <c r="J468" t="n">
        <v>0</v>
      </c>
      <c r="K468" t="n">
        <v>0</v>
      </c>
      <c r="L468" t="n">
        <v>0</v>
      </c>
      <c r="M468" t="n">
        <v>0</v>
      </c>
      <c r="N468" t="n">
        <v>0</v>
      </c>
      <c r="O468" t="n">
        <v>0</v>
      </c>
      <c r="P468" t="n">
        <v>0</v>
      </c>
      <c r="Q468" t="n">
        <v>0</v>
      </c>
      <c r="R468" s="2" t="inlineStr"/>
    </row>
    <row r="469" ht="15" customHeight="1">
      <c r="A469" t="inlineStr">
        <is>
          <t>A 60308-2025</t>
        </is>
      </c>
      <c r="B469" s="1" t="n">
        <v>45994.68775462963</v>
      </c>
      <c r="C469" s="1" t="n">
        <v>46003</v>
      </c>
      <c r="D469" t="inlineStr">
        <is>
          <t>NORRBOTTENS LÄN</t>
        </is>
      </c>
      <c r="E469" t="inlineStr">
        <is>
          <t>JOKKMOKK</t>
        </is>
      </c>
      <c r="F469" t="inlineStr">
        <is>
          <t>Allmännings- och besparingsskogar</t>
        </is>
      </c>
      <c r="G469" t="n">
        <v>6.5</v>
      </c>
      <c r="H469" t="n">
        <v>0</v>
      </c>
      <c r="I469" t="n">
        <v>0</v>
      </c>
      <c r="J469" t="n">
        <v>0</v>
      </c>
      <c r="K469" t="n">
        <v>0</v>
      </c>
      <c r="L469" t="n">
        <v>0</v>
      </c>
      <c r="M469" t="n">
        <v>0</v>
      </c>
      <c r="N469" t="n">
        <v>0</v>
      </c>
      <c r="O469" t="n">
        <v>0</v>
      </c>
      <c r="P469" t="n">
        <v>0</v>
      </c>
      <c r="Q469" t="n">
        <v>0</v>
      </c>
      <c r="R469" s="2" t="inlineStr"/>
    </row>
    <row r="470" ht="15" customHeight="1">
      <c r="A470" t="inlineStr">
        <is>
          <t>A 26552-2025</t>
        </is>
      </c>
      <c r="B470" s="1" t="n">
        <v>45807</v>
      </c>
      <c r="C470" s="1" t="n">
        <v>46003</v>
      </c>
      <c r="D470" t="inlineStr">
        <is>
          <t>NORRBOTTENS LÄN</t>
        </is>
      </c>
      <c r="E470" t="inlineStr">
        <is>
          <t>JOKKMOKK</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52770-2025</t>
        </is>
      </c>
      <c r="B471" s="1" t="n">
        <v>45957</v>
      </c>
      <c r="C471" s="1" t="n">
        <v>46003</v>
      </c>
      <c r="D471" t="inlineStr">
        <is>
          <t>NORRBOTTENS LÄN</t>
        </is>
      </c>
      <c r="E471" t="inlineStr">
        <is>
          <t>JOKKMOKK</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36325-2025</t>
        </is>
      </c>
      <c r="B472" s="1" t="n">
        <v>45868.40723379629</v>
      </c>
      <c r="C472" s="1" t="n">
        <v>46003</v>
      </c>
      <c r="D472" t="inlineStr">
        <is>
          <t>NORRBOTTENS LÄN</t>
        </is>
      </c>
      <c r="E472" t="inlineStr">
        <is>
          <t>JOKKMOKK</t>
        </is>
      </c>
      <c r="F472" t="inlineStr">
        <is>
          <t>SCA</t>
        </is>
      </c>
      <c r="G472" t="n">
        <v>14.4</v>
      </c>
      <c r="H472" t="n">
        <v>0</v>
      </c>
      <c r="I472" t="n">
        <v>0</v>
      </c>
      <c r="J472" t="n">
        <v>0</v>
      </c>
      <c r="K472" t="n">
        <v>0</v>
      </c>
      <c r="L472" t="n">
        <v>0</v>
      </c>
      <c r="M472" t="n">
        <v>0</v>
      </c>
      <c r="N472" t="n">
        <v>0</v>
      </c>
      <c r="O472" t="n">
        <v>0</v>
      </c>
      <c r="P472" t="n">
        <v>0</v>
      </c>
      <c r="Q472" t="n">
        <v>0</v>
      </c>
      <c r="R472" s="2" t="inlineStr"/>
    </row>
    <row r="473" ht="15" customHeight="1">
      <c r="A473" t="inlineStr">
        <is>
          <t>A 36357-2025</t>
        </is>
      </c>
      <c r="B473" s="1" t="n">
        <v>45868.5107175926</v>
      </c>
      <c r="C473" s="1" t="n">
        <v>46003</v>
      </c>
      <c r="D473" t="inlineStr">
        <is>
          <t>NORRBOTTENS LÄN</t>
        </is>
      </c>
      <c r="E473" t="inlineStr">
        <is>
          <t>JOKKMOKK</t>
        </is>
      </c>
      <c r="G473" t="n">
        <v>0.5</v>
      </c>
      <c r="H473" t="n">
        <v>0</v>
      </c>
      <c r="I473" t="n">
        <v>0</v>
      </c>
      <c r="J473" t="n">
        <v>0</v>
      </c>
      <c r="K473" t="n">
        <v>0</v>
      </c>
      <c r="L473" t="n">
        <v>0</v>
      </c>
      <c r="M473" t="n">
        <v>0</v>
      </c>
      <c r="N473" t="n">
        <v>0</v>
      </c>
      <c r="O473" t="n">
        <v>0</v>
      </c>
      <c r="P473" t="n">
        <v>0</v>
      </c>
      <c r="Q473" t="n">
        <v>0</v>
      </c>
      <c r="R473" s="2" t="inlineStr"/>
    </row>
    <row r="474" ht="15" customHeight="1">
      <c r="A474" t="inlineStr">
        <is>
          <t>A 36168-2025</t>
        </is>
      </c>
      <c r="B474" s="1" t="n">
        <v>45867.38582175926</v>
      </c>
      <c r="C474" s="1" t="n">
        <v>46003</v>
      </c>
      <c r="D474" t="inlineStr">
        <is>
          <t>NORRBOTTENS LÄN</t>
        </is>
      </c>
      <c r="E474" t="inlineStr">
        <is>
          <t>JOKKMOKK</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53237-2025</t>
        </is>
      </c>
      <c r="B475" s="1" t="n">
        <v>45957</v>
      </c>
      <c r="C475" s="1" t="n">
        <v>46003</v>
      </c>
      <c r="D475" t="inlineStr">
        <is>
          <t>NORRBOTTENS LÄN</t>
        </is>
      </c>
      <c r="E475" t="inlineStr">
        <is>
          <t>JOKKMOKK</t>
        </is>
      </c>
      <c r="F475" t="inlineStr">
        <is>
          <t>Övriga Aktiebolag</t>
        </is>
      </c>
      <c r="G475" t="n">
        <v>28.1</v>
      </c>
      <c r="H475" t="n">
        <v>0</v>
      </c>
      <c r="I475" t="n">
        <v>0</v>
      </c>
      <c r="J475" t="n">
        <v>0</v>
      </c>
      <c r="K475" t="n">
        <v>0</v>
      </c>
      <c r="L475" t="n">
        <v>0</v>
      </c>
      <c r="M475" t="n">
        <v>0</v>
      </c>
      <c r="N475" t="n">
        <v>0</v>
      </c>
      <c r="O475" t="n">
        <v>0</v>
      </c>
      <c r="P475" t="n">
        <v>0</v>
      </c>
      <c r="Q475" t="n">
        <v>0</v>
      </c>
      <c r="R475" s="2" t="inlineStr"/>
    </row>
    <row r="476" ht="15" customHeight="1">
      <c r="A476" t="inlineStr">
        <is>
          <t>A 10596-2025</t>
        </is>
      </c>
      <c r="B476" s="1" t="n">
        <v>45721</v>
      </c>
      <c r="C476" s="1" t="n">
        <v>46003</v>
      </c>
      <c r="D476" t="inlineStr">
        <is>
          <t>NORRBOTTENS LÄN</t>
        </is>
      </c>
      <c r="E476" t="inlineStr">
        <is>
          <t>JOKKMOKK</t>
        </is>
      </c>
      <c r="G476" t="n">
        <v>17.7</v>
      </c>
      <c r="H476" t="n">
        <v>0</v>
      </c>
      <c r="I476" t="n">
        <v>0</v>
      </c>
      <c r="J476" t="n">
        <v>0</v>
      </c>
      <c r="K476" t="n">
        <v>0</v>
      </c>
      <c r="L476" t="n">
        <v>0</v>
      </c>
      <c r="M476" t="n">
        <v>0</v>
      </c>
      <c r="N476" t="n">
        <v>0</v>
      </c>
      <c r="O476" t="n">
        <v>0</v>
      </c>
      <c r="P476" t="n">
        <v>0</v>
      </c>
      <c r="Q476" t="n">
        <v>0</v>
      </c>
      <c r="R476" s="2" t="inlineStr"/>
    </row>
    <row r="477" ht="15" customHeight="1">
      <c r="A477" t="inlineStr">
        <is>
          <t>A 37120-2025</t>
        </is>
      </c>
      <c r="B477" s="1" t="n">
        <v>45875.51827546296</v>
      </c>
      <c r="C477" s="1" t="n">
        <v>46003</v>
      </c>
      <c r="D477" t="inlineStr">
        <is>
          <t>NORRBOTTENS LÄN</t>
        </is>
      </c>
      <c r="E477" t="inlineStr">
        <is>
          <t>JOKKMOKK</t>
        </is>
      </c>
      <c r="G477" t="n">
        <v>17.6</v>
      </c>
      <c r="H477" t="n">
        <v>0</v>
      </c>
      <c r="I477" t="n">
        <v>0</v>
      </c>
      <c r="J477" t="n">
        <v>0</v>
      </c>
      <c r="K477" t="n">
        <v>0</v>
      </c>
      <c r="L477" t="n">
        <v>0</v>
      </c>
      <c r="M477" t="n">
        <v>0</v>
      </c>
      <c r="N477" t="n">
        <v>0</v>
      </c>
      <c r="O477" t="n">
        <v>0</v>
      </c>
      <c r="P477" t="n">
        <v>0</v>
      </c>
      <c r="Q477" t="n">
        <v>0</v>
      </c>
      <c r="R477" s="2" t="inlineStr"/>
    </row>
    <row r="478" ht="15" customHeight="1">
      <c r="A478" t="inlineStr">
        <is>
          <t>A 59666-2025</t>
        </is>
      </c>
      <c r="B478" s="1" t="n">
        <v>45992.45447916666</v>
      </c>
      <c r="C478" s="1" t="n">
        <v>46003</v>
      </c>
      <c r="D478" t="inlineStr">
        <is>
          <t>NORRBOTTENS LÄN</t>
        </is>
      </c>
      <c r="E478" t="inlineStr">
        <is>
          <t>JOKKMOKK</t>
        </is>
      </c>
      <c r="F478" t="inlineStr">
        <is>
          <t>Allmännings- och besparingsskogar</t>
        </is>
      </c>
      <c r="G478" t="n">
        <v>12.2</v>
      </c>
      <c r="H478" t="n">
        <v>0</v>
      </c>
      <c r="I478" t="n">
        <v>0</v>
      </c>
      <c r="J478" t="n">
        <v>0</v>
      </c>
      <c r="K478" t="n">
        <v>0</v>
      </c>
      <c r="L478" t="n">
        <v>0</v>
      </c>
      <c r="M478" t="n">
        <v>0</v>
      </c>
      <c r="N478" t="n">
        <v>0</v>
      </c>
      <c r="O478" t="n">
        <v>0</v>
      </c>
      <c r="P478" t="n">
        <v>0</v>
      </c>
      <c r="Q478" t="n">
        <v>0</v>
      </c>
      <c r="R478" s="2" t="inlineStr"/>
    </row>
    <row r="479" ht="15" customHeight="1">
      <c r="A479" t="inlineStr">
        <is>
          <t>A 37206-2025</t>
        </is>
      </c>
      <c r="B479" s="1" t="n">
        <v>45875.69855324074</v>
      </c>
      <c r="C479" s="1" t="n">
        <v>46003</v>
      </c>
      <c r="D479" t="inlineStr">
        <is>
          <t>NORRBOTTENS LÄN</t>
        </is>
      </c>
      <c r="E479" t="inlineStr">
        <is>
          <t>JOKKMOKK</t>
        </is>
      </c>
      <c r="G479" t="n">
        <v>2.9</v>
      </c>
      <c r="H479" t="n">
        <v>0</v>
      </c>
      <c r="I479" t="n">
        <v>0</v>
      </c>
      <c r="J479" t="n">
        <v>0</v>
      </c>
      <c r="K479" t="n">
        <v>0</v>
      </c>
      <c r="L479" t="n">
        <v>0</v>
      </c>
      <c r="M479" t="n">
        <v>0</v>
      </c>
      <c r="N479" t="n">
        <v>0</v>
      </c>
      <c r="O479" t="n">
        <v>0</v>
      </c>
      <c r="P479" t="n">
        <v>0</v>
      </c>
      <c r="Q479" t="n">
        <v>0</v>
      </c>
      <c r="R479" s="2" t="inlineStr"/>
    </row>
    <row r="480" ht="15" customHeight="1">
      <c r="A480" t="inlineStr">
        <is>
          <t>A 53513-2025</t>
        </is>
      </c>
      <c r="B480" s="1" t="n">
        <v>45960</v>
      </c>
      <c r="C480" s="1" t="n">
        <v>46003</v>
      </c>
      <c r="D480" t="inlineStr">
        <is>
          <t>NORRBOTTENS LÄN</t>
        </is>
      </c>
      <c r="E480" t="inlineStr">
        <is>
          <t>JOKKMOKK</t>
        </is>
      </c>
      <c r="G480" t="n">
        <v>3.7</v>
      </c>
      <c r="H480" t="n">
        <v>0</v>
      </c>
      <c r="I480" t="n">
        <v>0</v>
      </c>
      <c r="J480" t="n">
        <v>0</v>
      </c>
      <c r="K480" t="n">
        <v>0</v>
      </c>
      <c r="L480" t="n">
        <v>0</v>
      </c>
      <c r="M480" t="n">
        <v>0</v>
      </c>
      <c r="N480" t="n">
        <v>0</v>
      </c>
      <c r="O480" t="n">
        <v>0</v>
      </c>
      <c r="P480" t="n">
        <v>0</v>
      </c>
      <c r="Q480" t="n">
        <v>0</v>
      </c>
      <c r="R480" s="2" t="inlineStr"/>
    </row>
    <row r="481" ht="15" customHeight="1">
      <c r="A481" t="inlineStr">
        <is>
          <t>A 37694-2025</t>
        </is>
      </c>
      <c r="B481" s="1" t="n">
        <v>45880.57349537037</v>
      </c>
      <c r="C481" s="1" t="n">
        <v>46003</v>
      </c>
      <c r="D481" t="inlineStr">
        <is>
          <t>NORRBOTTENS LÄN</t>
        </is>
      </c>
      <c r="E481" t="inlineStr">
        <is>
          <t>JOKKMOKK</t>
        </is>
      </c>
      <c r="F481" t="inlineStr">
        <is>
          <t>SCA</t>
        </is>
      </c>
      <c r="G481" t="n">
        <v>2.7</v>
      </c>
      <c r="H481" t="n">
        <v>0</v>
      </c>
      <c r="I481" t="n">
        <v>0</v>
      </c>
      <c r="J481" t="n">
        <v>0</v>
      </c>
      <c r="K481" t="n">
        <v>0</v>
      </c>
      <c r="L481" t="n">
        <v>0</v>
      </c>
      <c r="M481" t="n">
        <v>0</v>
      </c>
      <c r="N481" t="n">
        <v>0</v>
      </c>
      <c r="O481" t="n">
        <v>0</v>
      </c>
      <c r="P481" t="n">
        <v>0</v>
      </c>
      <c r="Q481" t="n">
        <v>0</v>
      </c>
      <c r="R481" s="2" t="inlineStr"/>
    </row>
    <row r="482">
      <c r="A482" t="inlineStr">
        <is>
          <t>A 37917-2025</t>
        </is>
      </c>
      <c r="B482" s="1" t="n">
        <v>45881.57443287037</v>
      </c>
      <c r="C482" s="1" t="n">
        <v>46003</v>
      </c>
      <c r="D482" t="inlineStr">
        <is>
          <t>NORRBOTTENS LÄN</t>
        </is>
      </c>
      <c r="E482" t="inlineStr">
        <is>
          <t>JOKKMOKK</t>
        </is>
      </c>
      <c r="F482" t="inlineStr">
        <is>
          <t>SCA</t>
        </is>
      </c>
      <c r="G482" t="n">
        <v>4.2</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2025-12-12T10:26:33Z</dcterms:created>
  <dcterms:modified xmlns:dcterms="http://purl.org/dc/terms/" xmlns:xsi="http://www.w3.org/2001/XMLSchema-instance" xsi:type="dcterms:W3CDTF">2025-12-12T10:26:34Z</dcterms:modified>
</cp:coreProperties>
</file>