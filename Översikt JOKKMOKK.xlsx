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55345-2020</t>
        </is>
      </c>
      <c r="B2" s="1" t="n">
        <v>44131</v>
      </c>
      <c r="C2" s="1" t="n">
        <v>45294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row>
    <row r="3" ht="15" customHeight="1">
      <c r="A3" t="inlineStr">
        <is>
          <t>A 32759-2021</t>
        </is>
      </c>
      <c r="B3" s="1" t="n">
        <v>44375</v>
      </c>
      <c r="C3" s="1" t="n">
        <v>45294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row>
    <row r="4" ht="15" customHeight="1">
      <c r="A4" t="inlineStr">
        <is>
          <t>A 59896-2019</t>
        </is>
      </c>
      <c r="B4" s="1" t="n">
        <v>43775</v>
      </c>
      <c r="C4" s="1" t="n">
        <v>45294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45294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row>
    <row r="6" ht="15" customHeight="1">
      <c r="A6" t="inlineStr">
        <is>
          <t>A 65332-2020</t>
        </is>
      </c>
      <c r="B6" s="1" t="n">
        <v>44173</v>
      </c>
      <c r="C6" s="1" t="n">
        <v>45294</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row>
    <row r="7" ht="15" customHeight="1">
      <c r="A7" t="inlineStr">
        <is>
          <t>A 48363-2020</t>
        </is>
      </c>
      <c r="B7" s="1" t="n">
        <v>44097</v>
      </c>
      <c r="C7" s="1" t="n">
        <v>45294</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45294</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45294</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row>
    <row r="10" ht="15" customHeight="1">
      <c r="A10" t="inlineStr">
        <is>
          <t>A 32121-2021</t>
        </is>
      </c>
      <c r="B10" s="1" t="n">
        <v>44370</v>
      </c>
      <c r="C10" s="1" t="n">
        <v>45294</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45294</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row>
    <row r="12" ht="15" customHeight="1">
      <c r="A12" t="inlineStr">
        <is>
          <t>A 20487-2023</t>
        </is>
      </c>
      <c r="B12" s="1" t="n">
        <v>45057</v>
      </c>
      <c r="C12" s="1" t="n">
        <v>45294</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45294</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row>
    <row r="14" ht="15" customHeight="1">
      <c r="A14" t="inlineStr">
        <is>
          <t>A 52408-2023</t>
        </is>
      </c>
      <c r="B14" s="1" t="n">
        <v>45224</v>
      </c>
      <c r="C14" s="1" t="n">
        <v>45294</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row>
    <row r="15" ht="15" customHeight="1">
      <c r="A15" t="inlineStr">
        <is>
          <t>A 25131-2020</t>
        </is>
      </c>
      <c r="B15" s="1" t="n">
        <v>43980</v>
      </c>
      <c r="C15" s="1" t="n">
        <v>45294</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45294</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45294</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row>
    <row r="18" ht="15" customHeight="1">
      <c r="A18" t="inlineStr">
        <is>
          <t>A 65339-2020</t>
        </is>
      </c>
      <c r="B18" s="1" t="n">
        <v>44173</v>
      </c>
      <c r="C18" s="1" t="n">
        <v>45294</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row>
    <row r="19" ht="15" customHeight="1">
      <c r="A19" t="inlineStr">
        <is>
          <t>A 61941-2023</t>
        </is>
      </c>
      <c r="B19" s="1" t="n">
        <v>45266</v>
      </c>
      <c r="C19" s="1" t="n">
        <v>45294</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row>
    <row r="20" ht="15" customHeight="1">
      <c r="A20" t="inlineStr">
        <is>
          <t>A 19776-2019</t>
        </is>
      </c>
      <c r="B20" s="1" t="n">
        <v>43566</v>
      </c>
      <c r="C20" s="1" t="n">
        <v>45294</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row>
    <row r="21" ht="15" customHeight="1">
      <c r="A21" t="inlineStr">
        <is>
          <t>A 28162-2020</t>
        </is>
      </c>
      <c r="B21" s="1" t="n">
        <v>43997</v>
      </c>
      <c r="C21" s="1" t="n">
        <v>45294</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53227-2023</t>
        </is>
      </c>
      <c r="B22" s="1" t="n">
        <v>45222</v>
      </c>
      <c r="C22" s="1" t="n">
        <v>45294</v>
      </c>
      <c r="D22" t="inlineStr">
        <is>
          <t>NORRBOTTENS LÄN</t>
        </is>
      </c>
      <c r="E22" t="inlineStr">
        <is>
          <t>JOKKMOKK</t>
        </is>
      </c>
      <c r="F22" t="inlineStr">
        <is>
          <t>Övriga statliga verk och myndigheter</t>
        </is>
      </c>
      <c r="G22" t="n">
        <v>61.5</v>
      </c>
      <c r="H22" t="n">
        <v>0</v>
      </c>
      <c r="I22" t="n">
        <v>2</v>
      </c>
      <c r="J22" t="n">
        <v>6</v>
      </c>
      <c r="K22" t="n">
        <v>2</v>
      </c>
      <c r="L22" t="n">
        <v>0</v>
      </c>
      <c r="M22" t="n">
        <v>0</v>
      </c>
      <c r="N22" t="n">
        <v>0</v>
      </c>
      <c r="O22" t="n">
        <v>8</v>
      </c>
      <c r="P22" t="n">
        <v>2</v>
      </c>
      <c r="Q22" t="n">
        <v>10</v>
      </c>
      <c r="R22" s="2" t="inlineStr">
        <is>
          <t>Smalfotad taggsvamp
Tajgataggsvamp
Blå taggsvamp
Motaggsvamp
Orange taggsvamp
Skrovlig taggsvamp
Talltaggsvamp
Vaddporing
Dropptaggsvamp
Skarp dropptaggsvamp</t>
        </is>
      </c>
      <c r="S22">
        <f>HYPERLINK("https://klasma.github.io/Logging_2510/artfynd/A 53227-2023 artfynd.xlsx", "A 53227-2023")</f>
        <v/>
      </c>
      <c r="T22">
        <f>HYPERLINK("https://klasma.github.io/Logging_2510/kartor/A 53227-2023 karta.png", "A 53227-2023")</f>
        <v/>
      </c>
      <c r="V22">
        <f>HYPERLINK("https://klasma.github.io/Logging_2510/klagomål/A 53227-2023 FSC-klagomål.docx", "A 53227-2023")</f>
        <v/>
      </c>
      <c r="W22">
        <f>HYPERLINK("https://klasma.github.io/Logging_2510/klagomålsmail/A 53227-2023 FSC-klagomål mail.docx", "A 53227-2023")</f>
        <v/>
      </c>
      <c r="X22">
        <f>HYPERLINK("https://klasma.github.io/Logging_2510/tillsyn/A 53227-2023 tillsynsbegäran.docx", "A 53227-2023")</f>
        <v/>
      </c>
      <c r="Y22">
        <f>HYPERLINK("https://klasma.github.io/Logging_2510/tillsynsmail/A 53227-2023 tillsynsbegäran mail.docx", "A 53227-2023")</f>
        <v/>
      </c>
    </row>
    <row r="23" ht="15" customHeight="1">
      <c r="A23" t="inlineStr">
        <is>
          <t>A 58473-2020</t>
        </is>
      </c>
      <c r="B23" s="1" t="n">
        <v>44144</v>
      </c>
      <c r="C23" s="1" t="n">
        <v>45294</v>
      </c>
      <c r="D23" t="inlineStr">
        <is>
          <t>NORRBOTTENS LÄN</t>
        </is>
      </c>
      <c r="E23" t="inlineStr">
        <is>
          <t>JOKKMOKK</t>
        </is>
      </c>
      <c r="F23" t="inlineStr">
        <is>
          <t>Övriga statliga verk och myndigheter</t>
        </is>
      </c>
      <c r="G23" t="n">
        <v>51</v>
      </c>
      <c r="H23" t="n">
        <v>0</v>
      </c>
      <c r="I23" t="n">
        <v>2</v>
      </c>
      <c r="J23" t="n">
        <v>6</v>
      </c>
      <c r="K23" t="n">
        <v>1</v>
      </c>
      <c r="L23" t="n">
        <v>0</v>
      </c>
      <c r="M23" t="n">
        <v>0</v>
      </c>
      <c r="N23" t="n">
        <v>0</v>
      </c>
      <c r="O23" t="n">
        <v>7</v>
      </c>
      <c r="P23" t="n">
        <v>1</v>
      </c>
      <c r="Q23" t="n">
        <v>9</v>
      </c>
      <c r="R23" s="2" t="inlineStr">
        <is>
          <t>Gräddporing
Blanksvart spiklav
Dvärgbägarlav
Gammelgransskål
Ullticka
Vedflamlav
Vedskivlav
Skarp dropptaggsvamp
Skinnlav</t>
        </is>
      </c>
      <c r="S23">
        <f>HYPERLINK("https://klasma.github.io/Logging_2510/artfynd/A 58473-2020 artfynd.xlsx", "A 58473-2020")</f>
        <v/>
      </c>
      <c r="T23">
        <f>HYPERLINK("https://klasma.github.io/Logging_2510/kartor/A 58473-2020 karta.png", "A 58473-2020")</f>
        <v/>
      </c>
      <c r="V23">
        <f>HYPERLINK("https://klasma.github.io/Logging_2510/klagomål/A 58473-2020 FSC-klagomål.docx", "A 58473-2020")</f>
        <v/>
      </c>
      <c r="W23">
        <f>HYPERLINK("https://klasma.github.io/Logging_2510/klagomålsmail/A 58473-2020 FSC-klagomål mail.docx", "A 58473-2020")</f>
        <v/>
      </c>
      <c r="X23">
        <f>HYPERLINK("https://klasma.github.io/Logging_2510/tillsyn/A 58473-2020 tillsynsbegäran.docx", "A 58473-2020")</f>
        <v/>
      </c>
      <c r="Y23">
        <f>HYPERLINK("https://klasma.github.io/Logging_2510/tillsynsmail/A 58473-2020 tillsynsbegäran mail.docx", "A 58473-2020")</f>
        <v/>
      </c>
    </row>
    <row r="24" ht="15" customHeight="1">
      <c r="A24" t="inlineStr">
        <is>
          <t>A 4896-2021</t>
        </is>
      </c>
      <c r="B24" s="1" t="n">
        <v>44225</v>
      </c>
      <c r="C24" s="1" t="n">
        <v>45294</v>
      </c>
      <c r="D24" t="inlineStr">
        <is>
          <t>NORRBOTTENS LÄN</t>
        </is>
      </c>
      <c r="E24" t="inlineStr">
        <is>
          <t>JOKKMOKK</t>
        </is>
      </c>
      <c r="F24" t="inlineStr">
        <is>
          <t>Sveaskog</t>
        </is>
      </c>
      <c r="G24" t="n">
        <v>7.1</v>
      </c>
      <c r="H24" t="n">
        <v>1</v>
      </c>
      <c r="I24" t="n">
        <v>1</v>
      </c>
      <c r="J24" t="n">
        <v>8</v>
      </c>
      <c r="K24" t="n">
        <v>0</v>
      </c>
      <c r="L24" t="n">
        <v>0</v>
      </c>
      <c r="M24" t="n">
        <v>0</v>
      </c>
      <c r="N24" t="n">
        <v>0</v>
      </c>
      <c r="O24" t="n">
        <v>8</v>
      </c>
      <c r="P24" t="n">
        <v>0</v>
      </c>
      <c r="Q24" t="n">
        <v>9</v>
      </c>
      <c r="R24" s="2" t="inlineStr">
        <is>
          <t>Blanksvart spiklav
Dvärgbägarlav
Gammelgransskål
Kolflarnlav
Mörk kolflarnlav
Tretåig hackspett
Vedflamlav
Vedskivlav
Luddlav</t>
        </is>
      </c>
      <c r="S24">
        <f>HYPERLINK("https://klasma.github.io/Logging_2510/artfynd/A 4896-2021 artfynd.xlsx", "A 4896-2021")</f>
        <v/>
      </c>
      <c r="T24">
        <f>HYPERLINK("https://klasma.github.io/Logging_2510/kartor/A 4896-2021 karta.png", "A 4896-2021")</f>
        <v/>
      </c>
      <c r="V24">
        <f>HYPERLINK("https://klasma.github.io/Logging_2510/klagomål/A 4896-2021 FSC-klagomål.docx", "A 4896-2021")</f>
        <v/>
      </c>
      <c r="W24">
        <f>HYPERLINK("https://klasma.github.io/Logging_2510/klagomålsmail/A 4896-2021 FSC-klagomål mail.docx", "A 4896-2021")</f>
        <v/>
      </c>
      <c r="X24">
        <f>HYPERLINK("https://klasma.github.io/Logging_2510/tillsyn/A 4896-2021 tillsynsbegäran.docx", "A 4896-2021")</f>
        <v/>
      </c>
      <c r="Y24">
        <f>HYPERLINK("https://klasma.github.io/Logging_2510/tillsynsmail/A 4896-2021 tillsynsbegäran mail.docx", "A 4896-2021")</f>
        <v/>
      </c>
    </row>
    <row r="25" ht="15" customHeight="1">
      <c r="A25" t="inlineStr">
        <is>
          <t>A 73873-2021</t>
        </is>
      </c>
      <c r="B25" s="1" t="n">
        <v>44552</v>
      </c>
      <c r="C25" s="1" t="n">
        <v>45294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20583-2023</t>
        </is>
      </c>
      <c r="B26" s="1" t="n">
        <v>45057</v>
      </c>
      <c r="C26" s="1" t="n">
        <v>45294</v>
      </c>
      <c r="D26" t="inlineStr">
        <is>
          <t>NORRBOTTENS LÄN</t>
        </is>
      </c>
      <c r="E26" t="inlineStr">
        <is>
          <t>JOKKMOKK</t>
        </is>
      </c>
      <c r="G26" t="n">
        <v>4.1</v>
      </c>
      <c r="H26" t="n">
        <v>2</v>
      </c>
      <c r="I26" t="n">
        <v>4</v>
      </c>
      <c r="J26" t="n">
        <v>4</v>
      </c>
      <c r="K26" t="n">
        <v>1</v>
      </c>
      <c r="L26" t="n">
        <v>0</v>
      </c>
      <c r="M26" t="n">
        <v>0</v>
      </c>
      <c r="N26" t="n">
        <v>0</v>
      </c>
      <c r="O26" t="n">
        <v>5</v>
      </c>
      <c r="P26" t="n">
        <v>1</v>
      </c>
      <c r="Q26" t="n">
        <v>9</v>
      </c>
      <c r="R26" s="2" t="inlineStr">
        <is>
          <t>Knärot
Gammelgransskål
Garnlav
Lunglav
Tretåig hackspett
Bårdlav
Luddlav
Norrlandslav
Stuplav</t>
        </is>
      </c>
      <c r="S26">
        <f>HYPERLINK("https://klasma.github.io/Logging_2510/artfynd/A 20583-2023 artfynd.xlsx", "A 20583-2023")</f>
        <v/>
      </c>
      <c r="T26">
        <f>HYPERLINK("https://klasma.github.io/Logging_2510/kartor/A 20583-2023 karta.png", "A 20583-2023")</f>
        <v/>
      </c>
      <c r="U26">
        <f>HYPERLINK("https://klasma.github.io/Logging_2510/knärot/A 20583-2023 karta knärot.png", "A 20583-2023")</f>
        <v/>
      </c>
      <c r="V26">
        <f>HYPERLINK("https://klasma.github.io/Logging_2510/klagomål/A 20583-2023 FSC-klagomål.docx", "A 20583-2023")</f>
        <v/>
      </c>
      <c r="W26">
        <f>HYPERLINK("https://klasma.github.io/Logging_2510/klagomålsmail/A 20583-2023 FSC-klagomål mail.docx", "A 20583-2023")</f>
        <v/>
      </c>
      <c r="X26">
        <f>HYPERLINK("https://klasma.github.io/Logging_2510/tillsyn/A 20583-2023 tillsynsbegäran.docx", "A 20583-2023")</f>
        <v/>
      </c>
      <c r="Y26">
        <f>HYPERLINK("https://klasma.github.io/Logging_2510/tillsynsmail/A 20583-2023 tillsynsbegäran mail.docx", "A 20583-2023")</f>
        <v/>
      </c>
    </row>
    <row r="27" ht="15" customHeight="1">
      <c r="A27" t="inlineStr">
        <is>
          <t>A 42793-2020</t>
        </is>
      </c>
      <c r="B27" s="1" t="n">
        <v>44076</v>
      </c>
      <c r="C27" s="1" t="n">
        <v>45294</v>
      </c>
      <c r="D27" t="inlineStr">
        <is>
          <t>NORRBOTTENS LÄN</t>
        </is>
      </c>
      <c r="E27" t="inlineStr">
        <is>
          <t>JOKKMOKK</t>
        </is>
      </c>
      <c r="F27" t="inlineStr">
        <is>
          <t>Övriga statliga verk och myndigheter</t>
        </is>
      </c>
      <c r="G27" t="n">
        <v>13.2</v>
      </c>
      <c r="H27" t="n">
        <v>0</v>
      </c>
      <c r="I27" t="n">
        <v>1</v>
      </c>
      <c r="J27" t="n">
        <v>7</v>
      </c>
      <c r="K27" t="n">
        <v>0</v>
      </c>
      <c r="L27" t="n">
        <v>0</v>
      </c>
      <c r="M27" t="n">
        <v>0</v>
      </c>
      <c r="N27" t="n">
        <v>0</v>
      </c>
      <c r="O27" t="n">
        <v>7</v>
      </c>
      <c r="P27" t="n">
        <v>0</v>
      </c>
      <c r="Q27" t="n">
        <v>8</v>
      </c>
      <c r="R27" s="2" t="inlineStr">
        <is>
          <t>Dvärgbägarlav
Gammelgransskål
Granticka
Harticka
Knottrig blåslav
Rosenticka
Ullticka
Ögonpyrola</t>
        </is>
      </c>
      <c r="S27">
        <f>HYPERLINK("https://klasma.github.io/Logging_2510/artfynd/A 42793-2020 artfynd.xlsx", "A 42793-2020")</f>
        <v/>
      </c>
      <c r="T27">
        <f>HYPERLINK("https://klasma.github.io/Logging_2510/kartor/A 42793-2020 karta.png", "A 42793-2020")</f>
        <v/>
      </c>
      <c r="V27">
        <f>HYPERLINK("https://klasma.github.io/Logging_2510/klagomål/A 42793-2020 FSC-klagomål.docx", "A 42793-2020")</f>
        <v/>
      </c>
      <c r="W27">
        <f>HYPERLINK("https://klasma.github.io/Logging_2510/klagomålsmail/A 42793-2020 FSC-klagomål mail.docx", "A 42793-2020")</f>
        <v/>
      </c>
      <c r="X27">
        <f>HYPERLINK("https://klasma.github.io/Logging_2510/tillsyn/A 42793-2020 tillsynsbegäran.docx", "A 42793-2020")</f>
        <v/>
      </c>
      <c r="Y27">
        <f>HYPERLINK("https://klasma.github.io/Logging_2510/tillsynsmail/A 42793-2020 tillsynsbegäran mail.docx", "A 42793-2020")</f>
        <v/>
      </c>
    </row>
    <row r="28" ht="15" customHeight="1">
      <c r="A28" t="inlineStr">
        <is>
          <t>A 23018-2023</t>
        </is>
      </c>
      <c r="B28" s="1" t="n">
        <v>45073</v>
      </c>
      <c r="C28" s="1" t="n">
        <v>45294</v>
      </c>
      <c r="D28" t="inlineStr">
        <is>
          <t>NORRBOTTENS LÄN</t>
        </is>
      </c>
      <c r="E28" t="inlineStr">
        <is>
          <t>JOKKMOKK</t>
        </is>
      </c>
      <c r="F28" t="inlineStr">
        <is>
          <t>SCA</t>
        </is>
      </c>
      <c r="G28" t="n">
        <v>2.9</v>
      </c>
      <c r="H28" t="n">
        <v>3</v>
      </c>
      <c r="I28" t="n">
        <v>1</v>
      </c>
      <c r="J28" t="n">
        <v>6</v>
      </c>
      <c r="K28" t="n">
        <v>0</v>
      </c>
      <c r="L28" t="n">
        <v>0</v>
      </c>
      <c r="M28" t="n">
        <v>0</v>
      </c>
      <c r="N28" t="n">
        <v>0</v>
      </c>
      <c r="O28" t="n">
        <v>6</v>
      </c>
      <c r="P28" t="n">
        <v>0</v>
      </c>
      <c r="Q28" t="n">
        <v>8</v>
      </c>
      <c r="R28" s="2" t="inlineStr">
        <is>
          <t>Järpe
Knottrig blåslav
Motaggsvamp
Orange taggsvamp
Talltita
Vedskivlav
Norrlandslav
Revlummer</t>
        </is>
      </c>
      <c r="S28">
        <f>HYPERLINK("https://klasma.github.io/Logging_2510/artfynd/A 23018-2023 artfynd.xlsx", "A 23018-2023")</f>
        <v/>
      </c>
      <c r="T28">
        <f>HYPERLINK("https://klasma.github.io/Logging_2510/kartor/A 23018-2023 karta.png", "A 23018-2023")</f>
        <v/>
      </c>
      <c r="V28">
        <f>HYPERLINK("https://klasma.github.io/Logging_2510/klagomål/A 23018-2023 FSC-klagomål.docx", "A 23018-2023")</f>
        <v/>
      </c>
      <c r="W28">
        <f>HYPERLINK("https://klasma.github.io/Logging_2510/klagomålsmail/A 23018-2023 FSC-klagomål mail.docx", "A 23018-2023")</f>
        <v/>
      </c>
      <c r="X28">
        <f>HYPERLINK("https://klasma.github.io/Logging_2510/tillsyn/A 23018-2023 tillsynsbegäran.docx", "A 23018-2023")</f>
        <v/>
      </c>
      <c r="Y28">
        <f>HYPERLINK("https://klasma.github.io/Logging_2510/tillsynsmail/A 23018-2023 tillsynsbegäran mail.docx", "A 23018-2023")</f>
        <v/>
      </c>
    </row>
    <row r="29" ht="15" customHeight="1">
      <c r="A29" t="inlineStr">
        <is>
          <t>A 51520-2020</t>
        </is>
      </c>
      <c r="B29" s="1" t="n">
        <v>44109</v>
      </c>
      <c r="C29" s="1" t="n">
        <v>45294</v>
      </c>
      <c r="D29" t="inlineStr">
        <is>
          <t>NORRBOTTENS LÄN</t>
        </is>
      </c>
      <c r="E29" t="inlineStr">
        <is>
          <t>JOKKMOKK</t>
        </is>
      </c>
      <c r="F29" t="inlineStr">
        <is>
          <t>Allmännings- och besparingsskogar</t>
        </is>
      </c>
      <c r="G29" t="n">
        <v>30.5</v>
      </c>
      <c r="H29" t="n">
        <v>1</v>
      </c>
      <c r="I29" t="n">
        <v>1</v>
      </c>
      <c r="J29" t="n">
        <v>5</v>
      </c>
      <c r="K29" t="n">
        <v>1</v>
      </c>
      <c r="L29" t="n">
        <v>0</v>
      </c>
      <c r="M29" t="n">
        <v>0</v>
      </c>
      <c r="N29" t="n">
        <v>0</v>
      </c>
      <c r="O29" t="n">
        <v>6</v>
      </c>
      <c r="P29" t="n">
        <v>1</v>
      </c>
      <c r="Q29" t="n">
        <v>7</v>
      </c>
      <c r="R29" s="2" t="inlineStr">
        <is>
          <t>Mörk blåslav
Dvärgbägarlav
Gammelgransskål
Granticka
Tretåig hackspett
Ullticka
Skinnlav</t>
        </is>
      </c>
      <c r="S29">
        <f>HYPERLINK("https://klasma.github.io/Logging_2510/artfynd/A 51520-2020 artfynd.xlsx", "A 51520-2020")</f>
        <v/>
      </c>
      <c r="T29">
        <f>HYPERLINK("https://klasma.github.io/Logging_2510/kartor/A 51520-2020 karta.png", "A 51520-2020")</f>
        <v/>
      </c>
      <c r="V29">
        <f>HYPERLINK("https://klasma.github.io/Logging_2510/klagomål/A 51520-2020 FSC-klagomål.docx", "A 51520-2020")</f>
        <v/>
      </c>
      <c r="W29">
        <f>HYPERLINK("https://klasma.github.io/Logging_2510/klagomålsmail/A 51520-2020 FSC-klagomål mail.docx", "A 51520-2020")</f>
        <v/>
      </c>
      <c r="X29">
        <f>HYPERLINK("https://klasma.github.io/Logging_2510/tillsyn/A 51520-2020 tillsynsbegäran.docx", "A 51520-2020")</f>
        <v/>
      </c>
      <c r="Y29">
        <f>HYPERLINK("https://klasma.github.io/Logging_2510/tillsynsmail/A 51520-2020 tillsynsbegäran mail.docx", "A 51520-2020")</f>
        <v/>
      </c>
    </row>
    <row r="30" ht="15" customHeight="1">
      <c r="A30" t="inlineStr">
        <is>
          <t>A 65342-2020</t>
        </is>
      </c>
      <c r="B30" s="1" t="n">
        <v>44173</v>
      </c>
      <c r="C30" s="1" t="n">
        <v>45294</v>
      </c>
      <c r="D30" t="inlineStr">
        <is>
          <t>NORRBOTTENS LÄN</t>
        </is>
      </c>
      <c r="E30" t="inlineStr">
        <is>
          <t>JOKKMOKK</t>
        </is>
      </c>
      <c r="F30" t="inlineStr">
        <is>
          <t>Sveaskog</t>
        </is>
      </c>
      <c r="G30" t="n">
        <v>6.5</v>
      </c>
      <c r="H30" t="n">
        <v>2</v>
      </c>
      <c r="I30" t="n">
        <v>1</v>
      </c>
      <c r="J30" t="n">
        <v>6</v>
      </c>
      <c r="K30" t="n">
        <v>0</v>
      </c>
      <c r="L30" t="n">
        <v>0</v>
      </c>
      <c r="M30" t="n">
        <v>0</v>
      </c>
      <c r="N30" t="n">
        <v>0</v>
      </c>
      <c r="O30" t="n">
        <v>6</v>
      </c>
      <c r="P30" t="n">
        <v>0</v>
      </c>
      <c r="Q30" t="n">
        <v>7</v>
      </c>
      <c r="R30" s="2" t="inlineStr">
        <is>
          <t>Blågrå svartspik
Dvärgbägarlav
Gränsticka
Mörk kolflarnlav
Spillkråka
Vedskivlav
Plattlummer</t>
        </is>
      </c>
      <c r="S30">
        <f>HYPERLINK("https://klasma.github.io/Logging_2510/artfynd/A 65342-2020 artfynd.xlsx", "A 65342-2020")</f>
        <v/>
      </c>
      <c r="T30">
        <f>HYPERLINK("https://klasma.github.io/Logging_2510/kartor/A 65342-2020 karta.png", "A 65342-2020")</f>
        <v/>
      </c>
      <c r="V30">
        <f>HYPERLINK("https://klasma.github.io/Logging_2510/klagomål/A 65342-2020 FSC-klagomål.docx", "A 65342-2020")</f>
        <v/>
      </c>
      <c r="W30">
        <f>HYPERLINK("https://klasma.github.io/Logging_2510/klagomålsmail/A 65342-2020 FSC-klagomål mail.docx", "A 65342-2020")</f>
        <v/>
      </c>
      <c r="X30">
        <f>HYPERLINK("https://klasma.github.io/Logging_2510/tillsyn/A 65342-2020 tillsynsbegäran.docx", "A 65342-2020")</f>
        <v/>
      </c>
      <c r="Y30">
        <f>HYPERLINK("https://klasma.github.io/Logging_2510/tillsynsmail/A 65342-2020 tillsynsbegäran mail.docx", "A 65342-2020")</f>
        <v/>
      </c>
    </row>
    <row r="31" ht="15" customHeight="1">
      <c r="A31" t="inlineStr">
        <is>
          <t>A 52515-2023</t>
        </is>
      </c>
      <c r="B31" s="1" t="n">
        <v>45218</v>
      </c>
      <c r="C31" s="1" t="n">
        <v>45294</v>
      </c>
      <c r="D31" t="inlineStr">
        <is>
          <t>NORRBOTTENS LÄN</t>
        </is>
      </c>
      <c r="E31" t="inlineStr">
        <is>
          <t>JOKKMOKK</t>
        </is>
      </c>
      <c r="F31" t="inlineStr">
        <is>
          <t>Övriga statliga verk och myndigheter</t>
        </is>
      </c>
      <c r="G31" t="n">
        <v>31.3</v>
      </c>
      <c r="H31" t="n">
        <v>0</v>
      </c>
      <c r="I31" t="n">
        <v>1</v>
      </c>
      <c r="J31" t="n">
        <v>5</v>
      </c>
      <c r="K31" t="n">
        <v>1</v>
      </c>
      <c r="L31" t="n">
        <v>0</v>
      </c>
      <c r="M31" t="n">
        <v>0</v>
      </c>
      <c r="N31" t="n">
        <v>0</v>
      </c>
      <c r="O31" t="n">
        <v>6</v>
      </c>
      <c r="P31" t="n">
        <v>1</v>
      </c>
      <c r="Q31" t="n">
        <v>7</v>
      </c>
      <c r="R31" s="2" t="inlineStr">
        <is>
          <t>Tallgråticka
Blå taggsvamp
Motaggsvamp
Orange taggsvamp
Skrovlig taggsvamp
Vedflamlav
Dropptaggsvamp</t>
        </is>
      </c>
      <c r="S31">
        <f>HYPERLINK("https://klasma.github.io/Logging_2510/artfynd/A 52515-2023 artfynd.xlsx", "A 52515-2023")</f>
        <v/>
      </c>
      <c r="T31">
        <f>HYPERLINK("https://klasma.github.io/Logging_2510/kartor/A 52515-2023 karta.png", "A 52515-2023")</f>
        <v/>
      </c>
      <c r="V31">
        <f>HYPERLINK("https://klasma.github.io/Logging_2510/klagomål/A 52515-2023 FSC-klagomål.docx", "A 52515-2023")</f>
        <v/>
      </c>
      <c r="W31">
        <f>HYPERLINK("https://klasma.github.io/Logging_2510/klagomålsmail/A 52515-2023 FSC-klagomål mail.docx", "A 52515-2023")</f>
        <v/>
      </c>
      <c r="X31">
        <f>HYPERLINK("https://klasma.github.io/Logging_2510/tillsyn/A 52515-2023 tillsynsbegäran.docx", "A 52515-2023")</f>
        <v/>
      </c>
      <c r="Y31">
        <f>HYPERLINK("https://klasma.github.io/Logging_2510/tillsynsmail/A 52515-2023 tillsynsbegäran mail.docx", "A 52515-2023")</f>
        <v/>
      </c>
    </row>
    <row r="32" ht="15" customHeight="1">
      <c r="A32" t="inlineStr">
        <is>
          <t>A 61965-2023</t>
        </is>
      </c>
      <c r="B32" s="1" t="n">
        <v>45266</v>
      </c>
      <c r="C32" s="1" t="n">
        <v>45294</v>
      </c>
      <c r="D32" t="inlineStr">
        <is>
          <t>NORRBOTTENS LÄN</t>
        </is>
      </c>
      <c r="E32" t="inlineStr">
        <is>
          <t>JOKKMOKK</t>
        </is>
      </c>
      <c r="F32" t="inlineStr">
        <is>
          <t>Allmännings- och besparingsskogar</t>
        </is>
      </c>
      <c r="G32" t="n">
        <v>13.6</v>
      </c>
      <c r="H32" t="n">
        <v>1</v>
      </c>
      <c r="I32" t="n">
        <v>2</v>
      </c>
      <c r="J32" t="n">
        <v>4</v>
      </c>
      <c r="K32" t="n">
        <v>1</v>
      </c>
      <c r="L32" t="n">
        <v>0</v>
      </c>
      <c r="M32" t="n">
        <v>0</v>
      </c>
      <c r="N32" t="n">
        <v>0</v>
      </c>
      <c r="O32" t="n">
        <v>5</v>
      </c>
      <c r="P32" t="n">
        <v>1</v>
      </c>
      <c r="Q32" t="n">
        <v>7</v>
      </c>
      <c r="R32" s="2" t="inlineStr">
        <is>
          <t>Lammticka
Blå taggsvamp
Skrovlig taggsvamp
Tretåig hackspett
Vedskivlav
Dropptaggsvamp
Skarp dropptaggsvamp</t>
        </is>
      </c>
      <c r="S32">
        <f>HYPERLINK("https://klasma.github.io/Logging_2510/artfynd/A 61965-2023 artfynd.xlsx", "A 61965-2023")</f>
        <v/>
      </c>
      <c r="T32">
        <f>HYPERLINK("https://klasma.github.io/Logging_2510/kartor/A 61965-2023 karta.png", "A 61965-2023")</f>
        <v/>
      </c>
      <c r="V32">
        <f>HYPERLINK("https://klasma.github.io/Logging_2510/klagomål/A 61965-2023 FSC-klagomål.docx", "A 61965-2023")</f>
        <v/>
      </c>
      <c r="W32">
        <f>HYPERLINK("https://klasma.github.io/Logging_2510/klagomålsmail/A 61965-2023 FSC-klagomål mail.docx", "A 61965-2023")</f>
        <v/>
      </c>
      <c r="X32">
        <f>HYPERLINK("https://klasma.github.io/Logging_2510/tillsyn/A 61965-2023 tillsynsbegäran.docx", "A 61965-2023")</f>
        <v/>
      </c>
      <c r="Y32">
        <f>HYPERLINK("https://klasma.github.io/Logging_2510/tillsynsmail/A 61965-2023 tillsynsbegäran mail.docx", "A 61965-2023")</f>
        <v/>
      </c>
    </row>
    <row r="33" ht="15" customHeight="1">
      <c r="A33" t="inlineStr">
        <is>
          <t>A 59029-2018</t>
        </is>
      </c>
      <c r="B33" s="1" t="n">
        <v>43416</v>
      </c>
      <c r="C33" s="1" t="n">
        <v>45294</v>
      </c>
      <c r="D33" t="inlineStr">
        <is>
          <t>NORRBOTTENS LÄN</t>
        </is>
      </c>
      <c r="E33" t="inlineStr">
        <is>
          <t>JOKKMOKK</t>
        </is>
      </c>
      <c r="F33" t="inlineStr">
        <is>
          <t>SCA</t>
        </is>
      </c>
      <c r="G33" t="n">
        <v>21.3</v>
      </c>
      <c r="H33" t="n">
        <v>0</v>
      </c>
      <c r="I33" t="n">
        <v>1</v>
      </c>
      <c r="J33" t="n">
        <v>4</v>
      </c>
      <c r="K33" t="n">
        <v>1</v>
      </c>
      <c r="L33" t="n">
        <v>0</v>
      </c>
      <c r="M33" t="n">
        <v>0</v>
      </c>
      <c r="N33" t="n">
        <v>0</v>
      </c>
      <c r="O33" t="n">
        <v>5</v>
      </c>
      <c r="P33" t="n">
        <v>1</v>
      </c>
      <c r="Q33" t="n">
        <v>6</v>
      </c>
      <c r="R33" s="2" t="inlineStr">
        <is>
          <t>Gräddporing
Blå taggsvamp
Orange taggsvamp
Skrovlig taggsvamp
Vaddporing
Skarp dropptaggsvamp</t>
        </is>
      </c>
      <c r="S33">
        <f>HYPERLINK("https://klasma.github.io/Logging_2510/artfynd/A 59029-2018 artfynd.xlsx", "A 59029-2018")</f>
        <v/>
      </c>
      <c r="T33">
        <f>HYPERLINK("https://klasma.github.io/Logging_2510/kartor/A 59029-2018 karta.png", "A 59029-2018")</f>
        <v/>
      </c>
      <c r="V33">
        <f>HYPERLINK("https://klasma.github.io/Logging_2510/klagomål/A 59029-2018 FSC-klagomål.docx", "A 59029-2018")</f>
        <v/>
      </c>
      <c r="W33">
        <f>HYPERLINK("https://klasma.github.io/Logging_2510/klagomålsmail/A 59029-2018 FSC-klagomål mail.docx", "A 59029-2018")</f>
        <v/>
      </c>
      <c r="X33">
        <f>HYPERLINK("https://klasma.github.io/Logging_2510/tillsyn/A 59029-2018 tillsynsbegäran.docx", "A 59029-2018")</f>
        <v/>
      </c>
      <c r="Y33">
        <f>HYPERLINK("https://klasma.github.io/Logging_2510/tillsynsmail/A 59029-2018 tillsynsbegäran mail.docx", "A 59029-2018")</f>
        <v/>
      </c>
    </row>
    <row r="34" ht="15" customHeight="1">
      <c r="A34" t="inlineStr">
        <is>
          <t>A 36552-2019</t>
        </is>
      </c>
      <c r="B34" s="1" t="n">
        <v>43669</v>
      </c>
      <c r="C34" s="1" t="n">
        <v>45294</v>
      </c>
      <c r="D34" t="inlineStr">
        <is>
          <t>NORRBOTTENS LÄN</t>
        </is>
      </c>
      <c r="E34" t="inlineStr">
        <is>
          <t>JOKKMOKK</t>
        </is>
      </c>
      <c r="F34" t="inlineStr">
        <is>
          <t>Övriga statliga verk och myndigheter</t>
        </is>
      </c>
      <c r="G34" t="n">
        <v>38</v>
      </c>
      <c r="H34" t="n">
        <v>0</v>
      </c>
      <c r="I34" t="n">
        <v>2</v>
      </c>
      <c r="J34" t="n">
        <v>4</v>
      </c>
      <c r="K34" t="n">
        <v>0</v>
      </c>
      <c r="L34" t="n">
        <v>0</v>
      </c>
      <c r="M34" t="n">
        <v>0</v>
      </c>
      <c r="N34" t="n">
        <v>0</v>
      </c>
      <c r="O34" t="n">
        <v>4</v>
      </c>
      <c r="P34" t="n">
        <v>0</v>
      </c>
      <c r="Q34" t="n">
        <v>6</v>
      </c>
      <c r="R34" s="2" t="inlineStr">
        <is>
          <t>Granticka
Kolflarnlav
Ullticka
Vedskivlav
Skarp dropptaggsvamp
Skinnlav</t>
        </is>
      </c>
      <c r="S34">
        <f>HYPERLINK("https://klasma.github.io/Logging_2510/artfynd/A 36552-2019 artfynd.xlsx", "A 36552-2019")</f>
        <v/>
      </c>
      <c r="T34">
        <f>HYPERLINK("https://klasma.github.io/Logging_2510/kartor/A 36552-2019 karta.png", "A 36552-2019")</f>
        <v/>
      </c>
      <c r="V34">
        <f>HYPERLINK("https://klasma.github.io/Logging_2510/klagomål/A 36552-2019 FSC-klagomål.docx", "A 36552-2019")</f>
        <v/>
      </c>
      <c r="W34">
        <f>HYPERLINK("https://klasma.github.io/Logging_2510/klagomålsmail/A 36552-2019 FSC-klagomål mail.docx", "A 36552-2019")</f>
        <v/>
      </c>
      <c r="X34">
        <f>HYPERLINK("https://klasma.github.io/Logging_2510/tillsyn/A 36552-2019 tillsynsbegäran.docx", "A 36552-2019")</f>
        <v/>
      </c>
      <c r="Y34">
        <f>HYPERLINK("https://klasma.github.io/Logging_2510/tillsynsmail/A 36552-2019 tillsynsbegäran mail.docx", "A 36552-2019")</f>
        <v/>
      </c>
    </row>
    <row r="35" ht="15" customHeight="1">
      <c r="A35" t="inlineStr">
        <is>
          <t>A 34560-2020</t>
        </is>
      </c>
      <c r="B35" s="1" t="n">
        <v>44033</v>
      </c>
      <c r="C35" s="1" t="n">
        <v>45294</v>
      </c>
      <c r="D35" t="inlineStr">
        <is>
          <t>NORRBOTTENS LÄN</t>
        </is>
      </c>
      <c r="E35" t="inlineStr">
        <is>
          <t>JOKKMOKK</t>
        </is>
      </c>
      <c r="G35" t="n">
        <v>21.8</v>
      </c>
      <c r="H35" t="n">
        <v>0</v>
      </c>
      <c r="I35" t="n">
        <v>0</v>
      </c>
      <c r="J35" t="n">
        <v>4</v>
      </c>
      <c r="K35" t="n">
        <v>2</v>
      </c>
      <c r="L35" t="n">
        <v>0</v>
      </c>
      <c r="M35" t="n">
        <v>0</v>
      </c>
      <c r="N35" t="n">
        <v>0</v>
      </c>
      <c r="O35" t="n">
        <v>6</v>
      </c>
      <c r="P35" t="n">
        <v>2</v>
      </c>
      <c r="Q35" t="n">
        <v>6</v>
      </c>
      <c r="R35" s="2" t="inlineStr">
        <is>
          <t>Goliatmusseron
Tajgataggsvamp
Blå taggsvamp
Dvärgbägarlav
Talltaggsvamp
Vaddporing</t>
        </is>
      </c>
      <c r="S35">
        <f>HYPERLINK("https://klasma.github.io/Logging_2510/artfynd/A 34560-2020 artfynd.xlsx", "A 34560-2020")</f>
        <v/>
      </c>
      <c r="T35">
        <f>HYPERLINK("https://klasma.github.io/Logging_2510/kartor/A 34560-2020 karta.png", "A 34560-2020")</f>
        <v/>
      </c>
      <c r="V35">
        <f>HYPERLINK("https://klasma.github.io/Logging_2510/klagomål/A 34560-2020 FSC-klagomål.docx", "A 34560-2020")</f>
        <v/>
      </c>
      <c r="W35">
        <f>HYPERLINK("https://klasma.github.io/Logging_2510/klagomålsmail/A 34560-2020 FSC-klagomål mail.docx", "A 34560-2020")</f>
        <v/>
      </c>
      <c r="X35">
        <f>HYPERLINK("https://klasma.github.io/Logging_2510/tillsyn/A 34560-2020 tillsynsbegäran.docx", "A 34560-2020")</f>
        <v/>
      </c>
      <c r="Y35">
        <f>HYPERLINK("https://klasma.github.io/Logging_2510/tillsynsmail/A 34560-2020 tillsynsbegäran mail.docx", "A 34560-2020")</f>
        <v/>
      </c>
    </row>
    <row r="36" ht="15" customHeight="1">
      <c r="A36" t="inlineStr">
        <is>
          <t>A 24068-2022</t>
        </is>
      </c>
      <c r="B36" s="1" t="n">
        <v>44722</v>
      </c>
      <c r="C36" s="1" t="n">
        <v>45294</v>
      </c>
      <c r="D36" t="inlineStr">
        <is>
          <t>NORRBOTTENS LÄN</t>
        </is>
      </c>
      <c r="E36" t="inlineStr">
        <is>
          <t>JOKKMOKK</t>
        </is>
      </c>
      <c r="F36" t="inlineStr">
        <is>
          <t>Övriga statliga verk och myndigheter</t>
        </is>
      </c>
      <c r="G36" t="n">
        <v>5</v>
      </c>
      <c r="H36" t="n">
        <v>0</v>
      </c>
      <c r="I36" t="n">
        <v>3</v>
      </c>
      <c r="J36" t="n">
        <v>3</v>
      </c>
      <c r="K36" t="n">
        <v>0</v>
      </c>
      <c r="L36" t="n">
        <v>0</v>
      </c>
      <c r="M36" t="n">
        <v>0</v>
      </c>
      <c r="N36" t="n">
        <v>0</v>
      </c>
      <c r="O36" t="n">
        <v>3</v>
      </c>
      <c r="P36" t="n">
        <v>0</v>
      </c>
      <c r="Q36" t="n">
        <v>6</v>
      </c>
      <c r="R36" s="2" t="inlineStr">
        <is>
          <t>Blanksvart spiklav
Blå taggsvamp
Talltaggsvamp
Dropptaggsvamp
Skarp dropptaggsvamp
Stuplav</t>
        </is>
      </c>
      <c r="S36">
        <f>HYPERLINK("https://klasma.github.io/Logging_2510/artfynd/A 24068-2022 artfynd.xlsx", "A 24068-2022")</f>
        <v/>
      </c>
      <c r="T36">
        <f>HYPERLINK("https://klasma.github.io/Logging_2510/kartor/A 24068-2022 karta.png", "A 24068-2022")</f>
        <v/>
      </c>
      <c r="V36">
        <f>HYPERLINK("https://klasma.github.io/Logging_2510/klagomål/A 24068-2022 FSC-klagomål.docx", "A 24068-2022")</f>
        <v/>
      </c>
      <c r="W36">
        <f>HYPERLINK("https://klasma.github.io/Logging_2510/klagomålsmail/A 24068-2022 FSC-klagomål mail.docx", "A 24068-2022")</f>
        <v/>
      </c>
      <c r="X36">
        <f>HYPERLINK("https://klasma.github.io/Logging_2510/tillsyn/A 24068-2022 tillsynsbegäran.docx", "A 24068-2022")</f>
        <v/>
      </c>
      <c r="Y36">
        <f>HYPERLINK("https://klasma.github.io/Logging_2510/tillsynsmail/A 24068-2022 tillsynsbegäran mail.docx", "A 24068-2022")</f>
        <v/>
      </c>
    </row>
    <row r="37" ht="15" customHeight="1">
      <c r="A37" t="inlineStr">
        <is>
          <t>A 36879-2023</t>
        </is>
      </c>
      <c r="B37" s="1" t="n">
        <v>45153</v>
      </c>
      <c r="C37" s="1" t="n">
        <v>45294</v>
      </c>
      <c r="D37" t="inlineStr">
        <is>
          <t>NORRBOTTENS LÄN</t>
        </is>
      </c>
      <c r="E37" t="inlineStr">
        <is>
          <t>JOKKMOKK</t>
        </is>
      </c>
      <c r="F37" t="inlineStr">
        <is>
          <t>Övriga statliga verk och myndigheter</t>
        </is>
      </c>
      <c r="G37" t="n">
        <v>44.9</v>
      </c>
      <c r="H37" t="n">
        <v>1</v>
      </c>
      <c r="I37" t="n">
        <v>0</v>
      </c>
      <c r="J37" t="n">
        <v>6</v>
      </c>
      <c r="K37" t="n">
        <v>0</v>
      </c>
      <c r="L37" t="n">
        <v>0</v>
      </c>
      <c r="M37" t="n">
        <v>0</v>
      </c>
      <c r="N37" t="n">
        <v>0</v>
      </c>
      <c r="O37" t="n">
        <v>6</v>
      </c>
      <c r="P37" t="n">
        <v>0</v>
      </c>
      <c r="Q37" t="n">
        <v>6</v>
      </c>
      <c r="R37" s="2" t="inlineStr">
        <is>
          <t>Dvärgbägarlav
Knottrig blåslav
Mörk kolflarnlav
Tretåig hackspett
Vedflamlav
Vedskivlav</t>
        </is>
      </c>
      <c r="S37">
        <f>HYPERLINK("https://klasma.github.io/Logging_2510/artfynd/A 36879-2023 artfynd.xlsx", "A 36879-2023")</f>
        <v/>
      </c>
      <c r="T37">
        <f>HYPERLINK("https://klasma.github.io/Logging_2510/kartor/A 36879-2023 karta.png", "A 36879-2023")</f>
        <v/>
      </c>
      <c r="V37">
        <f>HYPERLINK("https://klasma.github.io/Logging_2510/klagomål/A 36879-2023 FSC-klagomål.docx", "A 36879-2023")</f>
        <v/>
      </c>
      <c r="W37">
        <f>HYPERLINK("https://klasma.github.io/Logging_2510/klagomålsmail/A 36879-2023 FSC-klagomål mail.docx", "A 36879-2023")</f>
        <v/>
      </c>
      <c r="X37">
        <f>HYPERLINK("https://klasma.github.io/Logging_2510/tillsyn/A 36879-2023 tillsynsbegäran.docx", "A 36879-2023")</f>
        <v/>
      </c>
      <c r="Y37">
        <f>HYPERLINK("https://klasma.github.io/Logging_2510/tillsynsmail/A 36879-2023 tillsynsbegäran mail.docx", "A 36879-2023")</f>
        <v/>
      </c>
    </row>
    <row r="38" ht="15" customHeight="1">
      <c r="A38" t="inlineStr">
        <is>
          <t>A 52293-2023</t>
        </is>
      </c>
      <c r="B38" s="1" t="n">
        <v>45217</v>
      </c>
      <c r="C38" s="1" t="n">
        <v>45294</v>
      </c>
      <c r="D38" t="inlineStr">
        <is>
          <t>NORRBOTTENS LÄN</t>
        </is>
      </c>
      <c r="E38" t="inlineStr">
        <is>
          <t>JOKKMOKK</t>
        </is>
      </c>
      <c r="F38" t="inlineStr">
        <is>
          <t>Övriga statliga verk och myndigheter</t>
        </is>
      </c>
      <c r="G38" t="n">
        <v>32.6</v>
      </c>
      <c r="H38" t="n">
        <v>0</v>
      </c>
      <c r="I38" t="n">
        <v>2</v>
      </c>
      <c r="J38" t="n">
        <v>4</v>
      </c>
      <c r="K38" t="n">
        <v>0</v>
      </c>
      <c r="L38" t="n">
        <v>0</v>
      </c>
      <c r="M38" t="n">
        <v>0</v>
      </c>
      <c r="N38" t="n">
        <v>0</v>
      </c>
      <c r="O38" t="n">
        <v>4</v>
      </c>
      <c r="P38" t="n">
        <v>0</v>
      </c>
      <c r="Q38" t="n">
        <v>6</v>
      </c>
      <c r="R38" s="2" t="inlineStr">
        <is>
          <t>Orange taggsvamp
Talltaggsvamp
Vedflamlav
Vedskivlav
Dropptaggsvamp
Skarp dropptaggsvamp</t>
        </is>
      </c>
      <c r="S38">
        <f>HYPERLINK("https://klasma.github.io/Logging_2510/artfynd/A 52293-2023 artfynd.xlsx", "A 52293-2023")</f>
        <v/>
      </c>
      <c r="T38">
        <f>HYPERLINK("https://klasma.github.io/Logging_2510/kartor/A 52293-2023 karta.png", "A 52293-2023")</f>
        <v/>
      </c>
      <c r="V38">
        <f>HYPERLINK("https://klasma.github.io/Logging_2510/klagomål/A 52293-2023 FSC-klagomål.docx", "A 52293-2023")</f>
        <v/>
      </c>
      <c r="W38">
        <f>HYPERLINK("https://klasma.github.io/Logging_2510/klagomålsmail/A 52293-2023 FSC-klagomål mail.docx", "A 52293-2023")</f>
        <v/>
      </c>
      <c r="X38">
        <f>HYPERLINK("https://klasma.github.io/Logging_2510/tillsyn/A 52293-2023 tillsynsbegäran.docx", "A 52293-2023")</f>
        <v/>
      </c>
      <c r="Y38">
        <f>HYPERLINK("https://klasma.github.io/Logging_2510/tillsynsmail/A 52293-2023 tillsynsbegäran mail.docx", "A 52293-2023")</f>
        <v/>
      </c>
    </row>
    <row r="39" ht="15" customHeight="1">
      <c r="A39" t="inlineStr">
        <is>
          <t>A 55330-2023</t>
        </is>
      </c>
      <c r="B39" s="1" t="n">
        <v>45238</v>
      </c>
      <c r="C39" s="1" t="n">
        <v>45294</v>
      </c>
      <c r="D39" t="inlineStr">
        <is>
          <t>NORRBOTTENS LÄN</t>
        </is>
      </c>
      <c r="E39" t="inlineStr">
        <is>
          <t>JOKKMOKK</t>
        </is>
      </c>
      <c r="F39" t="inlineStr">
        <is>
          <t>SCA</t>
        </is>
      </c>
      <c r="G39" t="n">
        <v>10.1</v>
      </c>
      <c r="H39" t="n">
        <v>3</v>
      </c>
      <c r="I39" t="n">
        <v>1</v>
      </c>
      <c r="J39" t="n">
        <v>4</v>
      </c>
      <c r="K39" t="n">
        <v>1</v>
      </c>
      <c r="L39" t="n">
        <v>0</v>
      </c>
      <c r="M39" t="n">
        <v>0</v>
      </c>
      <c r="N39" t="n">
        <v>0</v>
      </c>
      <c r="O39" t="n">
        <v>5</v>
      </c>
      <c r="P39" t="n">
        <v>1</v>
      </c>
      <c r="Q39" t="n">
        <v>6</v>
      </c>
      <c r="R39" s="2" t="inlineStr">
        <is>
          <t>Grenlav
Skrovellav
Spillkråka
Talltita
Tretåig hackspett
Späd brosklav</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row>
    <row r="40" ht="15" customHeight="1">
      <c r="A40" t="inlineStr">
        <is>
          <t>A 68299-2019</t>
        </is>
      </c>
      <c r="B40" s="1" t="n">
        <v>43817</v>
      </c>
      <c r="C40" s="1" t="n">
        <v>45294</v>
      </c>
      <c r="D40" t="inlineStr">
        <is>
          <t>NORRBOTTENS LÄN</t>
        </is>
      </c>
      <c r="E40" t="inlineStr">
        <is>
          <t>JOKKMOKK</t>
        </is>
      </c>
      <c r="F40" t="inlineStr">
        <is>
          <t>SCA</t>
        </is>
      </c>
      <c r="G40" t="n">
        <v>7.6</v>
      </c>
      <c r="H40" t="n">
        <v>1</v>
      </c>
      <c r="I40" t="n">
        <v>2</v>
      </c>
      <c r="J40" t="n">
        <v>2</v>
      </c>
      <c r="K40" t="n">
        <v>1</v>
      </c>
      <c r="L40" t="n">
        <v>0</v>
      </c>
      <c r="M40" t="n">
        <v>0</v>
      </c>
      <c r="N40" t="n">
        <v>0</v>
      </c>
      <c r="O40" t="n">
        <v>3</v>
      </c>
      <c r="P40" t="n">
        <v>1</v>
      </c>
      <c r="Q40" t="n">
        <v>5</v>
      </c>
      <c r="R40" s="2" t="inlineStr">
        <is>
          <t>Goliatmusseron
Blå taggsvamp
Tretåig hackspett
Dropptaggsvamp
Skarp dropptaggsvamp</t>
        </is>
      </c>
      <c r="S40">
        <f>HYPERLINK("https://klasma.github.io/Logging_2510/artfynd/A 68299-2019 artfynd.xlsx", "A 68299-2019")</f>
        <v/>
      </c>
      <c r="T40">
        <f>HYPERLINK("https://klasma.github.io/Logging_2510/kartor/A 68299-2019 karta.png", "A 68299-2019")</f>
        <v/>
      </c>
      <c r="V40">
        <f>HYPERLINK("https://klasma.github.io/Logging_2510/klagomål/A 68299-2019 FSC-klagomål.docx", "A 68299-2019")</f>
        <v/>
      </c>
      <c r="W40">
        <f>HYPERLINK("https://klasma.github.io/Logging_2510/klagomålsmail/A 68299-2019 FSC-klagomål mail.docx", "A 68299-2019")</f>
        <v/>
      </c>
      <c r="X40">
        <f>HYPERLINK("https://klasma.github.io/Logging_2510/tillsyn/A 68299-2019 tillsynsbegäran.docx", "A 68299-2019")</f>
        <v/>
      </c>
      <c r="Y40">
        <f>HYPERLINK("https://klasma.github.io/Logging_2510/tillsynsmail/A 68299-2019 tillsynsbegäran mail.docx", "A 68299-2019")</f>
        <v/>
      </c>
    </row>
    <row r="41" ht="15" customHeight="1">
      <c r="A41" t="inlineStr">
        <is>
          <t>A 59451-2021</t>
        </is>
      </c>
      <c r="B41" s="1" t="n">
        <v>44490</v>
      </c>
      <c r="C41" s="1" t="n">
        <v>45294</v>
      </c>
      <c r="D41" t="inlineStr">
        <is>
          <t>NORRBOTTENS LÄN</t>
        </is>
      </c>
      <c r="E41" t="inlineStr">
        <is>
          <t>JOKKMOKK</t>
        </is>
      </c>
      <c r="F41" t="inlineStr">
        <is>
          <t>Övriga statliga verk och myndigheter</t>
        </is>
      </c>
      <c r="G41" t="n">
        <v>9.699999999999999</v>
      </c>
      <c r="H41" t="n">
        <v>0</v>
      </c>
      <c r="I41" t="n">
        <v>1</v>
      </c>
      <c r="J41" t="n">
        <v>4</v>
      </c>
      <c r="K41" t="n">
        <v>0</v>
      </c>
      <c r="L41" t="n">
        <v>0</v>
      </c>
      <c r="M41" t="n">
        <v>0</v>
      </c>
      <c r="N41" t="n">
        <v>0</v>
      </c>
      <c r="O41" t="n">
        <v>4</v>
      </c>
      <c r="P41" t="n">
        <v>0</v>
      </c>
      <c r="Q41" t="n">
        <v>5</v>
      </c>
      <c r="R41" s="2" t="inlineStr">
        <is>
          <t>Blå taggsvamp
Mörk kolflarnlav
Talltaggsvamp
Violmussling
Dropptaggsvamp</t>
        </is>
      </c>
      <c r="S41">
        <f>HYPERLINK("https://klasma.github.io/Logging_2510/artfynd/A 59451-2021 artfynd.xlsx", "A 59451-2021")</f>
        <v/>
      </c>
      <c r="T41">
        <f>HYPERLINK("https://klasma.github.io/Logging_2510/kartor/A 59451-2021 karta.png", "A 59451-2021")</f>
        <v/>
      </c>
      <c r="V41">
        <f>HYPERLINK("https://klasma.github.io/Logging_2510/klagomål/A 59451-2021 FSC-klagomål.docx", "A 59451-2021")</f>
        <v/>
      </c>
      <c r="W41">
        <f>HYPERLINK("https://klasma.github.io/Logging_2510/klagomålsmail/A 59451-2021 FSC-klagomål mail.docx", "A 59451-2021")</f>
        <v/>
      </c>
      <c r="X41">
        <f>HYPERLINK("https://klasma.github.io/Logging_2510/tillsyn/A 59451-2021 tillsynsbegäran.docx", "A 59451-2021")</f>
        <v/>
      </c>
      <c r="Y41">
        <f>HYPERLINK("https://klasma.github.io/Logging_2510/tillsynsmail/A 59451-2021 tillsynsbegäran mail.docx", "A 59451-2021")</f>
        <v/>
      </c>
    </row>
    <row r="42" ht="15" customHeight="1">
      <c r="A42" t="inlineStr">
        <is>
          <t>A 30582-2022</t>
        </is>
      </c>
      <c r="B42" s="1" t="n">
        <v>44762</v>
      </c>
      <c r="C42" s="1" t="n">
        <v>45294</v>
      </c>
      <c r="D42" t="inlineStr">
        <is>
          <t>NORRBOTTENS LÄN</t>
        </is>
      </c>
      <c r="E42" t="inlineStr">
        <is>
          <t>JOKKMOKK</t>
        </is>
      </c>
      <c r="F42" t="inlineStr">
        <is>
          <t>Övriga statliga verk och myndigheter</t>
        </is>
      </c>
      <c r="G42" t="n">
        <v>49.5</v>
      </c>
      <c r="H42" t="n">
        <v>0</v>
      </c>
      <c r="I42" t="n">
        <v>0</v>
      </c>
      <c r="J42" t="n">
        <v>2</v>
      </c>
      <c r="K42" t="n">
        <v>3</v>
      </c>
      <c r="L42" t="n">
        <v>0</v>
      </c>
      <c r="M42" t="n">
        <v>0</v>
      </c>
      <c r="N42" t="n">
        <v>0</v>
      </c>
      <c r="O42" t="n">
        <v>5</v>
      </c>
      <c r="P42" t="n">
        <v>3</v>
      </c>
      <c r="Q42" t="n">
        <v>5</v>
      </c>
      <c r="R42" s="2" t="inlineStr">
        <is>
          <t>Goliatmusseron
Lateritticka
Tallstocksticka
Dvärgbägarlav
Knottrig blåslav</t>
        </is>
      </c>
      <c r="S42">
        <f>HYPERLINK("https://klasma.github.io/Logging_2510/artfynd/A 30582-2022 artfynd.xlsx", "A 30582-2022")</f>
        <v/>
      </c>
      <c r="T42">
        <f>HYPERLINK("https://klasma.github.io/Logging_2510/kartor/A 30582-2022 karta.png", "A 30582-2022")</f>
        <v/>
      </c>
      <c r="V42">
        <f>HYPERLINK("https://klasma.github.io/Logging_2510/klagomål/A 30582-2022 FSC-klagomål.docx", "A 30582-2022")</f>
        <v/>
      </c>
      <c r="W42">
        <f>HYPERLINK("https://klasma.github.io/Logging_2510/klagomålsmail/A 30582-2022 FSC-klagomål mail.docx", "A 30582-2022")</f>
        <v/>
      </c>
      <c r="X42">
        <f>HYPERLINK("https://klasma.github.io/Logging_2510/tillsyn/A 30582-2022 tillsynsbegäran.docx", "A 30582-2022")</f>
        <v/>
      </c>
      <c r="Y42">
        <f>HYPERLINK("https://klasma.github.io/Logging_2510/tillsynsmail/A 30582-2022 tillsynsbegäran mail.docx", "A 30582-2022")</f>
        <v/>
      </c>
    </row>
    <row r="43" ht="15" customHeight="1">
      <c r="A43" t="inlineStr">
        <is>
          <t>A 46059-2021</t>
        </is>
      </c>
      <c r="B43" s="1" t="n">
        <v>44442</v>
      </c>
      <c r="C43" s="1" t="n">
        <v>45294</v>
      </c>
      <c r="D43" t="inlineStr">
        <is>
          <t>NORRBOTTENS LÄN</t>
        </is>
      </c>
      <c r="E43" t="inlineStr">
        <is>
          <t>JOKKMOKK</t>
        </is>
      </c>
      <c r="F43" t="inlineStr">
        <is>
          <t>SCA</t>
        </is>
      </c>
      <c r="G43" t="n">
        <v>3.1</v>
      </c>
      <c r="H43" t="n">
        <v>0</v>
      </c>
      <c r="I43" t="n">
        <v>1</v>
      </c>
      <c r="J43" t="n">
        <v>2</v>
      </c>
      <c r="K43" t="n">
        <v>1</v>
      </c>
      <c r="L43" t="n">
        <v>0</v>
      </c>
      <c r="M43" t="n">
        <v>0</v>
      </c>
      <c r="N43" t="n">
        <v>0</v>
      </c>
      <c r="O43" t="n">
        <v>3</v>
      </c>
      <c r="P43" t="n">
        <v>1</v>
      </c>
      <c r="Q43" t="n">
        <v>4</v>
      </c>
      <c r="R43" s="2" t="inlineStr">
        <is>
          <t>Rynkskinn
Granticka
Vitskaftad svartspik
Skinnlav</t>
        </is>
      </c>
      <c r="S43">
        <f>HYPERLINK("https://klasma.github.io/Logging_2510/artfynd/A 46059-2021 artfynd.xlsx", "A 46059-2021")</f>
        <v/>
      </c>
      <c r="T43">
        <f>HYPERLINK("https://klasma.github.io/Logging_2510/kartor/A 46059-2021 karta.png", "A 46059-2021")</f>
        <v/>
      </c>
      <c r="V43">
        <f>HYPERLINK("https://klasma.github.io/Logging_2510/klagomål/A 46059-2021 FSC-klagomål.docx", "A 46059-2021")</f>
        <v/>
      </c>
      <c r="W43">
        <f>HYPERLINK("https://klasma.github.io/Logging_2510/klagomålsmail/A 46059-2021 FSC-klagomål mail.docx", "A 46059-2021")</f>
        <v/>
      </c>
      <c r="X43">
        <f>HYPERLINK("https://klasma.github.io/Logging_2510/tillsyn/A 46059-2021 tillsynsbegäran.docx", "A 46059-2021")</f>
        <v/>
      </c>
      <c r="Y43">
        <f>HYPERLINK("https://klasma.github.io/Logging_2510/tillsynsmail/A 46059-2021 tillsynsbegäran mail.docx", "A 46059-2021")</f>
        <v/>
      </c>
    </row>
    <row r="44" ht="15" customHeight="1">
      <c r="A44" t="inlineStr">
        <is>
          <t>A 54960-2021</t>
        </is>
      </c>
      <c r="B44" s="1" t="n">
        <v>44474</v>
      </c>
      <c r="C44" s="1" t="n">
        <v>45294</v>
      </c>
      <c r="D44" t="inlineStr">
        <is>
          <t>NORRBOTTENS LÄN</t>
        </is>
      </c>
      <c r="E44" t="inlineStr">
        <is>
          <t>JOKKMOKK</t>
        </is>
      </c>
      <c r="F44" t="inlineStr">
        <is>
          <t>Allmännings- och besparingsskogar</t>
        </is>
      </c>
      <c r="G44" t="n">
        <v>52.4</v>
      </c>
      <c r="H44" t="n">
        <v>1</v>
      </c>
      <c r="I44" t="n">
        <v>0</v>
      </c>
      <c r="J44" t="n">
        <v>4</v>
      </c>
      <c r="K44" t="n">
        <v>0</v>
      </c>
      <c r="L44" t="n">
        <v>0</v>
      </c>
      <c r="M44" t="n">
        <v>0</v>
      </c>
      <c r="N44" t="n">
        <v>0</v>
      </c>
      <c r="O44" t="n">
        <v>4</v>
      </c>
      <c r="P44" t="n">
        <v>0</v>
      </c>
      <c r="Q44" t="n">
        <v>4</v>
      </c>
      <c r="R44" s="2" t="inlineStr">
        <is>
          <t>Lunglav
Stiftgelélav
Tretåig hackspett
Ullticka</t>
        </is>
      </c>
      <c r="S44">
        <f>HYPERLINK("https://klasma.github.io/Logging_2510/artfynd/A 54960-2021 artfynd.xlsx", "A 54960-2021")</f>
        <v/>
      </c>
      <c r="T44">
        <f>HYPERLINK("https://klasma.github.io/Logging_2510/kartor/A 54960-2021 karta.png", "A 54960-2021")</f>
        <v/>
      </c>
      <c r="V44">
        <f>HYPERLINK("https://klasma.github.io/Logging_2510/klagomål/A 54960-2021 FSC-klagomål.docx", "A 54960-2021")</f>
        <v/>
      </c>
      <c r="W44">
        <f>HYPERLINK("https://klasma.github.io/Logging_2510/klagomålsmail/A 54960-2021 FSC-klagomål mail.docx", "A 54960-2021")</f>
        <v/>
      </c>
      <c r="X44">
        <f>HYPERLINK("https://klasma.github.io/Logging_2510/tillsyn/A 54960-2021 tillsynsbegäran.docx", "A 54960-2021")</f>
        <v/>
      </c>
      <c r="Y44">
        <f>HYPERLINK("https://klasma.github.io/Logging_2510/tillsynsmail/A 54960-2021 tillsynsbegäran mail.docx", "A 54960-2021")</f>
        <v/>
      </c>
    </row>
    <row r="45" ht="15" customHeight="1">
      <c r="A45" t="inlineStr">
        <is>
          <t>A 52523-2023</t>
        </is>
      </c>
      <c r="B45" s="1" t="n">
        <v>45218</v>
      </c>
      <c r="C45" s="1" t="n">
        <v>45294</v>
      </c>
      <c r="D45" t="inlineStr">
        <is>
          <t>NORRBOTTENS LÄN</t>
        </is>
      </c>
      <c r="E45" t="inlineStr">
        <is>
          <t>JOKKMOKK</t>
        </is>
      </c>
      <c r="F45" t="inlineStr">
        <is>
          <t>Övriga statliga verk och myndigheter</t>
        </is>
      </c>
      <c r="G45" t="n">
        <v>12.9</v>
      </c>
      <c r="H45" t="n">
        <v>0</v>
      </c>
      <c r="I45" t="n">
        <v>2</v>
      </c>
      <c r="J45" t="n">
        <v>2</v>
      </c>
      <c r="K45" t="n">
        <v>0</v>
      </c>
      <c r="L45" t="n">
        <v>0</v>
      </c>
      <c r="M45" t="n">
        <v>0</v>
      </c>
      <c r="N45" t="n">
        <v>0</v>
      </c>
      <c r="O45" t="n">
        <v>2</v>
      </c>
      <c r="P45" t="n">
        <v>0</v>
      </c>
      <c r="Q45" t="n">
        <v>4</v>
      </c>
      <c r="R45" s="2" t="inlineStr">
        <is>
          <t>Motaggsvamp
Vaddporing
Dropptaggsvamp
Vedticka</t>
        </is>
      </c>
      <c r="S45">
        <f>HYPERLINK("https://klasma.github.io/Logging_2510/artfynd/A 52523-2023 artfynd.xlsx", "A 52523-2023")</f>
        <v/>
      </c>
      <c r="T45">
        <f>HYPERLINK("https://klasma.github.io/Logging_2510/kartor/A 52523-2023 karta.png", "A 52523-2023")</f>
        <v/>
      </c>
      <c r="V45">
        <f>HYPERLINK("https://klasma.github.io/Logging_2510/klagomål/A 52523-2023 FSC-klagomål.docx", "A 52523-2023")</f>
        <v/>
      </c>
      <c r="W45">
        <f>HYPERLINK("https://klasma.github.io/Logging_2510/klagomålsmail/A 52523-2023 FSC-klagomål mail.docx", "A 52523-2023")</f>
        <v/>
      </c>
      <c r="X45">
        <f>HYPERLINK("https://klasma.github.io/Logging_2510/tillsyn/A 52523-2023 tillsynsbegäran.docx", "A 52523-2023")</f>
        <v/>
      </c>
      <c r="Y45">
        <f>HYPERLINK("https://klasma.github.io/Logging_2510/tillsynsmail/A 52523-2023 tillsynsbegäran mail.docx", "A 52523-2023")</f>
        <v/>
      </c>
    </row>
    <row r="46" ht="15" customHeight="1">
      <c r="A46" t="inlineStr">
        <is>
          <t>A 25619-2019</t>
        </is>
      </c>
      <c r="B46" s="1" t="n">
        <v>43602</v>
      </c>
      <c r="C46" s="1" t="n">
        <v>45294</v>
      </c>
      <c r="D46" t="inlineStr">
        <is>
          <t>NORRBOTTENS LÄN</t>
        </is>
      </c>
      <c r="E46" t="inlineStr">
        <is>
          <t>JOKKMOKK</t>
        </is>
      </c>
      <c r="F46" t="inlineStr">
        <is>
          <t>Allmännings- och besparingsskogar</t>
        </is>
      </c>
      <c r="G46" t="n">
        <v>37.3</v>
      </c>
      <c r="H46" t="n">
        <v>0</v>
      </c>
      <c r="I46" t="n">
        <v>0</v>
      </c>
      <c r="J46" t="n">
        <v>3</v>
      </c>
      <c r="K46" t="n">
        <v>0</v>
      </c>
      <c r="L46" t="n">
        <v>0</v>
      </c>
      <c r="M46" t="n">
        <v>0</v>
      </c>
      <c r="N46" t="n">
        <v>0</v>
      </c>
      <c r="O46" t="n">
        <v>3</v>
      </c>
      <c r="P46" t="n">
        <v>0</v>
      </c>
      <c r="Q46" t="n">
        <v>3</v>
      </c>
      <c r="R46" s="2" t="inlineStr">
        <is>
          <t>Gammelgransskål
Motaggsvamp
Vaddporing</t>
        </is>
      </c>
      <c r="S46">
        <f>HYPERLINK("https://klasma.github.io/Logging_2510/artfynd/A 25619-2019 artfynd.xlsx", "A 25619-2019")</f>
        <v/>
      </c>
      <c r="T46">
        <f>HYPERLINK("https://klasma.github.io/Logging_2510/kartor/A 25619-2019 karta.png", "A 25619-2019")</f>
        <v/>
      </c>
      <c r="V46">
        <f>HYPERLINK("https://klasma.github.io/Logging_2510/klagomål/A 25619-2019 FSC-klagomål.docx", "A 25619-2019")</f>
        <v/>
      </c>
      <c r="W46">
        <f>HYPERLINK("https://klasma.github.io/Logging_2510/klagomålsmail/A 25619-2019 FSC-klagomål mail.docx", "A 25619-2019")</f>
        <v/>
      </c>
      <c r="X46">
        <f>HYPERLINK("https://klasma.github.io/Logging_2510/tillsyn/A 25619-2019 tillsynsbegäran.docx", "A 25619-2019")</f>
        <v/>
      </c>
      <c r="Y46">
        <f>HYPERLINK("https://klasma.github.io/Logging_2510/tillsynsmail/A 25619-2019 tillsynsbegäran mail.docx", "A 25619-2019")</f>
        <v/>
      </c>
    </row>
    <row r="47" ht="15" customHeight="1">
      <c r="A47" t="inlineStr">
        <is>
          <t>A 24420-2020</t>
        </is>
      </c>
      <c r="B47" s="1" t="n">
        <v>43976</v>
      </c>
      <c r="C47" s="1" t="n">
        <v>45294</v>
      </c>
      <c r="D47" t="inlineStr">
        <is>
          <t>NORRBOTTENS LÄN</t>
        </is>
      </c>
      <c r="E47" t="inlineStr">
        <is>
          <t>JOKKMOKK</t>
        </is>
      </c>
      <c r="F47" t="inlineStr">
        <is>
          <t>SCA</t>
        </is>
      </c>
      <c r="G47" t="n">
        <v>2.9</v>
      </c>
      <c r="H47" t="n">
        <v>0</v>
      </c>
      <c r="I47" t="n">
        <v>0</v>
      </c>
      <c r="J47" t="n">
        <v>0</v>
      </c>
      <c r="K47" t="n">
        <v>3</v>
      </c>
      <c r="L47" t="n">
        <v>0</v>
      </c>
      <c r="M47" t="n">
        <v>0</v>
      </c>
      <c r="N47" t="n">
        <v>0</v>
      </c>
      <c r="O47" t="n">
        <v>3</v>
      </c>
      <c r="P47" t="n">
        <v>3</v>
      </c>
      <c r="Q47" t="n">
        <v>3</v>
      </c>
      <c r="R47" s="2" t="inlineStr">
        <is>
          <t>Goliatmusseron
Gräddporing
Tallgråticka</t>
        </is>
      </c>
      <c r="S47">
        <f>HYPERLINK("https://klasma.github.io/Logging_2510/artfynd/A 24420-2020 artfynd.xlsx", "A 24420-2020")</f>
        <v/>
      </c>
      <c r="T47">
        <f>HYPERLINK("https://klasma.github.io/Logging_2510/kartor/A 24420-2020 karta.png", "A 24420-2020")</f>
        <v/>
      </c>
      <c r="V47">
        <f>HYPERLINK("https://klasma.github.io/Logging_2510/klagomål/A 24420-2020 FSC-klagomål.docx", "A 24420-2020")</f>
        <v/>
      </c>
      <c r="W47">
        <f>HYPERLINK("https://klasma.github.io/Logging_2510/klagomålsmail/A 24420-2020 FSC-klagomål mail.docx", "A 24420-2020")</f>
        <v/>
      </c>
      <c r="X47">
        <f>HYPERLINK("https://klasma.github.io/Logging_2510/tillsyn/A 24420-2020 tillsynsbegäran.docx", "A 24420-2020")</f>
        <v/>
      </c>
      <c r="Y47">
        <f>HYPERLINK("https://klasma.github.io/Logging_2510/tillsynsmail/A 24420-2020 tillsynsbegäran mail.docx", "A 24420-2020")</f>
        <v/>
      </c>
    </row>
    <row r="48" ht="15" customHeight="1">
      <c r="A48" t="inlineStr">
        <is>
          <t>A 72477-2021</t>
        </is>
      </c>
      <c r="B48" s="1" t="n">
        <v>44545</v>
      </c>
      <c r="C48" s="1" t="n">
        <v>45294</v>
      </c>
      <c r="D48" t="inlineStr">
        <is>
          <t>NORRBOTTENS LÄN</t>
        </is>
      </c>
      <c r="E48" t="inlineStr">
        <is>
          <t>JOKKMOKK</t>
        </is>
      </c>
      <c r="G48" t="n">
        <v>18.1</v>
      </c>
      <c r="H48" t="n">
        <v>0</v>
      </c>
      <c r="I48" t="n">
        <v>0</v>
      </c>
      <c r="J48" t="n">
        <v>2</v>
      </c>
      <c r="K48" t="n">
        <v>1</v>
      </c>
      <c r="L48" t="n">
        <v>0</v>
      </c>
      <c r="M48" t="n">
        <v>0</v>
      </c>
      <c r="N48" t="n">
        <v>0</v>
      </c>
      <c r="O48" t="n">
        <v>3</v>
      </c>
      <c r="P48" t="n">
        <v>1</v>
      </c>
      <c r="Q48" t="n">
        <v>3</v>
      </c>
      <c r="R48" s="2" t="inlineStr">
        <is>
          <t>Gräddporing
Blågrå svartspik
Ladlav</t>
        </is>
      </c>
      <c r="S48">
        <f>HYPERLINK("https://klasma.github.io/Logging_2510/artfynd/A 72477-2021 artfynd.xlsx", "A 72477-2021")</f>
        <v/>
      </c>
      <c r="T48">
        <f>HYPERLINK("https://klasma.github.io/Logging_2510/kartor/A 72477-2021 karta.png", "A 72477-2021")</f>
        <v/>
      </c>
      <c r="V48">
        <f>HYPERLINK("https://klasma.github.io/Logging_2510/klagomål/A 72477-2021 FSC-klagomål.docx", "A 72477-2021")</f>
        <v/>
      </c>
      <c r="W48">
        <f>HYPERLINK("https://klasma.github.io/Logging_2510/klagomålsmail/A 72477-2021 FSC-klagomål mail.docx", "A 72477-2021")</f>
        <v/>
      </c>
      <c r="X48">
        <f>HYPERLINK("https://klasma.github.io/Logging_2510/tillsyn/A 72477-2021 tillsynsbegäran.docx", "A 72477-2021")</f>
        <v/>
      </c>
      <c r="Y48">
        <f>HYPERLINK("https://klasma.github.io/Logging_2510/tillsynsmail/A 72477-2021 tillsynsbegäran mail.docx", "A 72477-2021")</f>
        <v/>
      </c>
    </row>
    <row r="49" ht="15" customHeight="1">
      <c r="A49" t="inlineStr">
        <is>
          <t>A 23020-2023</t>
        </is>
      </c>
      <c r="B49" s="1" t="n">
        <v>45073</v>
      </c>
      <c r="C49" s="1" t="n">
        <v>45294</v>
      </c>
      <c r="D49" t="inlineStr">
        <is>
          <t>NORRBOTTENS LÄN</t>
        </is>
      </c>
      <c r="E49" t="inlineStr">
        <is>
          <t>JOKKMOKK</t>
        </is>
      </c>
      <c r="F49" t="inlineStr">
        <is>
          <t>SCA</t>
        </is>
      </c>
      <c r="G49" t="n">
        <v>3.7</v>
      </c>
      <c r="H49" t="n">
        <v>0</v>
      </c>
      <c r="I49" t="n">
        <v>1</v>
      </c>
      <c r="J49" t="n">
        <v>2</v>
      </c>
      <c r="K49" t="n">
        <v>0</v>
      </c>
      <c r="L49" t="n">
        <v>0</v>
      </c>
      <c r="M49" t="n">
        <v>0</v>
      </c>
      <c r="N49" t="n">
        <v>0</v>
      </c>
      <c r="O49" t="n">
        <v>2</v>
      </c>
      <c r="P49" t="n">
        <v>0</v>
      </c>
      <c r="Q49" t="n">
        <v>3</v>
      </c>
      <c r="R49" s="2" t="inlineStr">
        <is>
          <t>Gammelgransskål
Garnlav
Bollvitmossa</t>
        </is>
      </c>
      <c r="S49">
        <f>HYPERLINK("https://klasma.github.io/Logging_2510/artfynd/A 23020-2023 artfynd.xlsx", "A 23020-2023")</f>
        <v/>
      </c>
      <c r="T49">
        <f>HYPERLINK("https://klasma.github.io/Logging_2510/kartor/A 23020-2023 karta.png", "A 23020-2023")</f>
        <v/>
      </c>
      <c r="V49">
        <f>HYPERLINK("https://klasma.github.io/Logging_2510/klagomål/A 23020-2023 FSC-klagomål.docx", "A 23020-2023")</f>
        <v/>
      </c>
      <c r="W49">
        <f>HYPERLINK("https://klasma.github.io/Logging_2510/klagomålsmail/A 23020-2023 FSC-klagomål mail.docx", "A 23020-2023")</f>
        <v/>
      </c>
      <c r="X49">
        <f>HYPERLINK("https://klasma.github.io/Logging_2510/tillsyn/A 23020-2023 tillsynsbegäran.docx", "A 23020-2023")</f>
        <v/>
      </c>
      <c r="Y49">
        <f>HYPERLINK("https://klasma.github.io/Logging_2510/tillsynsmail/A 23020-2023 tillsynsbegäran mail.docx", "A 23020-2023")</f>
        <v/>
      </c>
    </row>
    <row r="50" ht="15" customHeight="1">
      <c r="A50" t="inlineStr">
        <is>
          <t>A 23017-2023</t>
        </is>
      </c>
      <c r="B50" s="1" t="n">
        <v>45073</v>
      </c>
      <c r="C50" s="1" t="n">
        <v>45294</v>
      </c>
      <c r="D50" t="inlineStr">
        <is>
          <t>NORRBOTTENS LÄN</t>
        </is>
      </c>
      <c r="E50" t="inlineStr">
        <is>
          <t>JOKKMOKK</t>
        </is>
      </c>
      <c r="F50" t="inlineStr">
        <is>
          <t>SCA</t>
        </is>
      </c>
      <c r="G50" t="n">
        <v>6</v>
      </c>
      <c r="H50" t="n">
        <v>2</v>
      </c>
      <c r="I50" t="n">
        <v>2</v>
      </c>
      <c r="J50" t="n">
        <v>0</v>
      </c>
      <c r="K50" t="n">
        <v>1</v>
      </c>
      <c r="L50" t="n">
        <v>0</v>
      </c>
      <c r="M50" t="n">
        <v>0</v>
      </c>
      <c r="N50" t="n">
        <v>0</v>
      </c>
      <c r="O50" t="n">
        <v>1</v>
      </c>
      <c r="P50" t="n">
        <v>1</v>
      </c>
      <c r="Q50" t="n">
        <v>3</v>
      </c>
      <c r="R50" s="2" t="inlineStr">
        <is>
          <t>Norna
Spindelblomster
Tibast</t>
        </is>
      </c>
      <c r="S50">
        <f>HYPERLINK("https://klasma.github.io/Logging_2510/artfynd/A 23017-2023 artfynd.xlsx", "A 23017-2023")</f>
        <v/>
      </c>
      <c r="T50">
        <f>HYPERLINK("https://klasma.github.io/Logging_2510/kartor/A 23017-2023 karta.png", "A 23017-2023")</f>
        <v/>
      </c>
      <c r="V50">
        <f>HYPERLINK("https://klasma.github.io/Logging_2510/klagomål/A 23017-2023 FSC-klagomål.docx", "A 23017-2023")</f>
        <v/>
      </c>
      <c r="W50">
        <f>HYPERLINK("https://klasma.github.io/Logging_2510/klagomålsmail/A 23017-2023 FSC-klagomål mail.docx", "A 23017-2023")</f>
        <v/>
      </c>
      <c r="X50">
        <f>HYPERLINK("https://klasma.github.io/Logging_2510/tillsyn/A 23017-2023 tillsynsbegäran.docx", "A 23017-2023")</f>
        <v/>
      </c>
      <c r="Y50">
        <f>HYPERLINK("https://klasma.github.io/Logging_2510/tillsynsmail/A 23017-2023 tillsynsbegäran mail.docx", "A 23017-2023")</f>
        <v/>
      </c>
    </row>
    <row r="51" ht="15" customHeight="1">
      <c r="A51" t="inlineStr">
        <is>
          <t>A 24055-2023</t>
        </is>
      </c>
      <c r="B51" s="1" t="n">
        <v>45078</v>
      </c>
      <c r="C51" s="1" t="n">
        <v>45294</v>
      </c>
      <c r="D51" t="inlineStr">
        <is>
          <t>NORRBOTTENS LÄN</t>
        </is>
      </c>
      <c r="E51" t="inlineStr">
        <is>
          <t>JOKKMOKK</t>
        </is>
      </c>
      <c r="F51" t="inlineStr">
        <is>
          <t>SCA</t>
        </is>
      </c>
      <c r="G51" t="n">
        <v>9.9</v>
      </c>
      <c r="H51" t="n">
        <v>0</v>
      </c>
      <c r="I51" t="n">
        <v>0</v>
      </c>
      <c r="J51" t="n">
        <v>2</v>
      </c>
      <c r="K51" t="n">
        <v>1</v>
      </c>
      <c r="L51" t="n">
        <v>0</v>
      </c>
      <c r="M51" t="n">
        <v>0</v>
      </c>
      <c r="N51" t="n">
        <v>0</v>
      </c>
      <c r="O51" t="n">
        <v>3</v>
      </c>
      <c r="P51" t="n">
        <v>1</v>
      </c>
      <c r="Q51" t="n">
        <v>3</v>
      </c>
      <c r="R51" s="2" t="inlineStr">
        <is>
          <t>Goliatmusseron
Blå taggsvamp
Orange taggsvamp</t>
        </is>
      </c>
      <c r="S51">
        <f>HYPERLINK("https://klasma.github.io/Logging_2510/artfynd/A 24055-2023 artfynd.xlsx", "A 24055-2023")</f>
        <v/>
      </c>
      <c r="T51">
        <f>HYPERLINK("https://klasma.github.io/Logging_2510/kartor/A 24055-2023 karta.png", "A 24055-2023")</f>
        <v/>
      </c>
      <c r="V51">
        <f>HYPERLINK("https://klasma.github.io/Logging_2510/klagomål/A 24055-2023 FSC-klagomål.docx", "A 24055-2023")</f>
        <v/>
      </c>
      <c r="W51">
        <f>HYPERLINK("https://klasma.github.io/Logging_2510/klagomålsmail/A 24055-2023 FSC-klagomål mail.docx", "A 24055-2023")</f>
        <v/>
      </c>
      <c r="X51">
        <f>HYPERLINK("https://klasma.github.io/Logging_2510/tillsyn/A 24055-2023 tillsynsbegäran.docx", "A 24055-2023")</f>
        <v/>
      </c>
      <c r="Y51">
        <f>HYPERLINK("https://klasma.github.io/Logging_2510/tillsynsmail/A 24055-2023 tillsynsbegäran mail.docx", "A 24055-2023")</f>
        <v/>
      </c>
    </row>
    <row r="52" ht="15" customHeight="1">
      <c r="A52" t="inlineStr">
        <is>
          <t>A 33994-2023</t>
        </is>
      </c>
      <c r="B52" s="1" t="n">
        <v>45134</v>
      </c>
      <c r="C52" s="1" t="n">
        <v>45294</v>
      </c>
      <c r="D52" t="inlineStr">
        <is>
          <t>NORRBOTTENS LÄN</t>
        </is>
      </c>
      <c r="E52" t="inlineStr">
        <is>
          <t>JOKKMOKK</t>
        </is>
      </c>
      <c r="G52" t="n">
        <v>9.1</v>
      </c>
      <c r="H52" t="n">
        <v>1</v>
      </c>
      <c r="I52" t="n">
        <v>1</v>
      </c>
      <c r="J52" t="n">
        <v>1</v>
      </c>
      <c r="K52" t="n">
        <v>1</v>
      </c>
      <c r="L52" t="n">
        <v>0</v>
      </c>
      <c r="M52" t="n">
        <v>0</v>
      </c>
      <c r="N52" t="n">
        <v>0</v>
      </c>
      <c r="O52" t="n">
        <v>2</v>
      </c>
      <c r="P52" t="n">
        <v>1</v>
      </c>
      <c r="Q52" t="n">
        <v>3</v>
      </c>
      <c r="R52" s="2" t="inlineStr">
        <is>
          <t>Doftticka
Lunglav
Skinnlav</t>
        </is>
      </c>
      <c r="S52">
        <f>HYPERLINK("https://klasma.github.io/Logging_2510/artfynd/A 33994-2023 artfynd.xlsx", "A 33994-2023")</f>
        <v/>
      </c>
      <c r="T52">
        <f>HYPERLINK("https://klasma.github.io/Logging_2510/kartor/A 33994-2023 karta.png", "A 33994-2023")</f>
        <v/>
      </c>
      <c r="V52">
        <f>HYPERLINK("https://klasma.github.io/Logging_2510/klagomål/A 33994-2023 FSC-klagomål.docx", "A 33994-2023")</f>
        <v/>
      </c>
      <c r="W52">
        <f>HYPERLINK("https://klasma.github.io/Logging_2510/klagomålsmail/A 33994-2023 FSC-klagomål mail.docx", "A 33994-2023")</f>
        <v/>
      </c>
      <c r="X52">
        <f>HYPERLINK("https://klasma.github.io/Logging_2510/tillsyn/A 33994-2023 tillsynsbegäran.docx", "A 33994-2023")</f>
        <v/>
      </c>
      <c r="Y52">
        <f>HYPERLINK("https://klasma.github.io/Logging_2510/tillsynsmail/A 33994-2023 tillsynsbegäran mail.docx", "A 33994-2023")</f>
        <v/>
      </c>
    </row>
    <row r="53" ht="15" customHeight="1">
      <c r="A53" t="inlineStr">
        <is>
          <t>A 50785-2023</t>
        </is>
      </c>
      <c r="B53" s="1" t="n">
        <v>45217</v>
      </c>
      <c r="C53" s="1" t="n">
        <v>45294</v>
      </c>
      <c r="D53" t="inlineStr">
        <is>
          <t>NORRBOTTENS LÄN</t>
        </is>
      </c>
      <c r="E53" t="inlineStr">
        <is>
          <t>JOKKMOKK</t>
        </is>
      </c>
      <c r="F53" t="inlineStr">
        <is>
          <t>Sveaskog</t>
        </is>
      </c>
      <c r="G53" t="n">
        <v>24.9</v>
      </c>
      <c r="H53" t="n">
        <v>1</v>
      </c>
      <c r="I53" t="n">
        <v>0</v>
      </c>
      <c r="J53" t="n">
        <v>3</v>
      </c>
      <c r="K53" t="n">
        <v>0</v>
      </c>
      <c r="L53" t="n">
        <v>0</v>
      </c>
      <c r="M53" t="n">
        <v>0</v>
      </c>
      <c r="N53" t="n">
        <v>0</v>
      </c>
      <c r="O53" t="n">
        <v>3</v>
      </c>
      <c r="P53" t="n">
        <v>0</v>
      </c>
      <c r="Q53" t="n">
        <v>3</v>
      </c>
      <c r="R53" s="2" t="inlineStr">
        <is>
          <t>Gammelgransskål
Kolflarnlav
Tretåig hackspett</t>
        </is>
      </c>
      <c r="S53">
        <f>HYPERLINK("https://klasma.github.io/Logging_2510/artfynd/A 50785-2023 artfynd.xlsx", "A 50785-2023")</f>
        <v/>
      </c>
      <c r="T53">
        <f>HYPERLINK("https://klasma.github.io/Logging_2510/kartor/A 50785-2023 karta.png", "A 50785-2023")</f>
        <v/>
      </c>
      <c r="V53">
        <f>HYPERLINK("https://klasma.github.io/Logging_2510/klagomål/A 50785-2023 FSC-klagomål.docx", "A 50785-2023")</f>
        <v/>
      </c>
      <c r="W53">
        <f>HYPERLINK("https://klasma.github.io/Logging_2510/klagomålsmail/A 50785-2023 FSC-klagomål mail.docx", "A 50785-2023")</f>
        <v/>
      </c>
      <c r="X53">
        <f>HYPERLINK("https://klasma.github.io/Logging_2510/tillsyn/A 50785-2023 tillsynsbegäran.docx", "A 50785-2023")</f>
        <v/>
      </c>
      <c r="Y53">
        <f>HYPERLINK("https://klasma.github.io/Logging_2510/tillsynsmail/A 50785-2023 tillsynsbegäran mail.docx", "A 50785-2023")</f>
        <v/>
      </c>
    </row>
    <row r="54" ht="15" customHeight="1">
      <c r="A54" t="inlineStr">
        <is>
          <t>A 52332-2023</t>
        </is>
      </c>
      <c r="B54" s="1" t="n">
        <v>45217</v>
      </c>
      <c r="C54" s="1" t="n">
        <v>45294</v>
      </c>
      <c r="D54" t="inlineStr">
        <is>
          <t>NORRBOTTENS LÄN</t>
        </is>
      </c>
      <c r="E54" t="inlineStr">
        <is>
          <t>JOKKMOKK</t>
        </is>
      </c>
      <c r="F54" t="inlineStr">
        <is>
          <t>Övriga statliga verk och myndigheter</t>
        </is>
      </c>
      <c r="G54" t="n">
        <v>23.3</v>
      </c>
      <c r="H54" t="n">
        <v>0</v>
      </c>
      <c r="I54" t="n">
        <v>1</v>
      </c>
      <c r="J54" t="n">
        <v>2</v>
      </c>
      <c r="K54" t="n">
        <v>0</v>
      </c>
      <c r="L54" t="n">
        <v>0</v>
      </c>
      <c r="M54" t="n">
        <v>0</v>
      </c>
      <c r="N54" t="n">
        <v>0</v>
      </c>
      <c r="O54" t="n">
        <v>2</v>
      </c>
      <c r="P54" t="n">
        <v>0</v>
      </c>
      <c r="Q54" t="n">
        <v>3</v>
      </c>
      <c r="R54" s="2" t="inlineStr">
        <is>
          <t>Vedflamlav
Vedskivlav
Dropptaggsvamp</t>
        </is>
      </c>
      <c r="S54">
        <f>HYPERLINK("https://klasma.github.io/Logging_2510/artfynd/A 52332-2023 artfynd.xlsx", "A 52332-2023")</f>
        <v/>
      </c>
      <c r="T54">
        <f>HYPERLINK("https://klasma.github.io/Logging_2510/kartor/A 52332-2023 karta.png", "A 52332-2023")</f>
        <v/>
      </c>
      <c r="V54">
        <f>HYPERLINK("https://klasma.github.io/Logging_2510/klagomål/A 52332-2023 FSC-klagomål.docx", "A 52332-2023")</f>
        <v/>
      </c>
      <c r="W54">
        <f>HYPERLINK("https://klasma.github.io/Logging_2510/klagomålsmail/A 52332-2023 FSC-klagomål mail.docx", "A 52332-2023")</f>
        <v/>
      </c>
      <c r="X54">
        <f>HYPERLINK("https://klasma.github.io/Logging_2510/tillsyn/A 52332-2023 tillsynsbegäran.docx", "A 52332-2023")</f>
        <v/>
      </c>
      <c r="Y54">
        <f>HYPERLINK("https://klasma.github.io/Logging_2510/tillsynsmail/A 52332-2023 tillsynsbegäran mail.docx", "A 52332-2023")</f>
        <v/>
      </c>
    </row>
    <row r="55" ht="15" customHeight="1">
      <c r="A55" t="inlineStr">
        <is>
          <t>A 60379-2023</t>
        </is>
      </c>
      <c r="B55" s="1" t="n">
        <v>45259</v>
      </c>
      <c r="C55" s="1" t="n">
        <v>45294</v>
      </c>
      <c r="D55" t="inlineStr">
        <is>
          <t>NORRBOTTENS LÄN</t>
        </is>
      </c>
      <c r="E55" t="inlineStr">
        <is>
          <t>JOKKMOKK</t>
        </is>
      </c>
      <c r="F55" t="inlineStr">
        <is>
          <t>Sveaskog</t>
        </is>
      </c>
      <c r="G55" t="n">
        <v>22.2</v>
      </c>
      <c r="H55" t="n">
        <v>1</v>
      </c>
      <c r="I55" t="n">
        <v>0</v>
      </c>
      <c r="J55" t="n">
        <v>3</v>
      </c>
      <c r="K55" t="n">
        <v>0</v>
      </c>
      <c r="L55" t="n">
        <v>0</v>
      </c>
      <c r="M55" t="n">
        <v>0</v>
      </c>
      <c r="N55" t="n">
        <v>0</v>
      </c>
      <c r="O55" t="n">
        <v>3</v>
      </c>
      <c r="P55" t="n">
        <v>0</v>
      </c>
      <c r="Q55" t="n">
        <v>3</v>
      </c>
      <c r="R55" s="2" t="inlineStr">
        <is>
          <t>Dvärgbägarlav
Nordtagging
Tretåig hackspett</t>
        </is>
      </c>
      <c r="S55">
        <f>HYPERLINK("https://klasma.github.io/Logging_2510/artfynd/A 60379-2023 artfynd.xlsx", "A 60379-2023")</f>
        <v/>
      </c>
      <c r="T55">
        <f>HYPERLINK("https://klasma.github.io/Logging_2510/kartor/A 60379-2023 karta.png", "A 60379-2023")</f>
        <v/>
      </c>
      <c r="V55">
        <f>HYPERLINK("https://klasma.github.io/Logging_2510/klagomål/A 60379-2023 FSC-klagomål.docx", "A 60379-2023")</f>
        <v/>
      </c>
      <c r="W55">
        <f>HYPERLINK("https://klasma.github.io/Logging_2510/klagomålsmail/A 60379-2023 FSC-klagomål mail.docx", "A 60379-2023")</f>
        <v/>
      </c>
      <c r="X55">
        <f>HYPERLINK("https://klasma.github.io/Logging_2510/tillsyn/A 60379-2023 tillsynsbegäran.docx", "A 60379-2023")</f>
        <v/>
      </c>
      <c r="Y55">
        <f>HYPERLINK("https://klasma.github.io/Logging_2510/tillsynsmail/A 60379-2023 tillsynsbegäran mail.docx", "A 60379-2023")</f>
        <v/>
      </c>
    </row>
    <row r="56" ht="15" customHeight="1">
      <c r="A56" t="inlineStr">
        <is>
          <t>A 9977-2019</t>
        </is>
      </c>
      <c r="B56" s="1" t="n">
        <v>43509</v>
      </c>
      <c r="C56" s="1" t="n">
        <v>45294</v>
      </c>
      <c r="D56" t="inlineStr">
        <is>
          <t>NORRBOTTENS LÄN</t>
        </is>
      </c>
      <c r="E56" t="inlineStr">
        <is>
          <t>JOKKMOKK</t>
        </is>
      </c>
      <c r="G56" t="n">
        <v>5.1</v>
      </c>
      <c r="H56" t="n">
        <v>0</v>
      </c>
      <c r="I56" t="n">
        <v>0</v>
      </c>
      <c r="J56" t="n">
        <v>1</v>
      </c>
      <c r="K56" t="n">
        <v>1</v>
      </c>
      <c r="L56" t="n">
        <v>0</v>
      </c>
      <c r="M56" t="n">
        <v>0</v>
      </c>
      <c r="N56" t="n">
        <v>0</v>
      </c>
      <c r="O56" t="n">
        <v>2</v>
      </c>
      <c r="P56" t="n">
        <v>1</v>
      </c>
      <c r="Q56" t="n">
        <v>2</v>
      </c>
      <c r="R56" s="2" t="inlineStr">
        <is>
          <t>Fläckporing
Dvärgbägarlav</t>
        </is>
      </c>
      <c r="S56">
        <f>HYPERLINK("https://klasma.github.io/Logging_2510/artfynd/A 9977-2019 artfynd.xlsx", "A 9977-2019")</f>
        <v/>
      </c>
      <c r="T56">
        <f>HYPERLINK("https://klasma.github.io/Logging_2510/kartor/A 9977-2019 karta.png", "A 9977-2019")</f>
        <v/>
      </c>
      <c r="V56">
        <f>HYPERLINK("https://klasma.github.io/Logging_2510/klagomål/A 9977-2019 FSC-klagomål.docx", "A 9977-2019")</f>
        <v/>
      </c>
      <c r="W56">
        <f>HYPERLINK("https://klasma.github.io/Logging_2510/klagomålsmail/A 9977-2019 FSC-klagomål mail.docx", "A 9977-2019")</f>
        <v/>
      </c>
      <c r="X56">
        <f>HYPERLINK("https://klasma.github.io/Logging_2510/tillsyn/A 9977-2019 tillsynsbegäran.docx", "A 9977-2019")</f>
        <v/>
      </c>
      <c r="Y56">
        <f>HYPERLINK("https://klasma.github.io/Logging_2510/tillsynsmail/A 9977-2019 tillsynsbegäran mail.docx", "A 9977-2019")</f>
        <v/>
      </c>
    </row>
    <row r="57" ht="15" customHeight="1">
      <c r="A57" t="inlineStr">
        <is>
          <t>A 11148-2019</t>
        </is>
      </c>
      <c r="B57" s="1" t="n">
        <v>43516</v>
      </c>
      <c r="C57" s="1" t="n">
        <v>45294</v>
      </c>
      <c r="D57" t="inlineStr">
        <is>
          <t>NORRBOTTENS LÄN</t>
        </is>
      </c>
      <c r="E57" t="inlineStr">
        <is>
          <t>JOKKMOKK</t>
        </is>
      </c>
      <c r="G57" t="n">
        <v>12.8</v>
      </c>
      <c r="H57" t="n">
        <v>1</v>
      </c>
      <c r="I57" t="n">
        <v>0</v>
      </c>
      <c r="J57" t="n">
        <v>2</v>
      </c>
      <c r="K57" t="n">
        <v>0</v>
      </c>
      <c r="L57" t="n">
        <v>0</v>
      </c>
      <c r="M57" t="n">
        <v>0</v>
      </c>
      <c r="N57" t="n">
        <v>0</v>
      </c>
      <c r="O57" t="n">
        <v>2</v>
      </c>
      <c r="P57" t="n">
        <v>0</v>
      </c>
      <c r="Q57" t="n">
        <v>2</v>
      </c>
      <c r="R57" s="2" t="inlineStr">
        <is>
          <t>Knottrig blåslav
Lappmes</t>
        </is>
      </c>
      <c r="S57">
        <f>HYPERLINK("https://klasma.github.io/Logging_2510/artfynd/A 11148-2019 artfynd.xlsx", "A 11148-2019")</f>
        <v/>
      </c>
      <c r="T57">
        <f>HYPERLINK("https://klasma.github.io/Logging_2510/kartor/A 11148-2019 karta.png", "A 11148-2019")</f>
        <v/>
      </c>
      <c r="V57">
        <f>HYPERLINK("https://klasma.github.io/Logging_2510/klagomål/A 11148-2019 FSC-klagomål.docx", "A 11148-2019")</f>
        <v/>
      </c>
      <c r="W57">
        <f>HYPERLINK("https://klasma.github.io/Logging_2510/klagomålsmail/A 11148-2019 FSC-klagomål mail.docx", "A 11148-2019")</f>
        <v/>
      </c>
      <c r="X57">
        <f>HYPERLINK("https://klasma.github.io/Logging_2510/tillsyn/A 11148-2019 tillsynsbegäran.docx", "A 11148-2019")</f>
        <v/>
      </c>
      <c r="Y57">
        <f>HYPERLINK("https://klasma.github.io/Logging_2510/tillsynsmail/A 11148-2019 tillsynsbegäran mail.docx", "A 11148-2019")</f>
        <v/>
      </c>
    </row>
    <row r="58" ht="15" customHeight="1">
      <c r="A58" t="inlineStr">
        <is>
          <t>A 24408-2022</t>
        </is>
      </c>
      <c r="B58" s="1" t="n">
        <v>44726</v>
      </c>
      <c r="C58" s="1" t="n">
        <v>45294</v>
      </c>
      <c r="D58" t="inlineStr">
        <is>
          <t>NORRBOTTENS LÄN</t>
        </is>
      </c>
      <c r="E58" t="inlineStr">
        <is>
          <t>JOKKMOKK</t>
        </is>
      </c>
      <c r="F58" t="inlineStr">
        <is>
          <t>Övriga statliga verk och myndigheter</t>
        </is>
      </c>
      <c r="G58" t="n">
        <v>4.8</v>
      </c>
      <c r="H58" t="n">
        <v>0</v>
      </c>
      <c r="I58" t="n">
        <v>0</v>
      </c>
      <c r="J58" t="n">
        <v>2</v>
      </c>
      <c r="K58" t="n">
        <v>0</v>
      </c>
      <c r="L58" t="n">
        <v>0</v>
      </c>
      <c r="M58" t="n">
        <v>0</v>
      </c>
      <c r="N58" t="n">
        <v>0</v>
      </c>
      <c r="O58" t="n">
        <v>2</v>
      </c>
      <c r="P58" t="n">
        <v>0</v>
      </c>
      <c r="Q58" t="n">
        <v>2</v>
      </c>
      <c r="R58" s="2" t="inlineStr">
        <is>
          <t>Gammelgransskål
Knottrig blåslav</t>
        </is>
      </c>
      <c r="S58">
        <f>HYPERLINK("https://klasma.github.io/Logging_2510/artfynd/A 24408-2022 artfynd.xlsx", "A 24408-2022")</f>
        <v/>
      </c>
      <c r="T58">
        <f>HYPERLINK("https://klasma.github.io/Logging_2510/kartor/A 24408-2022 karta.png", "A 24408-2022")</f>
        <v/>
      </c>
      <c r="V58">
        <f>HYPERLINK("https://klasma.github.io/Logging_2510/klagomål/A 24408-2022 FSC-klagomål.docx", "A 24408-2022")</f>
        <v/>
      </c>
      <c r="W58">
        <f>HYPERLINK("https://klasma.github.io/Logging_2510/klagomålsmail/A 24408-2022 FSC-klagomål mail.docx", "A 24408-2022")</f>
        <v/>
      </c>
      <c r="X58">
        <f>HYPERLINK("https://klasma.github.io/Logging_2510/tillsyn/A 24408-2022 tillsynsbegäran.docx", "A 24408-2022")</f>
        <v/>
      </c>
      <c r="Y58">
        <f>HYPERLINK("https://klasma.github.io/Logging_2510/tillsynsmail/A 24408-2022 tillsynsbegäran mail.docx", "A 24408-2022")</f>
        <v/>
      </c>
    </row>
    <row r="59" ht="15" customHeight="1">
      <c r="A59" t="inlineStr">
        <is>
          <t>A 50237-2022</t>
        </is>
      </c>
      <c r="B59" s="1" t="n">
        <v>44865</v>
      </c>
      <c r="C59" s="1" t="n">
        <v>45294</v>
      </c>
      <c r="D59" t="inlineStr">
        <is>
          <t>NORRBOTTENS LÄN</t>
        </is>
      </c>
      <c r="E59" t="inlineStr">
        <is>
          <t>JOKKMOKK</t>
        </is>
      </c>
      <c r="F59" t="inlineStr">
        <is>
          <t>Sveaskog</t>
        </is>
      </c>
      <c r="G59" t="n">
        <v>13.4</v>
      </c>
      <c r="H59" t="n">
        <v>1</v>
      </c>
      <c r="I59" t="n">
        <v>1</v>
      </c>
      <c r="J59" t="n">
        <v>0</v>
      </c>
      <c r="K59" t="n">
        <v>0</v>
      </c>
      <c r="L59" t="n">
        <v>0</v>
      </c>
      <c r="M59" t="n">
        <v>0</v>
      </c>
      <c r="N59" t="n">
        <v>0</v>
      </c>
      <c r="O59" t="n">
        <v>0</v>
      </c>
      <c r="P59" t="n">
        <v>0</v>
      </c>
      <c r="Q59" t="n">
        <v>2</v>
      </c>
      <c r="R59" s="2" t="inlineStr">
        <is>
          <t>Vedticka
Lavskrika</t>
        </is>
      </c>
      <c r="S59">
        <f>HYPERLINK("https://klasma.github.io/Logging_2510/artfynd/A 50237-2022 artfynd.xlsx", "A 50237-2022")</f>
        <v/>
      </c>
      <c r="T59">
        <f>HYPERLINK("https://klasma.github.io/Logging_2510/kartor/A 50237-2022 karta.png", "A 50237-2022")</f>
        <v/>
      </c>
      <c r="V59">
        <f>HYPERLINK("https://klasma.github.io/Logging_2510/klagomål/A 50237-2022 FSC-klagomål.docx", "A 50237-2022")</f>
        <v/>
      </c>
      <c r="W59">
        <f>HYPERLINK("https://klasma.github.io/Logging_2510/klagomålsmail/A 50237-2022 FSC-klagomål mail.docx", "A 50237-2022")</f>
        <v/>
      </c>
      <c r="X59">
        <f>HYPERLINK("https://klasma.github.io/Logging_2510/tillsyn/A 50237-2022 tillsynsbegäran.docx", "A 50237-2022")</f>
        <v/>
      </c>
      <c r="Y59">
        <f>HYPERLINK("https://klasma.github.io/Logging_2510/tillsynsmail/A 50237-2022 tillsynsbegäran mail.docx", "A 50237-2022")</f>
        <v/>
      </c>
    </row>
    <row r="60" ht="15" customHeight="1">
      <c r="A60" t="inlineStr">
        <is>
          <t>A 27018-2023</t>
        </is>
      </c>
      <c r="B60" s="1" t="n">
        <v>45094</v>
      </c>
      <c r="C60" s="1" t="n">
        <v>45294</v>
      </c>
      <c r="D60" t="inlineStr">
        <is>
          <t>NORRBOTTENS LÄN</t>
        </is>
      </c>
      <c r="E60" t="inlineStr">
        <is>
          <t>JOKKMOKK</t>
        </is>
      </c>
      <c r="F60" t="inlineStr">
        <is>
          <t>SCA</t>
        </is>
      </c>
      <c r="G60" t="n">
        <v>4.9</v>
      </c>
      <c r="H60" t="n">
        <v>0</v>
      </c>
      <c r="I60" t="n">
        <v>2</v>
      </c>
      <c r="J60" t="n">
        <v>0</v>
      </c>
      <c r="K60" t="n">
        <v>0</v>
      </c>
      <c r="L60" t="n">
        <v>0</v>
      </c>
      <c r="M60" t="n">
        <v>0</v>
      </c>
      <c r="N60" t="n">
        <v>0</v>
      </c>
      <c r="O60" t="n">
        <v>0</v>
      </c>
      <c r="P60" t="n">
        <v>0</v>
      </c>
      <c r="Q60" t="n">
        <v>2</v>
      </c>
      <c r="R60" s="2" t="inlineStr">
        <is>
          <t>Skinnlav
Vedticka</t>
        </is>
      </c>
      <c r="S60">
        <f>HYPERLINK("https://klasma.github.io/Logging_2510/artfynd/A 27018-2023 artfynd.xlsx", "A 27018-2023")</f>
        <v/>
      </c>
      <c r="T60">
        <f>HYPERLINK("https://klasma.github.io/Logging_2510/kartor/A 27018-2023 karta.png", "A 27018-2023")</f>
        <v/>
      </c>
      <c r="V60">
        <f>HYPERLINK("https://klasma.github.io/Logging_2510/klagomål/A 27018-2023 FSC-klagomål.docx", "A 27018-2023")</f>
        <v/>
      </c>
      <c r="W60">
        <f>HYPERLINK("https://klasma.github.io/Logging_2510/klagomålsmail/A 27018-2023 FSC-klagomål mail.docx", "A 27018-2023")</f>
        <v/>
      </c>
      <c r="X60">
        <f>HYPERLINK("https://klasma.github.io/Logging_2510/tillsyn/A 27018-2023 tillsynsbegäran.docx", "A 27018-2023")</f>
        <v/>
      </c>
      <c r="Y60">
        <f>HYPERLINK("https://klasma.github.io/Logging_2510/tillsynsmail/A 27018-2023 tillsynsbegäran mail.docx", "A 27018-2023")</f>
        <v/>
      </c>
    </row>
    <row r="61" ht="15" customHeight="1">
      <c r="A61" t="inlineStr">
        <is>
          <t>A 32982-2023</t>
        </is>
      </c>
      <c r="B61" s="1" t="n">
        <v>45113</v>
      </c>
      <c r="C61" s="1" t="n">
        <v>45294</v>
      </c>
      <c r="D61" t="inlineStr">
        <is>
          <t>NORRBOTTENS LÄN</t>
        </is>
      </c>
      <c r="E61" t="inlineStr">
        <is>
          <t>JOKKMOKK</t>
        </is>
      </c>
      <c r="F61" t="inlineStr">
        <is>
          <t>Övriga statliga verk och myndigheter</t>
        </is>
      </c>
      <c r="G61" t="n">
        <v>21</v>
      </c>
      <c r="H61" t="n">
        <v>0</v>
      </c>
      <c r="I61" t="n">
        <v>0</v>
      </c>
      <c r="J61" t="n">
        <v>0</v>
      </c>
      <c r="K61" t="n">
        <v>2</v>
      </c>
      <c r="L61" t="n">
        <v>0</v>
      </c>
      <c r="M61" t="n">
        <v>0</v>
      </c>
      <c r="N61" t="n">
        <v>0</v>
      </c>
      <c r="O61" t="n">
        <v>2</v>
      </c>
      <c r="P61" t="n">
        <v>2</v>
      </c>
      <c r="Q61" t="n">
        <v>2</v>
      </c>
      <c r="R61" s="2" t="inlineStr">
        <is>
          <t>Smalfotad taggsvamp
Tajgataggsvamp</t>
        </is>
      </c>
      <c r="S61">
        <f>HYPERLINK("https://klasma.github.io/Logging_2510/artfynd/A 32982-2023 artfynd.xlsx", "A 32982-2023")</f>
        <v/>
      </c>
      <c r="T61">
        <f>HYPERLINK("https://klasma.github.io/Logging_2510/kartor/A 32982-2023 karta.png", "A 32982-2023")</f>
        <v/>
      </c>
      <c r="V61">
        <f>HYPERLINK("https://klasma.github.io/Logging_2510/klagomål/A 32982-2023 FSC-klagomål.docx", "A 32982-2023")</f>
        <v/>
      </c>
      <c r="W61">
        <f>HYPERLINK("https://klasma.github.io/Logging_2510/klagomålsmail/A 32982-2023 FSC-klagomål mail.docx", "A 32982-2023")</f>
        <v/>
      </c>
      <c r="X61">
        <f>HYPERLINK("https://klasma.github.io/Logging_2510/tillsyn/A 32982-2023 tillsynsbegäran.docx", "A 32982-2023")</f>
        <v/>
      </c>
      <c r="Y61">
        <f>HYPERLINK("https://klasma.github.io/Logging_2510/tillsynsmail/A 32982-2023 tillsynsbegäran mail.docx", "A 32982-2023")</f>
        <v/>
      </c>
    </row>
    <row r="62" ht="15" customHeight="1">
      <c r="A62" t="inlineStr">
        <is>
          <t>A 51875-2020</t>
        </is>
      </c>
      <c r="B62" s="1" t="n">
        <v>44109</v>
      </c>
      <c r="C62" s="1" t="n">
        <v>45294</v>
      </c>
      <c r="D62" t="inlineStr">
        <is>
          <t>NORRBOTTENS LÄN</t>
        </is>
      </c>
      <c r="E62" t="inlineStr">
        <is>
          <t>JOKKMOKK</t>
        </is>
      </c>
      <c r="F62" t="inlineStr">
        <is>
          <t>Allmännings- och besparingsskogar</t>
        </is>
      </c>
      <c r="G62" t="n">
        <v>28</v>
      </c>
      <c r="H62" t="n">
        <v>0</v>
      </c>
      <c r="I62" t="n">
        <v>0</v>
      </c>
      <c r="J62" t="n">
        <v>1</v>
      </c>
      <c r="K62" t="n">
        <v>0</v>
      </c>
      <c r="L62" t="n">
        <v>0</v>
      </c>
      <c r="M62" t="n">
        <v>0</v>
      </c>
      <c r="N62" t="n">
        <v>0</v>
      </c>
      <c r="O62" t="n">
        <v>1</v>
      </c>
      <c r="P62" t="n">
        <v>0</v>
      </c>
      <c r="Q62" t="n">
        <v>1</v>
      </c>
      <c r="R62" s="2" t="inlineStr">
        <is>
          <t>Vitplätt</t>
        </is>
      </c>
      <c r="S62">
        <f>HYPERLINK("https://klasma.github.io/Logging_2510/artfynd/A 51875-2020 artfynd.xlsx", "A 51875-2020")</f>
        <v/>
      </c>
      <c r="T62">
        <f>HYPERLINK("https://klasma.github.io/Logging_2510/kartor/A 51875-2020 karta.png", "A 51875-2020")</f>
        <v/>
      </c>
      <c r="V62">
        <f>HYPERLINK("https://klasma.github.io/Logging_2510/klagomål/A 51875-2020 FSC-klagomål.docx", "A 51875-2020")</f>
        <v/>
      </c>
      <c r="W62">
        <f>HYPERLINK("https://klasma.github.io/Logging_2510/klagomålsmail/A 51875-2020 FSC-klagomål mail.docx", "A 51875-2020")</f>
        <v/>
      </c>
      <c r="X62">
        <f>HYPERLINK("https://klasma.github.io/Logging_2510/tillsyn/A 51875-2020 tillsynsbegäran.docx", "A 51875-2020")</f>
        <v/>
      </c>
      <c r="Y62">
        <f>HYPERLINK("https://klasma.github.io/Logging_2510/tillsynsmail/A 51875-2020 tillsynsbegäran mail.docx", "A 51875-2020")</f>
        <v/>
      </c>
    </row>
    <row r="63" ht="15" customHeight="1">
      <c r="A63" t="inlineStr">
        <is>
          <t>A 36594-2021</t>
        </is>
      </c>
      <c r="B63" s="1" t="n">
        <v>44391</v>
      </c>
      <c r="C63" s="1" t="n">
        <v>45294</v>
      </c>
      <c r="D63" t="inlineStr">
        <is>
          <t>NORRBOTTENS LÄN</t>
        </is>
      </c>
      <c r="E63" t="inlineStr">
        <is>
          <t>JOKKMOKK</t>
        </is>
      </c>
      <c r="F63" t="inlineStr">
        <is>
          <t>Sveaskog</t>
        </is>
      </c>
      <c r="G63" t="n">
        <v>5.8</v>
      </c>
      <c r="H63" t="n">
        <v>1</v>
      </c>
      <c r="I63" t="n">
        <v>0</v>
      </c>
      <c r="J63" t="n">
        <v>0</v>
      </c>
      <c r="K63" t="n">
        <v>1</v>
      </c>
      <c r="L63" t="n">
        <v>0</v>
      </c>
      <c r="M63" t="n">
        <v>0</v>
      </c>
      <c r="N63" t="n">
        <v>0</v>
      </c>
      <c r="O63" t="n">
        <v>1</v>
      </c>
      <c r="P63" t="n">
        <v>1</v>
      </c>
      <c r="Q63" t="n">
        <v>1</v>
      </c>
      <c r="R63" s="2" t="inlineStr">
        <is>
          <t>Doftticka</t>
        </is>
      </c>
      <c r="S63">
        <f>HYPERLINK("https://klasma.github.io/Logging_2510/artfynd/A 36594-2021 artfynd.xlsx", "A 36594-2021")</f>
        <v/>
      </c>
      <c r="T63">
        <f>HYPERLINK("https://klasma.github.io/Logging_2510/kartor/A 36594-2021 karta.png", "A 36594-2021")</f>
        <v/>
      </c>
      <c r="V63">
        <f>HYPERLINK("https://klasma.github.io/Logging_2510/klagomål/A 36594-2021 FSC-klagomål.docx", "A 36594-2021")</f>
        <v/>
      </c>
      <c r="W63">
        <f>HYPERLINK("https://klasma.github.io/Logging_2510/klagomålsmail/A 36594-2021 FSC-klagomål mail.docx", "A 36594-2021")</f>
        <v/>
      </c>
      <c r="X63">
        <f>HYPERLINK("https://klasma.github.io/Logging_2510/tillsyn/A 36594-2021 tillsynsbegäran.docx", "A 36594-2021")</f>
        <v/>
      </c>
      <c r="Y63">
        <f>HYPERLINK("https://klasma.github.io/Logging_2510/tillsynsmail/A 36594-2021 tillsynsbegäran mail.docx", "A 36594-2021")</f>
        <v/>
      </c>
    </row>
    <row r="64" ht="15" customHeight="1">
      <c r="A64" t="inlineStr">
        <is>
          <t>A 72480-2021</t>
        </is>
      </c>
      <c r="B64" s="1" t="n">
        <v>44545</v>
      </c>
      <c r="C64" s="1" t="n">
        <v>45294</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47505-2022</t>
        </is>
      </c>
      <c r="B65" s="1" t="n">
        <v>44853</v>
      </c>
      <c r="C65" s="1" t="n">
        <v>45294</v>
      </c>
      <c r="D65" t="inlineStr">
        <is>
          <t>NORRBOTTENS LÄN</t>
        </is>
      </c>
      <c r="E65" t="inlineStr">
        <is>
          <t>JOKKMOKK</t>
        </is>
      </c>
      <c r="F65" t="inlineStr">
        <is>
          <t>Sveaskog</t>
        </is>
      </c>
      <c r="G65" t="n">
        <v>2.7</v>
      </c>
      <c r="H65" t="n">
        <v>1</v>
      </c>
      <c r="I65" t="n">
        <v>0</v>
      </c>
      <c r="J65" t="n">
        <v>0</v>
      </c>
      <c r="K65" t="n">
        <v>0</v>
      </c>
      <c r="L65" t="n">
        <v>0</v>
      </c>
      <c r="M65" t="n">
        <v>0</v>
      </c>
      <c r="N65" t="n">
        <v>0</v>
      </c>
      <c r="O65" t="n">
        <v>0</v>
      </c>
      <c r="P65" t="n">
        <v>0</v>
      </c>
      <c r="Q65" t="n">
        <v>1</v>
      </c>
      <c r="R65" s="2" t="inlineStr">
        <is>
          <t>Lavskrika</t>
        </is>
      </c>
      <c r="S65">
        <f>HYPERLINK("https://klasma.github.io/Logging_2510/artfynd/A 47505-2022 artfynd.xlsx", "A 47505-2022")</f>
        <v/>
      </c>
      <c r="T65">
        <f>HYPERLINK("https://klasma.github.io/Logging_2510/kartor/A 47505-2022 karta.png", "A 47505-2022")</f>
        <v/>
      </c>
      <c r="V65">
        <f>HYPERLINK("https://klasma.github.io/Logging_2510/klagomål/A 47505-2022 FSC-klagomål.docx", "A 47505-2022")</f>
        <v/>
      </c>
      <c r="W65">
        <f>HYPERLINK("https://klasma.github.io/Logging_2510/klagomålsmail/A 47505-2022 FSC-klagomål mail.docx", "A 47505-2022")</f>
        <v/>
      </c>
      <c r="X65">
        <f>HYPERLINK("https://klasma.github.io/Logging_2510/tillsyn/A 47505-2022 tillsynsbegäran.docx", "A 47505-2022")</f>
        <v/>
      </c>
      <c r="Y65">
        <f>HYPERLINK("https://klasma.github.io/Logging_2510/tillsynsmail/A 47505-2022 tillsynsbegäran mail.docx", "A 47505-2022")</f>
        <v/>
      </c>
    </row>
    <row r="66" ht="15" customHeight="1">
      <c r="A66" t="inlineStr">
        <is>
          <t>A 5824-2023</t>
        </is>
      </c>
      <c r="B66" s="1" t="n">
        <v>44958</v>
      </c>
      <c r="C66" s="1" t="n">
        <v>45294</v>
      </c>
      <c r="D66" t="inlineStr">
        <is>
          <t>NORRBOTTENS LÄN</t>
        </is>
      </c>
      <c r="E66" t="inlineStr">
        <is>
          <t>JOKKMOKK</t>
        </is>
      </c>
      <c r="G66" t="n">
        <v>6.7</v>
      </c>
      <c r="H66" t="n">
        <v>0</v>
      </c>
      <c r="I66" t="n">
        <v>0</v>
      </c>
      <c r="J66" t="n">
        <v>1</v>
      </c>
      <c r="K66" t="n">
        <v>0</v>
      </c>
      <c r="L66" t="n">
        <v>0</v>
      </c>
      <c r="M66" t="n">
        <v>0</v>
      </c>
      <c r="N66" t="n">
        <v>0</v>
      </c>
      <c r="O66" t="n">
        <v>1</v>
      </c>
      <c r="P66" t="n">
        <v>0</v>
      </c>
      <c r="Q66" t="n">
        <v>1</v>
      </c>
      <c r="R66" s="2" t="inlineStr">
        <is>
          <t>Granticka</t>
        </is>
      </c>
      <c r="S66">
        <f>HYPERLINK("https://klasma.github.io/Logging_2510/artfynd/A 5824-2023 artfynd.xlsx", "A 5824-2023")</f>
        <v/>
      </c>
      <c r="T66">
        <f>HYPERLINK("https://klasma.github.io/Logging_2510/kartor/A 5824-2023 karta.png", "A 5824-2023")</f>
        <v/>
      </c>
      <c r="V66">
        <f>HYPERLINK("https://klasma.github.io/Logging_2510/klagomål/A 5824-2023 FSC-klagomål.docx", "A 5824-2023")</f>
        <v/>
      </c>
      <c r="W66">
        <f>HYPERLINK("https://klasma.github.io/Logging_2510/klagomålsmail/A 5824-2023 FSC-klagomål mail.docx", "A 5824-2023")</f>
        <v/>
      </c>
      <c r="X66">
        <f>HYPERLINK("https://klasma.github.io/Logging_2510/tillsyn/A 5824-2023 tillsynsbegäran.docx", "A 5824-2023")</f>
        <v/>
      </c>
      <c r="Y66">
        <f>HYPERLINK("https://klasma.github.io/Logging_2510/tillsynsmail/A 5824-2023 tillsynsbegäran mail.docx", "A 5824-2023")</f>
        <v/>
      </c>
    </row>
    <row r="67" ht="15" customHeight="1">
      <c r="A67" t="inlineStr">
        <is>
          <t>A 23026-2023</t>
        </is>
      </c>
      <c r="B67" s="1" t="n">
        <v>45073</v>
      </c>
      <c r="C67" s="1" t="n">
        <v>45294</v>
      </c>
      <c r="D67" t="inlineStr">
        <is>
          <t>NORRBOTTENS LÄN</t>
        </is>
      </c>
      <c r="E67" t="inlineStr">
        <is>
          <t>JOKKMOKK</t>
        </is>
      </c>
      <c r="F67" t="inlineStr">
        <is>
          <t>SCA</t>
        </is>
      </c>
      <c r="G67" t="n">
        <v>3.1</v>
      </c>
      <c r="H67" t="n">
        <v>0</v>
      </c>
      <c r="I67" t="n">
        <v>1</v>
      </c>
      <c r="J67" t="n">
        <v>0</v>
      </c>
      <c r="K67" t="n">
        <v>0</v>
      </c>
      <c r="L67" t="n">
        <v>0</v>
      </c>
      <c r="M67" t="n">
        <v>0</v>
      </c>
      <c r="N67" t="n">
        <v>0</v>
      </c>
      <c r="O67" t="n">
        <v>0</v>
      </c>
      <c r="P67" t="n">
        <v>0</v>
      </c>
      <c r="Q67" t="n">
        <v>1</v>
      </c>
      <c r="R67" s="2" t="inlineStr">
        <is>
          <t>Bollvitmossa</t>
        </is>
      </c>
      <c r="S67">
        <f>HYPERLINK("https://klasma.github.io/Logging_2510/artfynd/A 23026-2023 artfynd.xlsx", "A 23026-2023")</f>
        <v/>
      </c>
      <c r="T67">
        <f>HYPERLINK("https://klasma.github.io/Logging_2510/kartor/A 23026-2023 karta.png", "A 23026-2023")</f>
        <v/>
      </c>
      <c r="V67">
        <f>HYPERLINK("https://klasma.github.io/Logging_2510/klagomål/A 23026-2023 FSC-klagomål.docx", "A 23026-2023")</f>
        <v/>
      </c>
      <c r="W67">
        <f>HYPERLINK("https://klasma.github.io/Logging_2510/klagomålsmail/A 23026-2023 FSC-klagomål mail.docx", "A 23026-2023")</f>
        <v/>
      </c>
      <c r="X67">
        <f>HYPERLINK("https://klasma.github.io/Logging_2510/tillsyn/A 23026-2023 tillsynsbegäran.docx", "A 23026-2023")</f>
        <v/>
      </c>
      <c r="Y67">
        <f>HYPERLINK("https://klasma.github.io/Logging_2510/tillsynsmail/A 23026-2023 tillsynsbegäran mail.docx", "A 23026-2023")</f>
        <v/>
      </c>
    </row>
    <row r="68" ht="15" customHeight="1">
      <c r="A68" t="inlineStr">
        <is>
          <t>A 31490-2023</t>
        </is>
      </c>
      <c r="B68" s="1" t="n">
        <v>45114</v>
      </c>
      <c r="C68" s="1" t="n">
        <v>45294</v>
      </c>
      <c r="D68" t="inlineStr">
        <is>
          <t>NORRBOTTENS LÄN</t>
        </is>
      </c>
      <c r="E68" t="inlineStr">
        <is>
          <t>JOKKMOKK</t>
        </is>
      </c>
      <c r="F68" t="inlineStr">
        <is>
          <t>Allmännings- och besparingsskogar</t>
        </is>
      </c>
      <c r="G68" t="n">
        <v>7.7</v>
      </c>
      <c r="H68" t="n">
        <v>0</v>
      </c>
      <c r="I68" t="n">
        <v>1</v>
      </c>
      <c r="J68" t="n">
        <v>0</v>
      </c>
      <c r="K68" t="n">
        <v>0</v>
      </c>
      <c r="L68" t="n">
        <v>0</v>
      </c>
      <c r="M68" t="n">
        <v>0</v>
      </c>
      <c r="N68" t="n">
        <v>0</v>
      </c>
      <c r="O68" t="n">
        <v>0</v>
      </c>
      <c r="P68" t="n">
        <v>0</v>
      </c>
      <c r="Q68" t="n">
        <v>1</v>
      </c>
      <c r="R68" s="2" t="inlineStr">
        <is>
          <t>Norrlandslav</t>
        </is>
      </c>
      <c r="S68">
        <f>HYPERLINK("https://klasma.github.io/Logging_2510/artfynd/A 31490-2023 artfynd.xlsx", "A 31490-2023")</f>
        <v/>
      </c>
      <c r="T68">
        <f>HYPERLINK("https://klasma.github.io/Logging_2510/kartor/A 31490-2023 karta.png", "A 31490-2023")</f>
        <v/>
      </c>
      <c r="V68">
        <f>HYPERLINK("https://klasma.github.io/Logging_2510/klagomål/A 31490-2023 FSC-klagomål.docx", "A 31490-2023")</f>
        <v/>
      </c>
      <c r="W68">
        <f>HYPERLINK("https://klasma.github.io/Logging_2510/klagomålsmail/A 31490-2023 FSC-klagomål mail.docx", "A 31490-2023")</f>
        <v/>
      </c>
      <c r="X68">
        <f>HYPERLINK("https://klasma.github.io/Logging_2510/tillsyn/A 31490-2023 tillsynsbegäran.docx", "A 31490-2023")</f>
        <v/>
      </c>
      <c r="Y68">
        <f>HYPERLINK("https://klasma.github.io/Logging_2510/tillsynsmail/A 31490-2023 tillsynsbegäran mail.docx", "A 31490-2023")</f>
        <v/>
      </c>
    </row>
    <row r="69" ht="15" customHeight="1">
      <c r="A69" t="inlineStr">
        <is>
          <t>A 51580-2023</t>
        </is>
      </c>
      <c r="B69" s="1" t="n">
        <v>45222</v>
      </c>
      <c r="C69" s="1" t="n">
        <v>45294</v>
      </c>
      <c r="D69" t="inlineStr">
        <is>
          <t>NORRBOTTENS LÄN</t>
        </is>
      </c>
      <c r="E69" t="inlineStr">
        <is>
          <t>JOKKMOKK</t>
        </is>
      </c>
      <c r="G69" t="n">
        <v>11.1</v>
      </c>
      <c r="H69" t="n">
        <v>1</v>
      </c>
      <c r="I69" t="n">
        <v>0</v>
      </c>
      <c r="J69" t="n">
        <v>0</v>
      </c>
      <c r="K69" t="n">
        <v>1</v>
      </c>
      <c r="L69" t="n">
        <v>0</v>
      </c>
      <c r="M69" t="n">
        <v>0</v>
      </c>
      <c r="N69" t="n">
        <v>0</v>
      </c>
      <c r="O69" t="n">
        <v>1</v>
      </c>
      <c r="P69" t="n">
        <v>1</v>
      </c>
      <c r="Q69" t="n">
        <v>1</v>
      </c>
      <c r="R69" s="2" t="inlineStr">
        <is>
          <t>Norna</t>
        </is>
      </c>
      <c r="S69">
        <f>HYPERLINK("https://klasma.github.io/Logging_2510/artfynd/A 51580-2023 artfynd.xlsx", "A 51580-2023")</f>
        <v/>
      </c>
      <c r="T69">
        <f>HYPERLINK("https://klasma.github.io/Logging_2510/kartor/A 51580-2023 karta.png", "A 51580-2023")</f>
        <v/>
      </c>
      <c r="V69">
        <f>HYPERLINK("https://klasma.github.io/Logging_2510/klagomål/A 51580-2023 FSC-klagomål.docx", "A 51580-2023")</f>
        <v/>
      </c>
      <c r="W69">
        <f>HYPERLINK("https://klasma.github.io/Logging_2510/klagomålsmail/A 51580-2023 FSC-klagomål mail.docx", "A 51580-2023")</f>
        <v/>
      </c>
      <c r="X69">
        <f>HYPERLINK("https://klasma.github.io/Logging_2510/tillsyn/A 51580-2023 tillsynsbegäran.docx", "A 51580-2023")</f>
        <v/>
      </c>
      <c r="Y69">
        <f>HYPERLINK("https://klasma.github.io/Logging_2510/tillsynsmail/A 51580-2023 tillsynsbegäran mail.docx", "A 51580-2023")</f>
        <v/>
      </c>
    </row>
    <row r="70" ht="15" customHeight="1">
      <c r="A70" t="inlineStr">
        <is>
          <t>A 53217-2023</t>
        </is>
      </c>
      <c r="B70" s="1" t="n">
        <v>45222</v>
      </c>
      <c r="C70" s="1" t="n">
        <v>45294</v>
      </c>
      <c r="D70" t="inlineStr">
        <is>
          <t>NORRBOTTENS LÄN</t>
        </is>
      </c>
      <c r="E70" t="inlineStr">
        <is>
          <t>JOKKMOKK</t>
        </is>
      </c>
      <c r="F70" t="inlineStr">
        <is>
          <t>Övriga statliga verk och myndigheter</t>
        </is>
      </c>
      <c r="G70" t="n">
        <v>7.6</v>
      </c>
      <c r="H70" t="n">
        <v>0</v>
      </c>
      <c r="I70" t="n">
        <v>0</v>
      </c>
      <c r="J70" t="n">
        <v>1</v>
      </c>
      <c r="K70" t="n">
        <v>0</v>
      </c>
      <c r="L70" t="n">
        <v>0</v>
      </c>
      <c r="M70" t="n">
        <v>0</v>
      </c>
      <c r="N70" t="n">
        <v>0</v>
      </c>
      <c r="O70" t="n">
        <v>1</v>
      </c>
      <c r="P70" t="n">
        <v>0</v>
      </c>
      <c r="Q70" t="n">
        <v>1</v>
      </c>
      <c r="R70" s="2" t="inlineStr">
        <is>
          <t>Knottrig blåslav</t>
        </is>
      </c>
      <c r="S70">
        <f>HYPERLINK("https://klasma.github.io/Logging_2510/artfynd/A 53217-2023 artfynd.xlsx", "A 53217-2023")</f>
        <v/>
      </c>
      <c r="T70">
        <f>HYPERLINK("https://klasma.github.io/Logging_2510/kartor/A 53217-2023 karta.png", "A 53217-2023")</f>
        <v/>
      </c>
      <c r="V70">
        <f>HYPERLINK("https://klasma.github.io/Logging_2510/klagomål/A 53217-2023 FSC-klagomål.docx", "A 53217-2023")</f>
        <v/>
      </c>
      <c r="W70">
        <f>HYPERLINK("https://klasma.github.io/Logging_2510/klagomålsmail/A 53217-2023 FSC-klagomål mail.docx", "A 53217-2023")</f>
        <v/>
      </c>
      <c r="X70">
        <f>HYPERLINK("https://klasma.github.io/Logging_2510/tillsyn/A 53217-2023 tillsynsbegäran.docx", "A 53217-2023")</f>
        <v/>
      </c>
      <c r="Y70">
        <f>HYPERLINK("https://klasma.github.io/Logging_2510/tillsynsmail/A 53217-2023 tillsynsbegäran mail.docx", "A 53217-2023")</f>
        <v/>
      </c>
    </row>
    <row r="71" ht="15" customHeight="1">
      <c r="A71" t="inlineStr">
        <is>
          <t>A 52537-2023</t>
        </is>
      </c>
      <c r="B71" s="1" t="n">
        <v>45225</v>
      </c>
      <c r="C71" s="1" t="n">
        <v>45294</v>
      </c>
      <c r="D71" t="inlineStr">
        <is>
          <t>NORRBOTTENS LÄN</t>
        </is>
      </c>
      <c r="E71" t="inlineStr">
        <is>
          <t>JOKKMOKK</t>
        </is>
      </c>
      <c r="F71" t="inlineStr">
        <is>
          <t>Övriga statliga verk och myndigheter</t>
        </is>
      </c>
      <c r="G71" t="n">
        <v>15.3</v>
      </c>
      <c r="H71" t="n">
        <v>0</v>
      </c>
      <c r="I71" t="n">
        <v>0</v>
      </c>
      <c r="J71" t="n">
        <v>1</v>
      </c>
      <c r="K71" t="n">
        <v>0</v>
      </c>
      <c r="L71" t="n">
        <v>0</v>
      </c>
      <c r="M71" t="n">
        <v>0</v>
      </c>
      <c r="N71" t="n">
        <v>0</v>
      </c>
      <c r="O71" t="n">
        <v>1</v>
      </c>
      <c r="P71" t="n">
        <v>0</v>
      </c>
      <c r="Q71" t="n">
        <v>1</v>
      </c>
      <c r="R71" s="2" t="inlineStr">
        <is>
          <t>Reliktbock</t>
        </is>
      </c>
      <c r="S71">
        <f>HYPERLINK("https://klasma.github.io/Logging_2510/artfynd/A 52537-2023 artfynd.xlsx", "A 52537-2023")</f>
        <v/>
      </c>
      <c r="T71">
        <f>HYPERLINK("https://klasma.github.io/Logging_2510/kartor/A 52537-2023 karta.png", "A 52537-2023")</f>
        <v/>
      </c>
      <c r="V71">
        <f>HYPERLINK("https://klasma.github.io/Logging_2510/klagomål/A 52537-2023 FSC-klagomål.docx", "A 52537-2023")</f>
        <v/>
      </c>
      <c r="W71">
        <f>HYPERLINK("https://klasma.github.io/Logging_2510/klagomålsmail/A 52537-2023 FSC-klagomål mail.docx", "A 52537-2023")</f>
        <v/>
      </c>
      <c r="X71">
        <f>HYPERLINK("https://klasma.github.io/Logging_2510/tillsyn/A 52537-2023 tillsynsbegäran.docx", "A 52537-2023")</f>
        <v/>
      </c>
      <c r="Y71">
        <f>HYPERLINK("https://klasma.github.io/Logging_2510/tillsynsmail/A 52537-2023 tillsynsbegäran mail.docx", "A 52537-2023")</f>
        <v/>
      </c>
    </row>
    <row r="72" ht="15" customHeight="1">
      <c r="A72" t="inlineStr">
        <is>
          <t>A 58068-2023</t>
        </is>
      </c>
      <c r="B72" s="1" t="n">
        <v>45247</v>
      </c>
      <c r="C72" s="1" t="n">
        <v>45294</v>
      </c>
      <c r="D72" t="inlineStr">
        <is>
          <t>NORRBOTTENS LÄN</t>
        </is>
      </c>
      <c r="E72" t="inlineStr">
        <is>
          <t>JOKKMOKK</t>
        </is>
      </c>
      <c r="G72" t="n">
        <v>3.1</v>
      </c>
      <c r="H72" t="n">
        <v>0</v>
      </c>
      <c r="I72" t="n">
        <v>1</v>
      </c>
      <c r="J72" t="n">
        <v>0</v>
      </c>
      <c r="K72" t="n">
        <v>0</v>
      </c>
      <c r="L72" t="n">
        <v>0</v>
      </c>
      <c r="M72" t="n">
        <v>0</v>
      </c>
      <c r="N72" t="n">
        <v>0</v>
      </c>
      <c r="O72" t="n">
        <v>0</v>
      </c>
      <c r="P72" t="n">
        <v>0</v>
      </c>
      <c r="Q72" t="n">
        <v>1</v>
      </c>
      <c r="R72" s="2" t="inlineStr">
        <is>
          <t>Källmossa</t>
        </is>
      </c>
      <c r="S72">
        <f>HYPERLINK("https://klasma.github.io/Logging_2510/artfynd/A 58068-2023 artfynd.xlsx", "A 58068-2023")</f>
        <v/>
      </c>
      <c r="T72">
        <f>HYPERLINK("https://klasma.github.io/Logging_2510/kartor/A 58068-2023 karta.png", "A 58068-2023")</f>
        <v/>
      </c>
      <c r="V72">
        <f>HYPERLINK("https://klasma.github.io/Logging_2510/klagomål/A 58068-2023 FSC-klagomål.docx", "A 58068-2023")</f>
        <v/>
      </c>
      <c r="W72">
        <f>HYPERLINK("https://klasma.github.io/Logging_2510/klagomålsmail/A 58068-2023 FSC-klagomål mail.docx", "A 58068-2023")</f>
        <v/>
      </c>
      <c r="X72">
        <f>HYPERLINK("https://klasma.github.io/Logging_2510/tillsyn/A 58068-2023 tillsynsbegäran.docx", "A 58068-2023")</f>
        <v/>
      </c>
      <c r="Y72">
        <f>HYPERLINK("https://klasma.github.io/Logging_2510/tillsynsmail/A 58068-2023 tillsynsbegäran mail.docx", "A 58068-2023")</f>
        <v/>
      </c>
    </row>
    <row r="73" ht="15" customHeight="1">
      <c r="A73" t="inlineStr">
        <is>
          <t>A 36239-2018</t>
        </is>
      </c>
      <c r="B73" s="1" t="n">
        <v>43327</v>
      </c>
      <c r="C73" s="1" t="n">
        <v>45294</v>
      </c>
      <c r="D73" t="inlineStr">
        <is>
          <t>NORRBOTTENS LÄN</t>
        </is>
      </c>
      <c r="E73" t="inlineStr">
        <is>
          <t>JOKKMOKK</t>
        </is>
      </c>
      <c r="F73" t="inlineStr">
        <is>
          <t>Övriga statliga verk och myndigheter</t>
        </is>
      </c>
      <c r="G73" t="n">
        <v>40.1</v>
      </c>
      <c r="H73" t="n">
        <v>0</v>
      </c>
      <c r="I73" t="n">
        <v>0</v>
      </c>
      <c r="J73" t="n">
        <v>0</v>
      </c>
      <c r="K73" t="n">
        <v>0</v>
      </c>
      <c r="L73" t="n">
        <v>0</v>
      </c>
      <c r="M73" t="n">
        <v>0</v>
      </c>
      <c r="N73" t="n">
        <v>0</v>
      </c>
      <c r="O73" t="n">
        <v>0</v>
      </c>
      <c r="P73" t="n">
        <v>0</v>
      </c>
      <c r="Q73" t="n">
        <v>0</v>
      </c>
      <c r="R73" s="2" t="inlineStr"/>
    </row>
    <row r="74" ht="15" customHeight="1">
      <c r="A74" t="inlineStr">
        <is>
          <t>A 36375-2018</t>
        </is>
      </c>
      <c r="B74" s="1" t="n">
        <v>43328</v>
      </c>
      <c r="C74" s="1" t="n">
        <v>45294</v>
      </c>
      <c r="D74" t="inlineStr">
        <is>
          <t>NORRBOTTENS LÄN</t>
        </is>
      </c>
      <c r="E74" t="inlineStr">
        <is>
          <t>JOKKMOKK</t>
        </is>
      </c>
      <c r="G74" t="n">
        <v>6.2</v>
      </c>
      <c r="H74" t="n">
        <v>0</v>
      </c>
      <c r="I74" t="n">
        <v>0</v>
      </c>
      <c r="J74" t="n">
        <v>0</v>
      </c>
      <c r="K74" t="n">
        <v>0</v>
      </c>
      <c r="L74" t="n">
        <v>0</v>
      </c>
      <c r="M74" t="n">
        <v>0</v>
      </c>
      <c r="N74" t="n">
        <v>0</v>
      </c>
      <c r="O74" t="n">
        <v>0</v>
      </c>
      <c r="P74" t="n">
        <v>0</v>
      </c>
      <c r="Q74" t="n">
        <v>0</v>
      </c>
      <c r="R74" s="2" t="inlineStr"/>
    </row>
    <row r="75" ht="15" customHeight="1">
      <c r="A75" t="inlineStr">
        <is>
          <t>A 36373-2018</t>
        </is>
      </c>
      <c r="B75" s="1" t="n">
        <v>43328</v>
      </c>
      <c r="C75" s="1" t="n">
        <v>45294</v>
      </c>
      <c r="D75" t="inlineStr">
        <is>
          <t>NORRBOTTENS LÄN</t>
        </is>
      </c>
      <c r="E75" t="inlineStr">
        <is>
          <t>JOKKMOKK</t>
        </is>
      </c>
      <c r="G75" t="n">
        <v>4.6</v>
      </c>
      <c r="H75" t="n">
        <v>0</v>
      </c>
      <c r="I75" t="n">
        <v>0</v>
      </c>
      <c r="J75" t="n">
        <v>0</v>
      </c>
      <c r="K75" t="n">
        <v>0</v>
      </c>
      <c r="L75" t="n">
        <v>0</v>
      </c>
      <c r="M75" t="n">
        <v>0</v>
      </c>
      <c r="N75" t="n">
        <v>0</v>
      </c>
      <c r="O75" t="n">
        <v>0</v>
      </c>
      <c r="P75" t="n">
        <v>0</v>
      </c>
      <c r="Q75" t="n">
        <v>0</v>
      </c>
      <c r="R75" s="2" t="inlineStr"/>
    </row>
    <row r="76" ht="15" customHeight="1">
      <c r="A76" t="inlineStr">
        <is>
          <t>A 36378-2018</t>
        </is>
      </c>
      <c r="B76" s="1" t="n">
        <v>43328</v>
      </c>
      <c r="C76" s="1" t="n">
        <v>45294</v>
      </c>
      <c r="D76" t="inlineStr">
        <is>
          <t>NORRBOTTENS LÄN</t>
        </is>
      </c>
      <c r="E76" t="inlineStr">
        <is>
          <t>JOKKMOKK</t>
        </is>
      </c>
      <c r="G76" t="n">
        <v>7.3</v>
      </c>
      <c r="H76" t="n">
        <v>0</v>
      </c>
      <c r="I76" t="n">
        <v>0</v>
      </c>
      <c r="J76" t="n">
        <v>0</v>
      </c>
      <c r="K76" t="n">
        <v>0</v>
      </c>
      <c r="L76" t="n">
        <v>0</v>
      </c>
      <c r="M76" t="n">
        <v>0</v>
      </c>
      <c r="N76" t="n">
        <v>0</v>
      </c>
      <c r="O76" t="n">
        <v>0</v>
      </c>
      <c r="P76" t="n">
        <v>0</v>
      </c>
      <c r="Q76" t="n">
        <v>0</v>
      </c>
      <c r="R76" s="2" t="inlineStr"/>
    </row>
    <row r="77" ht="15" customHeight="1">
      <c r="A77" t="inlineStr">
        <is>
          <t>A 36690-2018</t>
        </is>
      </c>
      <c r="B77" s="1" t="n">
        <v>43329</v>
      </c>
      <c r="C77" s="1" t="n">
        <v>45294</v>
      </c>
      <c r="D77" t="inlineStr">
        <is>
          <t>NORRBOTTENS LÄN</t>
        </is>
      </c>
      <c r="E77" t="inlineStr">
        <is>
          <t>JOKKMOKK</t>
        </is>
      </c>
      <c r="G77" t="n">
        <v>2.5</v>
      </c>
      <c r="H77" t="n">
        <v>0</v>
      </c>
      <c r="I77" t="n">
        <v>0</v>
      </c>
      <c r="J77" t="n">
        <v>0</v>
      </c>
      <c r="K77" t="n">
        <v>0</v>
      </c>
      <c r="L77" t="n">
        <v>0</v>
      </c>
      <c r="M77" t="n">
        <v>0</v>
      </c>
      <c r="N77" t="n">
        <v>0</v>
      </c>
      <c r="O77" t="n">
        <v>0</v>
      </c>
      <c r="P77" t="n">
        <v>0</v>
      </c>
      <c r="Q77" t="n">
        <v>0</v>
      </c>
      <c r="R77" s="2" t="inlineStr"/>
    </row>
    <row r="78" ht="15" customHeight="1">
      <c r="A78" t="inlineStr">
        <is>
          <t>A 36721-2018</t>
        </is>
      </c>
      <c r="B78" s="1" t="n">
        <v>43332</v>
      </c>
      <c r="C78" s="1" t="n">
        <v>45294</v>
      </c>
      <c r="D78" t="inlineStr">
        <is>
          <t>NORRBOTTENS LÄN</t>
        </is>
      </c>
      <c r="E78" t="inlineStr">
        <is>
          <t>JOKKMOKK</t>
        </is>
      </c>
      <c r="G78" t="n">
        <v>7.6</v>
      </c>
      <c r="H78" t="n">
        <v>0</v>
      </c>
      <c r="I78" t="n">
        <v>0</v>
      </c>
      <c r="J78" t="n">
        <v>0</v>
      </c>
      <c r="K78" t="n">
        <v>0</v>
      </c>
      <c r="L78" t="n">
        <v>0</v>
      </c>
      <c r="M78" t="n">
        <v>0</v>
      </c>
      <c r="N78" t="n">
        <v>0</v>
      </c>
      <c r="O78" t="n">
        <v>0</v>
      </c>
      <c r="P78" t="n">
        <v>0</v>
      </c>
      <c r="Q78" t="n">
        <v>0</v>
      </c>
      <c r="R78" s="2" t="inlineStr"/>
    </row>
    <row r="79" ht="15" customHeight="1">
      <c r="A79" t="inlineStr">
        <is>
          <t>A 37158-2018</t>
        </is>
      </c>
      <c r="B79" s="1" t="n">
        <v>43332</v>
      </c>
      <c r="C79" s="1" t="n">
        <v>45294</v>
      </c>
      <c r="D79" t="inlineStr">
        <is>
          <t>NORRBOTTENS LÄN</t>
        </is>
      </c>
      <c r="E79" t="inlineStr">
        <is>
          <t>JOKKMOKK</t>
        </is>
      </c>
      <c r="F79" t="inlineStr">
        <is>
          <t>Övriga statliga verk och myndigheter</t>
        </is>
      </c>
      <c r="G79" t="n">
        <v>25.6</v>
      </c>
      <c r="H79" t="n">
        <v>0</v>
      </c>
      <c r="I79" t="n">
        <v>0</v>
      </c>
      <c r="J79" t="n">
        <v>0</v>
      </c>
      <c r="K79" t="n">
        <v>0</v>
      </c>
      <c r="L79" t="n">
        <v>0</v>
      </c>
      <c r="M79" t="n">
        <v>0</v>
      </c>
      <c r="N79" t="n">
        <v>0</v>
      </c>
      <c r="O79" t="n">
        <v>0</v>
      </c>
      <c r="P79" t="n">
        <v>0</v>
      </c>
      <c r="Q79" t="n">
        <v>0</v>
      </c>
      <c r="R79" s="2" t="inlineStr"/>
    </row>
    <row r="80" ht="15" customHeight="1">
      <c r="A80" t="inlineStr">
        <is>
          <t>A 38440-2018</t>
        </is>
      </c>
      <c r="B80" s="1" t="n">
        <v>43335</v>
      </c>
      <c r="C80" s="1" t="n">
        <v>45294</v>
      </c>
      <c r="D80" t="inlineStr">
        <is>
          <t>NORRBOTTENS LÄN</t>
        </is>
      </c>
      <c r="E80" t="inlineStr">
        <is>
          <t>JOKKMOKK</t>
        </is>
      </c>
      <c r="G80" t="n">
        <v>23</v>
      </c>
      <c r="H80" t="n">
        <v>0</v>
      </c>
      <c r="I80" t="n">
        <v>0</v>
      </c>
      <c r="J80" t="n">
        <v>0</v>
      </c>
      <c r="K80" t="n">
        <v>0</v>
      </c>
      <c r="L80" t="n">
        <v>0</v>
      </c>
      <c r="M80" t="n">
        <v>0</v>
      </c>
      <c r="N80" t="n">
        <v>0</v>
      </c>
      <c r="O80" t="n">
        <v>0</v>
      </c>
      <c r="P80" t="n">
        <v>0</v>
      </c>
      <c r="Q80" t="n">
        <v>0</v>
      </c>
      <c r="R80" s="2" t="inlineStr"/>
    </row>
    <row r="81" ht="15" customHeight="1">
      <c r="A81" t="inlineStr">
        <is>
          <t>A 41277-2018</t>
        </is>
      </c>
      <c r="B81" s="1" t="n">
        <v>43348</v>
      </c>
      <c r="C81" s="1" t="n">
        <v>45294</v>
      </c>
      <c r="D81" t="inlineStr">
        <is>
          <t>NORRBOTTENS LÄN</t>
        </is>
      </c>
      <c r="E81" t="inlineStr">
        <is>
          <t>JOKKMOKK</t>
        </is>
      </c>
      <c r="F81" t="inlineStr">
        <is>
          <t>SCA</t>
        </is>
      </c>
      <c r="G81" t="n">
        <v>5.4</v>
      </c>
      <c r="H81" t="n">
        <v>0</v>
      </c>
      <c r="I81" t="n">
        <v>0</v>
      </c>
      <c r="J81" t="n">
        <v>0</v>
      </c>
      <c r="K81" t="n">
        <v>0</v>
      </c>
      <c r="L81" t="n">
        <v>0</v>
      </c>
      <c r="M81" t="n">
        <v>0</v>
      </c>
      <c r="N81" t="n">
        <v>0</v>
      </c>
      <c r="O81" t="n">
        <v>0</v>
      </c>
      <c r="P81" t="n">
        <v>0</v>
      </c>
      <c r="Q81" t="n">
        <v>0</v>
      </c>
      <c r="R81" s="2" t="inlineStr"/>
    </row>
    <row r="82" ht="15" customHeight="1">
      <c r="A82" t="inlineStr">
        <is>
          <t>A 45310-2018</t>
        </is>
      </c>
      <c r="B82" s="1" t="n">
        <v>43360</v>
      </c>
      <c r="C82" s="1" t="n">
        <v>45294</v>
      </c>
      <c r="D82" t="inlineStr">
        <is>
          <t>NORRBOTTENS LÄN</t>
        </is>
      </c>
      <c r="E82" t="inlineStr">
        <is>
          <t>JOKKMOKK</t>
        </is>
      </c>
      <c r="G82" t="n">
        <v>8.6</v>
      </c>
      <c r="H82" t="n">
        <v>0</v>
      </c>
      <c r="I82" t="n">
        <v>0</v>
      </c>
      <c r="J82" t="n">
        <v>0</v>
      </c>
      <c r="K82" t="n">
        <v>0</v>
      </c>
      <c r="L82" t="n">
        <v>0</v>
      </c>
      <c r="M82" t="n">
        <v>0</v>
      </c>
      <c r="N82" t="n">
        <v>0</v>
      </c>
      <c r="O82" t="n">
        <v>0</v>
      </c>
      <c r="P82" t="n">
        <v>0</v>
      </c>
      <c r="Q82" t="n">
        <v>0</v>
      </c>
      <c r="R82" s="2" t="inlineStr"/>
    </row>
    <row r="83" ht="15" customHeight="1">
      <c r="A83" t="inlineStr">
        <is>
          <t>A 54157-2018</t>
        </is>
      </c>
      <c r="B83" s="1" t="n">
        <v>43392</v>
      </c>
      <c r="C83" s="1" t="n">
        <v>45294</v>
      </c>
      <c r="D83" t="inlineStr">
        <is>
          <t>NORRBOTTENS LÄN</t>
        </is>
      </c>
      <c r="E83" t="inlineStr">
        <is>
          <t>JOKKMOKK</t>
        </is>
      </c>
      <c r="F83" t="inlineStr">
        <is>
          <t>Sveaskog</t>
        </is>
      </c>
      <c r="G83" t="n">
        <v>7.6</v>
      </c>
      <c r="H83" t="n">
        <v>0</v>
      </c>
      <c r="I83" t="n">
        <v>0</v>
      </c>
      <c r="J83" t="n">
        <v>0</v>
      </c>
      <c r="K83" t="n">
        <v>0</v>
      </c>
      <c r="L83" t="n">
        <v>0</v>
      </c>
      <c r="M83" t="n">
        <v>0</v>
      </c>
      <c r="N83" t="n">
        <v>0</v>
      </c>
      <c r="O83" t="n">
        <v>0</v>
      </c>
      <c r="P83" t="n">
        <v>0</v>
      </c>
      <c r="Q83" t="n">
        <v>0</v>
      </c>
      <c r="R83" s="2" t="inlineStr"/>
    </row>
    <row r="84" ht="15" customHeight="1">
      <c r="A84" t="inlineStr">
        <is>
          <t>A 57630-2018</t>
        </is>
      </c>
      <c r="B84" s="1" t="n">
        <v>43404</v>
      </c>
      <c r="C84" s="1" t="n">
        <v>45294</v>
      </c>
      <c r="D84" t="inlineStr">
        <is>
          <t>NORRBOTTENS LÄN</t>
        </is>
      </c>
      <c r="E84" t="inlineStr">
        <is>
          <t>JOKKMOKK</t>
        </is>
      </c>
      <c r="F84" t="inlineStr">
        <is>
          <t>SCA</t>
        </is>
      </c>
      <c r="G84" t="n">
        <v>115.7</v>
      </c>
      <c r="H84" t="n">
        <v>0</v>
      </c>
      <c r="I84" t="n">
        <v>0</v>
      </c>
      <c r="J84" t="n">
        <v>0</v>
      </c>
      <c r="K84" t="n">
        <v>0</v>
      </c>
      <c r="L84" t="n">
        <v>0</v>
      </c>
      <c r="M84" t="n">
        <v>0</v>
      </c>
      <c r="N84" t="n">
        <v>0</v>
      </c>
      <c r="O84" t="n">
        <v>0</v>
      </c>
      <c r="P84" t="n">
        <v>0</v>
      </c>
      <c r="Q84" t="n">
        <v>0</v>
      </c>
      <c r="R84" s="2" t="inlineStr"/>
    </row>
    <row r="85" ht="15" customHeight="1">
      <c r="A85" t="inlineStr">
        <is>
          <t>A 57631-2018</t>
        </is>
      </c>
      <c r="B85" s="1" t="n">
        <v>43404</v>
      </c>
      <c r="C85" s="1" t="n">
        <v>45294</v>
      </c>
      <c r="D85" t="inlineStr">
        <is>
          <t>NORRBOTTENS LÄN</t>
        </is>
      </c>
      <c r="E85" t="inlineStr">
        <is>
          <t>JOKKMOKK</t>
        </is>
      </c>
      <c r="F85" t="inlineStr">
        <is>
          <t>SCA</t>
        </is>
      </c>
      <c r="G85" t="n">
        <v>6.2</v>
      </c>
      <c r="H85" t="n">
        <v>0</v>
      </c>
      <c r="I85" t="n">
        <v>0</v>
      </c>
      <c r="J85" t="n">
        <v>0</v>
      </c>
      <c r="K85" t="n">
        <v>0</v>
      </c>
      <c r="L85" t="n">
        <v>0</v>
      </c>
      <c r="M85" t="n">
        <v>0</v>
      </c>
      <c r="N85" t="n">
        <v>0</v>
      </c>
      <c r="O85" t="n">
        <v>0</v>
      </c>
      <c r="P85" t="n">
        <v>0</v>
      </c>
      <c r="Q85" t="n">
        <v>0</v>
      </c>
      <c r="R85" s="2" t="inlineStr"/>
    </row>
    <row r="86" ht="15" customHeight="1">
      <c r="A86" t="inlineStr">
        <is>
          <t>A 60324-2018</t>
        </is>
      </c>
      <c r="B86" s="1" t="n">
        <v>43405</v>
      </c>
      <c r="C86" s="1" t="n">
        <v>45294</v>
      </c>
      <c r="D86" t="inlineStr">
        <is>
          <t>NORRBOTTENS LÄN</t>
        </is>
      </c>
      <c r="E86" t="inlineStr">
        <is>
          <t>JOKKMOKK</t>
        </is>
      </c>
      <c r="G86" t="n">
        <v>68.09999999999999</v>
      </c>
      <c r="H86" t="n">
        <v>0</v>
      </c>
      <c r="I86" t="n">
        <v>0</v>
      </c>
      <c r="J86" t="n">
        <v>0</v>
      </c>
      <c r="K86" t="n">
        <v>0</v>
      </c>
      <c r="L86" t="n">
        <v>0</v>
      </c>
      <c r="M86" t="n">
        <v>0</v>
      </c>
      <c r="N86" t="n">
        <v>0</v>
      </c>
      <c r="O86" t="n">
        <v>0</v>
      </c>
      <c r="P86" t="n">
        <v>0</v>
      </c>
      <c r="Q86" t="n">
        <v>0</v>
      </c>
      <c r="R86" s="2" t="inlineStr"/>
    </row>
    <row r="87" ht="15" customHeight="1">
      <c r="A87" t="inlineStr">
        <is>
          <t>A 65132-2018</t>
        </is>
      </c>
      <c r="B87" s="1" t="n">
        <v>43423</v>
      </c>
      <c r="C87" s="1" t="n">
        <v>45294</v>
      </c>
      <c r="D87" t="inlineStr">
        <is>
          <t>NORRBOTTENS LÄN</t>
        </is>
      </c>
      <c r="E87" t="inlineStr">
        <is>
          <t>JOKKMOKK</t>
        </is>
      </c>
      <c r="F87" t="inlineStr">
        <is>
          <t>Övriga Aktiebolag</t>
        </is>
      </c>
      <c r="G87" t="n">
        <v>12</v>
      </c>
      <c r="H87" t="n">
        <v>0</v>
      </c>
      <c r="I87" t="n">
        <v>0</v>
      </c>
      <c r="J87" t="n">
        <v>0</v>
      </c>
      <c r="K87" t="n">
        <v>0</v>
      </c>
      <c r="L87" t="n">
        <v>0</v>
      </c>
      <c r="M87" t="n">
        <v>0</v>
      </c>
      <c r="N87" t="n">
        <v>0</v>
      </c>
      <c r="O87" t="n">
        <v>0</v>
      </c>
      <c r="P87" t="n">
        <v>0</v>
      </c>
      <c r="Q87" t="n">
        <v>0</v>
      </c>
      <c r="R87" s="2" t="inlineStr"/>
    </row>
    <row r="88" ht="15" customHeight="1">
      <c r="A88" t="inlineStr">
        <is>
          <t>A 66076-2018</t>
        </is>
      </c>
      <c r="B88" s="1" t="n">
        <v>43424</v>
      </c>
      <c r="C88" s="1" t="n">
        <v>45294</v>
      </c>
      <c r="D88" t="inlineStr">
        <is>
          <t>NORRBOTTENS LÄN</t>
        </is>
      </c>
      <c r="E88" t="inlineStr">
        <is>
          <t>JOKKMOKK</t>
        </is>
      </c>
      <c r="F88" t="inlineStr">
        <is>
          <t>Övriga Aktiebolag</t>
        </is>
      </c>
      <c r="G88" t="n">
        <v>19.4</v>
      </c>
      <c r="H88" t="n">
        <v>0</v>
      </c>
      <c r="I88" t="n">
        <v>0</v>
      </c>
      <c r="J88" t="n">
        <v>0</v>
      </c>
      <c r="K88" t="n">
        <v>0</v>
      </c>
      <c r="L88" t="n">
        <v>0</v>
      </c>
      <c r="M88" t="n">
        <v>0</v>
      </c>
      <c r="N88" t="n">
        <v>0</v>
      </c>
      <c r="O88" t="n">
        <v>0</v>
      </c>
      <c r="P88" t="n">
        <v>0</v>
      </c>
      <c r="Q88" t="n">
        <v>0</v>
      </c>
      <c r="R88" s="2" t="inlineStr"/>
    </row>
    <row r="89" ht="15" customHeight="1">
      <c r="A89" t="inlineStr">
        <is>
          <t>A 66105-2018</t>
        </is>
      </c>
      <c r="B89" s="1" t="n">
        <v>43425</v>
      </c>
      <c r="C89" s="1" t="n">
        <v>45294</v>
      </c>
      <c r="D89" t="inlineStr">
        <is>
          <t>NORRBOTTENS LÄN</t>
        </is>
      </c>
      <c r="E89" t="inlineStr">
        <is>
          <t>JOKKMOKK</t>
        </is>
      </c>
      <c r="F89" t="inlineStr">
        <is>
          <t>Övriga Aktiebolag</t>
        </is>
      </c>
      <c r="G89" t="n">
        <v>11</v>
      </c>
      <c r="H89" t="n">
        <v>0</v>
      </c>
      <c r="I89" t="n">
        <v>0</v>
      </c>
      <c r="J89" t="n">
        <v>0</v>
      </c>
      <c r="K89" t="n">
        <v>0</v>
      </c>
      <c r="L89" t="n">
        <v>0</v>
      </c>
      <c r="M89" t="n">
        <v>0</v>
      </c>
      <c r="N89" t="n">
        <v>0</v>
      </c>
      <c r="O89" t="n">
        <v>0</v>
      </c>
      <c r="P89" t="n">
        <v>0</v>
      </c>
      <c r="Q89" t="n">
        <v>0</v>
      </c>
      <c r="R89" s="2" t="inlineStr"/>
    </row>
    <row r="90" ht="15" customHeight="1">
      <c r="A90" t="inlineStr">
        <is>
          <t>A 65574-2018</t>
        </is>
      </c>
      <c r="B90" s="1" t="n">
        <v>43425</v>
      </c>
      <c r="C90" s="1" t="n">
        <v>45294</v>
      </c>
      <c r="D90" t="inlineStr">
        <is>
          <t>NORRBOTTENS LÄN</t>
        </is>
      </c>
      <c r="E90" t="inlineStr">
        <is>
          <t>JOKKMOKK</t>
        </is>
      </c>
      <c r="G90" t="n">
        <v>19.2</v>
      </c>
      <c r="H90" t="n">
        <v>0</v>
      </c>
      <c r="I90" t="n">
        <v>0</v>
      </c>
      <c r="J90" t="n">
        <v>0</v>
      </c>
      <c r="K90" t="n">
        <v>0</v>
      </c>
      <c r="L90" t="n">
        <v>0</v>
      </c>
      <c r="M90" t="n">
        <v>0</v>
      </c>
      <c r="N90" t="n">
        <v>0</v>
      </c>
      <c r="O90" t="n">
        <v>0</v>
      </c>
      <c r="P90" t="n">
        <v>0</v>
      </c>
      <c r="Q90" t="n">
        <v>0</v>
      </c>
      <c r="R90" s="2" t="inlineStr"/>
    </row>
    <row r="91" ht="15" customHeight="1">
      <c r="A91" t="inlineStr">
        <is>
          <t>A 66115-2018</t>
        </is>
      </c>
      <c r="B91" s="1" t="n">
        <v>43425</v>
      </c>
      <c r="C91" s="1" t="n">
        <v>45294</v>
      </c>
      <c r="D91" t="inlineStr">
        <is>
          <t>NORRBOTTENS LÄN</t>
        </is>
      </c>
      <c r="E91" t="inlineStr">
        <is>
          <t>JOKKMOKK</t>
        </is>
      </c>
      <c r="F91" t="inlineStr">
        <is>
          <t>Övriga Aktiebolag</t>
        </is>
      </c>
      <c r="G91" t="n">
        <v>5.7</v>
      </c>
      <c r="H91" t="n">
        <v>0</v>
      </c>
      <c r="I91" t="n">
        <v>0</v>
      </c>
      <c r="J91" t="n">
        <v>0</v>
      </c>
      <c r="K91" t="n">
        <v>0</v>
      </c>
      <c r="L91" t="n">
        <v>0</v>
      </c>
      <c r="M91" t="n">
        <v>0</v>
      </c>
      <c r="N91" t="n">
        <v>0</v>
      </c>
      <c r="O91" t="n">
        <v>0</v>
      </c>
      <c r="P91" t="n">
        <v>0</v>
      </c>
      <c r="Q91" t="n">
        <v>0</v>
      </c>
      <c r="R91" s="2" t="inlineStr"/>
    </row>
    <row r="92" ht="15" customHeight="1">
      <c r="A92" t="inlineStr">
        <is>
          <t>A 62265-2018</t>
        </is>
      </c>
      <c r="B92" s="1" t="n">
        <v>43425</v>
      </c>
      <c r="C92" s="1" t="n">
        <v>45294</v>
      </c>
      <c r="D92" t="inlineStr">
        <is>
          <t>NORRBOTTENS LÄN</t>
        </is>
      </c>
      <c r="E92" t="inlineStr">
        <is>
          <t>JOKKMOKK</t>
        </is>
      </c>
      <c r="G92" t="n">
        <v>3.6</v>
      </c>
      <c r="H92" t="n">
        <v>0</v>
      </c>
      <c r="I92" t="n">
        <v>0</v>
      </c>
      <c r="J92" t="n">
        <v>0</v>
      </c>
      <c r="K92" t="n">
        <v>0</v>
      </c>
      <c r="L92" t="n">
        <v>0</v>
      </c>
      <c r="M92" t="n">
        <v>0</v>
      </c>
      <c r="N92" t="n">
        <v>0</v>
      </c>
      <c r="O92" t="n">
        <v>0</v>
      </c>
      <c r="P92" t="n">
        <v>0</v>
      </c>
      <c r="Q92" t="n">
        <v>0</v>
      </c>
      <c r="R92" s="2" t="inlineStr"/>
    </row>
    <row r="93" ht="15" customHeight="1">
      <c r="A93" t="inlineStr">
        <is>
          <t>A 62270-2018</t>
        </is>
      </c>
      <c r="B93" s="1" t="n">
        <v>43425</v>
      </c>
      <c r="C93" s="1" t="n">
        <v>45294</v>
      </c>
      <c r="D93" t="inlineStr">
        <is>
          <t>NORRBOTTENS LÄN</t>
        </is>
      </c>
      <c r="E93" t="inlineStr">
        <is>
          <t>JOKKMOKK</t>
        </is>
      </c>
      <c r="G93" t="n">
        <v>13.7</v>
      </c>
      <c r="H93" t="n">
        <v>0</v>
      </c>
      <c r="I93" t="n">
        <v>0</v>
      </c>
      <c r="J93" t="n">
        <v>0</v>
      </c>
      <c r="K93" t="n">
        <v>0</v>
      </c>
      <c r="L93" t="n">
        <v>0</v>
      </c>
      <c r="M93" t="n">
        <v>0</v>
      </c>
      <c r="N93" t="n">
        <v>0</v>
      </c>
      <c r="O93" t="n">
        <v>0</v>
      </c>
      <c r="P93" t="n">
        <v>0</v>
      </c>
      <c r="Q93" t="n">
        <v>0</v>
      </c>
      <c r="R93" s="2" t="inlineStr"/>
    </row>
    <row r="94" ht="15" customHeight="1">
      <c r="A94" t="inlineStr">
        <is>
          <t>A 67779-2018</t>
        </is>
      </c>
      <c r="B94" s="1" t="n">
        <v>43433</v>
      </c>
      <c r="C94" s="1" t="n">
        <v>45294</v>
      </c>
      <c r="D94" t="inlineStr">
        <is>
          <t>NORRBOTTENS LÄN</t>
        </is>
      </c>
      <c r="E94" t="inlineStr">
        <is>
          <t>JOKKMOKK</t>
        </is>
      </c>
      <c r="F94" t="inlineStr">
        <is>
          <t>Sveaskog</t>
        </is>
      </c>
      <c r="G94" t="n">
        <v>3.7</v>
      </c>
      <c r="H94" t="n">
        <v>0</v>
      </c>
      <c r="I94" t="n">
        <v>0</v>
      </c>
      <c r="J94" t="n">
        <v>0</v>
      </c>
      <c r="K94" t="n">
        <v>0</v>
      </c>
      <c r="L94" t="n">
        <v>0</v>
      </c>
      <c r="M94" t="n">
        <v>0</v>
      </c>
      <c r="N94" t="n">
        <v>0</v>
      </c>
      <c r="O94" t="n">
        <v>0</v>
      </c>
      <c r="P94" t="n">
        <v>0</v>
      </c>
      <c r="Q94" t="n">
        <v>0</v>
      </c>
      <c r="R94" s="2" t="inlineStr"/>
    </row>
    <row r="95" ht="15" customHeight="1">
      <c r="A95" t="inlineStr">
        <is>
          <t>A 71159-2018</t>
        </is>
      </c>
      <c r="B95" s="1" t="n">
        <v>43452</v>
      </c>
      <c r="C95" s="1" t="n">
        <v>45294</v>
      </c>
      <c r="D95" t="inlineStr">
        <is>
          <t>NORRBOTTENS LÄN</t>
        </is>
      </c>
      <c r="E95" t="inlineStr">
        <is>
          <t>JOKKMOKK</t>
        </is>
      </c>
      <c r="G95" t="n">
        <v>1.1</v>
      </c>
      <c r="H95" t="n">
        <v>0</v>
      </c>
      <c r="I95" t="n">
        <v>0</v>
      </c>
      <c r="J95" t="n">
        <v>0</v>
      </c>
      <c r="K95" t="n">
        <v>0</v>
      </c>
      <c r="L95" t="n">
        <v>0</v>
      </c>
      <c r="M95" t="n">
        <v>0</v>
      </c>
      <c r="N95" t="n">
        <v>0</v>
      </c>
      <c r="O95" t="n">
        <v>0</v>
      </c>
      <c r="P95" t="n">
        <v>0</v>
      </c>
      <c r="Q95" t="n">
        <v>0</v>
      </c>
      <c r="R95" s="2" t="inlineStr"/>
    </row>
    <row r="96" ht="15" customHeight="1">
      <c r="A96" t="inlineStr">
        <is>
          <t>A 71352-2018</t>
        </is>
      </c>
      <c r="B96" s="1" t="n">
        <v>43453</v>
      </c>
      <c r="C96" s="1" t="n">
        <v>45294</v>
      </c>
      <c r="D96" t="inlineStr">
        <is>
          <t>NORRBOTTENS LÄN</t>
        </is>
      </c>
      <c r="E96" t="inlineStr">
        <is>
          <t>JOKKMOKK</t>
        </is>
      </c>
      <c r="F96" t="inlineStr">
        <is>
          <t>Sveaskog</t>
        </is>
      </c>
      <c r="G96" t="n">
        <v>96.09999999999999</v>
      </c>
      <c r="H96" t="n">
        <v>0</v>
      </c>
      <c r="I96" t="n">
        <v>0</v>
      </c>
      <c r="J96" t="n">
        <v>0</v>
      </c>
      <c r="K96" t="n">
        <v>0</v>
      </c>
      <c r="L96" t="n">
        <v>0</v>
      </c>
      <c r="M96" t="n">
        <v>0</v>
      </c>
      <c r="N96" t="n">
        <v>0</v>
      </c>
      <c r="O96" t="n">
        <v>0</v>
      </c>
      <c r="P96" t="n">
        <v>0</v>
      </c>
      <c r="Q96" t="n">
        <v>0</v>
      </c>
      <c r="R96" s="2" t="inlineStr"/>
    </row>
    <row r="97" ht="15" customHeight="1">
      <c r="A97" t="inlineStr">
        <is>
          <t>A 71854-2018</t>
        </is>
      </c>
      <c r="B97" s="1" t="n">
        <v>43454</v>
      </c>
      <c r="C97" s="1" t="n">
        <v>45294</v>
      </c>
      <c r="D97" t="inlineStr">
        <is>
          <t>NORRBOTTENS LÄN</t>
        </is>
      </c>
      <c r="E97" t="inlineStr">
        <is>
          <t>JOKKMOKK</t>
        </is>
      </c>
      <c r="G97" t="n">
        <v>4.6</v>
      </c>
      <c r="H97" t="n">
        <v>0</v>
      </c>
      <c r="I97" t="n">
        <v>0</v>
      </c>
      <c r="J97" t="n">
        <v>0</v>
      </c>
      <c r="K97" t="n">
        <v>0</v>
      </c>
      <c r="L97" t="n">
        <v>0</v>
      </c>
      <c r="M97" t="n">
        <v>0</v>
      </c>
      <c r="N97" t="n">
        <v>0</v>
      </c>
      <c r="O97" t="n">
        <v>0</v>
      </c>
      <c r="P97" t="n">
        <v>0</v>
      </c>
      <c r="Q97" t="n">
        <v>0</v>
      </c>
      <c r="R97" s="2" t="inlineStr"/>
    </row>
    <row r="98" ht="15" customHeight="1">
      <c r="A98" t="inlineStr">
        <is>
          <t>A 57-2019</t>
        </is>
      </c>
      <c r="B98" s="1" t="n">
        <v>43467</v>
      </c>
      <c r="C98" s="1" t="n">
        <v>45294</v>
      </c>
      <c r="D98" t="inlineStr">
        <is>
          <t>NORRBOTTENS LÄN</t>
        </is>
      </c>
      <c r="E98" t="inlineStr">
        <is>
          <t>JOKKMOKK</t>
        </is>
      </c>
      <c r="F98" t="inlineStr">
        <is>
          <t>Sveaskog</t>
        </is>
      </c>
      <c r="G98" t="n">
        <v>6.4</v>
      </c>
      <c r="H98" t="n">
        <v>0</v>
      </c>
      <c r="I98" t="n">
        <v>0</v>
      </c>
      <c r="J98" t="n">
        <v>0</v>
      </c>
      <c r="K98" t="n">
        <v>0</v>
      </c>
      <c r="L98" t="n">
        <v>0</v>
      </c>
      <c r="M98" t="n">
        <v>0</v>
      </c>
      <c r="N98" t="n">
        <v>0</v>
      </c>
      <c r="O98" t="n">
        <v>0</v>
      </c>
      <c r="P98" t="n">
        <v>0</v>
      </c>
      <c r="Q98" t="n">
        <v>0</v>
      </c>
      <c r="R98" s="2" t="inlineStr"/>
    </row>
    <row r="99" ht="15" customHeight="1">
      <c r="A99" t="inlineStr">
        <is>
          <t>A 97-2019</t>
        </is>
      </c>
      <c r="B99" s="1" t="n">
        <v>43467</v>
      </c>
      <c r="C99" s="1" t="n">
        <v>45294</v>
      </c>
      <c r="D99" t="inlineStr">
        <is>
          <t>NORRBOTTENS LÄN</t>
        </is>
      </c>
      <c r="E99" t="inlineStr">
        <is>
          <t>JOKKMOKK</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2288-2019</t>
        </is>
      </c>
      <c r="B100" s="1" t="n">
        <v>43475</v>
      </c>
      <c r="C100" s="1" t="n">
        <v>45294</v>
      </c>
      <c r="D100" t="inlineStr">
        <is>
          <t>NORRBOTTENS LÄN</t>
        </is>
      </c>
      <c r="E100" t="inlineStr">
        <is>
          <t>JOKKMOKK</t>
        </is>
      </c>
      <c r="G100" t="n">
        <v>2.4</v>
      </c>
      <c r="H100" t="n">
        <v>0</v>
      </c>
      <c r="I100" t="n">
        <v>0</v>
      </c>
      <c r="J100" t="n">
        <v>0</v>
      </c>
      <c r="K100" t="n">
        <v>0</v>
      </c>
      <c r="L100" t="n">
        <v>0</v>
      </c>
      <c r="M100" t="n">
        <v>0</v>
      </c>
      <c r="N100" t="n">
        <v>0</v>
      </c>
      <c r="O100" t="n">
        <v>0</v>
      </c>
      <c r="P100" t="n">
        <v>0</v>
      </c>
      <c r="Q100" t="n">
        <v>0</v>
      </c>
      <c r="R100" s="2" t="inlineStr"/>
    </row>
    <row r="101" ht="15" customHeight="1">
      <c r="A101" t="inlineStr">
        <is>
          <t>A 7539-2019</t>
        </is>
      </c>
      <c r="B101" s="1" t="n">
        <v>43493</v>
      </c>
      <c r="C101" s="1" t="n">
        <v>45294</v>
      </c>
      <c r="D101" t="inlineStr">
        <is>
          <t>NORRBOTTENS LÄN</t>
        </is>
      </c>
      <c r="E101" t="inlineStr">
        <is>
          <t>JOKKMOKK</t>
        </is>
      </c>
      <c r="G101" t="n">
        <v>9.300000000000001</v>
      </c>
      <c r="H101" t="n">
        <v>0</v>
      </c>
      <c r="I101" t="n">
        <v>0</v>
      </c>
      <c r="J101" t="n">
        <v>0</v>
      </c>
      <c r="K101" t="n">
        <v>0</v>
      </c>
      <c r="L101" t="n">
        <v>0</v>
      </c>
      <c r="M101" t="n">
        <v>0</v>
      </c>
      <c r="N101" t="n">
        <v>0</v>
      </c>
      <c r="O101" t="n">
        <v>0</v>
      </c>
      <c r="P101" t="n">
        <v>0</v>
      </c>
      <c r="Q101" t="n">
        <v>0</v>
      </c>
      <c r="R101" s="2" t="inlineStr"/>
    </row>
    <row r="102" ht="15" customHeight="1">
      <c r="A102" t="inlineStr">
        <is>
          <t>A 7536-2019</t>
        </is>
      </c>
      <c r="B102" s="1" t="n">
        <v>43493</v>
      </c>
      <c r="C102" s="1" t="n">
        <v>45294</v>
      </c>
      <c r="D102" t="inlineStr">
        <is>
          <t>NORRBOTTENS LÄN</t>
        </is>
      </c>
      <c r="E102" t="inlineStr">
        <is>
          <t>JOKKMOKK</t>
        </is>
      </c>
      <c r="G102" t="n">
        <v>2.3</v>
      </c>
      <c r="H102" t="n">
        <v>0</v>
      </c>
      <c r="I102" t="n">
        <v>0</v>
      </c>
      <c r="J102" t="n">
        <v>0</v>
      </c>
      <c r="K102" t="n">
        <v>0</v>
      </c>
      <c r="L102" t="n">
        <v>0</v>
      </c>
      <c r="M102" t="n">
        <v>0</v>
      </c>
      <c r="N102" t="n">
        <v>0</v>
      </c>
      <c r="O102" t="n">
        <v>0</v>
      </c>
      <c r="P102" t="n">
        <v>0</v>
      </c>
      <c r="Q102" t="n">
        <v>0</v>
      </c>
      <c r="R102" s="2" t="inlineStr"/>
    </row>
    <row r="103" ht="15" customHeight="1">
      <c r="A103" t="inlineStr">
        <is>
          <t>A 7527-2019</t>
        </is>
      </c>
      <c r="B103" s="1" t="n">
        <v>43493</v>
      </c>
      <c r="C103" s="1" t="n">
        <v>45294</v>
      </c>
      <c r="D103" t="inlineStr">
        <is>
          <t>NORRBOTTENS LÄN</t>
        </is>
      </c>
      <c r="E103" t="inlineStr">
        <is>
          <t>JOKKMOKK</t>
        </is>
      </c>
      <c r="G103" t="n">
        <v>5</v>
      </c>
      <c r="H103" t="n">
        <v>0</v>
      </c>
      <c r="I103" t="n">
        <v>0</v>
      </c>
      <c r="J103" t="n">
        <v>0</v>
      </c>
      <c r="K103" t="n">
        <v>0</v>
      </c>
      <c r="L103" t="n">
        <v>0</v>
      </c>
      <c r="M103" t="n">
        <v>0</v>
      </c>
      <c r="N103" t="n">
        <v>0</v>
      </c>
      <c r="O103" t="n">
        <v>0</v>
      </c>
      <c r="P103" t="n">
        <v>0</v>
      </c>
      <c r="Q103" t="n">
        <v>0</v>
      </c>
      <c r="R103" s="2" t="inlineStr"/>
    </row>
    <row r="104" ht="15" customHeight="1">
      <c r="A104" t="inlineStr">
        <is>
          <t>A 10689-2019</t>
        </is>
      </c>
      <c r="B104" s="1" t="n">
        <v>43514</v>
      </c>
      <c r="C104" s="1" t="n">
        <v>45294</v>
      </c>
      <c r="D104" t="inlineStr">
        <is>
          <t>NORRBOTTENS LÄN</t>
        </is>
      </c>
      <c r="E104" t="inlineStr">
        <is>
          <t>JOKKMOKK</t>
        </is>
      </c>
      <c r="G104" t="n">
        <v>3.2</v>
      </c>
      <c r="H104" t="n">
        <v>0</v>
      </c>
      <c r="I104" t="n">
        <v>0</v>
      </c>
      <c r="J104" t="n">
        <v>0</v>
      </c>
      <c r="K104" t="n">
        <v>0</v>
      </c>
      <c r="L104" t="n">
        <v>0</v>
      </c>
      <c r="M104" t="n">
        <v>0</v>
      </c>
      <c r="N104" t="n">
        <v>0</v>
      </c>
      <c r="O104" t="n">
        <v>0</v>
      </c>
      <c r="P104" t="n">
        <v>0</v>
      </c>
      <c r="Q104" t="n">
        <v>0</v>
      </c>
      <c r="R104" s="2" t="inlineStr"/>
    </row>
    <row r="105" ht="15" customHeight="1">
      <c r="A105" t="inlineStr">
        <is>
          <t>A 11062-2019</t>
        </is>
      </c>
      <c r="B105" s="1" t="n">
        <v>43515</v>
      </c>
      <c r="C105" s="1" t="n">
        <v>45294</v>
      </c>
      <c r="D105" t="inlineStr">
        <is>
          <t>NORRBOTTENS LÄN</t>
        </is>
      </c>
      <c r="E105" t="inlineStr">
        <is>
          <t>JOKKMOKK</t>
        </is>
      </c>
      <c r="G105" t="n">
        <v>5.5</v>
      </c>
      <c r="H105" t="n">
        <v>0</v>
      </c>
      <c r="I105" t="n">
        <v>0</v>
      </c>
      <c r="J105" t="n">
        <v>0</v>
      </c>
      <c r="K105" t="n">
        <v>0</v>
      </c>
      <c r="L105" t="n">
        <v>0</v>
      </c>
      <c r="M105" t="n">
        <v>0</v>
      </c>
      <c r="N105" t="n">
        <v>0</v>
      </c>
      <c r="O105" t="n">
        <v>0</v>
      </c>
      <c r="P105" t="n">
        <v>0</v>
      </c>
      <c r="Q105" t="n">
        <v>0</v>
      </c>
      <c r="R105" s="2" t="inlineStr"/>
    </row>
    <row r="106" ht="15" customHeight="1">
      <c r="A106" t="inlineStr">
        <is>
          <t>A 11151-2019</t>
        </is>
      </c>
      <c r="B106" s="1" t="n">
        <v>43516</v>
      </c>
      <c r="C106" s="1" t="n">
        <v>45294</v>
      </c>
      <c r="D106" t="inlineStr">
        <is>
          <t>NORRBOTTENS LÄN</t>
        </is>
      </c>
      <c r="E106" t="inlineStr">
        <is>
          <t>JOKKMOKK</t>
        </is>
      </c>
      <c r="G106" t="n">
        <v>15</v>
      </c>
      <c r="H106" t="n">
        <v>0</v>
      </c>
      <c r="I106" t="n">
        <v>0</v>
      </c>
      <c r="J106" t="n">
        <v>0</v>
      </c>
      <c r="K106" t="n">
        <v>0</v>
      </c>
      <c r="L106" t="n">
        <v>0</v>
      </c>
      <c r="M106" t="n">
        <v>0</v>
      </c>
      <c r="N106" t="n">
        <v>0</v>
      </c>
      <c r="O106" t="n">
        <v>0</v>
      </c>
      <c r="P106" t="n">
        <v>0</v>
      </c>
      <c r="Q106" t="n">
        <v>0</v>
      </c>
      <c r="R106" s="2" t="inlineStr"/>
    </row>
    <row r="107" ht="15" customHeight="1">
      <c r="A107" t="inlineStr">
        <is>
          <t>A 11571-2019</t>
        </is>
      </c>
      <c r="B107" s="1" t="n">
        <v>43517</v>
      </c>
      <c r="C107" s="1" t="n">
        <v>45294</v>
      </c>
      <c r="D107" t="inlineStr">
        <is>
          <t>NORRBOTTENS LÄN</t>
        </is>
      </c>
      <c r="E107" t="inlineStr">
        <is>
          <t>JOKKMOKK</t>
        </is>
      </c>
      <c r="F107" t="inlineStr">
        <is>
          <t>Övriga Aktiebolag</t>
        </is>
      </c>
      <c r="G107" t="n">
        <v>18</v>
      </c>
      <c r="H107" t="n">
        <v>0</v>
      </c>
      <c r="I107" t="n">
        <v>0</v>
      </c>
      <c r="J107" t="n">
        <v>0</v>
      </c>
      <c r="K107" t="n">
        <v>0</v>
      </c>
      <c r="L107" t="n">
        <v>0</v>
      </c>
      <c r="M107" t="n">
        <v>0</v>
      </c>
      <c r="N107" t="n">
        <v>0</v>
      </c>
      <c r="O107" t="n">
        <v>0</v>
      </c>
      <c r="P107" t="n">
        <v>0</v>
      </c>
      <c r="Q107" t="n">
        <v>0</v>
      </c>
      <c r="R107" s="2" t="inlineStr"/>
    </row>
    <row r="108" ht="15" customHeight="1">
      <c r="A108" t="inlineStr">
        <is>
          <t>A 11645-2019</t>
        </is>
      </c>
      <c r="B108" s="1" t="n">
        <v>43517</v>
      </c>
      <c r="C108" s="1" t="n">
        <v>45294</v>
      </c>
      <c r="D108" t="inlineStr">
        <is>
          <t>NORRBOTTENS LÄN</t>
        </is>
      </c>
      <c r="E108" t="inlineStr">
        <is>
          <t>JOKKMOKK</t>
        </is>
      </c>
      <c r="F108" t="inlineStr">
        <is>
          <t>Övriga Aktiebolag</t>
        </is>
      </c>
      <c r="G108" t="n">
        <v>13.7</v>
      </c>
      <c r="H108" t="n">
        <v>0</v>
      </c>
      <c r="I108" t="n">
        <v>0</v>
      </c>
      <c r="J108" t="n">
        <v>0</v>
      </c>
      <c r="K108" t="n">
        <v>0</v>
      </c>
      <c r="L108" t="n">
        <v>0</v>
      </c>
      <c r="M108" t="n">
        <v>0</v>
      </c>
      <c r="N108" t="n">
        <v>0</v>
      </c>
      <c r="O108" t="n">
        <v>0</v>
      </c>
      <c r="P108" t="n">
        <v>0</v>
      </c>
      <c r="Q108" t="n">
        <v>0</v>
      </c>
      <c r="R108" s="2" t="inlineStr"/>
    </row>
    <row r="109" ht="15" customHeight="1">
      <c r="A109" t="inlineStr">
        <is>
          <t>A 12608-2019</t>
        </is>
      </c>
      <c r="B109" s="1" t="n">
        <v>43523</v>
      </c>
      <c r="C109" s="1" t="n">
        <v>45294</v>
      </c>
      <c r="D109" t="inlineStr">
        <is>
          <t>NORRBOTTENS LÄN</t>
        </is>
      </c>
      <c r="E109" t="inlineStr">
        <is>
          <t>JOKKMOKK</t>
        </is>
      </c>
      <c r="F109" t="inlineStr">
        <is>
          <t>SCA</t>
        </is>
      </c>
      <c r="G109" t="n">
        <v>2.1</v>
      </c>
      <c r="H109" t="n">
        <v>0</v>
      </c>
      <c r="I109" t="n">
        <v>0</v>
      </c>
      <c r="J109" t="n">
        <v>0</v>
      </c>
      <c r="K109" t="n">
        <v>0</v>
      </c>
      <c r="L109" t="n">
        <v>0</v>
      </c>
      <c r="M109" t="n">
        <v>0</v>
      </c>
      <c r="N109" t="n">
        <v>0</v>
      </c>
      <c r="O109" t="n">
        <v>0</v>
      </c>
      <c r="P109" t="n">
        <v>0</v>
      </c>
      <c r="Q109" t="n">
        <v>0</v>
      </c>
      <c r="R109" s="2" t="inlineStr"/>
    </row>
    <row r="110" ht="15" customHeight="1">
      <c r="A110" t="inlineStr">
        <is>
          <t>A 12509-2019</t>
        </is>
      </c>
      <c r="B110" s="1" t="n">
        <v>43523</v>
      </c>
      <c r="C110" s="1" t="n">
        <v>45294</v>
      </c>
      <c r="D110" t="inlineStr">
        <is>
          <t>NORRBOTTENS LÄN</t>
        </is>
      </c>
      <c r="E110" t="inlineStr">
        <is>
          <t>JOKKMOKK</t>
        </is>
      </c>
      <c r="F110" t="inlineStr">
        <is>
          <t>SCA</t>
        </is>
      </c>
      <c r="G110" t="n">
        <v>5.4</v>
      </c>
      <c r="H110" t="n">
        <v>0</v>
      </c>
      <c r="I110" t="n">
        <v>0</v>
      </c>
      <c r="J110" t="n">
        <v>0</v>
      </c>
      <c r="K110" t="n">
        <v>0</v>
      </c>
      <c r="L110" t="n">
        <v>0</v>
      </c>
      <c r="M110" t="n">
        <v>0</v>
      </c>
      <c r="N110" t="n">
        <v>0</v>
      </c>
      <c r="O110" t="n">
        <v>0</v>
      </c>
      <c r="P110" t="n">
        <v>0</v>
      </c>
      <c r="Q110" t="n">
        <v>0</v>
      </c>
      <c r="R110" s="2" t="inlineStr"/>
    </row>
    <row r="111" ht="15" customHeight="1">
      <c r="A111" t="inlineStr">
        <is>
          <t>A 13933-2019</t>
        </is>
      </c>
      <c r="B111" s="1" t="n">
        <v>43531</v>
      </c>
      <c r="C111" s="1" t="n">
        <v>45294</v>
      </c>
      <c r="D111" t="inlineStr">
        <is>
          <t>NORRBOTTENS LÄN</t>
        </is>
      </c>
      <c r="E111" t="inlineStr">
        <is>
          <t>JOKKMOKK</t>
        </is>
      </c>
      <c r="G111" t="n">
        <v>2.5</v>
      </c>
      <c r="H111" t="n">
        <v>0</v>
      </c>
      <c r="I111" t="n">
        <v>0</v>
      </c>
      <c r="J111" t="n">
        <v>0</v>
      </c>
      <c r="K111" t="n">
        <v>0</v>
      </c>
      <c r="L111" t="n">
        <v>0</v>
      </c>
      <c r="M111" t="n">
        <v>0</v>
      </c>
      <c r="N111" t="n">
        <v>0</v>
      </c>
      <c r="O111" t="n">
        <v>0</v>
      </c>
      <c r="P111" t="n">
        <v>0</v>
      </c>
      <c r="Q111" t="n">
        <v>0</v>
      </c>
      <c r="R111" s="2" t="inlineStr"/>
    </row>
    <row r="112" ht="15" customHeight="1">
      <c r="A112" t="inlineStr">
        <is>
          <t>A 18282-2019</t>
        </is>
      </c>
      <c r="B112" s="1" t="n">
        <v>43558</v>
      </c>
      <c r="C112" s="1" t="n">
        <v>45294</v>
      </c>
      <c r="D112" t="inlineStr">
        <is>
          <t>NORRBOTTENS LÄN</t>
        </is>
      </c>
      <c r="E112" t="inlineStr">
        <is>
          <t>JOKKMOKK</t>
        </is>
      </c>
      <c r="G112" t="n">
        <v>1.3</v>
      </c>
      <c r="H112" t="n">
        <v>0</v>
      </c>
      <c r="I112" t="n">
        <v>0</v>
      </c>
      <c r="J112" t="n">
        <v>0</v>
      </c>
      <c r="K112" t="n">
        <v>0</v>
      </c>
      <c r="L112" t="n">
        <v>0</v>
      </c>
      <c r="M112" t="n">
        <v>0</v>
      </c>
      <c r="N112" t="n">
        <v>0</v>
      </c>
      <c r="O112" t="n">
        <v>0</v>
      </c>
      <c r="P112" t="n">
        <v>0</v>
      </c>
      <c r="Q112" t="n">
        <v>0</v>
      </c>
      <c r="R112" s="2" t="inlineStr"/>
    </row>
    <row r="113" ht="15" customHeight="1">
      <c r="A113" t="inlineStr">
        <is>
          <t>A 25606-2019</t>
        </is>
      </c>
      <c r="B113" s="1" t="n">
        <v>43602</v>
      </c>
      <c r="C113" s="1" t="n">
        <v>45294</v>
      </c>
      <c r="D113" t="inlineStr">
        <is>
          <t>NORRBOTTENS LÄN</t>
        </is>
      </c>
      <c r="E113" t="inlineStr">
        <is>
          <t>JOKKMOKK</t>
        </is>
      </c>
      <c r="F113" t="inlineStr">
        <is>
          <t>Allmännings- och besparingsskogar</t>
        </is>
      </c>
      <c r="G113" t="n">
        <v>17.9</v>
      </c>
      <c r="H113" t="n">
        <v>0</v>
      </c>
      <c r="I113" t="n">
        <v>0</v>
      </c>
      <c r="J113" t="n">
        <v>0</v>
      </c>
      <c r="K113" t="n">
        <v>0</v>
      </c>
      <c r="L113" t="n">
        <v>0</v>
      </c>
      <c r="M113" t="n">
        <v>0</v>
      </c>
      <c r="N113" t="n">
        <v>0</v>
      </c>
      <c r="O113" t="n">
        <v>0</v>
      </c>
      <c r="P113" t="n">
        <v>0</v>
      </c>
      <c r="Q113" t="n">
        <v>0</v>
      </c>
      <c r="R113" s="2" t="inlineStr"/>
    </row>
    <row r="114" ht="15" customHeight="1">
      <c r="A114" t="inlineStr">
        <is>
          <t>A 25351-2019</t>
        </is>
      </c>
      <c r="B114" s="1" t="n">
        <v>43606</v>
      </c>
      <c r="C114" s="1" t="n">
        <v>45294</v>
      </c>
      <c r="D114" t="inlineStr">
        <is>
          <t>NORRBOTTENS LÄN</t>
        </is>
      </c>
      <c r="E114" t="inlineStr">
        <is>
          <t>JOKKMOKK</t>
        </is>
      </c>
      <c r="F114" t="inlineStr">
        <is>
          <t>Sveaskog</t>
        </is>
      </c>
      <c r="G114" t="n">
        <v>47.8</v>
      </c>
      <c r="H114" t="n">
        <v>0</v>
      </c>
      <c r="I114" t="n">
        <v>0</v>
      </c>
      <c r="J114" t="n">
        <v>0</v>
      </c>
      <c r="K114" t="n">
        <v>0</v>
      </c>
      <c r="L114" t="n">
        <v>0</v>
      </c>
      <c r="M114" t="n">
        <v>0</v>
      </c>
      <c r="N114" t="n">
        <v>0</v>
      </c>
      <c r="O114" t="n">
        <v>0</v>
      </c>
      <c r="P114" t="n">
        <v>0</v>
      </c>
      <c r="Q114" t="n">
        <v>0</v>
      </c>
      <c r="R114" s="2" t="inlineStr"/>
    </row>
    <row r="115" ht="15" customHeight="1">
      <c r="A115" t="inlineStr">
        <is>
          <t>A 25352-2019</t>
        </is>
      </c>
      <c r="B115" s="1" t="n">
        <v>43606</v>
      </c>
      <c r="C115" s="1" t="n">
        <v>45294</v>
      </c>
      <c r="D115" t="inlineStr">
        <is>
          <t>NORRBOTTENS LÄN</t>
        </is>
      </c>
      <c r="E115" t="inlineStr">
        <is>
          <t>JOKKMOKK</t>
        </is>
      </c>
      <c r="F115" t="inlineStr">
        <is>
          <t>Sveaskog</t>
        </is>
      </c>
      <c r="G115" t="n">
        <v>60.5</v>
      </c>
      <c r="H115" t="n">
        <v>0</v>
      </c>
      <c r="I115" t="n">
        <v>0</v>
      </c>
      <c r="J115" t="n">
        <v>0</v>
      </c>
      <c r="K115" t="n">
        <v>0</v>
      </c>
      <c r="L115" t="n">
        <v>0</v>
      </c>
      <c r="M115" t="n">
        <v>0</v>
      </c>
      <c r="N115" t="n">
        <v>0</v>
      </c>
      <c r="O115" t="n">
        <v>0</v>
      </c>
      <c r="P115" t="n">
        <v>0</v>
      </c>
      <c r="Q115" t="n">
        <v>0</v>
      </c>
      <c r="R115" s="2" t="inlineStr"/>
    </row>
    <row r="116" ht="15" customHeight="1">
      <c r="A116" t="inlineStr">
        <is>
          <t>A 25981-2019</t>
        </is>
      </c>
      <c r="B116" s="1" t="n">
        <v>43608</v>
      </c>
      <c r="C116" s="1" t="n">
        <v>45294</v>
      </c>
      <c r="D116" t="inlineStr">
        <is>
          <t>NORRBOTTENS LÄN</t>
        </is>
      </c>
      <c r="E116" t="inlineStr">
        <is>
          <t>JOKKMOKK</t>
        </is>
      </c>
      <c r="G116" t="n">
        <v>2.6</v>
      </c>
      <c r="H116" t="n">
        <v>0</v>
      </c>
      <c r="I116" t="n">
        <v>0</v>
      </c>
      <c r="J116" t="n">
        <v>0</v>
      </c>
      <c r="K116" t="n">
        <v>0</v>
      </c>
      <c r="L116" t="n">
        <v>0</v>
      </c>
      <c r="M116" t="n">
        <v>0</v>
      </c>
      <c r="N116" t="n">
        <v>0</v>
      </c>
      <c r="O116" t="n">
        <v>0</v>
      </c>
      <c r="P116" t="n">
        <v>0</v>
      </c>
      <c r="Q116" t="n">
        <v>0</v>
      </c>
      <c r="R116" s="2" t="inlineStr"/>
    </row>
    <row r="117" ht="15" customHeight="1">
      <c r="A117" t="inlineStr">
        <is>
          <t>A 27041-2019</t>
        </is>
      </c>
      <c r="B117" s="1" t="n">
        <v>43614</v>
      </c>
      <c r="C117" s="1" t="n">
        <v>45294</v>
      </c>
      <c r="D117" t="inlineStr">
        <is>
          <t>NORRBOTTENS LÄN</t>
        </is>
      </c>
      <c r="E117" t="inlineStr">
        <is>
          <t>JOKKMOKK</t>
        </is>
      </c>
      <c r="F117" t="inlineStr">
        <is>
          <t>Sveaskog</t>
        </is>
      </c>
      <c r="G117" t="n">
        <v>3.6</v>
      </c>
      <c r="H117" t="n">
        <v>0</v>
      </c>
      <c r="I117" t="n">
        <v>0</v>
      </c>
      <c r="J117" t="n">
        <v>0</v>
      </c>
      <c r="K117" t="n">
        <v>0</v>
      </c>
      <c r="L117" t="n">
        <v>0</v>
      </c>
      <c r="M117" t="n">
        <v>0</v>
      </c>
      <c r="N117" t="n">
        <v>0</v>
      </c>
      <c r="O117" t="n">
        <v>0</v>
      </c>
      <c r="P117" t="n">
        <v>0</v>
      </c>
      <c r="Q117" t="n">
        <v>0</v>
      </c>
      <c r="R117" s="2" t="inlineStr"/>
    </row>
    <row r="118" ht="15" customHeight="1">
      <c r="A118" t="inlineStr">
        <is>
          <t>A 28379-2019</t>
        </is>
      </c>
      <c r="B118" s="1" t="n">
        <v>43626</v>
      </c>
      <c r="C118" s="1" t="n">
        <v>45294</v>
      </c>
      <c r="D118" t="inlineStr">
        <is>
          <t>NORRBOTTENS LÄN</t>
        </is>
      </c>
      <c r="E118" t="inlineStr">
        <is>
          <t>JOKKMOKK</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29447-2019</t>
        </is>
      </c>
      <c r="B119" s="1" t="n">
        <v>43626</v>
      </c>
      <c r="C119" s="1" t="n">
        <v>45294</v>
      </c>
      <c r="D119" t="inlineStr">
        <is>
          <t>NORRBOTTENS LÄN</t>
        </is>
      </c>
      <c r="E119" t="inlineStr">
        <is>
          <t>JOKKMOKK</t>
        </is>
      </c>
      <c r="G119" t="n">
        <v>1.5</v>
      </c>
      <c r="H119" t="n">
        <v>0</v>
      </c>
      <c r="I119" t="n">
        <v>0</v>
      </c>
      <c r="J119" t="n">
        <v>0</v>
      </c>
      <c r="K119" t="n">
        <v>0</v>
      </c>
      <c r="L119" t="n">
        <v>0</v>
      </c>
      <c r="M119" t="n">
        <v>0</v>
      </c>
      <c r="N119" t="n">
        <v>0</v>
      </c>
      <c r="O119" t="n">
        <v>0</v>
      </c>
      <c r="P119" t="n">
        <v>0</v>
      </c>
      <c r="Q119" t="n">
        <v>0</v>
      </c>
      <c r="R119" s="2" t="inlineStr"/>
    </row>
    <row r="120" ht="15" customHeight="1">
      <c r="A120" t="inlineStr">
        <is>
          <t>A 30042-2019</t>
        </is>
      </c>
      <c r="B120" s="1" t="n">
        <v>43633</v>
      </c>
      <c r="C120" s="1" t="n">
        <v>45294</v>
      </c>
      <c r="D120" t="inlineStr">
        <is>
          <t>NORRBOTTENS LÄN</t>
        </is>
      </c>
      <c r="E120" t="inlineStr">
        <is>
          <t>JOKKMOKK</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30264-2019</t>
        </is>
      </c>
      <c r="B121" s="1" t="n">
        <v>43633</v>
      </c>
      <c r="C121" s="1" t="n">
        <v>45294</v>
      </c>
      <c r="D121" t="inlineStr">
        <is>
          <t>NORRBOTTENS LÄN</t>
        </is>
      </c>
      <c r="E121" t="inlineStr">
        <is>
          <t>JOKKMOKK</t>
        </is>
      </c>
      <c r="G121" t="n">
        <v>1.4</v>
      </c>
      <c r="H121" t="n">
        <v>0</v>
      </c>
      <c r="I121" t="n">
        <v>0</v>
      </c>
      <c r="J121" t="n">
        <v>0</v>
      </c>
      <c r="K121" t="n">
        <v>0</v>
      </c>
      <c r="L121" t="n">
        <v>0</v>
      </c>
      <c r="M121" t="n">
        <v>0</v>
      </c>
      <c r="N121" t="n">
        <v>0</v>
      </c>
      <c r="O121" t="n">
        <v>0</v>
      </c>
      <c r="P121" t="n">
        <v>0</v>
      </c>
      <c r="Q121" t="n">
        <v>0</v>
      </c>
      <c r="R121" s="2" t="inlineStr"/>
    </row>
    <row r="122" ht="15" customHeight="1">
      <c r="A122" t="inlineStr">
        <is>
          <t>A 31895-2019</t>
        </is>
      </c>
      <c r="B122" s="1" t="n">
        <v>43642</v>
      </c>
      <c r="C122" s="1" t="n">
        <v>45294</v>
      </c>
      <c r="D122" t="inlineStr">
        <is>
          <t>NORRBOTTENS LÄN</t>
        </is>
      </c>
      <c r="E122" t="inlineStr">
        <is>
          <t>JOKKMOKK</t>
        </is>
      </c>
      <c r="G122" t="n">
        <v>0.8</v>
      </c>
      <c r="H122" t="n">
        <v>0</v>
      </c>
      <c r="I122" t="n">
        <v>0</v>
      </c>
      <c r="J122" t="n">
        <v>0</v>
      </c>
      <c r="K122" t="n">
        <v>0</v>
      </c>
      <c r="L122" t="n">
        <v>0</v>
      </c>
      <c r="M122" t="n">
        <v>0</v>
      </c>
      <c r="N122" t="n">
        <v>0</v>
      </c>
      <c r="O122" t="n">
        <v>0</v>
      </c>
      <c r="P122" t="n">
        <v>0</v>
      </c>
      <c r="Q122" t="n">
        <v>0</v>
      </c>
      <c r="R122" s="2" t="inlineStr"/>
    </row>
    <row r="123" ht="15" customHeight="1">
      <c r="A123" t="inlineStr">
        <is>
          <t>A 31896-2019</t>
        </is>
      </c>
      <c r="B123" s="1" t="n">
        <v>43642</v>
      </c>
      <c r="C123" s="1" t="n">
        <v>45294</v>
      </c>
      <c r="D123" t="inlineStr">
        <is>
          <t>NORRBOTTENS LÄN</t>
        </is>
      </c>
      <c r="E123" t="inlineStr">
        <is>
          <t>JOKKMOKK</t>
        </is>
      </c>
      <c r="G123" t="n">
        <v>7.1</v>
      </c>
      <c r="H123" t="n">
        <v>0</v>
      </c>
      <c r="I123" t="n">
        <v>0</v>
      </c>
      <c r="J123" t="n">
        <v>0</v>
      </c>
      <c r="K123" t="n">
        <v>0</v>
      </c>
      <c r="L123" t="n">
        <v>0</v>
      </c>
      <c r="M123" t="n">
        <v>0</v>
      </c>
      <c r="N123" t="n">
        <v>0</v>
      </c>
      <c r="O123" t="n">
        <v>0</v>
      </c>
      <c r="P123" t="n">
        <v>0</v>
      </c>
      <c r="Q123" t="n">
        <v>0</v>
      </c>
      <c r="R123" s="2" t="inlineStr"/>
    </row>
    <row r="124" ht="15" customHeight="1">
      <c r="A124" t="inlineStr">
        <is>
          <t>A 32476-2019</t>
        </is>
      </c>
      <c r="B124" s="1" t="n">
        <v>43644</v>
      </c>
      <c r="C124" s="1" t="n">
        <v>45294</v>
      </c>
      <c r="D124" t="inlineStr">
        <is>
          <t>NORRBOTTENS LÄN</t>
        </is>
      </c>
      <c r="E124" t="inlineStr">
        <is>
          <t>JOKKMOKK</t>
        </is>
      </c>
      <c r="F124" t="inlineStr">
        <is>
          <t>Naturvårdsverket</t>
        </is>
      </c>
      <c r="G124" t="n">
        <v>13.1</v>
      </c>
      <c r="H124" t="n">
        <v>0</v>
      </c>
      <c r="I124" t="n">
        <v>0</v>
      </c>
      <c r="J124" t="n">
        <v>0</v>
      </c>
      <c r="K124" t="n">
        <v>0</v>
      </c>
      <c r="L124" t="n">
        <v>0</v>
      </c>
      <c r="M124" t="n">
        <v>0</v>
      </c>
      <c r="N124" t="n">
        <v>0</v>
      </c>
      <c r="O124" t="n">
        <v>0</v>
      </c>
      <c r="P124" t="n">
        <v>0</v>
      </c>
      <c r="Q124" t="n">
        <v>0</v>
      </c>
      <c r="R124" s="2" t="inlineStr"/>
    </row>
    <row r="125" ht="15" customHeight="1">
      <c r="A125" t="inlineStr">
        <is>
          <t>A 33212-2019</t>
        </is>
      </c>
      <c r="B125" s="1" t="n">
        <v>43649</v>
      </c>
      <c r="C125" s="1" t="n">
        <v>45294</v>
      </c>
      <c r="D125" t="inlineStr">
        <is>
          <t>NORRBOTTENS LÄN</t>
        </is>
      </c>
      <c r="E125" t="inlineStr">
        <is>
          <t>JOKKMOKK</t>
        </is>
      </c>
      <c r="G125" t="n">
        <v>7.3</v>
      </c>
      <c r="H125" t="n">
        <v>0</v>
      </c>
      <c r="I125" t="n">
        <v>0</v>
      </c>
      <c r="J125" t="n">
        <v>0</v>
      </c>
      <c r="K125" t="n">
        <v>0</v>
      </c>
      <c r="L125" t="n">
        <v>0</v>
      </c>
      <c r="M125" t="n">
        <v>0</v>
      </c>
      <c r="N125" t="n">
        <v>0</v>
      </c>
      <c r="O125" t="n">
        <v>0</v>
      </c>
      <c r="P125" t="n">
        <v>0</v>
      </c>
      <c r="Q125" t="n">
        <v>0</v>
      </c>
      <c r="R125" s="2" t="inlineStr"/>
    </row>
    <row r="126" ht="15" customHeight="1">
      <c r="A126" t="inlineStr">
        <is>
          <t>A 33211-2019</t>
        </is>
      </c>
      <c r="B126" s="1" t="n">
        <v>43649</v>
      </c>
      <c r="C126" s="1" t="n">
        <v>45294</v>
      </c>
      <c r="D126" t="inlineStr">
        <is>
          <t>NORRBOTTENS LÄN</t>
        </is>
      </c>
      <c r="E126" t="inlineStr">
        <is>
          <t>JOKKMOKK</t>
        </is>
      </c>
      <c r="G126" t="n">
        <v>7.6</v>
      </c>
      <c r="H126" t="n">
        <v>0</v>
      </c>
      <c r="I126" t="n">
        <v>0</v>
      </c>
      <c r="J126" t="n">
        <v>0</v>
      </c>
      <c r="K126" t="n">
        <v>0</v>
      </c>
      <c r="L126" t="n">
        <v>0</v>
      </c>
      <c r="M126" t="n">
        <v>0</v>
      </c>
      <c r="N126" t="n">
        <v>0</v>
      </c>
      <c r="O126" t="n">
        <v>0</v>
      </c>
      <c r="P126" t="n">
        <v>0</v>
      </c>
      <c r="Q126" t="n">
        <v>0</v>
      </c>
      <c r="R126" s="2" t="inlineStr"/>
    </row>
    <row r="127" ht="15" customHeight="1">
      <c r="A127" t="inlineStr">
        <is>
          <t>A 33473-2019</t>
        </is>
      </c>
      <c r="B127" s="1" t="n">
        <v>43650</v>
      </c>
      <c r="C127" s="1" t="n">
        <v>45294</v>
      </c>
      <c r="D127" t="inlineStr">
        <is>
          <t>NORRBOTTENS LÄN</t>
        </is>
      </c>
      <c r="E127" t="inlineStr">
        <is>
          <t>JOKKMOKK</t>
        </is>
      </c>
      <c r="F127" t="inlineStr">
        <is>
          <t>SCA</t>
        </is>
      </c>
      <c r="G127" t="n">
        <v>3.7</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45294</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45294</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33820-2019</t>
        </is>
      </c>
      <c r="B130" s="1" t="n">
        <v>43651</v>
      </c>
      <c r="C130" s="1" t="n">
        <v>45294</v>
      </c>
      <c r="D130" t="inlineStr">
        <is>
          <t>NORRBOTTENS LÄN</t>
        </is>
      </c>
      <c r="E130" t="inlineStr">
        <is>
          <t>JOKKMOKK</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45294</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45294</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45294</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45294</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45294</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45294</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45294</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45294</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45294</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45294</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45294</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45294</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45294</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45294</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45294</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45294</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45294</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45294</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45294</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45294</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45294</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45294</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45294</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45294</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45294</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45294</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45294</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45294</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45294</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45294</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45294</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45294</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45294</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45294</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45294</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45294</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45294</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45294</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45294</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45294</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45294</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45294</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45294</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45294</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45294</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45294</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45294</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45294</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45294</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45294</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45294</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45294</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23337-2020</t>
        </is>
      </c>
      <c r="B183" s="1" t="n">
        <v>43966</v>
      </c>
      <c r="C183" s="1" t="n">
        <v>45294</v>
      </c>
      <c r="D183" t="inlineStr">
        <is>
          <t>NORRBOTTENS LÄN</t>
        </is>
      </c>
      <c r="E183" t="inlineStr">
        <is>
          <t>JOKKMOKK</t>
        </is>
      </c>
      <c r="F183" t="inlineStr">
        <is>
          <t>SCA</t>
        </is>
      </c>
      <c r="G183" t="n">
        <v>22.6</v>
      </c>
      <c r="H183" t="n">
        <v>0</v>
      </c>
      <c r="I183" t="n">
        <v>0</v>
      </c>
      <c r="J183" t="n">
        <v>0</v>
      </c>
      <c r="K183" t="n">
        <v>0</v>
      </c>
      <c r="L183" t="n">
        <v>0</v>
      </c>
      <c r="M183" t="n">
        <v>0</v>
      </c>
      <c r="N183" t="n">
        <v>0</v>
      </c>
      <c r="O183" t="n">
        <v>0</v>
      </c>
      <c r="P183" t="n">
        <v>0</v>
      </c>
      <c r="Q183" t="n">
        <v>0</v>
      </c>
      <c r="R183" s="2" t="inlineStr"/>
    </row>
    <row r="184" ht="15" customHeight="1">
      <c r="A184" t="inlineStr">
        <is>
          <t>A 24055-2020</t>
        </is>
      </c>
      <c r="B184" s="1" t="n">
        <v>43971</v>
      </c>
      <c r="C184" s="1" t="n">
        <v>45294</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24422-2020</t>
        </is>
      </c>
      <c r="B185" s="1" t="n">
        <v>43976</v>
      </c>
      <c r="C185" s="1" t="n">
        <v>45294</v>
      </c>
      <c r="D185" t="inlineStr">
        <is>
          <t>NORRBOTTENS LÄN</t>
        </is>
      </c>
      <c r="E185" t="inlineStr">
        <is>
          <t>JOKKMOKK</t>
        </is>
      </c>
      <c r="F185" t="inlineStr">
        <is>
          <t>SCA</t>
        </is>
      </c>
      <c r="G185" t="n">
        <v>1.5</v>
      </c>
      <c r="H185" t="n">
        <v>0</v>
      </c>
      <c r="I185" t="n">
        <v>0</v>
      </c>
      <c r="J185" t="n">
        <v>0</v>
      </c>
      <c r="K185" t="n">
        <v>0</v>
      </c>
      <c r="L185" t="n">
        <v>0</v>
      </c>
      <c r="M185" t="n">
        <v>0</v>
      </c>
      <c r="N185" t="n">
        <v>0</v>
      </c>
      <c r="O185" t="n">
        <v>0</v>
      </c>
      <c r="P185" t="n">
        <v>0</v>
      </c>
      <c r="Q185" t="n">
        <v>0</v>
      </c>
      <c r="R185" s="2" t="inlineStr"/>
    </row>
    <row r="186" ht="15" customHeight="1">
      <c r="A186" t="inlineStr">
        <is>
          <t>A 25163-2020</t>
        </is>
      </c>
      <c r="B186" s="1" t="n">
        <v>43980</v>
      </c>
      <c r="C186" s="1" t="n">
        <v>45294</v>
      </c>
      <c r="D186" t="inlineStr">
        <is>
          <t>NORRBOTTENS LÄN</t>
        </is>
      </c>
      <c r="E186" t="inlineStr">
        <is>
          <t>JOKKMOKK</t>
        </is>
      </c>
      <c r="F186" t="inlineStr">
        <is>
          <t>Sveaskog</t>
        </is>
      </c>
      <c r="G186" t="n">
        <v>17.4</v>
      </c>
      <c r="H186" t="n">
        <v>0</v>
      </c>
      <c r="I186" t="n">
        <v>0</v>
      </c>
      <c r="J186" t="n">
        <v>0</v>
      </c>
      <c r="K186" t="n">
        <v>0</v>
      </c>
      <c r="L186" t="n">
        <v>0</v>
      </c>
      <c r="M186" t="n">
        <v>0</v>
      </c>
      <c r="N186" t="n">
        <v>0</v>
      </c>
      <c r="O186" t="n">
        <v>0</v>
      </c>
      <c r="P186" t="n">
        <v>0</v>
      </c>
      <c r="Q186" t="n">
        <v>0</v>
      </c>
      <c r="R186" s="2" t="inlineStr"/>
    </row>
    <row r="187" ht="15" customHeight="1">
      <c r="A187" t="inlineStr">
        <is>
          <t>A 25305-2020</t>
        </is>
      </c>
      <c r="B187" s="1" t="n">
        <v>43980</v>
      </c>
      <c r="C187" s="1" t="n">
        <v>45294</v>
      </c>
      <c r="D187" t="inlineStr">
        <is>
          <t>NORRBOTTENS LÄN</t>
        </is>
      </c>
      <c r="E187" t="inlineStr">
        <is>
          <t>JOKKMOKK</t>
        </is>
      </c>
      <c r="F187" t="inlineStr">
        <is>
          <t>Sveaskog</t>
        </is>
      </c>
      <c r="G187" t="n">
        <v>5</v>
      </c>
      <c r="H187" t="n">
        <v>0</v>
      </c>
      <c r="I187" t="n">
        <v>0</v>
      </c>
      <c r="J187" t="n">
        <v>0</v>
      </c>
      <c r="K187" t="n">
        <v>0</v>
      </c>
      <c r="L187" t="n">
        <v>0</v>
      </c>
      <c r="M187" t="n">
        <v>0</v>
      </c>
      <c r="N187" t="n">
        <v>0</v>
      </c>
      <c r="O187" t="n">
        <v>0</v>
      </c>
      <c r="P187" t="n">
        <v>0</v>
      </c>
      <c r="Q187" t="n">
        <v>0</v>
      </c>
      <c r="R187" s="2" t="inlineStr"/>
    </row>
    <row r="188" ht="15" customHeight="1">
      <c r="A188" t="inlineStr">
        <is>
          <t>A 27058-2020</t>
        </is>
      </c>
      <c r="B188" s="1" t="n">
        <v>43987</v>
      </c>
      <c r="C188" s="1" t="n">
        <v>45294</v>
      </c>
      <c r="D188" t="inlineStr">
        <is>
          <t>NORRBOTTENS LÄN</t>
        </is>
      </c>
      <c r="E188" t="inlineStr">
        <is>
          <t>JOKKMOKK</t>
        </is>
      </c>
      <c r="F188" t="inlineStr">
        <is>
          <t>Allmännings- och besparingsskogar</t>
        </is>
      </c>
      <c r="G188" t="n">
        <v>29</v>
      </c>
      <c r="H188" t="n">
        <v>0</v>
      </c>
      <c r="I188" t="n">
        <v>0</v>
      </c>
      <c r="J188" t="n">
        <v>0</v>
      </c>
      <c r="K188" t="n">
        <v>0</v>
      </c>
      <c r="L188" t="n">
        <v>0</v>
      </c>
      <c r="M188" t="n">
        <v>0</v>
      </c>
      <c r="N188" t="n">
        <v>0</v>
      </c>
      <c r="O188" t="n">
        <v>0</v>
      </c>
      <c r="P188" t="n">
        <v>0</v>
      </c>
      <c r="Q188" t="n">
        <v>0</v>
      </c>
      <c r="R188" s="2" t="inlineStr"/>
    </row>
    <row r="189" ht="15" customHeight="1">
      <c r="A189" t="inlineStr">
        <is>
          <t>A 27165-2020</t>
        </is>
      </c>
      <c r="B189" s="1" t="n">
        <v>43991</v>
      </c>
      <c r="C189" s="1" t="n">
        <v>45294</v>
      </c>
      <c r="D189" t="inlineStr">
        <is>
          <t>NORRBOTTENS LÄN</t>
        </is>
      </c>
      <c r="E189" t="inlineStr">
        <is>
          <t>JOKKMOKK</t>
        </is>
      </c>
      <c r="F189" t="inlineStr">
        <is>
          <t>Sveaskog</t>
        </is>
      </c>
      <c r="G189" t="n">
        <v>10.3</v>
      </c>
      <c r="H189" t="n">
        <v>0</v>
      </c>
      <c r="I189" t="n">
        <v>0</v>
      </c>
      <c r="J189" t="n">
        <v>0</v>
      </c>
      <c r="K189" t="n">
        <v>0</v>
      </c>
      <c r="L189" t="n">
        <v>0</v>
      </c>
      <c r="M189" t="n">
        <v>0</v>
      </c>
      <c r="N189" t="n">
        <v>0</v>
      </c>
      <c r="O189" t="n">
        <v>0</v>
      </c>
      <c r="P189" t="n">
        <v>0</v>
      </c>
      <c r="Q189" t="n">
        <v>0</v>
      </c>
      <c r="R189" s="2" t="inlineStr"/>
    </row>
    <row r="190" ht="15" customHeight="1">
      <c r="A190" t="inlineStr">
        <is>
          <t>A 29798-2020</t>
        </is>
      </c>
      <c r="B190" s="1" t="n">
        <v>44005</v>
      </c>
      <c r="C190" s="1" t="n">
        <v>45294</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30809-2020</t>
        </is>
      </c>
      <c r="B191" s="1" t="n">
        <v>44011</v>
      </c>
      <c r="C191" s="1" t="n">
        <v>45294</v>
      </c>
      <c r="D191" t="inlineStr">
        <is>
          <t>NORRBOTTENS LÄN</t>
        </is>
      </c>
      <c r="E191" t="inlineStr">
        <is>
          <t>JOKKMOKK</t>
        </is>
      </c>
      <c r="F191" t="inlineStr">
        <is>
          <t>Sveaskog</t>
        </is>
      </c>
      <c r="G191" t="n">
        <v>0.4</v>
      </c>
      <c r="H191" t="n">
        <v>0</v>
      </c>
      <c r="I191" t="n">
        <v>0</v>
      </c>
      <c r="J191" t="n">
        <v>0</v>
      </c>
      <c r="K191" t="n">
        <v>0</v>
      </c>
      <c r="L191" t="n">
        <v>0</v>
      </c>
      <c r="M191" t="n">
        <v>0</v>
      </c>
      <c r="N191" t="n">
        <v>0</v>
      </c>
      <c r="O191" t="n">
        <v>0</v>
      </c>
      <c r="P191" t="n">
        <v>0</v>
      </c>
      <c r="Q191" t="n">
        <v>0</v>
      </c>
      <c r="R191" s="2" t="inlineStr"/>
    </row>
    <row r="192" ht="15" customHeight="1">
      <c r="A192" t="inlineStr">
        <is>
          <t>A 33730-2020</t>
        </is>
      </c>
      <c r="B192" s="1" t="n">
        <v>44022</v>
      </c>
      <c r="C192" s="1" t="n">
        <v>45294</v>
      </c>
      <c r="D192" t="inlineStr">
        <is>
          <t>NORRBOTTENS LÄN</t>
        </is>
      </c>
      <c r="E192" t="inlineStr">
        <is>
          <t>JOKKMOKK</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34445-2020</t>
        </is>
      </c>
      <c r="B193" s="1" t="n">
        <v>44029</v>
      </c>
      <c r="C193" s="1" t="n">
        <v>45294</v>
      </c>
      <c r="D193" t="inlineStr">
        <is>
          <t>NORRBOTTENS LÄN</t>
        </is>
      </c>
      <c r="E193" t="inlineStr">
        <is>
          <t>JOKKMOKK</t>
        </is>
      </c>
      <c r="G193" t="n">
        <v>2</v>
      </c>
      <c r="H193" t="n">
        <v>0</v>
      </c>
      <c r="I193" t="n">
        <v>0</v>
      </c>
      <c r="J193" t="n">
        <v>0</v>
      </c>
      <c r="K193" t="n">
        <v>0</v>
      </c>
      <c r="L193" t="n">
        <v>0</v>
      </c>
      <c r="M193" t="n">
        <v>0</v>
      </c>
      <c r="N193" t="n">
        <v>0</v>
      </c>
      <c r="O193" t="n">
        <v>0</v>
      </c>
      <c r="P193" t="n">
        <v>0</v>
      </c>
      <c r="Q193" t="n">
        <v>0</v>
      </c>
      <c r="R193" s="2" t="inlineStr"/>
    </row>
    <row r="194" ht="15" customHeight="1">
      <c r="A194" t="inlineStr">
        <is>
          <t>A 38254-2020</t>
        </is>
      </c>
      <c r="B194" s="1" t="n">
        <v>44060</v>
      </c>
      <c r="C194" s="1" t="n">
        <v>45294</v>
      </c>
      <c r="D194" t="inlineStr">
        <is>
          <t>NORRBOTTENS LÄN</t>
        </is>
      </c>
      <c r="E194" t="inlineStr">
        <is>
          <t>JOKKMOKK</t>
        </is>
      </c>
      <c r="F194" t="inlineStr">
        <is>
          <t>Allmännings- och besparingsskogar</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38638-2020</t>
        </is>
      </c>
      <c r="B195" s="1" t="n">
        <v>44061</v>
      </c>
      <c r="C195" s="1" t="n">
        <v>45294</v>
      </c>
      <c r="D195" t="inlineStr">
        <is>
          <t>NORRBOTTENS LÄN</t>
        </is>
      </c>
      <c r="E195" t="inlineStr">
        <is>
          <t>JOKKMOKK</t>
        </is>
      </c>
      <c r="F195" t="inlineStr">
        <is>
          <t>Övriga Aktiebolag</t>
        </is>
      </c>
      <c r="G195" t="n">
        <v>22.2</v>
      </c>
      <c r="H195" t="n">
        <v>0</v>
      </c>
      <c r="I195" t="n">
        <v>0</v>
      </c>
      <c r="J195" t="n">
        <v>0</v>
      </c>
      <c r="K195" t="n">
        <v>0</v>
      </c>
      <c r="L195" t="n">
        <v>0</v>
      </c>
      <c r="M195" t="n">
        <v>0</v>
      </c>
      <c r="N195" t="n">
        <v>0</v>
      </c>
      <c r="O195" t="n">
        <v>0</v>
      </c>
      <c r="P195" t="n">
        <v>0</v>
      </c>
      <c r="Q195" t="n">
        <v>0</v>
      </c>
      <c r="R195" s="2" t="inlineStr"/>
    </row>
    <row r="196" ht="15" customHeight="1">
      <c r="A196" t="inlineStr">
        <is>
          <t>A 38711-2020</t>
        </is>
      </c>
      <c r="B196" s="1" t="n">
        <v>44061</v>
      </c>
      <c r="C196" s="1" t="n">
        <v>45294</v>
      </c>
      <c r="D196" t="inlineStr">
        <is>
          <t>NORRBOTTENS LÄN</t>
        </is>
      </c>
      <c r="E196" t="inlineStr">
        <is>
          <t>JOKKMOKK</t>
        </is>
      </c>
      <c r="F196" t="inlineStr">
        <is>
          <t>Övriga statliga verk och myndigheter</t>
        </is>
      </c>
      <c r="G196" t="n">
        <v>16.1</v>
      </c>
      <c r="H196" t="n">
        <v>0</v>
      </c>
      <c r="I196" t="n">
        <v>0</v>
      </c>
      <c r="J196" t="n">
        <v>0</v>
      </c>
      <c r="K196" t="n">
        <v>0</v>
      </c>
      <c r="L196" t="n">
        <v>0</v>
      </c>
      <c r="M196" t="n">
        <v>0</v>
      </c>
      <c r="N196" t="n">
        <v>0</v>
      </c>
      <c r="O196" t="n">
        <v>0</v>
      </c>
      <c r="P196" t="n">
        <v>0</v>
      </c>
      <c r="Q196" t="n">
        <v>0</v>
      </c>
      <c r="R196" s="2" t="inlineStr"/>
    </row>
    <row r="197" ht="15" customHeight="1">
      <c r="A197" t="inlineStr">
        <is>
          <t>A 39085-2020</t>
        </is>
      </c>
      <c r="B197" s="1" t="n">
        <v>44062</v>
      </c>
      <c r="C197" s="1" t="n">
        <v>45294</v>
      </c>
      <c r="D197" t="inlineStr">
        <is>
          <t>NORRBOTTENS LÄN</t>
        </is>
      </c>
      <c r="E197" t="inlineStr">
        <is>
          <t>JOKKMOKK</t>
        </is>
      </c>
      <c r="F197" t="inlineStr">
        <is>
          <t>SCA</t>
        </is>
      </c>
      <c r="G197" t="n">
        <v>6.9</v>
      </c>
      <c r="H197" t="n">
        <v>0</v>
      </c>
      <c r="I197" t="n">
        <v>0</v>
      </c>
      <c r="J197" t="n">
        <v>0</v>
      </c>
      <c r="K197" t="n">
        <v>0</v>
      </c>
      <c r="L197" t="n">
        <v>0</v>
      </c>
      <c r="M197" t="n">
        <v>0</v>
      </c>
      <c r="N197" t="n">
        <v>0</v>
      </c>
      <c r="O197" t="n">
        <v>0</v>
      </c>
      <c r="P197" t="n">
        <v>0</v>
      </c>
      <c r="Q197" t="n">
        <v>0</v>
      </c>
      <c r="R197" s="2" t="inlineStr"/>
    </row>
    <row r="198" ht="15" customHeight="1">
      <c r="A198" t="inlineStr">
        <is>
          <t>A 40110-2020</t>
        </is>
      </c>
      <c r="B198" s="1" t="n">
        <v>44067</v>
      </c>
      <c r="C198" s="1" t="n">
        <v>45294</v>
      </c>
      <c r="D198" t="inlineStr">
        <is>
          <t>NORRBOTTENS LÄN</t>
        </is>
      </c>
      <c r="E198" t="inlineStr">
        <is>
          <t>JOKKMOKK</t>
        </is>
      </c>
      <c r="F198" t="inlineStr">
        <is>
          <t>Övriga Aktiebolag</t>
        </is>
      </c>
      <c r="G198" t="n">
        <v>14.4</v>
      </c>
      <c r="H198" t="n">
        <v>0</v>
      </c>
      <c r="I198" t="n">
        <v>0</v>
      </c>
      <c r="J198" t="n">
        <v>0</v>
      </c>
      <c r="K198" t="n">
        <v>0</v>
      </c>
      <c r="L198" t="n">
        <v>0</v>
      </c>
      <c r="M198" t="n">
        <v>0</v>
      </c>
      <c r="N198" t="n">
        <v>0</v>
      </c>
      <c r="O198" t="n">
        <v>0</v>
      </c>
      <c r="P198" t="n">
        <v>0</v>
      </c>
      <c r="Q198" t="n">
        <v>0</v>
      </c>
      <c r="R198" s="2" t="inlineStr"/>
    </row>
    <row r="199" ht="15" customHeight="1">
      <c r="A199" t="inlineStr">
        <is>
          <t>A 46097-2020</t>
        </is>
      </c>
      <c r="B199" s="1" t="n">
        <v>44088</v>
      </c>
      <c r="C199" s="1" t="n">
        <v>45294</v>
      </c>
      <c r="D199" t="inlineStr">
        <is>
          <t>NORRBOTTENS LÄN</t>
        </is>
      </c>
      <c r="E199" t="inlineStr">
        <is>
          <t>JOKKMOKK</t>
        </is>
      </c>
      <c r="F199" t="inlineStr">
        <is>
          <t>Övriga Aktiebolag</t>
        </is>
      </c>
      <c r="G199" t="n">
        <v>2</v>
      </c>
      <c r="H199" t="n">
        <v>0</v>
      </c>
      <c r="I199" t="n">
        <v>0</v>
      </c>
      <c r="J199" t="n">
        <v>0</v>
      </c>
      <c r="K199" t="n">
        <v>0</v>
      </c>
      <c r="L199" t="n">
        <v>0</v>
      </c>
      <c r="M199" t="n">
        <v>0</v>
      </c>
      <c r="N199" t="n">
        <v>0</v>
      </c>
      <c r="O199" t="n">
        <v>0</v>
      </c>
      <c r="P199" t="n">
        <v>0</v>
      </c>
      <c r="Q199" t="n">
        <v>0</v>
      </c>
      <c r="R199" s="2" t="inlineStr"/>
    </row>
    <row r="200" ht="15" customHeight="1">
      <c r="A200" t="inlineStr">
        <is>
          <t>A 46779-2020</t>
        </is>
      </c>
      <c r="B200" s="1" t="n">
        <v>44090</v>
      </c>
      <c r="C200" s="1" t="n">
        <v>45294</v>
      </c>
      <c r="D200" t="inlineStr">
        <is>
          <t>NORRBOTTENS LÄN</t>
        </is>
      </c>
      <c r="E200" t="inlineStr">
        <is>
          <t>JOKKMOKK</t>
        </is>
      </c>
      <c r="F200" t="inlineStr">
        <is>
          <t>Allmännings- och besparingsskogar</t>
        </is>
      </c>
      <c r="G200" t="n">
        <v>21.7</v>
      </c>
      <c r="H200" t="n">
        <v>0</v>
      </c>
      <c r="I200" t="n">
        <v>0</v>
      </c>
      <c r="J200" t="n">
        <v>0</v>
      </c>
      <c r="K200" t="n">
        <v>0</v>
      </c>
      <c r="L200" t="n">
        <v>0</v>
      </c>
      <c r="M200" t="n">
        <v>0</v>
      </c>
      <c r="N200" t="n">
        <v>0</v>
      </c>
      <c r="O200" t="n">
        <v>0</v>
      </c>
      <c r="P200" t="n">
        <v>0</v>
      </c>
      <c r="Q200" t="n">
        <v>0</v>
      </c>
      <c r="R200" s="2" t="inlineStr"/>
    </row>
    <row r="201" ht="15" customHeight="1">
      <c r="A201" t="inlineStr">
        <is>
          <t>A 46375-2020</t>
        </is>
      </c>
      <c r="B201" s="1" t="n">
        <v>44092</v>
      </c>
      <c r="C201" s="1" t="n">
        <v>45294</v>
      </c>
      <c r="D201" t="inlineStr">
        <is>
          <t>NORRBOTTENS LÄN</t>
        </is>
      </c>
      <c r="E201" t="inlineStr">
        <is>
          <t>JOKKMOKK</t>
        </is>
      </c>
      <c r="F201" t="inlineStr">
        <is>
          <t>SCA</t>
        </is>
      </c>
      <c r="G201" t="n">
        <v>25.4</v>
      </c>
      <c r="H201" t="n">
        <v>0</v>
      </c>
      <c r="I201" t="n">
        <v>0</v>
      </c>
      <c r="J201" t="n">
        <v>0</v>
      </c>
      <c r="K201" t="n">
        <v>0</v>
      </c>
      <c r="L201" t="n">
        <v>0</v>
      </c>
      <c r="M201" t="n">
        <v>0</v>
      </c>
      <c r="N201" t="n">
        <v>0</v>
      </c>
      <c r="O201" t="n">
        <v>0</v>
      </c>
      <c r="P201" t="n">
        <v>0</v>
      </c>
      <c r="Q201" t="n">
        <v>0</v>
      </c>
      <c r="R201" s="2" t="inlineStr"/>
    </row>
    <row r="202" ht="15" customHeight="1">
      <c r="A202" t="inlineStr">
        <is>
          <t>A 47397-2020</t>
        </is>
      </c>
      <c r="B202" s="1" t="n">
        <v>44095</v>
      </c>
      <c r="C202" s="1" t="n">
        <v>45294</v>
      </c>
      <c r="D202" t="inlineStr">
        <is>
          <t>NORRBOTTENS LÄN</t>
        </is>
      </c>
      <c r="E202" t="inlineStr">
        <is>
          <t>JOKKMOKK</t>
        </is>
      </c>
      <c r="F202" t="inlineStr">
        <is>
          <t>Allmännings- och besparingsskogar</t>
        </is>
      </c>
      <c r="G202" t="n">
        <v>3.5</v>
      </c>
      <c r="H202" t="n">
        <v>0</v>
      </c>
      <c r="I202" t="n">
        <v>0</v>
      </c>
      <c r="J202" t="n">
        <v>0</v>
      </c>
      <c r="K202" t="n">
        <v>0</v>
      </c>
      <c r="L202" t="n">
        <v>0</v>
      </c>
      <c r="M202" t="n">
        <v>0</v>
      </c>
      <c r="N202" t="n">
        <v>0</v>
      </c>
      <c r="O202" t="n">
        <v>0</v>
      </c>
      <c r="P202" t="n">
        <v>0</v>
      </c>
      <c r="Q202" t="n">
        <v>0</v>
      </c>
      <c r="R202" s="2" t="inlineStr"/>
    </row>
    <row r="203" ht="15" customHeight="1">
      <c r="A203" t="inlineStr">
        <is>
          <t>A 47252-2020</t>
        </is>
      </c>
      <c r="B203" s="1" t="n">
        <v>44096</v>
      </c>
      <c r="C203" s="1" t="n">
        <v>45294</v>
      </c>
      <c r="D203" t="inlineStr">
        <is>
          <t>NORRBOTTENS LÄN</t>
        </is>
      </c>
      <c r="E203" t="inlineStr">
        <is>
          <t>JOKKMOKK</t>
        </is>
      </c>
      <c r="F203" t="inlineStr">
        <is>
          <t>Övriga Aktiebolag</t>
        </is>
      </c>
      <c r="G203" t="n">
        <v>3.5</v>
      </c>
      <c r="H203" t="n">
        <v>0</v>
      </c>
      <c r="I203" t="n">
        <v>0</v>
      </c>
      <c r="J203" t="n">
        <v>0</v>
      </c>
      <c r="K203" t="n">
        <v>0</v>
      </c>
      <c r="L203" t="n">
        <v>0</v>
      </c>
      <c r="M203" t="n">
        <v>0</v>
      </c>
      <c r="N203" t="n">
        <v>0</v>
      </c>
      <c r="O203" t="n">
        <v>0</v>
      </c>
      <c r="P203" t="n">
        <v>0</v>
      </c>
      <c r="Q203" t="n">
        <v>0</v>
      </c>
      <c r="R203" s="2" t="inlineStr"/>
    </row>
    <row r="204" ht="15" customHeight="1">
      <c r="A204" t="inlineStr">
        <is>
          <t>A 48338-2020</t>
        </is>
      </c>
      <c r="B204" s="1" t="n">
        <v>44098</v>
      </c>
      <c r="C204" s="1" t="n">
        <v>45294</v>
      </c>
      <c r="D204" t="inlineStr">
        <is>
          <t>NORRBOTTENS LÄN</t>
        </is>
      </c>
      <c r="E204" t="inlineStr">
        <is>
          <t>JOKKMOKK</t>
        </is>
      </c>
      <c r="F204" t="inlineStr">
        <is>
          <t>Allmännings- och besparingsskogar</t>
        </is>
      </c>
      <c r="G204" t="n">
        <v>3.4</v>
      </c>
      <c r="H204" t="n">
        <v>0</v>
      </c>
      <c r="I204" t="n">
        <v>0</v>
      </c>
      <c r="J204" t="n">
        <v>0</v>
      </c>
      <c r="K204" t="n">
        <v>0</v>
      </c>
      <c r="L204" t="n">
        <v>0</v>
      </c>
      <c r="M204" t="n">
        <v>0</v>
      </c>
      <c r="N204" t="n">
        <v>0</v>
      </c>
      <c r="O204" t="n">
        <v>0</v>
      </c>
      <c r="P204" t="n">
        <v>0</v>
      </c>
      <c r="Q204" t="n">
        <v>0</v>
      </c>
      <c r="R204" s="2" t="inlineStr"/>
    </row>
    <row r="205" ht="15" customHeight="1">
      <c r="A205" t="inlineStr">
        <is>
          <t>A 48463-2020</t>
        </is>
      </c>
      <c r="B205" s="1" t="n">
        <v>44102</v>
      </c>
      <c r="C205" s="1" t="n">
        <v>45294</v>
      </c>
      <c r="D205" t="inlineStr">
        <is>
          <t>NORRBOTTENS LÄN</t>
        </is>
      </c>
      <c r="E205" t="inlineStr">
        <is>
          <t>JOKKMOKK</t>
        </is>
      </c>
      <c r="G205" t="n">
        <v>7.5</v>
      </c>
      <c r="H205" t="n">
        <v>0</v>
      </c>
      <c r="I205" t="n">
        <v>0</v>
      </c>
      <c r="J205" t="n">
        <v>0</v>
      </c>
      <c r="K205" t="n">
        <v>0</v>
      </c>
      <c r="L205" t="n">
        <v>0</v>
      </c>
      <c r="M205" t="n">
        <v>0</v>
      </c>
      <c r="N205" t="n">
        <v>0</v>
      </c>
      <c r="O205" t="n">
        <v>0</v>
      </c>
      <c r="P205" t="n">
        <v>0</v>
      </c>
      <c r="Q205" t="n">
        <v>0</v>
      </c>
      <c r="R205" s="2" t="inlineStr"/>
    </row>
    <row r="206" ht="15" customHeight="1">
      <c r="A206" t="inlineStr">
        <is>
          <t>A 51438-2020</t>
        </is>
      </c>
      <c r="B206" s="1" t="n">
        <v>44113</v>
      </c>
      <c r="C206" s="1" t="n">
        <v>45294</v>
      </c>
      <c r="D206" t="inlineStr">
        <is>
          <t>NORRBOTTENS LÄN</t>
        </is>
      </c>
      <c r="E206" t="inlineStr">
        <is>
          <t>JOKKMOKK</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51436-2020</t>
        </is>
      </c>
      <c r="B207" s="1" t="n">
        <v>44113</v>
      </c>
      <c r="C207" s="1" t="n">
        <v>45294</v>
      </c>
      <c r="D207" t="inlineStr">
        <is>
          <t>NORRBOTTENS LÄN</t>
        </is>
      </c>
      <c r="E207" t="inlineStr">
        <is>
          <t>JOKKMOKK</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52043-2020</t>
        </is>
      </c>
      <c r="B208" s="1" t="n">
        <v>44116</v>
      </c>
      <c r="C208" s="1" t="n">
        <v>45294</v>
      </c>
      <c r="D208" t="inlineStr">
        <is>
          <t>NORRBOTTENS LÄN</t>
        </is>
      </c>
      <c r="E208" t="inlineStr">
        <is>
          <t>JOKKMOKK</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52047-2020</t>
        </is>
      </c>
      <c r="B209" s="1" t="n">
        <v>44117</v>
      </c>
      <c r="C209" s="1" t="n">
        <v>45294</v>
      </c>
      <c r="D209" t="inlineStr">
        <is>
          <t>NORRBOTTENS LÄN</t>
        </is>
      </c>
      <c r="E209" t="inlineStr">
        <is>
          <t>JOKKMOKK</t>
        </is>
      </c>
      <c r="F209" t="inlineStr">
        <is>
          <t>SCA</t>
        </is>
      </c>
      <c r="G209" t="n">
        <v>5.3</v>
      </c>
      <c r="H209" t="n">
        <v>0</v>
      </c>
      <c r="I209" t="n">
        <v>0</v>
      </c>
      <c r="J209" t="n">
        <v>0</v>
      </c>
      <c r="K209" t="n">
        <v>0</v>
      </c>
      <c r="L209" t="n">
        <v>0</v>
      </c>
      <c r="M209" t="n">
        <v>0</v>
      </c>
      <c r="N209" t="n">
        <v>0</v>
      </c>
      <c r="O209" t="n">
        <v>0</v>
      </c>
      <c r="P209" t="n">
        <v>0</v>
      </c>
      <c r="Q209" t="n">
        <v>0</v>
      </c>
      <c r="R209" s="2" t="inlineStr"/>
    </row>
    <row r="210" ht="15" customHeight="1">
      <c r="A210" t="inlineStr">
        <is>
          <t>A 54863-2020</t>
        </is>
      </c>
      <c r="B210" s="1" t="n">
        <v>44126</v>
      </c>
      <c r="C210" s="1" t="n">
        <v>45294</v>
      </c>
      <c r="D210" t="inlineStr">
        <is>
          <t>NORRBOTTENS LÄN</t>
        </is>
      </c>
      <c r="E210" t="inlineStr">
        <is>
          <t>JOKKMOKK</t>
        </is>
      </c>
      <c r="F210" t="inlineStr">
        <is>
          <t>Allmännings- och besparingsskogar</t>
        </is>
      </c>
      <c r="G210" t="n">
        <v>43.3</v>
      </c>
      <c r="H210" t="n">
        <v>0</v>
      </c>
      <c r="I210" t="n">
        <v>0</v>
      </c>
      <c r="J210" t="n">
        <v>0</v>
      </c>
      <c r="K210" t="n">
        <v>0</v>
      </c>
      <c r="L210" t="n">
        <v>0</v>
      </c>
      <c r="M210" t="n">
        <v>0</v>
      </c>
      <c r="N210" t="n">
        <v>0</v>
      </c>
      <c r="O210" t="n">
        <v>0</v>
      </c>
      <c r="P210" t="n">
        <v>0</v>
      </c>
      <c r="Q210" t="n">
        <v>0</v>
      </c>
      <c r="R210" s="2" t="inlineStr"/>
    </row>
    <row r="211" ht="15" customHeight="1">
      <c r="A211" t="inlineStr">
        <is>
          <t>A 56851-2020</t>
        </is>
      </c>
      <c r="B211" s="1" t="n">
        <v>44133</v>
      </c>
      <c r="C211" s="1" t="n">
        <v>45294</v>
      </c>
      <c r="D211" t="inlineStr">
        <is>
          <t>NORRBOTTENS LÄN</t>
        </is>
      </c>
      <c r="E211" t="inlineStr">
        <is>
          <t>JOKKMOKK</t>
        </is>
      </c>
      <c r="F211" t="inlineStr">
        <is>
          <t>Övriga Aktiebolag</t>
        </is>
      </c>
      <c r="G211" t="n">
        <v>10.7</v>
      </c>
      <c r="H211" t="n">
        <v>0</v>
      </c>
      <c r="I211" t="n">
        <v>0</v>
      </c>
      <c r="J211" t="n">
        <v>0</v>
      </c>
      <c r="K211" t="n">
        <v>0</v>
      </c>
      <c r="L211" t="n">
        <v>0</v>
      </c>
      <c r="M211" t="n">
        <v>0</v>
      </c>
      <c r="N211" t="n">
        <v>0</v>
      </c>
      <c r="O211" t="n">
        <v>0</v>
      </c>
      <c r="P211" t="n">
        <v>0</v>
      </c>
      <c r="Q211" t="n">
        <v>0</v>
      </c>
      <c r="R211" s="2" t="inlineStr"/>
    </row>
    <row r="212" ht="15" customHeight="1">
      <c r="A212" t="inlineStr">
        <is>
          <t>A 57183-2020</t>
        </is>
      </c>
      <c r="B212" s="1" t="n">
        <v>44138</v>
      </c>
      <c r="C212" s="1" t="n">
        <v>45294</v>
      </c>
      <c r="D212" t="inlineStr">
        <is>
          <t>NORRBOTTENS LÄN</t>
        </is>
      </c>
      <c r="E212" t="inlineStr">
        <is>
          <t>JOKKMOKK</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57737-2020</t>
        </is>
      </c>
      <c r="B213" s="1" t="n">
        <v>44140</v>
      </c>
      <c r="C213" s="1" t="n">
        <v>45294</v>
      </c>
      <c r="D213" t="inlineStr">
        <is>
          <t>NORRBOTTENS LÄN</t>
        </is>
      </c>
      <c r="E213" t="inlineStr">
        <is>
          <t>JOKKMOKK</t>
        </is>
      </c>
      <c r="F213" t="inlineStr">
        <is>
          <t>SCA</t>
        </is>
      </c>
      <c r="G213" t="n">
        <v>4.7</v>
      </c>
      <c r="H213" t="n">
        <v>0</v>
      </c>
      <c r="I213" t="n">
        <v>0</v>
      </c>
      <c r="J213" t="n">
        <v>0</v>
      </c>
      <c r="K213" t="n">
        <v>0</v>
      </c>
      <c r="L213" t="n">
        <v>0</v>
      </c>
      <c r="M213" t="n">
        <v>0</v>
      </c>
      <c r="N213" t="n">
        <v>0</v>
      </c>
      <c r="O213" t="n">
        <v>0</v>
      </c>
      <c r="P213" t="n">
        <v>0</v>
      </c>
      <c r="Q213" t="n">
        <v>0</v>
      </c>
      <c r="R213" s="2" t="inlineStr"/>
    </row>
    <row r="214" ht="15" customHeight="1">
      <c r="A214" t="inlineStr">
        <is>
          <t>A 58578-2020</t>
        </is>
      </c>
      <c r="B214" s="1" t="n">
        <v>44144</v>
      </c>
      <c r="C214" s="1" t="n">
        <v>45294</v>
      </c>
      <c r="D214" t="inlineStr">
        <is>
          <t>NORRBOTTENS LÄN</t>
        </is>
      </c>
      <c r="E214" t="inlineStr">
        <is>
          <t>JOKKMOKK</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59103-2020</t>
        </is>
      </c>
      <c r="B215" s="1" t="n">
        <v>44147</v>
      </c>
      <c r="C215" s="1" t="n">
        <v>45294</v>
      </c>
      <c r="D215" t="inlineStr">
        <is>
          <t>NORRBOTTENS LÄN</t>
        </is>
      </c>
      <c r="E215" t="inlineStr">
        <is>
          <t>JOKKMOKK</t>
        </is>
      </c>
      <c r="F215" t="inlineStr">
        <is>
          <t>Allmännings- och besparingsskogar</t>
        </is>
      </c>
      <c r="G215" t="n">
        <v>1</v>
      </c>
      <c r="H215" t="n">
        <v>0</v>
      </c>
      <c r="I215" t="n">
        <v>0</v>
      </c>
      <c r="J215" t="n">
        <v>0</v>
      </c>
      <c r="K215" t="n">
        <v>0</v>
      </c>
      <c r="L215" t="n">
        <v>0</v>
      </c>
      <c r="M215" t="n">
        <v>0</v>
      </c>
      <c r="N215" t="n">
        <v>0</v>
      </c>
      <c r="O215" t="n">
        <v>0</v>
      </c>
      <c r="P215" t="n">
        <v>0</v>
      </c>
      <c r="Q215" t="n">
        <v>0</v>
      </c>
      <c r="R215" s="2" t="inlineStr"/>
    </row>
    <row r="216" ht="15" customHeight="1">
      <c r="A216" t="inlineStr">
        <is>
          <t>A 60142-2020</t>
        </is>
      </c>
      <c r="B216" s="1" t="n">
        <v>44151</v>
      </c>
      <c r="C216" s="1" t="n">
        <v>45294</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62038-2020</t>
        </is>
      </c>
      <c r="B217" s="1" t="n">
        <v>44158</v>
      </c>
      <c r="C217" s="1" t="n">
        <v>45294</v>
      </c>
      <c r="D217" t="inlineStr">
        <is>
          <t>NORRBOTTENS LÄN</t>
        </is>
      </c>
      <c r="E217" t="inlineStr">
        <is>
          <t>JOKKMOKK</t>
        </is>
      </c>
      <c r="F217" t="inlineStr">
        <is>
          <t>Övriga Aktiebolag</t>
        </is>
      </c>
      <c r="G217" t="n">
        <v>7.3</v>
      </c>
      <c r="H217" t="n">
        <v>0</v>
      </c>
      <c r="I217" t="n">
        <v>0</v>
      </c>
      <c r="J217" t="n">
        <v>0</v>
      </c>
      <c r="K217" t="n">
        <v>0</v>
      </c>
      <c r="L217" t="n">
        <v>0</v>
      </c>
      <c r="M217" t="n">
        <v>0</v>
      </c>
      <c r="N217" t="n">
        <v>0</v>
      </c>
      <c r="O217" t="n">
        <v>0</v>
      </c>
      <c r="P217" t="n">
        <v>0</v>
      </c>
      <c r="Q217" t="n">
        <v>0</v>
      </c>
      <c r="R217" s="2" t="inlineStr"/>
    </row>
    <row r="218" ht="15" customHeight="1">
      <c r="A218" t="inlineStr">
        <is>
          <t>A 62233-2020</t>
        </is>
      </c>
      <c r="B218" s="1" t="n">
        <v>44159</v>
      </c>
      <c r="C218" s="1" t="n">
        <v>45294</v>
      </c>
      <c r="D218" t="inlineStr">
        <is>
          <t>NORRBOTTENS LÄN</t>
        </is>
      </c>
      <c r="E218" t="inlineStr">
        <is>
          <t>JOKKMOKK</t>
        </is>
      </c>
      <c r="F218" t="inlineStr">
        <is>
          <t>SCA</t>
        </is>
      </c>
      <c r="G218" t="n">
        <v>7.1</v>
      </c>
      <c r="H218" t="n">
        <v>0</v>
      </c>
      <c r="I218" t="n">
        <v>0</v>
      </c>
      <c r="J218" t="n">
        <v>0</v>
      </c>
      <c r="K218" t="n">
        <v>0</v>
      </c>
      <c r="L218" t="n">
        <v>0</v>
      </c>
      <c r="M218" t="n">
        <v>0</v>
      </c>
      <c r="N218" t="n">
        <v>0</v>
      </c>
      <c r="O218" t="n">
        <v>0</v>
      </c>
      <c r="P218" t="n">
        <v>0</v>
      </c>
      <c r="Q218" t="n">
        <v>0</v>
      </c>
      <c r="R218" s="2" t="inlineStr"/>
    </row>
    <row r="219" ht="15" customHeight="1">
      <c r="A219" t="inlineStr">
        <is>
          <t>A 62757-2020</t>
        </is>
      </c>
      <c r="B219" s="1" t="n">
        <v>44161</v>
      </c>
      <c r="C219" s="1" t="n">
        <v>45294</v>
      </c>
      <c r="D219" t="inlineStr">
        <is>
          <t>NORRBOTTENS LÄN</t>
        </is>
      </c>
      <c r="E219" t="inlineStr">
        <is>
          <t>JOKKMOKK</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62759-2020</t>
        </is>
      </c>
      <c r="B220" s="1" t="n">
        <v>44161</v>
      </c>
      <c r="C220" s="1" t="n">
        <v>45294</v>
      </c>
      <c r="D220" t="inlineStr">
        <is>
          <t>NORRBOTTENS LÄN</t>
        </is>
      </c>
      <c r="E220" t="inlineStr">
        <is>
          <t>JOKKMOKK</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65652-2020</t>
        </is>
      </c>
      <c r="B221" s="1" t="n">
        <v>44172</v>
      </c>
      <c r="C221" s="1" t="n">
        <v>45294</v>
      </c>
      <c r="D221" t="inlineStr">
        <is>
          <t>NORRBOTTENS LÄN</t>
        </is>
      </c>
      <c r="E221" t="inlineStr">
        <is>
          <t>JOKKMOKK</t>
        </is>
      </c>
      <c r="G221" t="n">
        <v>6.2</v>
      </c>
      <c r="H221" t="n">
        <v>0</v>
      </c>
      <c r="I221" t="n">
        <v>0</v>
      </c>
      <c r="J221" t="n">
        <v>0</v>
      </c>
      <c r="K221" t="n">
        <v>0</v>
      </c>
      <c r="L221" t="n">
        <v>0</v>
      </c>
      <c r="M221" t="n">
        <v>0</v>
      </c>
      <c r="N221" t="n">
        <v>0</v>
      </c>
      <c r="O221" t="n">
        <v>0</v>
      </c>
      <c r="P221" t="n">
        <v>0</v>
      </c>
      <c r="Q221" t="n">
        <v>0</v>
      </c>
      <c r="R221" s="2" t="inlineStr"/>
    </row>
    <row r="222" ht="15" customHeight="1">
      <c r="A222" t="inlineStr">
        <is>
          <t>A 65648-2020</t>
        </is>
      </c>
      <c r="B222" s="1" t="n">
        <v>44172</v>
      </c>
      <c r="C222" s="1" t="n">
        <v>45294</v>
      </c>
      <c r="D222" t="inlineStr">
        <is>
          <t>NORRBOTTENS LÄN</t>
        </is>
      </c>
      <c r="E222" t="inlineStr">
        <is>
          <t>JOKKMOKK</t>
        </is>
      </c>
      <c r="G222" t="n">
        <v>1.8</v>
      </c>
      <c r="H222" t="n">
        <v>0</v>
      </c>
      <c r="I222" t="n">
        <v>0</v>
      </c>
      <c r="J222" t="n">
        <v>0</v>
      </c>
      <c r="K222" t="n">
        <v>0</v>
      </c>
      <c r="L222" t="n">
        <v>0</v>
      </c>
      <c r="M222" t="n">
        <v>0</v>
      </c>
      <c r="N222" t="n">
        <v>0</v>
      </c>
      <c r="O222" t="n">
        <v>0</v>
      </c>
      <c r="P222" t="n">
        <v>0</v>
      </c>
      <c r="Q222" t="n">
        <v>0</v>
      </c>
      <c r="R222" s="2" t="inlineStr"/>
    </row>
    <row r="223" ht="15" customHeight="1">
      <c r="A223" t="inlineStr">
        <is>
          <t>A 65343-2020</t>
        </is>
      </c>
      <c r="B223" s="1" t="n">
        <v>44173</v>
      </c>
      <c r="C223" s="1" t="n">
        <v>45294</v>
      </c>
      <c r="D223" t="inlineStr">
        <is>
          <t>NORRBOTTENS LÄN</t>
        </is>
      </c>
      <c r="E223" t="inlineStr">
        <is>
          <t>JOKKMOKK</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65542-2020</t>
        </is>
      </c>
      <c r="B224" s="1" t="n">
        <v>44173</v>
      </c>
      <c r="C224" s="1" t="n">
        <v>45294</v>
      </c>
      <c r="D224" t="inlineStr">
        <is>
          <t>NORRBOTTENS LÄN</t>
        </is>
      </c>
      <c r="E224" t="inlineStr">
        <is>
          <t>JOKKMOKK</t>
        </is>
      </c>
      <c r="F224" t="inlineStr">
        <is>
          <t>Sveaskog</t>
        </is>
      </c>
      <c r="G224" t="n">
        <v>5.5</v>
      </c>
      <c r="H224" t="n">
        <v>0</v>
      </c>
      <c r="I224" t="n">
        <v>0</v>
      </c>
      <c r="J224" t="n">
        <v>0</v>
      </c>
      <c r="K224" t="n">
        <v>0</v>
      </c>
      <c r="L224" t="n">
        <v>0</v>
      </c>
      <c r="M224" t="n">
        <v>0</v>
      </c>
      <c r="N224" t="n">
        <v>0</v>
      </c>
      <c r="O224" t="n">
        <v>0</v>
      </c>
      <c r="P224" t="n">
        <v>0</v>
      </c>
      <c r="Q224" t="n">
        <v>0</v>
      </c>
      <c r="R224" s="2" t="inlineStr"/>
    </row>
    <row r="225" ht="15" customHeight="1">
      <c r="A225" t="inlineStr">
        <is>
          <t>A 68583-2020</t>
        </is>
      </c>
      <c r="B225" s="1" t="n">
        <v>44186</v>
      </c>
      <c r="C225" s="1" t="n">
        <v>45294</v>
      </c>
      <c r="D225" t="inlineStr">
        <is>
          <t>NORRBOTTENS LÄN</t>
        </is>
      </c>
      <c r="E225" t="inlineStr">
        <is>
          <t>JOKKMOKK</t>
        </is>
      </c>
      <c r="F225" t="inlineStr">
        <is>
          <t>Sveaskog</t>
        </is>
      </c>
      <c r="G225" t="n">
        <v>12.5</v>
      </c>
      <c r="H225" t="n">
        <v>0</v>
      </c>
      <c r="I225" t="n">
        <v>0</v>
      </c>
      <c r="J225" t="n">
        <v>0</v>
      </c>
      <c r="K225" t="n">
        <v>0</v>
      </c>
      <c r="L225" t="n">
        <v>0</v>
      </c>
      <c r="M225" t="n">
        <v>0</v>
      </c>
      <c r="N225" t="n">
        <v>0</v>
      </c>
      <c r="O225" t="n">
        <v>0</v>
      </c>
      <c r="P225" t="n">
        <v>0</v>
      </c>
      <c r="Q225" t="n">
        <v>0</v>
      </c>
      <c r="R225" s="2" t="inlineStr"/>
    </row>
    <row r="226" ht="15" customHeight="1">
      <c r="A226" t="inlineStr">
        <is>
          <t>A 68636-2020</t>
        </is>
      </c>
      <c r="B226" s="1" t="n">
        <v>44186</v>
      </c>
      <c r="C226" s="1" t="n">
        <v>45294</v>
      </c>
      <c r="D226" t="inlineStr">
        <is>
          <t>NORRBOTTENS LÄN</t>
        </is>
      </c>
      <c r="E226" t="inlineStr">
        <is>
          <t>JOKKMOKK</t>
        </is>
      </c>
      <c r="F226" t="inlineStr">
        <is>
          <t>SCA</t>
        </is>
      </c>
      <c r="G226" t="n">
        <v>42.3</v>
      </c>
      <c r="H226" t="n">
        <v>0</v>
      </c>
      <c r="I226" t="n">
        <v>0</v>
      </c>
      <c r="J226" t="n">
        <v>0</v>
      </c>
      <c r="K226" t="n">
        <v>0</v>
      </c>
      <c r="L226" t="n">
        <v>0</v>
      </c>
      <c r="M226" t="n">
        <v>0</v>
      </c>
      <c r="N226" t="n">
        <v>0</v>
      </c>
      <c r="O226" t="n">
        <v>0</v>
      </c>
      <c r="P226" t="n">
        <v>0</v>
      </c>
      <c r="Q226" t="n">
        <v>0</v>
      </c>
      <c r="R226" s="2" t="inlineStr"/>
    </row>
    <row r="227" ht="15" customHeight="1">
      <c r="A227" t="inlineStr">
        <is>
          <t>A 7273-2021</t>
        </is>
      </c>
      <c r="B227" s="1" t="n">
        <v>44238</v>
      </c>
      <c r="C227" s="1" t="n">
        <v>45294</v>
      </c>
      <c r="D227" t="inlineStr">
        <is>
          <t>NORRBOTTENS LÄN</t>
        </is>
      </c>
      <c r="E227" t="inlineStr">
        <is>
          <t>JOKKMOKK</t>
        </is>
      </c>
      <c r="F227" t="inlineStr">
        <is>
          <t>Övriga statliga verk och myndigheter</t>
        </is>
      </c>
      <c r="G227" t="n">
        <v>19.8</v>
      </c>
      <c r="H227" t="n">
        <v>0</v>
      </c>
      <c r="I227" t="n">
        <v>0</v>
      </c>
      <c r="J227" t="n">
        <v>0</v>
      </c>
      <c r="K227" t="n">
        <v>0</v>
      </c>
      <c r="L227" t="n">
        <v>0</v>
      </c>
      <c r="M227" t="n">
        <v>0</v>
      </c>
      <c r="N227" t="n">
        <v>0</v>
      </c>
      <c r="O227" t="n">
        <v>0</v>
      </c>
      <c r="P227" t="n">
        <v>0</v>
      </c>
      <c r="Q227" t="n">
        <v>0</v>
      </c>
      <c r="R227" s="2" t="inlineStr"/>
    </row>
    <row r="228" ht="15" customHeight="1">
      <c r="A228" t="inlineStr">
        <is>
          <t>A 8350-2021</t>
        </is>
      </c>
      <c r="B228" s="1" t="n">
        <v>44244</v>
      </c>
      <c r="C228" s="1" t="n">
        <v>45294</v>
      </c>
      <c r="D228" t="inlineStr">
        <is>
          <t>NORRBOTTENS LÄN</t>
        </is>
      </c>
      <c r="E228" t="inlineStr">
        <is>
          <t>JOKKMOKK</t>
        </is>
      </c>
      <c r="F228" t="inlineStr">
        <is>
          <t>SCA</t>
        </is>
      </c>
      <c r="G228" t="n">
        <v>2.4</v>
      </c>
      <c r="H228" t="n">
        <v>0</v>
      </c>
      <c r="I228" t="n">
        <v>0</v>
      </c>
      <c r="J228" t="n">
        <v>0</v>
      </c>
      <c r="K228" t="n">
        <v>0</v>
      </c>
      <c r="L228" t="n">
        <v>0</v>
      </c>
      <c r="M228" t="n">
        <v>0</v>
      </c>
      <c r="N228" t="n">
        <v>0</v>
      </c>
      <c r="O228" t="n">
        <v>0</v>
      </c>
      <c r="P228" t="n">
        <v>0</v>
      </c>
      <c r="Q228" t="n">
        <v>0</v>
      </c>
      <c r="R228" s="2" t="inlineStr"/>
    </row>
    <row r="229" ht="15" customHeight="1">
      <c r="A229" t="inlineStr">
        <is>
          <t>A 8357-2021</t>
        </is>
      </c>
      <c r="B229" s="1" t="n">
        <v>44244</v>
      </c>
      <c r="C229" s="1" t="n">
        <v>45294</v>
      </c>
      <c r="D229" t="inlineStr">
        <is>
          <t>NORRBOTTENS LÄN</t>
        </is>
      </c>
      <c r="E229" t="inlineStr">
        <is>
          <t>JOKKMOKK</t>
        </is>
      </c>
      <c r="F229" t="inlineStr">
        <is>
          <t>SCA</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8358-2021</t>
        </is>
      </c>
      <c r="B230" s="1" t="n">
        <v>44244</v>
      </c>
      <c r="C230" s="1" t="n">
        <v>45294</v>
      </c>
      <c r="D230" t="inlineStr">
        <is>
          <t>NORRBOTTENS LÄN</t>
        </is>
      </c>
      <c r="E230" t="inlineStr">
        <is>
          <t>JOKKMOKK</t>
        </is>
      </c>
      <c r="F230" t="inlineStr">
        <is>
          <t>SCA</t>
        </is>
      </c>
      <c r="G230" t="n">
        <v>4.5</v>
      </c>
      <c r="H230" t="n">
        <v>0</v>
      </c>
      <c r="I230" t="n">
        <v>0</v>
      </c>
      <c r="J230" t="n">
        <v>0</v>
      </c>
      <c r="K230" t="n">
        <v>0</v>
      </c>
      <c r="L230" t="n">
        <v>0</v>
      </c>
      <c r="M230" t="n">
        <v>0</v>
      </c>
      <c r="N230" t="n">
        <v>0</v>
      </c>
      <c r="O230" t="n">
        <v>0</v>
      </c>
      <c r="P230" t="n">
        <v>0</v>
      </c>
      <c r="Q230" t="n">
        <v>0</v>
      </c>
      <c r="R230" s="2" t="inlineStr"/>
    </row>
    <row r="231" ht="15" customHeight="1">
      <c r="A231" t="inlineStr">
        <is>
          <t>A 8360-2021</t>
        </is>
      </c>
      <c r="B231" s="1" t="n">
        <v>44244</v>
      </c>
      <c r="C231" s="1" t="n">
        <v>45294</v>
      </c>
      <c r="D231" t="inlineStr">
        <is>
          <t>NORRBOTTENS LÄN</t>
        </is>
      </c>
      <c r="E231" t="inlineStr">
        <is>
          <t>JOKKMOKK</t>
        </is>
      </c>
      <c r="F231" t="inlineStr">
        <is>
          <t>SCA</t>
        </is>
      </c>
      <c r="G231" t="n">
        <v>5</v>
      </c>
      <c r="H231" t="n">
        <v>0</v>
      </c>
      <c r="I231" t="n">
        <v>0</v>
      </c>
      <c r="J231" t="n">
        <v>0</v>
      </c>
      <c r="K231" t="n">
        <v>0</v>
      </c>
      <c r="L231" t="n">
        <v>0</v>
      </c>
      <c r="M231" t="n">
        <v>0</v>
      </c>
      <c r="N231" t="n">
        <v>0</v>
      </c>
      <c r="O231" t="n">
        <v>0</v>
      </c>
      <c r="P231" t="n">
        <v>0</v>
      </c>
      <c r="Q231" t="n">
        <v>0</v>
      </c>
      <c r="R231" s="2" t="inlineStr"/>
    </row>
    <row r="232" ht="15" customHeight="1">
      <c r="A232" t="inlineStr">
        <is>
          <t>A 8354-2021</t>
        </is>
      </c>
      <c r="B232" s="1" t="n">
        <v>44244</v>
      </c>
      <c r="C232" s="1" t="n">
        <v>45294</v>
      </c>
      <c r="D232" t="inlineStr">
        <is>
          <t>NORRBOTTENS LÄN</t>
        </is>
      </c>
      <c r="E232" t="inlineStr">
        <is>
          <t>JOKKMOKK</t>
        </is>
      </c>
      <c r="F232" t="inlineStr">
        <is>
          <t>SCA</t>
        </is>
      </c>
      <c r="G232" t="n">
        <v>2.9</v>
      </c>
      <c r="H232" t="n">
        <v>0</v>
      </c>
      <c r="I232" t="n">
        <v>0</v>
      </c>
      <c r="J232" t="n">
        <v>0</v>
      </c>
      <c r="K232" t="n">
        <v>0</v>
      </c>
      <c r="L232" t="n">
        <v>0</v>
      </c>
      <c r="M232" t="n">
        <v>0</v>
      </c>
      <c r="N232" t="n">
        <v>0</v>
      </c>
      <c r="O232" t="n">
        <v>0</v>
      </c>
      <c r="P232" t="n">
        <v>0</v>
      </c>
      <c r="Q232" t="n">
        <v>0</v>
      </c>
      <c r="R232" s="2" t="inlineStr"/>
    </row>
    <row r="233" ht="15" customHeight="1">
      <c r="A233" t="inlineStr">
        <is>
          <t>A 8641-2021</t>
        </is>
      </c>
      <c r="B233" s="1" t="n">
        <v>44245</v>
      </c>
      <c r="C233" s="1" t="n">
        <v>45294</v>
      </c>
      <c r="D233" t="inlineStr">
        <is>
          <t>NORRBOTTENS LÄN</t>
        </is>
      </c>
      <c r="E233" t="inlineStr">
        <is>
          <t>JOKKMOKK</t>
        </is>
      </c>
      <c r="F233" t="inlineStr">
        <is>
          <t>SCA</t>
        </is>
      </c>
      <c r="G233" t="n">
        <v>5.7</v>
      </c>
      <c r="H233" t="n">
        <v>0</v>
      </c>
      <c r="I233" t="n">
        <v>0</v>
      </c>
      <c r="J233" t="n">
        <v>0</v>
      </c>
      <c r="K233" t="n">
        <v>0</v>
      </c>
      <c r="L233" t="n">
        <v>0</v>
      </c>
      <c r="M233" t="n">
        <v>0</v>
      </c>
      <c r="N233" t="n">
        <v>0</v>
      </c>
      <c r="O233" t="n">
        <v>0</v>
      </c>
      <c r="P233" t="n">
        <v>0</v>
      </c>
      <c r="Q233" t="n">
        <v>0</v>
      </c>
      <c r="R233" s="2" t="inlineStr"/>
    </row>
    <row r="234" ht="15" customHeight="1">
      <c r="A234" t="inlineStr">
        <is>
          <t>A 8855-2021</t>
        </is>
      </c>
      <c r="B234" s="1" t="n">
        <v>44246</v>
      </c>
      <c r="C234" s="1" t="n">
        <v>45294</v>
      </c>
      <c r="D234" t="inlineStr">
        <is>
          <t>NORRBOTTENS LÄN</t>
        </is>
      </c>
      <c r="E234" t="inlineStr">
        <is>
          <t>JOKKMOKK</t>
        </is>
      </c>
      <c r="F234" t="inlineStr">
        <is>
          <t>SCA</t>
        </is>
      </c>
      <c r="G234" t="n">
        <v>14.3</v>
      </c>
      <c r="H234" t="n">
        <v>0</v>
      </c>
      <c r="I234" t="n">
        <v>0</v>
      </c>
      <c r="J234" t="n">
        <v>0</v>
      </c>
      <c r="K234" t="n">
        <v>0</v>
      </c>
      <c r="L234" t="n">
        <v>0</v>
      </c>
      <c r="M234" t="n">
        <v>0</v>
      </c>
      <c r="N234" t="n">
        <v>0</v>
      </c>
      <c r="O234" t="n">
        <v>0</v>
      </c>
      <c r="P234" t="n">
        <v>0</v>
      </c>
      <c r="Q234" t="n">
        <v>0</v>
      </c>
      <c r="R234" s="2" t="inlineStr"/>
    </row>
    <row r="235" ht="15" customHeight="1">
      <c r="A235" t="inlineStr">
        <is>
          <t>A 28319-2021</t>
        </is>
      </c>
      <c r="B235" s="1" t="n">
        <v>44355</v>
      </c>
      <c r="C235" s="1" t="n">
        <v>45294</v>
      </c>
      <c r="D235" t="inlineStr">
        <is>
          <t>NORRBOTTENS LÄN</t>
        </is>
      </c>
      <c r="E235" t="inlineStr">
        <is>
          <t>JOKKMOKK</t>
        </is>
      </c>
      <c r="F235" t="inlineStr">
        <is>
          <t>Övriga statliga verk och myndigheter</t>
        </is>
      </c>
      <c r="G235" t="n">
        <v>40</v>
      </c>
      <c r="H235" t="n">
        <v>0</v>
      </c>
      <c r="I235" t="n">
        <v>0</v>
      </c>
      <c r="J235" t="n">
        <v>0</v>
      </c>
      <c r="K235" t="n">
        <v>0</v>
      </c>
      <c r="L235" t="n">
        <v>0</v>
      </c>
      <c r="M235" t="n">
        <v>0</v>
      </c>
      <c r="N235" t="n">
        <v>0</v>
      </c>
      <c r="O235" t="n">
        <v>0</v>
      </c>
      <c r="P235" t="n">
        <v>0</v>
      </c>
      <c r="Q235" t="n">
        <v>0</v>
      </c>
      <c r="R235" s="2" t="inlineStr"/>
    </row>
    <row r="236" ht="15" customHeight="1">
      <c r="A236" t="inlineStr">
        <is>
          <t>A 29073-2021</t>
        </is>
      </c>
      <c r="B236" s="1" t="n">
        <v>44358</v>
      </c>
      <c r="C236" s="1" t="n">
        <v>45294</v>
      </c>
      <c r="D236" t="inlineStr">
        <is>
          <t>NORRBOTTENS LÄN</t>
        </is>
      </c>
      <c r="E236" t="inlineStr">
        <is>
          <t>JOKKMOKK</t>
        </is>
      </c>
      <c r="F236" t="inlineStr">
        <is>
          <t>Sveaskog</t>
        </is>
      </c>
      <c r="G236" t="n">
        <v>9.6</v>
      </c>
      <c r="H236" t="n">
        <v>0</v>
      </c>
      <c r="I236" t="n">
        <v>0</v>
      </c>
      <c r="J236" t="n">
        <v>0</v>
      </c>
      <c r="K236" t="n">
        <v>0</v>
      </c>
      <c r="L236" t="n">
        <v>0</v>
      </c>
      <c r="M236" t="n">
        <v>0</v>
      </c>
      <c r="N236" t="n">
        <v>0</v>
      </c>
      <c r="O236" t="n">
        <v>0</v>
      </c>
      <c r="P236" t="n">
        <v>0</v>
      </c>
      <c r="Q236" t="n">
        <v>0</v>
      </c>
      <c r="R236" s="2" t="inlineStr"/>
    </row>
    <row r="237" ht="15" customHeight="1">
      <c r="A237" t="inlineStr">
        <is>
          <t>A 29955-2021</t>
        </is>
      </c>
      <c r="B237" s="1" t="n">
        <v>44362</v>
      </c>
      <c r="C237" s="1" t="n">
        <v>45294</v>
      </c>
      <c r="D237" t="inlineStr">
        <is>
          <t>NORRBOTTENS LÄN</t>
        </is>
      </c>
      <c r="E237" t="inlineStr">
        <is>
          <t>JOKKMOKK</t>
        </is>
      </c>
      <c r="G237" t="n">
        <v>14.1</v>
      </c>
      <c r="H237" t="n">
        <v>0</v>
      </c>
      <c r="I237" t="n">
        <v>0</v>
      </c>
      <c r="J237" t="n">
        <v>0</v>
      </c>
      <c r="K237" t="n">
        <v>0</v>
      </c>
      <c r="L237" t="n">
        <v>0</v>
      </c>
      <c r="M237" t="n">
        <v>0</v>
      </c>
      <c r="N237" t="n">
        <v>0</v>
      </c>
      <c r="O237" t="n">
        <v>0</v>
      </c>
      <c r="P237" t="n">
        <v>0</v>
      </c>
      <c r="Q237" t="n">
        <v>0</v>
      </c>
      <c r="R237" s="2" t="inlineStr"/>
    </row>
    <row r="238" ht="15" customHeight="1">
      <c r="A238" t="inlineStr">
        <is>
          <t>A 31767-2021</t>
        </is>
      </c>
      <c r="B238" s="1" t="n">
        <v>44369</v>
      </c>
      <c r="C238" s="1" t="n">
        <v>45294</v>
      </c>
      <c r="D238" t="inlineStr">
        <is>
          <t>NORRBOTTENS LÄN</t>
        </is>
      </c>
      <c r="E238" t="inlineStr">
        <is>
          <t>JOKKMOKK</t>
        </is>
      </c>
      <c r="F238" t="inlineStr">
        <is>
          <t>Övriga statliga verk och myndigheter</t>
        </is>
      </c>
      <c r="G238" t="n">
        <v>12.1</v>
      </c>
      <c r="H238" t="n">
        <v>0</v>
      </c>
      <c r="I238" t="n">
        <v>0</v>
      </c>
      <c r="J238" t="n">
        <v>0</v>
      </c>
      <c r="K238" t="n">
        <v>0</v>
      </c>
      <c r="L238" t="n">
        <v>0</v>
      </c>
      <c r="M238" t="n">
        <v>0</v>
      </c>
      <c r="N238" t="n">
        <v>0</v>
      </c>
      <c r="O238" t="n">
        <v>0</v>
      </c>
      <c r="P238" t="n">
        <v>0</v>
      </c>
      <c r="Q238" t="n">
        <v>0</v>
      </c>
      <c r="R238" s="2" t="inlineStr"/>
    </row>
    <row r="239" ht="15" customHeight="1">
      <c r="A239" t="inlineStr">
        <is>
          <t>A 31902-2021</t>
        </is>
      </c>
      <c r="B239" s="1" t="n">
        <v>44370</v>
      </c>
      <c r="C239" s="1" t="n">
        <v>45294</v>
      </c>
      <c r="D239" t="inlineStr">
        <is>
          <t>NORRBOTTENS LÄN</t>
        </is>
      </c>
      <c r="E239" t="inlineStr">
        <is>
          <t>JOKKMOKK</t>
        </is>
      </c>
      <c r="G239" t="n">
        <v>20</v>
      </c>
      <c r="H239" t="n">
        <v>0</v>
      </c>
      <c r="I239" t="n">
        <v>0</v>
      </c>
      <c r="J239" t="n">
        <v>0</v>
      </c>
      <c r="K239" t="n">
        <v>0</v>
      </c>
      <c r="L239" t="n">
        <v>0</v>
      </c>
      <c r="M239" t="n">
        <v>0</v>
      </c>
      <c r="N239" t="n">
        <v>0</v>
      </c>
      <c r="O239" t="n">
        <v>0</v>
      </c>
      <c r="P239" t="n">
        <v>0</v>
      </c>
      <c r="Q239" t="n">
        <v>0</v>
      </c>
      <c r="R239" s="2" t="inlineStr"/>
    </row>
    <row r="240" ht="15" customHeight="1">
      <c r="A240" t="inlineStr">
        <is>
          <t>A 32751-2021</t>
        </is>
      </c>
      <c r="B240" s="1" t="n">
        <v>44375</v>
      </c>
      <c r="C240" s="1" t="n">
        <v>45294</v>
      </c>
      <c r="D240" t="inlineStr">
        <is>
          <t>NORRBOTTENS LÄN</t>
        </is>
      </c>
      <c r="E240" t="inlineStr">
        <is>
          <t>JOKKMOKK</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34062-2021</t>
        </is>
      </c>
      <c r="B241" s="1" t="n">
        <v>44378</v>
      </c>
      <c r="C241" s="1" t="n">
        <v>45294</v>
      </c>
      <c r="D241" t="inlineStr">
        <is>
          <t>NORRBOTTENS LÄN</t>
        </is>
      </c>
      <c r="E241" t="inlineStr">
        <is>
          <t>JOKKMOKK</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34084-2021</t>
        </is>
      </c>
      <c r="B242" s="1" t="n">
        <v>44378</v>
      </c>
      <c r="C242" s="1" t="n">
        <v>45294</v>
      </c>
      <c r="D242" t="inlineStr">
        <is>
          <t>NORRBOTTENS LÄN</t>
        </is>
      </c>
      <c r="E242" t="inlineStr">
        <is>
          <t>JOKKMOKK</t>
        </is>
      </c>
      <c r="G242" t="n">
        <v>9.6</v>
      </c>
      <c r="H242" t="n">
        <v>0</v>
      </c>
      <c r="I242" t="n">
        <v>0</v>
      </c>
      <c r="J242" t="n">
        <v>0</v>
      </c>
      <c r="K242" t="n">
        <v>0</v>
      </c>
      <c r="L242" t="n">
        <v>0</v>
      </c>
      <c r="M242" t="n">
        <v>0</v>
      </c>
      <c r="N242" t="n">
        <v>0</v>
      </c>
      <c r="O242" t="n">
        <v>0</v>
      </c>
      <c r="P242" t="n">
        <v>0</v>
      </c>
      <c r="Q242" t="n">
        <v>0</v>
      </c>
      <c r="R242" s="2" t="inlineStr"/>
    </row>
    <row r="243" ht="15" customHeight="1">
      <c r="A243" t="inlineStr">
        <is>
          <t>A 34752-2021</t>
        </is>
      </c>
      <c r="B243" s="1" t="n">
        <v>44382</v>
      </c>
      <c r="C243" s="1" t="n">
        <v>45294</v>
      </c>
      <c r="D243" t="inlineStr">
        <is>
          <t>NORRBOTTENS LÄN</t>
        </is>
      </c>
      <c r="E243" t="inlineStr">
        <is>
          <t>JOKKMOKK</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36607-2021</t>
        </is>
      </c>
      <c r="B244" s="1" t="n">
        <v>44391</v>
      </c>
      <c r="C244" s="1" t="n">
        <v>45294</v>
      </c>
      <c r="D244" t="inlineStr">
        <is>
          <t>NORRBOTTENS LÄN</t>
        </is>
      </c>
      <c r="E244" t="inlineStr">
        <is>
          <t>JOKKMOKK</t>
        </is>
      </c>
      <c r="F244" t="inlineStr">
        <is>
          <t>Allmännings- och besparingsskogar</t>
        </is>
      </c>
      <c r="G244" t="n">
        <v>9.5</v>
      </c>
      <c r="H244" t="n">
        <v>0</v>
      </c>
      <c r="I244" t="n">
        <v>0</v>
      </c>
      <c r="J244" t="n">
        <v>0</v>
      </c>
      <c r="K244" t="n">
        <v>0</v>
      </c>
      <c r="L244" t="n">
        <v>0</v>
      </c>
      <c r="M244" t="n">
        <v>0</v>
      </c>
      <c r="N244" t="n">
        <v>0</v>
      </c>
      <c r="O244" t="n">
        <v>0</v>
      </c>
      <c r="P244" t="n">
        <v>0</v>
      </c>
      <c r="Q244" t="n">
        <v>0</v>
      </c>
      <c r="R244" s="2" t="inlineStr"/>
    </row>
    <row r="245" ht="15" customHeight="1">
      <c r="A245" t="inlineStr">
        <is>
          <t>A 37114-2021</t>
        </is>
      </c>
      <c r="B245" s="1" t="n">
        <v>44393</v>
      </c>
      <c r="C245" s="1" t="n">
        <v>45294</v>
      </c>
      <c r="D245" t="inlineStr">
        <is>
          <t>NORRBOTTENS LÄN</t>
        </is>
      </c>
      <c r="E245" t="inlineStr">
        <is>
          <t>JOKKMOKK</t>
        </is>
      </c>
      <c r="F245" t="inlineStr">
        <is>
          <t>Övriga statliga verk och myndigheter</t>
        </is>
      </c>
      <c r="G245" t="n">
        <v>30</v>
      </c>
      <c r="H245" t="n">
        <v>0</v>
      </c>
      <c r="I245" t="n">
        <v>0</v>
      </c>
      <c r="J245" t="n">
        <v>0</v>
      </c>
      <c r="K245" t="n">
        <v>0</v>
      </c>
      <c r="L245" t="n">
        <v>0</v>
      </c>
      <c r="M245" t="n">
        <v>0</v>
      </c>
      <c r="N245" t="n">
        <v>0</v>
      </c>
      <c r="O245" t="n">
        <v>0</v>
      </c>
      <c r="P245" t="n">
        <v>0</v>
      </c>
      <c r="Q245" t="n">
        <v>0</v>
      </c>
      <c r="R245" s="2" t="inlineStr"/>
    </row>
    <row r="246" ht="15" customHeight="1">
      <c r="A246" t="inlineStr">
        <is>
          <t>A 38039-2021</t>
        </is>
      </c>
      <c r="B246" s="1" t="n">
        <v>44404</v>
      </c>
      <c r="C246" s="1" t="n">
        <v>45294</v>
      </c>
      <c r="D246" t="inlineStr">
        <is>
          <t>NORRBOTTENS LÄN</t>
        </is>
      </c>
      <c r="E246" t="inlineStr">
        <is>
          <t>JOKKMOKK</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39784-2021</t>
        </is>
      </c>
      <c r="B247" s="1" t="n">
        <v>44417</v>
      </c>
      <c r="C247" s="1" t="n">
        <v>45294</v>
      </c>
      <c r="D247" t="inlineStr">
        <is>
          <t>NORRBOTTENS LÄN</t>
        </is>
      </c>
      <c r="E247" t="inlineStr">
        <is>
          <t>JOKKMOKK</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41923-2021</t>
        </is>
      </c>
      <c r="B248" s="1" t="n">
        <v>44425</v>
      </c>
      <c r="C248" s="1" t="n">
        <v>45294</v>
      </c>
      <c r="D248" t="inlineStr">
        <is>
          <t>NORRBOTTENS LÄN</t>
        </is>
      </c>
      <c r="E248" t="inlineStr">
        <is>
          <t>JOKKMOKK</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43014-2021</t>
        </is>
      </c>
      <c r="B249" s="1" t="n">
        <v>44431</v>
      </c>
      <c r="C249" s="1" t="n">
        <v>45294</v>
      </c>
      <c r="D249" t="inlineStr">
        <is>
          <t>NORRBOTTENS LÄN</t>
        </is>
      </c>
      <c r="E249" t="inlineStr">
        <is>
          <t>JOKKMOKK</t>
        </is>
      </c>
      <c r="G249" t="n">
        <v>2.8</v>
      </c>
      <c r="H249" t="n">
        <v>0</v>
      </c>
      <c r="I249" t="n">
        <v>0</v>
      </c>
      <c r="J249" t="n">
        <v>0</v>
      </c>
      <c r="K249" t="n">
        <v>0</v>
      </c>
      <c r="L249" t="n">
        <v>0</v>
      </c>
      <c r="M249" t="n">
        <v>0</v>
      </c>
      <c r="N249" t="n">
        <v>0</v>
      </c>
      <c r="O249" t="n">
        <v>0</v>
      </c>
      <c r="P249" t="n">
        <v>0</v>
      </c>
      <c r="Q249" t="n">
        <v>0</v>
      </c>
      <c r="R249" s="2" t="inlineStr"/>
    </row>
    <row r="250" ht="15" customHeight="1">
      <c r="A250" t="inlineStr">
        <is>
          <t>A 43720-2021</t>
        </is>
      </c>
      <c r="B250" s="1" t="n">
        <v>44433</v>
      </c>
      <c r="C250" s="1" t="n">
        <v>45294</v>
      </c>
      <c r="D250" t="inlineStr">
        <is>
          <t>NORRBOTTENS LÄN</t>
        </is>
      </c>
      <c r="E250" t="inlineStr">
        <is>
          <t>JOKKMOKK</t>
        </is>
      </c>
      <c r="F250" t="inlineStr">
        <is>
          <t>Sveaskog</t>
        </is>
      </c>
      <c r="G250" t="n">
        <v>8</v>
      </c>
      <c r="H250" t="n">
        <v>0</v>
      </c>
      <c r="I250" t="n">
        <v>0</v>
      </c>
      <c r="J250" t="n">
        <v>0</v>
      </c>
      <c r="K250" t="n">
        <v>0</v>
      </c>
      <c r="L250" t="n">
        <v>0</v>
      </c>
      <c r="M250" t="n">
        <v>0</v>
      </c>
      <c r="N250" t="n">
        <v>0</v>
      </c>
      <c r="O250" t="n">
        <v>0</v>
      </c>
      <c r="P250" t="n">
        <v>0</v>
      </c>
      <c r="Q250" t="n">
        <v>0</v>
      </c>
      <c r="R250" s="2" t="inlineStr"/>
    </row>
    <row r="251" ht="15" customHeight="1">
      <c r="A251" t="inlineStr">
        <is>
          <t>A 43780-2021</t>
        </is>
      </c>
      <c r="B251" s="1" t="n">
        <v>44433</v>
      </c>
      <c r="C251" s="1" t="n">
        <v>45294</v>
      </c>
      <c r="D251" t="inlineStr">
        <is>
          <t>NORRBOTTENS LÄN</t>
        </is>
      </c>
      <c r="E251" t="inlineStr">
        <is>
          <t>JOKKMOKK</t>
        </is>
      </c>
      <c r="G251" t="n">
        <v>2.7</v>
      </c>
      <c r="H251" t="n">
        <v>0</v>
      </c>
      <c r="I251" t="n">
        <v>0</v>
      </c>
      <c r="J251" t="n">
        <v>0</v>
      </c>
      <c r="K251" t="n">
        <v>0</v>
      </c>
      <c r="L251" t="n">
        <v>0</v>
      </c>
      <c r="M251" t="n">
        <v>0</v>
      </c>
      <c r="N251" t="n">
        <v>0</v>
      </c>
      <c r="O251" t="n">
        <v>0</v>
      </c>
      <c r="P251" t="n">
        <v>0</v>
      </c>
      <c r="Q251" t="n">
        <v>0</v>
      </c>
      <c r="R251" s="2" t="inlineStr"/>
    </row>
    <row r="252" ht="15" customHeight="1">
      <c r="A252" t="inlineStr">
        <is>
          <t>A 43785-2021</t>
        </is>
      </c>
      <c r="B252" s="1" t="n">
        <v>44433</v>
      </c>
      <c r="C252" s="1" t="n">
        <v>45294</v>
      </c>
      <c r="D252" t="inlineStr">
        <is>
          <t>NORRBOTTENS LÄN</t>
        </is>
      </c>
      <c r="E252" t="inlineStr">
        <is>
          <t>JOKKMOKK</t>
        </is>
      </c>
      <c r="G252" t="n">
        <v>3.8</v>
      </c>
      <c r="H252" t="n">
        <v>0</v>
      </c>
      <c r="I252" t="n">
        <v>0</v>
      </c>
      <c r="J252" t="n">
        <v>0</v>
      </c>
      <c r="K252" t="n">
        <v>0</v>
      </c>
      <c r="L252" t="n">
        <v>0</v>
      </c>
      <c r="M252" t="n">
        <v>0</v>
      </c>
      <c r="N252" t="n">
        <v>0</v>
      </c>
      <c r="O252" t="n">
        <v>0</v>
      </c>
      <c r="P252" t="n">
        <v>0</v>
      </c>
      <c r="Q252" t="n">
        <v>0</v>
      </c>
      <c r="R252" s="2" t="inlineStr"/>
    </row>
    <row r="253" ht="15" customHeight="1">
      <c r="A253" t="inlineStr">
        <is>
          <t>A 43783-2021</t>
        </is>
      </c>
      <c r="B253" s="1" t="n">
        <v>44433</v>
      </c>
      <c r="C253" s="1" t="n">
        <v>45294</v>
      </c>
      <c r="D253" t="inlineStr">
        <is>
          <t>NORRBOTTENS LÄN</t>
        </is>
      </c>
      <c r="E253" t="inlineStr">
        <is>
          <t>JOKKMOKK</t>
        </is>
      </c>
      <c r="G253" t="n">
        <v>2.3</v>
      </c>
      <c r="H253" t="n">
        <v>0</v>
      </c>
      <c r="I253" t="n">
        <v>0</v>
      </c>
      <c r="J253" t="n">
        <v>0</v>
      </c>
      <c r="K253" t="n">
        <v>0</v>
      </c>
      <c r="L253" t="n">
        <v>0</v>
      </c>
      <c r="M253" t="n">
        <v>0</v>
      </c>
      <c r="N253" t="n">
        <v>0</v>
      </c>
      <c r="O253" t="n">
        <v>0</v>
      </c>
      <c r="P253" t="n">
        <v>0</v>
      </c>
      <c r="Q253" t="n">
        <v>0</v>
      </c>
      <c r="R253" s="2" t="inlineStr"/>
    </row>
    <row r="254" ht="15" customHeight="1">
      <c r="A254" t="inlineStr">
        <is>
          <t>A 43781-2021</t>
        </is>
      </c>
      <c r="B254" s="1" t="n">
        <v>44433</v>
      </c>
      <c r="C254" s="1" t="n">
        <v>45294</v>
      </c>
      <c r="D254" t="inlineStr">
        <is>
          <t>NORRBOTTENS LÄN</t>
        </is>
      </c>
      <c r="E254" t="inlineStr">
        <is>
          <t>JOKKMOKK</t>
        </is>
      </c>
      <c r="G254" t="n">
        <v>1.7</v>
      </c>
      <c r="H254" t="n">
        <v>0</v>
      </c>
      <c r="I254" t="n">
        <v>0</v>
      </c>
      <c r="J254" t="n">
        <v>0</v>
      </c>
      <c r="K254" t="n">
        <v>0</v>
      </c>
      <c r="L254" t="n">
        <v>0</v>
      </c>
      <c r="M254" t="n">
        <v>0</v>
      </c>
      <c r="N254" t="n">
        <v>0</v>
      </c>
      <c r="O254" t="n">
        <v>0</v>
      </c>
      <c r="P254" t="n">
        <v>0</v>
      </c>
      <c r="Q254" t="n">
        <v>0</v>
      </c>
      <c r="R254" s="2" t="inlineStr"/>
    </row>
    <row r="255" ht="15" customHeight="1">
      <c r="A255" t="inlineStr">
        <is>
          <t>A 44646-2021</t>
        </is>
      </c>
      <c r="B255" s="1" t="n">
        <v>44437</v>
      </c>
      <c r="C255" s="1" t="n">
        <v>45294</v>
      </c>
      <c r="D255" t="inlineStr">
        <is>
          <t>NORRBOTTENS LÄN</t>
        </is>
      </c>
      <c r="E255" t="inlineStr">
        <is>
          <t>JOKKMOKK</t>
        </is>
      </c>
      <c r="G255" t="n">
        <v>10</v>
      </c>
      <c r="H255" t="n">
        <v>0</v>
      </c>
      <c r="I255" t="n">
        <v>0</v>
      </c>
      <c r="J255" t="n">
        <v>0</v>
      </c>
      <c r="K255" t="n">
        <v>0</v>
      </c>
      <c r="L255" t="n">
        <v>0</v>
      </c>
      <c r="M255" t="n">
        <v>0</v>
      </c>
      <c r="N255" t="n">
        <v>0</v>
      </c>
      <c r="O255" t="n">
        <v>0</v>
      </c>
      <c r="P255" t="n">
        <v>0</v>
      </c>
      <c r="Q255" t="n">
        <v>0</v>
      </c>
      <c r="R255" s="2" t="inlineStr"/>
    </row>
    <row r="256" ht="15" customHeight="1">
      <c r="A256" t="inlineStr">
        <is>
          <t>A 49483-2021</t>
        </is>
      </c>
      <c r="B256" s="1" t="n">
        <v>44454</v>
      </c>
      <c r="C256" s="1" t="n">
        <v>45294</v>
      </c>
      <c r="D256" t="inlineStr">
        <is>
          <t>NORRBOTTENS LÄN</t>
        </is>
      </c>
      <c r="E256" t="inlineStr">
        <is>
          <t>JOKKMOKK</t>
        </is>
      </c>
      <c r="F256" t="inlineStr">
        <is>
          <t>SCA</t>
        </is>
      </c>
      <c r="G256" t="n">
        <v>24.2</v>
      </c>
      <c r="H256" t="n">
        <v>0</v>
      </c>
      <c r="I256" t="n">
        <v>0</v>
      </c>
      <c r="J256" t="n">
        <v>0</v>
      </c>
      <c r="K256" t="n">
        <v>0</v>
      </c>
      <c r="L256" t="n">
        <v>0</v>
      </c>
      <c r="M256" t="n">
        <v>0</v>
      </c>
      <c r="N256" t="n">
        <v>0</v>
      </c>
      <c r="O256" t="n">
        <v>0</v>
      </c>
      <c r="P256" t="n">
        <v>0</v>
      </c>
      <c r="Q256" t="n">
        <v>0</v>
      </c>
      <c r="R256" s="2" t="inlineStr"/>
    </row>
    <row r="257" ht="15" customHeight="1">
      <c r="A257" t="inlineStr">
        <is>
          <t>A 49482-2021</t>
        </is>
      </c>
      <c r="B257" s="1" t="n">
        <v>44454</v>
      </c>
      <c r="C257" s="1" t="n">
        <v>45294</v>
      </c>
      <c r="D257" t="inlineStr">
        <is>
          <t>NORRBOTTENS LÄN</t>
        </is>
      </c>
      <c r="E257" t="inlineStr">
        <is>
          <t>JOKKMOKK</t>
        </is>
      </c>
      <c r="F257" t="inlineStr">
        <is>
          <t>SCA</t>
        </is>
      </c>
      <c r="G257" t="n">
        <v>20.4</v>
      </c>
      <c r="H257" t="n">
        <v>0</v>
      </c>
      <c r="I257" t="n">
        <v>0</v>
      </c>
      <c r="J257" t="n">
        <v>0</v>
      </c>
      <c r="K257" t="n">
        <v>0</v>
      </c>
      <c r="L257" t="n">
        <v>0</v>
      </c>
      <c r="M257" t="n">
        <v>0</v>
      </c>
      <c r="N257" t="n">
        <v>0</v>
      </c>
      <c r="O257" t="n">
        <v>0</v>
      </c>
      <c r="P257" t="n">
        <v>0</v>
      </c>
      <c r="Q257" t="n">
        <v>0</v>
      </c>
      <c r="R257" s="2" t="inlineStr"/>
    </row>
    <row r="258" ht="15" customHeight="1">
      <c r="A258" t="inlineStr">
        <is>
          <t>A 52280-2021</t>
        </is>
      </c>
      <c r="B258" s="1" t="n">
        <v>44462</v>
      </c>
      <c r="C258" s="1" t="n">
        <v>45294</v>
      </c>
      <c r="D258" t="inlineStr">
        <is>
          <t>NORRBOTTENS LÄN</t>
        </is>
      </c>
      <c r="E258" t="inlineStr">
        <is>
          <t>JOKKMOKK</t>
        </is>
      </c>
      <c r="F258" t="inlineStr">
        <is>
          <t>Övriga statliga verk och myndigheter</t>
        </is>
      </c>
      <c r="G258" t="n">
        <v>25.9</v>
      </c>
      <c r="H258" t="n">
        <v>0</v>
      </c>
      <c r="I258" t="n">
        <v>0</v>
      </c>
      <c r="J258" t="n">
        <v>0</v>
      </c>
      <c r="K258" t="n">
        <v>0</v>
      </c>
      <c r="L258" t="n">
        <v>0</v>
      </c>
      <c r="M258" t="n">
        <v>0</v>
      </c>
      <c r="N258" t="n">
        <v>0</v>
      </c>
      <c r="O258" t="n">
        <v>0</v>
      </c>
      <c r="P258" t="n">
        <v>0</v>
      </c>
      <c r="Q258" t="n">
        <v>0</v>
      </c>
      <c r="R258" s="2" t="inlineStr"/>
    </row>
    <row r="259" ht="15" customHeight="1">
      <c r="A259" t="inlineStr">
        <is>
          <t>A 56199-2021</t>
        </is>
      </c>
      <c r="B259" s="1" t="n">
        <v>44477</v>
      </c>
      <c r="C259" s="1" t="n">
        <v>45294</v>
      </c>
      <c r="D259" t="inlineStr">
        <is>
          <t>NORRBOTTENS LÄN</t>
        </is>
      </c>
      <c r="E259" t="inlineStr">
        <is>
          <t>JOKKMOKK</t>
        </is>
      </c>
      <c r="G259" t="n">
        <v>1</v>
      </c>
      <c r="H259" t="n">
        <v>0</v>
      </c>
      <c r="I259" t="n">
        <v>0</v>
      </c>
      <c r="J259" t="n">
        <v>0</v>
      </c>
      <c r="K259" t="n">
        <v>0</v>
      </c>
      <c r="L259" t="n">
        <v>0</v>
      </c>
      <c r="M259" t="n">
        <v>0</v>
      </c>
      <c r="N259" t="n">
        <v>0</v>
      </c>
      <c r="O259" t="n">
        <v>0</v>
      </c>
      <c r="P259" t="n">
        <v>0</v>
      </c>
      <c r="Q259" t="n">
        <v>0</v>
      </c>
      <c r="R259" s="2" t="inlineStr"/>
    </row>
    <row r="260" ht="15" customHeight="1">
      <c r="A260" t="inlineStr">
        <is>
          <t>A 56412-2021</t>
        </is>
      </c>
      <c r="B260" s="1" t="n">
        <v>44477</v>
      </c>
      <c r="C260" s="1" t="n">
        <v>45294</v>
      </c>
      <c r="D260" t="inlineStr">
        <is>
          <t>NORRBOTTENS LÄN</t>
        </is>
      </c>
      <c r="E260" t="inlineStr">
        <is>
          <t>JOKKMOKK</t>
        </is>
      </c>
      <c r="G260" t="n">
        <v>2.5</v>
      </c>
      <c r="H260" t="n">
        <v>0</v>
      </c>
      <c r="I260" t="n">
        <v>0</v>
      </c>
      <c r="J260" t="n">
        <v>0</v>
      </c>
      <c r="K260" t="n">
        <v>0</v>
      </c>
      <c r="L260" t="n">
        <v>0</v>
      </c>
      <c r="M260" t="n">
        <v>0</v>
      </c>
      <c r="N260" t="n">
        <v>0</v>
      </c>
      <c r="O260" t="n">
        <v>0</v>
      </c>
      <c r="P260" t="n">
        <v>0</v>
      </c>
      <c r="Q260" t="n">
        <v>0</v>
      </c>
      <c r="R260" s="2" t="inlineStr"/>
    </row>
    <row r="261" ht="15" customHeight="1">
      <c r="A261" t="inlineStr">
        <is>
          <t>A 56523-2021</t>
        </is>
      </c>
      <c r="B261" s="1" t="n">
        <v>44477</v>
      </c>
      <c r="C261" s="1" t="n">
        <v>45294</v>
      </c>
      <c r="D261" t="inlineStr">
        <is>
          <t>NORRBOTTENS LÄN</t>
        </is>
      </c>
      <c r="E261" t="inlineStr">
        <is>
          <t>JOKKMOKK</t>
        </is>
      </c>
      <c r="G261" t="n">
        <v>6.6</v>
      </c>
      <c r="H261" t="n">
        <v>0</v>
      </c>
      <c r="I261" t="n">
        <v>0</v>
      </c>
      <c r="J261" t="n">
        <v>0</v>
      </c>
      <c r="K261" t="n">
        <v>0</v>
      </c>
      <c r="L261" t="n">
        <v>0</v>
      </c>
      <c r="M261" t="n">
        <v>0</v>
      </c>
      <c r="N261" t="n">
        <v>0</v>
      </c>
      <c r="O261" t="n">
        <v>0</v>
      </c>
      <c r="P261" t="n">
        <v>0</v>
      </c>
      <c r="Q261" t="n">
        <v>0</v>
      </c>
      <c r="R261" s="2" t="inlineStr"/>
    </row>
    <row r="262" ht="15" customHeight="1">
      <c r="A262" t="inlineStr">
        <is>
          <t>A 59189-2021</t>
        </is>
      </c>
      <c r="B262" s="1" t="n">
        <v>44490</v>
      </c>
      <c r="C262" s="1" t="n">
        <v>45294</v>
      </c>
      <c r="D262" t="inlineStr">
        <is>
          <t>NORRBOTTENS LÄN</t>
        </is>
      </c>
      <c r="E262" t="inlineStr">
        <is>
          <t>JOKKMOKK</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59849-2021</t>
        </is>
      </c>
      <c r="B263" s="1" t="n">
        <v>44493</v>
      </c>
      <c r="C263" s="1" t="n">
        <v>45294</v>
      </c>
      <c r="D263" t="inlineStr">
        <is>
          <t>NORRBOTTENS LÄN</t>
        </is>
      </c>
      <c r="E263" t="inlineStr">
        <is>
          <t>JOKKMOKK</t>
        </is>
      </c>
      <c r="F263" t="inlineStr">
        <is>
          <t>Övriga Aktiebolag</t>
        </is>
      </c>
      <c r="G263" t="n">
        <v>11.7</v>
      </c>
      <c r="H263" t="n">
        <v>0</v>
      </c>
      <c r="I263" t="n">
        <v>0</v>
      </c>
      <c r="J263" t="n">
        <v>0</v>
      </c>
      <c r="K263" t="n">
        <v>0</v>
      </c>
      <c r="L263" t="n">
        <v>0</v>
      </c>
      <c r="M263" t="n">
        <v>0</v>
      </c>
      <c r="N263" t="n">
        <v>0</v>
      </c>
      <c r="O263" t="n">
        <v>0</v>
      </c>
      <c r="P263" t="n">
        <v>0</v>
      </c>
      <c r="Q263" t="n">
        <v>0</v>
      </c>
      <c r="R263" s="2" t="inlineStr"/>
    </row>
    <row r="264" ht="15" customHeight="1">
      <c r="A264" t="inlineStr">
        <is>
          <t>A 68780-2021</t>
        </is>
      </c>
      <c r="B264" s="1" t="n">
        <v>44529</v>
      </c>
      <c r="C264" s="1" t="n">
        <v>45294</v>
      </c>
      <c r="D264" t="inlineStr">
        <is>
          <t>NORRBOTTENS LÄN</t>
        </is>
      </c>
      <c r="E264" t="inlineStr">
        <is>
          <t>JOKKMOKK</t>
        </is>
      </c>
      <c r="F264" t="inlineStr">
        <is>
          <t>SCA</t>
        </is>
      </c>
      <c r="G264" t="n">
        <v>4</v>
      </c>
      <c r="H264" t="n">
        <v>0</v>
      </c>
      <c r="I264" t="n">
        <v>0</v>
      </c>
      <c r="J264" t="n">
        <v>0</v>
      </c>
      <c r="K264" t="n">
        <v>0</v>
      </c>
      <c r="L264" t="n">
        <v>0</v>
      </c>
      <c r="M264" t="n">
        <v>0</v>
      </c>
      <c r="N264" t="n">
        <v>0</v>
      </c>
      <c r="O264" t="n">
        <v>0</v>
      </c>
      <c r="P264" t="n">
        <v>0</v>
      </c>
      <c r="Q264" t="n">
        <v>0</v>
      </c>
      <c r="R264" s="2" t="inlineStr"/>
    </row>
    <row r="265" ht="15" customHeight="1">
      <c r="A265" t="inlineStr">
        <is>
          <t>A 69883-2021</t>
        </is>
      </c>
      <c r="B265" s="1" t="n">
        <v>44532</v>
      </c>
      <c r="C265" s="1" t="n">
        <v>45294</v>
      </c>
      <c r="D265" t="inlineStr">
        <is>
          <t>NORRBOTTENS LÄN</t>
        </is>
      </c>
      <c r="E265" t="inlineStr">
        <is>
          <t>JOKKMOKK</t>
        </is>
      </c>
      <c r="G265" t="n">
        <v>12.5</v>
      </c>
      <c r="H265" t="n">
        <v>0</v>
      </c>
      <c r="I265" t="n">
        <v>0</v>
      </c>
      <c r="J265" t="n">
        <v>0</v>
      </c>
      <c r="K265" t="n">
        <v>0</v>
      </c>
      <c r="L265" t="n">
        <v>0</v>
      </c>
      <c r="M265" t="n">
        <v>0</v>
      </c>
      <c r="N265" t="n">
        <v>0</v>
      </c>
      <c r="O265" t="n">
        <v>0</v>
      </c>
      <c r="P265" t="n">
        <v>0</v>
      </c>
      <c r="Q265" t="n">
        <v>0</v>
      </c>
      <c r="R265" s="2" t="inlineStr"/>
    </row>
    <row r="266" ht="15" customHeight="1">
      <c r="A266" t="inlineStr">
        <is>
          <t>A 71368-2021</t>
        </is>
      </c>
      <c r="B266" s="1" t="n">
        <v>44539</v>
      </c>
      <c r="C266" s="1" t="n">
        <v>45294</v>
      </c>
      <c r="D266" t="inlineStr">
        <is>
          <t>NORRBOTTENS LÄN</t>
        </is>
      </c>
      <c r="E266" t="inlineStr">
        <is>
          <t>JOKKMOKK</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71374-2021</t>
        </is>
      </c>
      <c r="B267" s="1" t="n">
        <v>44539</v>
      </c>
      <c r="C267" s="1" t="n">
        <v>45294</v>
      </c>
      <c r="D267" t="inlineStr">
        <is>
          <t>NORRBOTTENS LÄN</t>
        </is>
      </c>
      <c r="E267" t="inlineStr">
        <is>
          <t>JOKKMOKK</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45294</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45294</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45294</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45294</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45294</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45294</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45294</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45294</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45294</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45294</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45294</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45294</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45294</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45294</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45294</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45294</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45294</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45294</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45294</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45294</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45294</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45294</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45294</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45294</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45294</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3786-2022</t>
        </is>
      </c>
      <c r="B293" s="1" t="n">
        <v>44586</v>
      </c>
      <c r="C293" s="1" t="n">
        <v>45294</v>
      </c>
      <c r="D293" t="inlineStr">
        <is>
          <t>NORRBOTTENS LÄN</t>
        </is>
      </c>
      <c r="E293" t="inlineStr">
        <is>
          <t>JOKKMOKK</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45294</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45294</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45294</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45294</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45294</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45294</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45294</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45294</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45294</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45294</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45294</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45294</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45294</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45294</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45294</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45294</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45294</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45294</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45294</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45294</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45294</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45294</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45294</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45294</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45294</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45294</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45294</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45294</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45294</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45294</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45294</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45294</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45294</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45294</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45294</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45294</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45294</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45294</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45294</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45294</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45294</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45294</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45294</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45294</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45294</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45294</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45294</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45294</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45294</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45294</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45294</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45294</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45294</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45294</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45294</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45294</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45294</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45294</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45294</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45294</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45294</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45294</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45294</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45294</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45294</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45294</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45294</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45294</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45294</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45294</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45294</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45294</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45294</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45294</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45294</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45294</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45294</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45294</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45294</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45294</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45294</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45294</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45294</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45294</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45294</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45294</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45294</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45294</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45294</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45294</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45294</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45294</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45294</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45294</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45294</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45294</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45294</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45294</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45294</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45294</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45294</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45294</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45294</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45294</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45294</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45294</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45294</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45294</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45294</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45294</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45294</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45294</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45294</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45294</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45294</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45294</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45294</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45294</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45294</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28089-2023</t>
        </is>
      </c>
      <c r="B413" s="1" t="n">
        <v>45099</v>
      </c>
      <c r="C413" s="1" t="n">
        <v>45294</v>
      </c>
      <c r="D413" t="inlineStr">
        <is>
          <t>NORRBOTTENS LÄN</t>
        </is>
      </c>
      <c r="E413" t="inlineStr">
        <is>
          <t>JOKKMOKK</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29626-2023</t>
        </is>
      </c>
      <c r="B414" s="1" t="n">
        <v>45107</v>
      </c>
      <c r="C414" s="1" t="n">
        <v>45294</v>
      </c>
      <c r="D414" t="inlineStr">
        <is>
          <t>NORRBOTTENS LÄN</t>
        </is>
      </c>
      <c r="E414" t="inlineStr">
        <is>
          <t>JOKKMOKK</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45294</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45294</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45294</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45294</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45294</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45294</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45294</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45294</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45294</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45294</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45294</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32990-2023</t>
        </is>
      </c>
      <c r="B426" s="1" t="n">
        <v>45113</v>
      </c>
      <c r="C426" s="1" t="n">
        <v>45294</v>
      </c>
      <c r="D426" t="inlineStr">
        <is>
          <t>NORRBOTTENS LÄN</t>
        </is>
      </c>
      <c r="E426" t="inlineStr">
        <is>
          <t>JOKKMOKK</t>
        </is>
      </c>
      <c r="F426" t="inlineStr">
        <is>
          <t>Övriga statliga verk och myndigheter</t>
        </is>
      </c>
      <c r="G426" t="n">
        <v>22.7</v>
      </c>
      <c r="H426" t="n">
        <v>0</v>
      </c>
      <c r="I426" t="n">
        <v>0</v>
      </c>
      <c r="J426" t="n">
        <v>0</v>
      </c>
      <c r="K426" t="n">
        <v>0</v>
      </c>
      <c r="L426" t="n">
        <v>0</v>
      </c>
      <c r="M426" t="n">
        <v>0</v>
      </c>
      <c r="N426" t="n">
        <v>0</v>
      </c>
      <c r="O426" t="n">
        <v>0</v>
      </c>
      <c r="P426" t="n">
        <v>0</v>
      </c>
      <c r="Q426" t="n">
        <v>0</v>
      </c>
      <c r="R426" s="2" t="inlineStr"/>
    </row>
    <row r="427" ht="15" customHeight="1">
      <c r="A427" t="inlineStr">
        <is>
          <t>A 33014-2023</t>
        </is>
      </c>
      <c r="B427" s="1" t="n">
        <v>45113</v>
      </c>
      <c r="C427" s="1" t="n">
        <v>45294</v>
      </c>
      <c r="D427" t="inlineStr">
        <is>
          <t>NORRBOTTENS LÄN</t>
        </is>
      </c>
      <c r="E427" t="inlineStr">
        <is>
          <t>JOKKMOKK</t>
        </is>
      </c>
      <c r="F427" t="inlineStr">
        <is>
          <t>Övriga statliga verk och myndigheter</t>
        </is>
      </c>
      <c r="G427" t="n">
        <v>7.2</v>
      </c>
      <c r="H427" t="n">
        <v>0</v>
      </c>
      <c r="I427" t="n">
        <v>0</v>
      </c>
      <c r="J427" t="n">
        <v>0</v>
      </c>
      <c r="K427" t="n">
        <v>0</v>
      </c>
      <c r="L427" t="n">
        <v>0</v>
      </c>
      <c r="M427" t="n">
        <v>0</v>
      </c>
      <c r="N427" t="n">
        <v>0</v>
      </c>
      <c r="O427" t="n">
        <v>0</v>
      </c>
      <c r="P427" t="n">
        <v>0</v>
      </c>
      <c r="Q427" t="n">
        <v>0</v>
      </c>
      <c r="R427" s="2" t="inlineStr"/>
    </row>
    <row r="428" ht="15" customHeight="1">
      <c r="A428" t="inlineStr">
        <is>
          <t>A 33006-2023</t>
        </is>
      </c>
      <c r="B428" s="1" t="n">
        <v>45113</v>
      </c>
      <c r="C428" s="1" t="n">
        <v>45294</v>
      </c>
      <c r="D428" t="inlineStr">
        <is>
          <t>NORRBOTTENS LÄN</t>
        </is>
      </c>
      <c r="E428" t="inlineStr">
        <is>
          <t>JOKKMOKK</t>
        </is>
      </c>
      <c r="F428" t="inlineStr">
        <is>
          <t>Övriga statliga verk och myndigheter</t>
        </is>
      </c>
      <c r="G428" t="n">
        <v>19.1</v>
      </c>
      <c r="H428" t="n">
        <v>0</v>
      </c>
      <c r="I428" t="n">
        <v>0</v>
      </c>
      <c r="J428" t="n">
        <v>0</v>
      </c>
      <c r="K428" t="n">
        <v>0</v>
      </c>
      <c r="L428" t="n">
        <v>0</v>
      </c>
      <c r="M428" t="n">
        <v>0</v>
      </c>
      <c r="N428" t="n">
        <v>0</v>
      </c>
      <c r="O428" t="n">
        <v>0</v>
      </c>
      <c r="P428" t="n">
        <v>0</v>
      </c>
      <c r="Q428" t="n">
        <v>0</v>
      </c>
      <c r="R428" s="2" t="inlineStr"/>
    </row>
    <row r="429" ht="15" customHeight="1">
      <c r="A429" t="inlineStr">
        <is>
          <t>A 33146-2023</t>
        </is>
      </c>
      <c r="B429" s="1" t="n">
        <v>45114</v>
      </c>
      <c r="C429" s="1" t="n">
        <v>45294</v>
      </c>
      <c r="D429" t="inlineStr">
        <is>
          <t>NORRBOTTENS LÄN</t>
        </is>
      </c>
      <c r="E429" t="inlineStr">
        <is>
          <t>JOKKMOKK</t>
        </is>
      </c>
      <c r="F429" t="inlineStr">
        <is>
          <t>Övriga statliga verk och myndigheter</t>
        </is>
      </c>
      <c r="G429" t="n">
        <v>14.5</v>
      </c>
      <c r="H429" t="n">
        <v>0</v>
      </c>
      <c r="I429" t="n">
        <v>0</v>
      </c>
      <c r="J429" t="n">
        <v>0</v>
      </c>
      <c r="K429" t="n">
        <v>0</v>
      </c>
      <c r="L429" t="n">
        <v>0</v>
      </c>
      <c r="M429" t="n">
        <v>0</v>
      </c>
      <c r="N429" t="n">
        <v>0</v>
      </c>
      <c r="O429" t="n">
        <v>0</v>
      </c>
      <c r="P429" t="n">
        <v>0</v>
      </c>
      <c r="Q429" t="n">
        <v>0</v>
      </c>
      <c r="R429" s="2" t="inlineStr"/>
    </row>
    <row r="430" ht="15" customHeight="1">
      <c r="A430" t="inlineStr">
        <is>
          <t>A 33139-2023</t>
        </is>
      </c>
      <c r="B430" s="1" t="n">
        <v>45114</v>
      </c>
      <c r="C430" s="1" t="n">
        <v>45294</v>
      </c>
      <c r="D430" t="inlineStr">
        <is>
          <t>NORRBOTTENS LÄN</t>
        </is>
      </c>
      <c r="E430" t="inlineStr">
        <is>
          <t>JOKKMOKK</t>
        </is>
      </c>
      <c r="F430" t="inlineStr">
        <is>
          <t>Övriga statliga verk och myndigheter</t>
        </is>
      </c>
      <c r="G430" t="n">
        <v>8.6</v>
      </c>
      <c r="H430" t="n">
        <v>0</v>
      </c>
      <c r="I430" t="n">
        <v>0</v>
      </c>
      <c r="J430" t="n">
        <v>0</v>
      </c>
      <c r="K430" t="n">
        <v>0</v>
      </c>
      <c r="L430" t="n">
        <v>0</v>
      </c>
      <c r="M430" t="n">
        <v>0</v>
      </c>
      <c r="N430" t="n">
        <v>0</v>
      </c>
      <c r="O430" t="n">
        <v>0</v>
      </c>
      <c r="P430" t="n">
        <v>0</v>
      </c>
      <c r="Q430" t="n">
        <v>0</v>
      </c>
      <c r="R430" s="2" t="inlineStr"/>
    </row>
    <row r="431" ht="15" customHeight="1">
      <c r="A431" t="inlineStr">
        <is>
          <t>A 32899-2023</t>
        </is>
      </c>
      <c r="B431" s="1" t="n">
        <v>45124</v>
      </c>
      <c r="C431" s="1" t="n">
        <v>45294</v>
      </c>
      <c r="D431" t="inlineStr">
        <is>
          <t>NORRBOTTENS LÄN</t>
        </is>
      </c>
      <c r="E431" t="inlineStr">
        <is>
          <t>JOKKMOKK</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32915-2023</t>
        </is>
      </c>
      <c r="B432" s="1" t="n">
        <v>45125</v>
      </c>
      <c r="C432" s="1" t="n">
        <v>45294</v>
      </c>
      <c r="D432" t="inlineStr">
        <is>
          <t>NORRBOTTENS LÄN</t>
        </is>
      </c>
      <c r="E432" t="inlineStr">
        <is>
          <t>JOKKMOKK</t>
        </is>
      </c>
      <c r="F432" t="inlineStr">
        <is>
          <t>SCA</t>
        </is>
      </c>
      <c r="G432" t="n">
        <v>15.1</v>
      </c>
      <c r="H432" t="n">
        <v>0</v>
      </c>
      <c r="I432" t="n">
        <v>0</v>
      </c>
      <c r="J432" t="n">
        <v>0</v>
      </c>
      <c r="K432" t="n">
        <v>0</v>
      </c>
      <c r="L432" t="n">
        <v>0</v>
      </c>
      <c r="M432" t="n">
        <v>0</v>
      </c>
      <c r="N432" t="n">
        <v>0</v>
      </c>
      <c r="O432" t="n">
        <v>0</v>
      </c>
      <c r="P432" t="n">
        <v>0</v>
      </c>
      <c r="Q432" t="n">
        <v>0</v>
      </c>
      <c r="R432" s="2" t="inlineStr"/>
    </row>
    <row r="433" ht="15" customHeight="1">
      <c r="A433" t="inlineStr">
        <is>
          <t>A 32900-2023</t>
        </is>
      </c>
      <c r="B433" s="1" t="n">
        <v>45124</v>
      </c>
      <c r="C433" s="1" t="n">
        <v>45294</v>
      </c>
      <c r="D433" t="inlineStr">
        <is>
          <t>NORRBOTTENS LÄN</t>
        </is>
      </c>
      <c r="E433" t="inlineStr">
        <is>
          <t>JOKKMOKK</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32912-2023</t>
        </is>
      </c>
      <c r="B434" s="1" t="n">
        <v>45125</v>
      </c>
      <c r="C434" s="1" t="n">
        <v>45294</v>
      </c>
      <c r="D434" t="inlineStr">
        <is>
          <t>NORRBOTTENS LÄN</t>
        </is>
      </c>
      <c r="E434" t="inlineStr">
        <is>
          <t>JOKKMOKK</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32914-2023</t>
        </is>
      </c>
      <c r="B435" s="1" t="n">
        <v>45124</v>
      </c>
      <c r="C435" s="1" t="n">
        <v>45294</v>
      </c>
      <c r="D435" t="inlineStr">
        <is>
          <t>NORRBOTTENS LÄN</t>
        </is>
      </c>
      <c r="E435" t="inlineStr">
        <is>
          <t>JOKKMOKK</t>
        </is>
      </c>
      <c r="F435" t="inlineStr">
        <is>
          <t>SCA</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32913-2023</t>
        </is>
      </c>
      <c r="B436" s="1" t="n">
        <v>45124</v>
      </c>
      <c r="C436" s="1" t="n">
        <v>45294</v>
      </c>
      <c r="D436" t="inlineStr">
        <is>
          <t>NORRBOTTENS LÄN</t>
        </is>
      </c>
      <c r="E436" t="inlineStr">
        <is>
          <t>JOKKMOKK</t>
        </is>
      </c>
      <c r="F436" t="inlineStr">
        <is>
          <t>SCA</t>
        </is>
      </c>
      <c r="G436" t="n">
        <v>3.2</v>
      </c>
      <c r="H436" t="n">
        <v>0</v>
      </c>
      <c r="I436" t="n">
        <v>0</v>
      </c>
      <c r="J436" t="n">
        <v>0</v>
      </c>
      <c r="K436" t="n">
        <v>0</v>
      </c>
      <c r="L436" t="n">
        <v>0</v>
      </c>
      <c r="M436" t="n">
        <v>0</v>
      </c>
      <c r="N436" t="n">
        <v>0</v>
      </c>
      <c r="O436" t="n">
        <v>0</v>
      </c>
      <c r="P436" t="n">
        <v>0</v>
      </c>
      <c r="Q436" t="n">
        <v>0</v>
      </c>
      <c r="R436" s="2" t="inlineStr"/>
    </row>
    <row r="437" ht="15" customHeight="1">
      <c r="A437" t="inlineStr">
        <is>
          <t>A 35153-2023</t>
        </is>
      </c>
      <c r="B437" s="1" t="n">
        <v>45145</v>
      </c>
      <c r="C437" s="1" t="n">
        <v>45294</v>
      </c>
      <c r="D437" t="inlineStr">
        <is>
          <t>NORRBOTTENS LÄN</t>
        </is>
      </c>
      <c r="E437" t="inlineStr">
        <is>
          <t>JOKKMOKK</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36889-2023</t>
        </is>
      </c>
      <c r="B438" s="1" t="n">
        <v>45153</v>
      </c>
      <c r="C438" s="1" t="n">
        <v>45294</v>
      </c>
      <c r="D438" t="inlineStr">
        <is>
          <t>NORRBOTTENS LÄN</t>
        </is>
      </c>
      <c r="E438" t="inlineStr">
        <is>
          <t>JOKKMOKK</t>
        </is>
      </c>
      <c r="F438" t="inlineStr">
        <is>
          <t>Övriga statliga verk och myndigheter</t>
        </is>
      </c>
      <c r="G438" t="n">
        <v>16.7</v>
      </c>
      <c r="H438" t="n">
        <v>0</v>
      </c>
      <c r="I438" t="n">
        <v>0</v>
      </c>
      <c r="J438" t="n">
        <v>0</v>
      </c>
      <c r="K438" t="n">
        <v>0</v>
      </c>
      <c r="L438" t="n">
        <v>0</v>
      </c>
      <c r="M438" t="n">
        <v>0</v>
      </c>
      <c r="N438" t="n">
        <v>0</v>
      </c>
      <c r="O438" t="n">
        <v>0</v>
      </c>
      <c r="P438" t="n">
        <v>0</v>
      </c>
      <c r="Q438" t="n">
        <v>0</v>
      </c>
      <c r="R438" s="2" t="inlineStr"/>
    </row>
    <row r="439" ht="15" customHeight="1">
      <c r="A439" t="inlineStr">
        <is>
          <t>A 37162-2023</t>
        </is>
      </c>
      <c r="B439" s="1" t="n">
        <v>45155</v>
      </c>
      <c r="C439" s="1" t="n">
        <v>45294</v>
      </c>
      <c r="D439" t="inlineStr">
        <is>
          <t>NORRBOTTENS LÄN</t>
        </is>
      </c>
      <c r="E439" t="inlineStr">
        <is>
          <t>JOKKMOKK</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38369-2023</t>
        </is>
      </c>
      <c r="B440" s="1" t="n">
        <v>45162</v>
      </c>
      <c r="C440" s="1" t="n">
        <v>45294</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38373-2023</t>
        </is>
      </c>
      <c r="B441" s="1" t="n">
        <v>45161</v>
      </c>
      <c r="C441" s="1" t="n">
        <v>45294</v>
      </c>
      <c r="D441" t="inlineStr">
        <is>
          <t>NORRBOTTENS LÄN</t>
        </is>
      </c>
      <c r="E441" t="inlineStr">
        <is>
          <t>JOKKMOKK</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38528-2023</t>
        </is>
      </c>
      <c r="B442" s="1" t="n">
        <v>45162</v>
      </c>
      <c r="C442" s="1" t="n">
        <v>45294</v>
      </c>
      <c r="D442" t="inlineStr">
        <is>
          <t>NORRBOTTENS LÄN</t>
        </is>
      </c>
      <c r="E442" t="inlineStr">
        <is>
          <t>JOKKMOKK</t>
        </is>
      </c>
      <c r="F442" t="inlineStr">
        <is>
          <t>Sveaskog</t>
        </is>
      </c>
      <c r="G442" t="n">
        <v>10.4</v>
      </c>
      <c r="H442" t="n">
        <v>0</v>
      </c>
      <c r="I442" t="n">
        <v>0</v>
      </c>
      <c r="J442" t="n">
        <v>0</v>
      </c>
      <c r="K442" t="n">
        <v>0</v>
      </c>
      <c r="L442" t="n">
        <v>0</v>
      </c>
      <c r="M442" t="n">
        <v>0</v>
      </c>
      <c r="N442" t="n">
        <v>0</v>
      </c>
      <c r="O442" t="n">
        <v>0</v>
      </c>
      <c r="P442" t="n">
        <v>0</v>
      </c>
      <c r="Q442" t="n">
        <v>0</v>
      </c>
      <c r="R442" s="2" t="inlineStr"/>
    </row>
    <row r="443" ht="15" customHeight="1">
      <c r="A443" t="inlineStr">
        <is>
          <t>A 38680-2023</t>
        </is>
      </c>
      <c r="B443" s="1" t="n">
        <v>45163</v>
      </c>
      <c r="C443" s="1" t="n">
        <v>45294</v>
      </c>
      <c r="D443" t="inlineStr">
        <is>
          <t>NORRBOTTENS LÄN</t>
        </is>
      </c>
      <c r="E443" t="inlineStr">
        <is>
          <t>JOKKMOKK</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38681-2023</t>
        </is>
      </c>
      <c r="B444" s="1" t="n">
        <v>45162</v>
      </c>
      <c r="C444" s="1" t="n">
        <v>45294</v>
      </c>
      <c r="D444" t="inlineStr">
        <is>
          <t>NORRBOTTENS LÄN</t>
        </is>
      </c>
      <c r="E444" t="inlineStr">
        <is>
          <t>JOKKMOKK</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39061-2023</t>
        </is>
      </c>
      <c r="B445" s="1" t="n">
        <v>45164</v>
      </c>
      <c r="C445" s="1" t="n">
        <v>45294</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39062-2023</t>
        </is>
      </c>
      <c r="B446" s="1" t="n">
        <v>45164</v>
      </c>
      <c r="C446" s="1" t="n">
        <v>45294</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39504-2023</t>
        </is>
      </c>
      <c r="B447" s="1" t="n">
        <v>45166</v>
      </c>
      <c r="C447" s="1" t="n">
        <v>45294</v>
      </c>
      <c r="D447" t="inlineStr">
        <is>
          <t>NORRBOTTENS LÄN</t>
        </is>
      </c>
      <c r="E447" t="inlineStr">
        <is>
          <t>JOKKMOKK</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39502-2023</t>
        </is>
      </c>
      <c r="B448" s="1" t="n">
        <v>45167</v>
      </c>
      <c r="C448" s="1" t="n">
        <v>45294</v>
      </c>
      <c r="D448" t="inlineStr">
        <is>
          <t>NORRBOTTENS LÄN</t>
        </is>
      </c>
      <c r="E448" t="inlineStr">
        <is>
          <t>JOKKMOKK</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39684-2023</t>
        </is>
      </c>
      <c r="B449" s="1" t="n">
        <v>45166</v>
      </c>
      <c r="C449" s="1" t="n">
        <v>45294</v>
      </c>
      <c r="D449" t="inlineStr">
        <is>
          <t>NORRBOTTENS LÄN</t>
        </is>
      </c>
      <c r="E449" t="inlineStr">
        <is>
          <t>JOKKMOKK</t>
        </is>
      </c>
      <c r="G449" t="n">
        <v>6.8</v>
      </c>
      <c r="H449" t="n">
        <v>0</v>
      </c>
      <c r="I449" t="n">
        <v>0</v>
      </c>
      <c r="J449" t="n">
        <v>0</v>
      </c>
      <c r="K449" t="n">
        <v>0</v>
      </c>
      <c r="L449" t="n">
        <v>0</v>
      </c>
      <c r="M449" t="n">
        <v>0</v>
      </c>
      <c r="N449" t="n">
        <v>0</v>
      </c>
      <c r="O449" t="n">
        <v>0</v>
      </c>
      <c r="P449" t="n">
        <v>0</v>
      </c>
      <c r="Q449" t="n">
        <v>0</v>
      </c>
      <c r="R449" s="2" t="inlineStr"/>
    </row>
    <row r="450" ht="15" customHeight="1">
      <c r="A450" t="inlineStr">
        <is>
          <t>A 39505-2023</t>
        </is>
      </c>
      <c r="B450" s="1" t="n">
        <v>45167</v>
      </c>
      <c r="C450" s="1" t="n">
        <v>45294</v>
      </c>
      <c r="D450" t="inlineStr">
        <is>
          <t>NORRBOTTENS LÄN</t>
        </is>
      </c>
      <c r="E450" t="inlineStr">
        <is>
          <t>JOKKMOKK</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39503-2023</t>
        </is>
      </c>
      <c r="B451" s="1" t="n">
        <v>45167</v>
      </c>
      <c r="C451" s="1" t="n">
        <v>45294</v>
      </c>
      <c r="D451" t="inlineStr">
        <is>
          <t>NORRBOTTENS LÄN</t>
        </is>
      </c>
      <c r="E451" t="inlineStr">
        <is>
          <t>JOKKMOKK</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40093-2023</t>
        </is>
      </c>
      <c r="B452" s="1" t="n">
        <v>45168</v>
      </c>
      <c r="C452" s="1" t="n">
        <v>45294</v>
      </c>
      <c r="D452" t="inlineStr">
        <is>
          <t>NORRBOTTENS LÄN</t>
        </is>
      </c>
      <c r="E452" t="inlineStr">
        <is>
          <t>JOKKMOKK</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40106-2023</t>
        </is>
      </c>
      <c r="B453" s="1" t="n">
        <v>45169</v>
      </c>
      <c r="C453" s="1" t="n">
        <v>45294</v>
      </c>
      <c r="D453" t="inlineStr">
        <is>
          <t>NORRBOTTENS LÄN</t>
        </is>
      </c>
      <c r="E453" t="inlineStr">
        <is>
          <t>JOKKMOKK</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41011-2023</t>
        </is>
      </c>
      <c r="B454" s="1" t="n">
        <v>45169</v>
      </c>
      <c r="C454" s="1" t="n">
        <v>45294</v>
      </c>
      <c r="D454" t="inlineStr">
        <is>
          <t>NORRBOTTENS LÄN</t>
        </is>
      </c>
      <c r="E454" t="inlineStr">
        <is>
          <t>JOKKMOKK</t>
        </is>
      </c>
      <c r="F454" t="inlineStr">
        <is>
          <t>Allmännings- och besparingsskogar</t>
        </is>
      </c>
      <c r="G454" t="n">
        <v>6.5</v>
      </c>
      <c r="H454" t="n">
        <v>0</v>
      </c>
      <c r="I454" t="n">
        <v>0</v>
      </c>
      <c r="J454" t="n">
        <v>0</v>
      </c>
      <c r="K454" t="n">
        <v>0</v>
      </c>
      <c r="L454" t="n">
        <v>0</v>
      </c>
      <c r="M454" t="n">
        <v>0</v>
      </c>
      <c r="N454" t="n">
        <v>0</v>
      </c>
      <c r="O454" t="n">
        <v>0</v>
      </c>
      <c r="P454" t="n">
        <v>0</v>
      </c>
      <c r="Q454" t="n">
        <v>0</v>
      </c>
      <c r="R454" s="2" t="inlineStr"/>
    </row>
    <row r="455" ht="15" customHeight="1">
      <c r="A455" t="inlineStr">
        <is>
          <t>A 40466-2023</t>
        </is>
      </c>
      <c r="B455" s="1" t="n">
        <v>45170</v>
      </c>
      <c r="C455" s="1" t="n">
        <v>45294</v>
      </c>
      <c r="D455" t="inlineStr">
        <is>
          <t>NORRBOTTENS LÄN</t>
        </is>
      </c>
      <c r="E455" t="inlineStr">
        <is>
          <t>JOKKMOKK</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40750-2023</t>
        </is>
      </c>
      <c r="B456" s="1" t="n">
        <v>45171</v>
      </c>
      <c r="C456" s="1" t="n">
        <v>45294</v>
      </c>
      <c r="D456" t="inlineStr">
        <is>
          <t>NORRBOTTENS LÄN</t>
        </is>
      </c>
      <c r="E456" t="inlineStr">
        <is>
          <t>JOKKMOKK</t>
        </is>
      </c>
      <c r="F456" t="inlineStr">
        <is>
          <t>Allmännings- och besparingsskogar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40770-2023</t>
        </is>
      </c>
      <c r="B457" s="1" t="n">
        <v>45170</v>
      </c>
      <c r="C457" s="1" t="n">
        <v>45294</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40771-2023</t>
        </is>
      </c>
      <c r="B458" s="1" t="n">
        <v>45171</v>
      </c>
      <c r="C458" s="1" t="n">
        <v>45294</v>
      </c>
      <c r="D458" t="inlineStr">
        <is>
          <t>NORRBOTTENS LÄN</t>
        </is>
      </c>
      <c r="E458" t="inlineStr">
        <is>
          <t>JOKKMOKK</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41061-2023</t>
        </is>
      </c>
      <c r="B459" s="1" t="n">
        <v>45173</v>
      </c>
      <c r="C459" s="1" t="n">
        <v>45294</v>
      </c>
      <c r="D459" t="inlineStr">
        <is>
          <t>NORRBOTTENS LÄN</t>
        </is>
      </c>
      <c r="E459" t="inlineStr">
        <is>
          <t>JOKKMOKK</t>
        </is>
      </c>
      <c r="G459" t="n">
        <v>2.7</v>
      </c>
      <c r="H459" t="n">
        <v>0</v>
      </c>
      <c r="I459" t="n">
        <v>0</v>
      </c>
      <c r="J459" t="n">
        <v>0</v>
      </c>
      <c r="K459" t="n">
        <v>0</v>
      </c>
      <c r="L459" t="n">
        <v>0</v>
      </c>
      <c r="M459" t="n">
        <v>0</v>
      </c>
      <c r="N459" t="n">
        <v>0</v>
      </c>
      <c r="O459" t="n">
        <v>0</v>
      </c>
      <c r="P459" t="n">
        <v>0</v>
      </c>
      <c r="Q459" t="n">
        <v>0</v>
      </c>
      <c r="R459" s="2" t="inlineStr"/>
    </row>
    <row r="460" ht="15" customHeight="1">
      <c r="A460" t="inlineStr">
        <is>
          <t>A 43544-2023</t>
        </is>
      </c>
      <c r="B460" s="1" t="n">
        <v>45184</v>
      </c>
      <c r="C460" s="1" t="n">
        <v>45294</v>
      </c>
      <c r="D460" t="inlineStr">
        <is>
          <t>NORRBOTTENS LÄN</t>
        </is>
      </c>
      <c r="E460" t="inlineStr">
        <is>
          <t>JOKKMOKK</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46455-2023</t>
        </is>
      </c>
      <c r="B461" s="1" t="n">
        <v>45197</v>
      </c>
      <c r="C461" s="1" t="n">
        <v>45294</v>
      </c>
      <c r="D461" t="inlineStr">
        <is>
          <t>NORRBOTTENS LÄN</t>
        </is>
      </c>
      <c r="E461" t="inlineStr">
        <is>
          <t>JOKKMOKK</t>
        </is>
      </c>
      <c r="G461" t="n">
        <v>7.5</v>
      </c>
      <c r="H461" t="n">
        <v>0</v>
      </c>
      <c r="I461" t="n">
        <v>0</v>
      </c>
      <c r="J461" t="n">
        <v>0</v>
      </c>
      <c r="K461" t="n">
        <v>0</v>
      </c>
      <c r="L461" t="n">
        <v>0</v>
      </c>
      <c r="M461" t="n">
        <v>0</v>
      </c>
      <c r="N461" t="n">
        <v>0</v>
      </c>
      <c r="O461" t="n">
        <v>0</v>
      </c>
      <c r="P461" t="n">
        <v>0</v>
      </c>
      <c r="Q461" t="n">
        <v>0</v>
      </c>
      <c r="R461" s="2" t="inlineStr"/>
    </row>
    <row r="462" ht="15" customHeight="1">
      <c r="A462" t="inlineStr">
        <is>
          <t>A 46442-2023</t>
        </is>
      </c>
      <c r="B462" s="1" t="n">
        <v>45197</v>
      </c>
      <c r="C462" s="1" t="n">
        <v>45294</v>
      </c>
      <c r="D462" t="inlineStr">
        <is>
          <t>NORRBOTTENS LÄN</t>
        </is>
      </c>
      <c r="E462" t="inlineStr">
        <is>
          <t>JOKKMOKK</t>
        </is>
      </c>
      <c r="G462" t="n">
        <v>6.4</v>
      </c>
      <c r="H462" t="n">
        <v>0</v>
      </c>
      <c r="I462" t="n">
        <v>0</v>
      </c>
      <c r="J462" t="n">
        <v>0</v>
      </c>
      <c r="K462" t="n">
        <v>0</v>
      </c>
      <c r="L462" t="n">
        <v>0</v>
      </c>
      <c r="M462" t="n">
        <v>0</v>
      </c>
      <c r="N462" t="n">
        <v>0</v>
      </c>
      <c r="O462" t="n">
        <v>0</v>
      </c>
      <c r="P462" t="n">
        <v>0</v>
      </c>
      <c r="Q462" t="n">
        <v>0</v>
      </c>
      <c r="R462" s="2" t="inlineStr"/>
    </row>
    <row r="463" ht="15" customHeight="1">
      <c r="A463" t="inlineStr">
        <is>
          <t>A 46418-2023</t>
        </is>
      </c>
      <c r="B463" s="1" t="n">
        <v>45197</v>
      </c>
      <c r="C463" s="1" t="n">
        <v>45294</v>
      </c>
      <c r="D463" t="inlineStr">
        <is>
          <t>NORRBOTTENS LÄN</t>
        </is>
      </c>
      <c r="E463" t="inlineStr">
        <is>
          <t>JOKKMOKK</t>
        </is>
      </c>
      <c r="G463" t="n">
        <v>7.4</v>
      </c>
      <c r="H463" t="n">
        <v>0</v>
      </c>
      <c r="I463" t="n">
        <v>0</v>
      </c>
      <c r="J463" t="n">
        <v>0</v>
      </c>
      <c r="K463" t="n">
        <v>0</v>
      </c>
      <c r="L463" t="n">
        <v>0</v>
      </c>
      <c r="M463" t="n">
        <v>0</v>
      </c>
      <c r="N463" t="n">
        <v>0</v>
      </c>
      <c r="O463" t="n">
        <v>0</v>
      </c>
      <c r="P463" t="n">
        <v>0</v>
      </c>
      <c r="Q463" t="n">
        <v>0</v>
      </c>
      <c r="R463" s="2" t="inlineStr"/>
    </row>
    <row r="464" ht="15" customHeight="1">
      <c r="A464" t="inlineStr">
        <is>
          <t>A 48787-2023</t>
        </is>
      </c>
      <c r="B464" s="1" t="n">
        <v>45209</v>
      </c>
      <c r="C464" s="1" t="n">
        <v>45294</v>
      </c>
      <c r="D464" t="inlineStr">
        <is>
          <t>NORRBOTTENS LÄN</t>
        </is>
      </c>
      <c r="E464" t="inlineStr">
        <is>
          <t>JOKKMOKK</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48585-2023</t>
        </is>
      </c>
      <c r="B465" s="1" t="n">
        <v>45208</v>
      </c>
      <c r="C465" s="1" t="n">
        <v>45294</v>
      </c>
      <c r="D465" t="inlineStr">
        <is>
          <t>NORRBOTTENS LÄN</t>
        </is>
      </c>
      <c r="E465" t="inlineStr">
        <is>
          <t>JOKKMOKK</t>
        </is>
      </c>
      <c r="F465" t="inlineStr">
        <is>
          <t>Sveaskog</t>
        </is>
      </c>
      <c r="G465" t="n">
        <v>5.1</v>
      </c>
      <c r="H465" t="n">
        <v>0</v>
      </c>
      <c r="I465" t="n">
        <v>0</v>
      </c>
      <c r="J465" t="n">
        <v>0</v>
      </c>
      <c r="K465" t="n">
        <v>0</v>
      </c>
      <c r="L465" t="n">
        <v>0</v>
      </c>
      <c r="M465" t="n">
        <v>0</v>
      </c>
      <c r="N465" t="n">
        <v>0</v>
      </c>
      <c r="O465" t="n">
        <v>0</v>
      </c>
      <c r="P465" t="n">
        <v>0</v>
      </c>
      <c r="Q465" t="n">
        <v>0</v>
      </c>
      <c r="R465" s="2" t="inlineStr"/>
    </row>
    <row r="466" ht="15" customHeight="1">
      <c r="A466" t="inlineStr">
        <is>
          <t>A 49338-2023</t>
        </is>
      </c>
      <c r="B466" s="1" t="n">
        <v>45210</v>
      </c>
      <c r="C466" s="1" t="n">
        <v>45294</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49513-2023</t>
        </is>
      </c>
      <c r="B467" s="1" t="n">
        <v>45211</v>
      </c>
      <c r="C467" s="1" t="n">
        <v>45294</v>
      </c>
      <c r="D467" t="inlineStr">
        <is>
          <t>NORRBOTTENS LÄN</t>
        </is>
      </c>
      <c r="E467" t="inlineStr">
        <is>
          <t>JOKKMOKK</t>
        </is>
      </c>
      <c r="F467" t="inlineStr">
        <is>
          <t>Sveaskog</t>
        </is>
      </c>
      <c r="G467" t="n">
        <v>34.1</v>
      </c>
      <c r="H467" t="n">
        <v>0</v>
      </c>
      <c r="I467" t="n">
        <v>0</v>
      </c>
      <c r="J467" t="n">
        <v>0</v>
      </c>
      <c r="K467" t="n">
        <v>0</v>
      </c>
      <c r="L467" t="n">
        <v>0</v>
      </c>
      <c r="M467" t="n">
        <v>0</v>
      </c>
      <c r="N467" t="n">
        <v>0</v>
      </c>
      <c r="O467" t="n">
        <v>0</v>
      </c>
      <c r="P467" t="n">
        <v>0</v>
      </c>
      <c r="Q467" t="n">
        <v>0</v>
      </c>
      <c r="R467" s="2" t="inlineStr"/>
    </row>
    <row r="468" ht="15" customHeight="1">
      <c r="A468" t="inlineStr">
        <is>
          <t>A 49643-2023</t>
        </is>
      </c>
      <c r="B468" s="1" t="n">
        <v>45212</v>
      </c>
      <c r="C468" s="1" t="n">
        <v>45294</v>
      </c>
      <c r="D468" t="inlineStr">
        <is>
          <t>NORRBOTTENS LÄN</t>
        </is>
      </c>
      <c r="E468" t="inlineStr">
        <is>
          <t>JOKKMOKK</t>
        </is>
      </c>
      <c r="F468" t="inlineStr">
        <is>
          <t>SCA</t>
        </is>
      </c>
      <c r="G468" t="n">
        <v>7.6</v>
      </c>
      <c r="H468" t="n">
        <v>0</v>
      </c>
      <c r="I468" t="n">
        <v>0</v>
      </c>
      <c r="J468" t="n">
        <v>0</v>
      </c>
      <c r="K468" t="n">
        <v>0</v>
      </c>
      <c r="L468" t="n">
        <v>0</v>
      </c>
      <c r="M468" t="n">
        <v>0</v>
      </c>
      <c r="N468" t="n">
        <v>0</v>
      </c>
      <c r="O468" t="n">
        <v>0</v>
      </c>
      <c r="P468" t="n">
        <v>0</v>
      </c>
      <c r="Q468" t="n">
        <v>0</v>
      </c>
      <c r="R468" s="2" t="inlineStr"/>
    </row>
    <row r="469" ht="15" customHeight="1">
      <c r="A469" t="inlineStr">
        <is>
          <t>A 49644-2023</t>
        </is>
      </c>
      <c r="B469" s="1" t="n">
        <v>45212</v>
      </c>
      <c r="C469" s="1" t="n">
        <v>45294</v>
      </c>
      <c r="D469" t="inlineStr">
        <is>
          <t>NORRBOTTENS LÄN</t>
        </is>
      </c>
      <c r="E469" t="inlineStr">
        <is>
          <t>JOKKMOKK</t>
        </is>
      </c>
      <c r="F469" t="inlineStr">
        <is>
          <t>SCA</t>
        </is>
      </c>
      <c r="G469" t="n">
        <v>10.4</v>
      </c>
      <c r="H469" t="n">
        <v>0</v>
      </c>
      <c r="I469" t="n">
        <v>0</v>
      </c>
      <c r="J469" t="n">
        <v>0</v>
      </c>
      <c r="K469" t="n">
        <v>0</v>
      </c>
      <c r="L469" t="n">
        <v>0</v>
      </c>
      <c r="M469" t="n">
        <v>0</v>
      </c>
      <c r="N469" t="n">
        <v>0</v>
      </c>
      <c r="O469" t="n">
        <v>0</v>
      </c>
      <c r="P469" t="n">
        <v>0</v>
      </c>
      <c r="Q469" t="n">
        <v>0</v>
      </c>
      <c r="R469" s="2" t="inlineStr"/>
    </row>
    <row r="470" ht="15" customHeight="1">
      <c r="A470" t="inlineStr">
        <is>
          <t>A 50258-2023</t>
        </is>
      </c>
      <c r="B470" s="1" t="n">
        <v>45216</v>
      </c>
      <c r="C470" s="1" t="n">
        <v>45294</v>
      </c>
      <c r="D470" t="inlineStr">
        <is>
          <t>NORRBOTTENS LÄN</t>
        </is>
      </c>
      <c r="E470" t="inlineStr">
        <is>
          <t>JOKKMOKK</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50801-2023</t>
        </is>
      </c>
      <c r="B471" s="1" t="n">
        <v>45217</v>
      </c>
      <c r="C471" s="1" t="n">
        <v>45294</v>
      </c>
      <c r="D471" t="inlineStr">
        <is>
          <t>NORRBOTTENS LÄN</t>
        </is>
      </c>
      <c r="E471" t="inlineStr">
        <is>
          <t>JOKKMOKK</t>
        </is>
      </c>
      <c r="F471" t="inlineStr">
        <is>
          <t>Sveaskog</t>
        </is>
      </c>
      <c r="G471" t="n">
        <v>6.6</v>
      </c>
      <c r="H471" t="n">
        <v>0</v>
      </c>
      <c r="I471" t="n">
        <v>0</v>
      </c>
      <c r="J471" t="n">
        <v>0</v>
      </c>
      <c r="K471" t="n">
        <v>0</v>
      </c>
      <c r="L471" t="n">
        <v>0</v>
      </c>
      <c r="M471" t="n">
        <v>0</v>
      </c>
      <c r="N471" t="n">
        <v>0</v>
      </c>
      <c r="O471" t="n">
        <v>0</v>
      </c>
      <c r="P471" t="n">
        <v>0</v>
      </c>
      <c r="Q471" t="n">
        <v>0</v>
      </c>
      <c r="R471" s="2" t="inlineStr"/>
    </row>
    <row r="472" ht="15" customHeight="1">
      <c r="A472" t="inlineStr">
        <is>
          <t>A 52296-2023</t>
        </is>
      </c>
      <c r="B472" s="1" t="n">
        <v>45217</v>
      </c>
      <c r="C472" s="1" t="n">
        <v>45294</v>
      </c>
      <c r="D472" t="inlineStr">
        <is>
          <t>NORRBOTTENS LÄN</t>
        </is>
      </c>
      <c r="E472" t="inlineStr">
        <is>
          <t>JOKKMOKK</t>
        </is>
      </c>
      <c r="F472" t="inlineStr">
        <is>
          <t>Övriga statliga verk och myndigheter</t>
        </is>
      </c>
      <c r="G472" t="n">
        <v>9.300000000000001</v>
      </c>
      <c r="H472" t="n">
        <v>0</v>
      </c>
      <c r="I472" t="n">
        <v>0</v>
      </c>
      <c r="J472" t="n">
        <v>0</v>
      </c>
      <c r="K472" t="n">
        <v>0</v>
      </c>
      <c r="L472" t="n">
        <v>0</v>
      </c>
      <c r="M472" t="n">
        <v>0</v>
      </c>
      <c r="N472" t="n">
        <v>0</v>
      </c>
      <c r="O472" t="n">
        <v>0</v>
      </c>
      <c r="P472" t="n">
        <v>0</v>
      </c>
      <c r="Q472" t="n">
        <v>0</v>
      </c>
      <c r="R472" s="2" t="inlineStr"/>
    </row>
    <row r="473" ht="15" customHeight="1">
      <c r="A473" t="inlineStr">
        <is>
          <t>A 52314-2023</t>
        </is>
      </c>
      <c r="B473" s="1" t="n">
        <v>45217</v>
      </c>
      <c r="C473" s="1" t="n">
        <v>45294</v>
      </c>
      <c r="D473" t="inlineStr">
        <is>
          <t>NORRBOTTENS LÄN</t>
        </is>
      </c>
      <c r="E473" t="inlineStr">
        <is>
          <t>JOKKMOKK</t>
        </is>
      </c>
      <c r="F473" t="inlineStr">
        <is>
          <t>Övriga statliga verk och myndigheter</t>
        </is>
      </c>
      <c r="G473" t="n">
        <v>23.3</v>
      </c>
      <c r="H473" t="n">
        <v>0</v>
      </c>
      <c r="I473" t="n">
        <v>0</v>
      </c>
      <c r="J473" t="n">
        <v>0</v>
      </c>
      <c r="K473" t="n">
        <v>0</v>
      </c>
      <c r="L473" t="n">
        <v>0</v>
      </c>
      <c r="M473" t="n">
        <v>0</v>
      </c>
      <c r="N473" t="n">
        <v>0</v>
      </c>
      <c r="O473" t="n">
        <v>0</v>
      </c>
      <c r="P473" t="n">
        <v>0</v>
      </c>
      <c r="Q473" t="n">
        <v>0</v>
      </c>
      <c r="R473" s="2" t="inlineStr"/>
    </row>
    <row r="474" ht="15" customHeight="1">
      <c r="A474" t="inlineStr">
        <is>
          <t>A 52522-2023</t>
        </is>
      </c>
      <c r="B474" s="1" t="n">
        <v>45218</v>
      </c>
      <c r="C474" s="1" t="n">
        <v>45294</v>
      </c>
      <c r="D474" t="inlineStr">
        <is>
          <t>NORRBOTTENS LÄN</t>
        </is>
      </c>
      <c r="E474" t="inlineStr">
        <is>
          <t>JOKKMOKK</t>
        </is>
      </c>
      <c r="F474" t="inlineStr">
        <is>
          <t>Övriga statliga verk och myndigheter</t>
        </is>
      </c>
      <c r="G474" t="n">
        <v>32.4</v>
      </c>
      <c r="H474" t="n">
        <v>0</v>
      </c>
      <c r="I474" t="n">
        <v>0</v>
      </c>
      <c r="J474" t="n">
        <v>0</v>
      </c>
      <c r="K474" t="n">
        <v>0</v>
      </c>
      <c r="L474" t="n">
        <v>0</v>
      </c>
      <c r="M474" t="n">
        <v>0</v>
      </c>
      <c r="N474" t="n">
        <v>0</v>
      </c>
      <c r="O474" t="n">
        <v>0</v>
      </c>
      <c r="P474" t="n">
        <v>0</v>
      </c>
      <c r="Q474" t="n">
        <v>0</v>
      </c>
      <c r="R474" s="2" t="inlineStr"/>
    </row>
    <row r="475" ht="15" customHeight="1">
      <c r="A475" t="inlineStr">
        <is>
          <t>A 52543-2023</t>
        </is>
      </c>
      <c r="B475" s="1" t="n">
        <v>45218</v>
      </c>
      <c r="C475" s="1" t="n">
        <v>45294</v>
      </c>
      <c r="D475" t="inlineStr">
        <is>
          <t>NORRBOTTENS LÄN</t>
        </is>
      </c>
      <c r="E475" t="inlineStr">
        <is>
          <t>JOKKMOKK</t>
        </is>
      </c>
      <c r="F475" t="inlineStr">
        <is>
          <t>Övriga statliga verk och myndigheter</t>
        </is>
      </c>
      <c r="G475" t="n">
        <v>23.8</v>
      </c>
      <c r="H475" t="n">
        <v>0</v>
      </c>
      <c r="I475" t="n">
        <v>0</v>
      </c>
      <c r="J475" t="n">
        <v>0</v>
      </c>
      <c r="K475" t="n">
        <v>0</v>
      </c>
      <c r="L475" t="n">
        <v>0</v>
      </c>
      <c r="M475" t="n">
        <v>0</v>
      </c>
      <c r="N475" t="n">
        <v>0</v>
      </c>
      <c r="O475" t="n">
        <v>0</v>
      </c>
      <c r="P475" t="n">
        <v>0</v>
      </c>
      <c r="Q475" t="n">
        <v>0</v>
      </c>
      <c r="R475" s="2" t="inlineStr"/>
    </row>
    <row r="476" ht="15" customHeight="1">
      <c r="A476" t="inlineStr">
        <is>
          <t>A 52963-2023</t>
        </is>
      </c>
      <c r="B476" s="1" t="n">
        <v>45222</v>
      </c>
      <c r="C476" s="1" t="n">
        <v>45294</v>
      </c>
      <c r="D476" t="inlineStr">
        <is>
          <t>NORRBOTTENS LÄN</t>
        </is>
      </c>
      <c r="E476" t="inlineStr">
        <is>
          <t>JOKKMOKK</t>
        </is>
      </c>
      <c r="F476" t="inlineStr">
        <is>
          <t>Övriga statliga verk och myndigheter</t>
        </is>
      </c>
      <c r="G476" t="n">
        <v>46.3</v>
      </c>
      <c r="H476" t="n">
        <v>0</v>
      </c>
      <c r="I476" t="n">
        <v>0</v>
      </c>
      <c r="J476" t="n">
        <v>0</v>
      </c>
      <c r="K476" t="n">
        <v>0</v>
      </c>
      <c r="L476" t="n">
        <v>0</v>
      </c>
      <c r="M476" t="n">
        <v>0</v>
      </c>
      <c r="N476" t="n">
        <v>0</v>
      </c>
      <c r="O476" t="n">
        <v>0</v>
      </c>
      <c r="P476" t="n">
        <v>0</v>
      </c>
      <c r="Q476" t="n">
        <v>0</v>
      </c>
      <c r="R476" s="2" t="inlineStr"/>
    </row>
    <row r="477" ht="15" customHeight="1">
      <c r="A477" t="inlineStr">
        <is>
          <t>A 53157-2023</t>
        </is>
      </c>
      <c r="B477" s="1" t="n">
        <v>45222</v>
      </c>
      <c r="C477" s="1" t="n">
        <v>45294</v>
      </c>
      <c r="D477" t="inlineStr">
        <is>
          <t>NORRBOTTENS LÄN</t>
        </is>
      </c>
      <c r="E477" t="inlineStr">
        <is>
          <t>JOKKMOKK</t>
        </is>
      </c>
      <c r="F477" t="inlineStr">
        <is>
          <t>Övriga statliga verk och myndigheter</t>
        </is>
      </c>
      <c r="G477" t="n">
        <v>2.7</v>
      </c>
      <c r="H477" t="n">
        <v>0</v>
      </c>
      <c r="I477" t="n">
        <v>0</v>
      </c>
      <c r="J477" t="n">
        <v>0</v>
      </c>
      <c r="K477" t="n">
        <v>0</v>
      </c>
      <c r="L477" t="n">
        <v>0</v>
      </c>
      <c r="M477" t="n">
        <v>0</v>
      </c>
      <c r="N477" t="n">
        <v>0</v>
      </c>
      <c r="O477" t="n">
        <v>0</v>
      </c>
      <c r="P477" t="n">
        <v>0</v>
      </c>
      <c r="Q477" t="n">
        <v>0</v>
      </c>
      <c r="R477" s="2" t="inlineStr"/>
    </row>
    <row r="478" ht="15" customHeight="1">
      <c r="A478" t="inlineStr">
        <is>
          <t>A 53140-2023</t>
        </is>
      </c>
      <c r="B478" s="1" t="n">
        <v>45222</v>
      </c>
      <c r="C478" s="1" t="n">
        <v>45294</v>
      </c>
      <c r="D478" t="inlineStr">
        <is>
          <t>NORRBOTTENS LÄN</t>
        </is>
      </c>
      <c r="E478" t="inlineStr">
        <is>
          <t>JOKKMOKK</t>
        </is>
      </c>
      <c r="F478" t="inlineStr">
        <is>
          <t>Övriga statliga verk och myndigheter</t>
        </is>
      </c>
      <c r="G478" t="n">
        <v>44.1</v>
      </c>
      <c r="H478" t="n">
        <v>0</v>
      </c>
      <c r="I478" t="n">
        <v>0</v>
      </c>
      <c r="J478" t="n">
        <v>0</v>
      </c>
      <c r="K478" t="n">
        <v>0</v>
      </c>
      <c r="L478" t="n">
        <v>0</v>
      </c>
      <c r="M478" t="n">
        <v>0</v>
      </c>
      <c r="N478" t="n">
        <v>0</v>
      </c>
      <c r="O478" t="n">
        <v>0</v>
      </c>
      <c r="P478" t="n">
        <v>0</v>
      </c>
      <c r="Q478" t="n">
        <v>0</v>
      </c>
      <c r="R478" s="2" t="inlineStr"/>
    </row>
    <row r="479" ht="15" customHeight="1">
      <c r="A479" t="inlineStr">
        <is>
          <t>A 53205-2023</t>
        </is>
      </c>
      <c r="B479" s="1" t="n">
        <v>45222</v>
      </c>
      <c r="C479" s="1" t="n">
        <v>45294</v>
      </c>
      <c r="D479" t="inlineStr">
        <is>
          <t>NORRBOTTENS LÄN</t>
        </is>
      </c>
      <c r="E479" t="inlineStr">
        <is>
          <t>JOKKMOKK</t>
        </is>
      </c>
      <c r="F479" t="inlineStr">
        <is>
          <t>Övriga statliga verk och myndigheter</t>
        </is>
      </c>
      <c r="G479" t="n">
        <v>11.9</v>
      </c>
      <c r="H479" t="n">
        <v>0</v>
      </c>
      <c r="I479" t="n">
        <v>0</v>
      </c>
      <c r="J479" t="n">
        <v>0</v>
      </c>
      <c r="K479" t="n">
        <v>0</v>
      </c>
      <c r="L479" t="n">
        <v>0</v>
      </c>
      <c r="M479" t="n">
        <v>0</v>
      </c>
      <c r="N479" t="n">
        <v>0</v>
      </c>
      <c r="O479" t="n">
        <v>0</v>
      </c>
      <c r="P479" t="n">
        <v>0</v>
      </c>
      <c r="Q479" t="n">
        <v>0</v>
      </c>
      <c r="R479" s="2" t="inlineStr"/>
    </row>
    <row r="480" ht="15" customHeight="1">
      <c r="A480" t="inlineStr">
        <is>
          <t>A 53181-2023</t>
        </is>
      </c>
      <c r="B480" s="1" t="n">
        <v>45222</v>
      </c>
      <c r="C480" s="1" t="n">
        <v>45294</v>
      </c>
      <c r="D480" t="inlineStr">
        <is>
          <t>NORRBOTTENS LÄN</t>
        </is>
      </c>
      <c r="E480" t="inlineStr">
        <is>
          <t>JOKKMOKK</t>
        </is>
      </c>
      <c r="F480" t="inlineStr">
        <is>
          <t>Övriga statliga verk och myndigheter</t>
        </is>
      </c>
      <c r="G480" t="n">
        <v>9.9</v>
      </c>
      <c r="H480" t="n">
        <v>0</v>
      </c>
      <c r="I480" t="n">
        <v>0</v>
      </c>
      <c r="J480" t="n">
        <v>0</v>
      </c>
      <c r="K480" t="n">
        <v>0</v>
      </c>
      <c r="L480" t="n">
        <v>0</v>
      </c>
      <c r="M480" t="n">
        <v>0</v>
      </c>
      <c r="N480" t="n">
        <v>0</v>
      </c>
      <c r="O480" t="n">
        <v>0</v>
      </c>
      <c r="P480" t="n">
        <v>0</v>
      </c>
      <c r="Q480" t="n">
        <v>0</v>
      </c>
      <c r="R480" s="2" t="inlineStr"/>
    </row>
    <row r="481" ht="15" customHeight="1">
      <c r="A481" t="inlineStr">
        <is>
          <t>A 53195-2023</t>
        </is>
      </c>
      <c r="B481" s="1" t="n">
        <v>45222</v>
      </c>
      <c r="C481" s="1" t="n">
        <v>45294</v>
      </c>
      <c r="D481" t="inlineStr">
        <is>
          <t>NORRBOTTENS LÄN</t>
        </is>
      </c>
      <c r="E481" t="inlineStr">
        <is>
          <t>JOKKMOKK</t>
        </is>
      </c>
      <c r="F481" t="inlineStr">
        <is>
          <t>Övriga statliga verk och myndigheter</t>
        </is>
      </c>
      <c r="G481" t="n">
        <v>6</v>
      </c>
      <c r="H481" t="n">
        <v>0</v>
      </c>
      <c r="I481" t="n">
        <v>0</v>
      </c>
      <c r="J481" t="n">
        <v>0</v>
      </c>
      <c r="K481" t="n">
        <v>0</v>
      </c>
      <c r="L481" t="n">
        <v>0</v>
      </c>
      <c r="M481" t="n">
        <v>0</v>
      </c>
      <c r="N481" t="n">
        <v>0</v>
      </c>
      <c r="O481" t="n">
        <v>0</v>
      </c>
      <c r="P481" t="n">
        <v>0</v>
      </c>
      <c r="Q481" t="n">
        <v>0</v>
      </c>
      <c r="R481" s="2" t="inlineStr"/>
    </row>
    <row r="482" ht="15" customHeight="1">
      <c r="A482" t="inlineStr">
        <is>
          <t>A 52181-2023</t>
        </is>
      </c>
      <c r="B482" s="1" t="n">
        <v>45224</v>
      </c>
      <c r="C482" s="1" t="n">
        <v>45294</v>
      </c>
      <c r="D482" t="inlineStr">
        <is>
          <t>NORRBOTTENS LÄN</t>
        </is>
      </c>
      <c r="E482" t="inlineStr">
        <is>
          <t>JOKKMOKK</t>
        </is>
      </c>
      <c r="F482" t="inlineStr">
        <is>
          <t>Sveaskog</t>
        </is>
      </c>
      <c r="G482" t="n">
        <v>2.3</v>
      </c>
      <c r="H482" t="n">
        <v>0</v>
      </c>
      <c r="I482" t="n">
        <v>0</v>
      </c>
      <c r="J482" t="n">
        <v>0</v>
      </c>
      <c r="K482" t="n">
        <v>0</v>
      </c>
      <c r="L482" t="n">
        <v>0</v>
      </c>
      <c r="M482" t="n">
        <v>0</v>
      </c>
      <c r="N482" t="n">
        <v>0</v>
      </c>
      <c r="O482" t="n">
        <v>0</v>
      </c>
      <c r="P482" t="n">
        <v>0</v>
      </c>
      <c r="Q482" t="n">
        <v>0</v>
      </c>
      <c r="R482" s="2" t="inlineStr"/>
    </row>
    <row r="483" ht="15" customHeight="1">
      <c r="A483" t="inlineStr">
        <is>
          <t>A 53991-2023</t>
        </is>
      </c>
      <c r="B483" s="1" t="n">
        <v>45225</v>
      </c>
      <c r="C483" s="1" t="n">
        <v>45294</v>
      </c>
      <c r="D483" t="inlineStr">
        <is>
          <t>NORRBOTTENS LÄN</t>
        </is>
      </c>
      <c r="E483" t="inlineStr">
        <is>
          <t>JOKKMOKK</t>
        </is>
      </c>
      <c r="F483" t="inlineStr">
        <is>
          <t>Allmännings- och besparingsskogar</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54354-2023</t>
        </is>
      </c>
      <c r="B484" s="1" t="n">
        <v>45232</v>
      </c>
      <c r="C484" s="1" t="n">
        <v>45294</v>
      </c>
      <c r="D484" t="inlineStr">
        <is>
          <t>NORRBOTTENS LÄN</t>
        </is>
      </c>
      <c r="E484" t="inlineStr">
        <is>
          <t>JOKKMOKK</t>
        </is>
      </c>
      <c r="F484" t="inlineStr">
        <is>
          <t>SCA</t>
        </is>
      </c>
      <c r="G484" t="n">
        <v>7.8</v>
      </c>
      <c r="H484" t="n">
        <v>0</v>
      </c>
      <c r="I484" t="n">
        <v>0</v>
      </c>
      <c r="J484" t="n">
        <v>0</v>
      </c>
      <c r="K484" t="n">
        <v>0</v>
      </c>
      <c r="L484" t="n">
        <v>0</v>
      </c>
      <c r="M484" t="n">
        <v>0</v>
      </c>
      <c r="N484" t="n">
        <v>0</v>
      </c>
      <c r="O484" t="n">
        <v>0</v>
      </c>
      <c r="P484" t="n">
        <v>0</v>
      </c>
      <c r="Q484" t="n">
        <v>0</v>
      </c>
      <c r="R484" s="2" t="inlineStr"/>
    </row>
    <row r="485" ht="15" customHeight="1">
      <c r="A485" t="inlineStr">
        <is>
          <t>A 55198-2023</t>
        </is>
      </c>
      <c r="B485" s="1" t="n">
        <v>45237</v>
      </c>
      <c r="C485" s="1" t="n">
        <v>45294</v>
      </c>
      <c r="D485" t="inlineStr">
        <is>
          <t>NORRBOTTENS LÄN</t>
        </is>
      </c>
      <c r="E485" t="inlineStr">
        <is>
          <t>JOKKMOKK</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56540-2023</t>
        </is>
      </c>
      <c r="B486" s="1" t="n">
        <v>45243</v>
      </c>
      <c r="C486" s="1" t="n">
        <v>45294</v>
      </c>
      <c r="D486" t="inlineStr">
        <is>
          <t>NORRBOTTENS LÄN</t>
        </is>
      </c>
      <c r="E486" t="inlineStr">
        <is>
          <t>JOKKMOKK</t>
        </is>
      </c>
      <c r="G486" t="n">
        <v>19.4</v>
      </c>
      <c r="H486" t="n">
        <v>0</v>
      </c>
      <c r="I486" t="n">
        <v>0</v>
      </c>
      <c r="J486" t="n">
        <v>0</v>
      </c>
      <c r="K486" t="n">
        <v>0</v>
      </c>
      <c r="L486" t="n">
        <v>0</v>
      </c>
      <c r="M486" t="n">
        <v>0</v>
      </c>
      <c r="N486" t="n">
        <v>0</v>
      </c>
      <c r="O486" t="n">
        <v>0</v>
      </c>
      <c r="P486" t="n">
        <v>0</v>
      </c>
      <c r="Q486" t="n">
        <v>0</v>
      </c>
      <c r="R486" s="2" t="inlineStr"/>
    </row>
    <row r="487" ht="15" customHeight="1">
      <c r="A487" t="inlineStr">
        <is>
          <t>A 59849-2023</t>
        </is>
      </c>
      <c r="B487" s="1" t="n">
        <v>45257</v>
      </c>
      <c r="C487" s="1" t="n">
        <v>45294</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59865-2023</t>
        </is>
      </c>
      <c r="B488" s="1" t="n">
        <v>45257</v>
      </c>
      <c r="C488" s="1" t="n">
        <v>45294</v>
      </c>
      <c r="D488" t="inlineStr">
        <is>
          <t>NORRBOTTENS LÄN</t>
        </is>
      </c>
      <c r="E488" t="inlineStr">
        <is>
          <t>JOKKMOKK</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60164-2023</t>
        </is>
      </c>
      <c r="B489" s="1" t="n">
        <v>45258</v>
      </c>
      <c r="C489" s="1" t="n">
        <v>45294</v>
      </c>
      <c r="D489" t="inlineStr">
        <is>
          <t>NORRBOTTENS LÄN</t>
        </is>
      </c>
      <c r="E489" t="inlineStr">
        <is>
          <t>JOKKMOKK</t>
        </is>
      </c>
      <c r="F489" t="inlineStr">
        <is>
          <t>Allmännings- och besparingsskogar</t>
        </is>
      </c>
      <c r="G489" t="n">
        <v>14.3</v>
      </c>
      <c r="H489" t="n">
        <v>0</v>
      </c>
      <c r="I489" t="n">
        <v>0</v>
      </c>
      <c r="J489" t="n">
        <v>0</v>
      </c>
      <c r="K489" t="n">
        <v>0</v>
      </c>
      <c r="L489" t="n">
        <v>0</v>
      </c>
      <c r="M489" t="n">
        <v>0</v>
      </c>
      <c r="N489" t="n">
        <v>0</v>
      </c>
      <c r="O489" t="n">
        <v>0</v>
      </c>
      <c r="P489" t="n">
        <v>0</v>
      </c>
      <c r="Q489" t="n">
        <v>0</v>
      </c>
      <c r="R489" s="2" t="inlineStr"/>
    </row>
    <row r="490" ht="15" customHeight="1">
      <c r="A490" t="inlineStr">
        <is>
          <t>A 60193-2023</t>
        </is>
      </c>
      <c r="B490" s="1" t="n">
        <v>45258</v>
      </c>
      <c r="C490" s="1" t="n">
        <v>45294</v>
      </c>
      <c r="D490" t="inlineStr">
        <is>
          <t>NORRBOTTENS LÄN</t>
        </is>
      </c>
      <c r="E490" t="inlineStr">
        <is>
          <t>JOKKMOKK</t>
        </is>
      </c>
      <c r="F490" t="inlineStr">
        <is>
          <t>Allmännings- och besparingsskogar</t>
        </is>
      </c>
      <c r="G490" t="n">
        <v>11.1</v>
      </c>
      <c r="H490" t="n">
        <v>0</v>
      </c>
      <c r="I490" t="n">
        <v>0</v>
      </c>
      <c r="J490" t="n">
        <v>0</v>
      </c>
      <c r="K490" t="n">
        <v>0</v>
      </c>
      <c r="L490" t="n">
        <v>0</v>
      </c>
      <c r="M490" t="n">
        <v>0</v>
      </c>
      <c r="N490" t="n">
        <v>0</v>
      </c>
      <c r="O490" t="n">
        <v>0</v>
      </c>
      <c r="P490" t="n">
        <v>0</v>
      </c>
      <c r="Q490" t="n">
        <v>0</v>
      </c>
      <c r="R490" s="2" t="inlineStr"/>
    </row>
    <row r="491" ht="15" customHeight="1">
      <c r="A491" t="inlineStr">
        <is>
          <t>A 60215-2023</t>
        </is>
      </c>
      <c r="B491" s="1" t="n">
        <v>45258</v>
      </c>
      <c r="C491" s="1" t="n">
        <v>45294</v>
      </c>
      <c r="D491" t="inlineStr">
        <is>
          <t>NORRBOTTENS LÄN</t>
        </is>
      </c>
      <c r="E491" t="inlineStr">
        <is>
          <t>JOKKMOKK</t>
        </is>
      </c>
      <c r="F491" t="inlineStr">
        <is>
          <t>Allmännings- och besparingsskogar</t>
        </is>
      </c>
      <c r="G491" t="n">
        <v>7.8</v>
      </c>
      <c r="H491" t="n">
        <v>0</v>
      </c>
      <c r="I491" t="n">
        <v>0</v>
      </c>
      <c r="J491" t="n">
        <v>0</v>
      </c>
      <c r="K491" t="n">
        <v>0</v>
      </c>
      <c r="L491" t="n">
        <v>0</v>
      </c>
      <c r="M491" t="n">
        <v>0</v>
      </c>
      <c r="N491" t="n">
        <v>0</v>
      </c>
      <c r="O491" t="n">
        <v>0</v>
      </c>
      <c r="P491" t="n">
        <v>0</v>
      </c>
      <c r="Q491" t="n">
        <v>0</v>
      </c>
      <c r="R491" s="2" t="inlineStr"/>
    </row>
    <row r="492" ht="15" customHeight="1">
      <c r="A492" t="inlineStr">
        <is>
          <t>A 60242-2023</t>
        </is>
      </c>
      <c r="B492" s="1" t="n">
        <v>45258</v>
      </c>
      <c r="C492" s="1" t="n">
        <v>45294</v>
      </c>
      <c r="D492" t="inlineStr">
        <is>
          <t>NORRBOTTENS LÄN</t>
        </is>
      </c>
      <c r="E492" t="inlineStr">
        <is>
          <t>JOKKMOKK</t>
        </is>
      </c>
      <c r="F492" t="inlineStr">
        <is>
          <t>Allmännings- och besparingsskogar</t>
        </is>
      </c>
      <c r="G492" t="n">
        <v>9.4</v>
      </c>
      <c r="H492" t="n">
        <v>0</v>
      </c>
      <c r="I492" t="n">
        <v>0</v>
      </c>
      <c r="J492" t="n">
        <v>0</v>
      </c>
      <c r="K492" t="n">
        <v>0</v>
      </c>
      <c r="L492" t="n">
        <v>0</v>
      </c>
      <c r="M492" t="n">
        <v>0</v>
      </c>
      <c r="N492" t="n">
        <v>0</v>
      </c>
      <c r="O492" t="n">
        <v>0</v>
      </c>
      <c r="P492" t="n">
        <v>0</v>
      </c>
      <c r="Q492" t="n">
        <v>0</v>
      </c>
      <c r="R492" s="2" t="inlineStr"/>
    </row>
    <row r="493" ht="15" customHeight="1">
      <c r="A493" t="inlineStr">
        <is>
          <t>A 60259-2023</t>
        </is>
      </c>
      <c r="B493" s="1" t="n">
        <v>45258</v>
      </c>
      <c r="C493" s="1" t="n">
        <v>45294</v>
      </c>
      <c r="D493" t="inlineStr">
        <is>
          <t>NORRBOTTENS LÄN</t>
        </is>
      </c>
      <c r="E493" t="inlineStr">
        <is>
          <t>JOKKMOKK</t>
        </is>
      </c>
      <c r="F493" t="inlineStr">
        <is>
          <t>Allmännings- och besparingsskogar</t>
        </is>
      </c>
      <c r="G493" t="n">
        <v>5.2</v>
      </c>
      <c r="H493" t="n">
        <v>0</v>
      </c>
      <c r="I493" t="n">
        <v>0</v>
      </c>
      <c r="J493" t="n">
        <v>0</v>
      </c>
      <c r="K493" t="n">
        <v>0</v>
      </c>
      <c r="L493" t="n">
        <v>0</v>
      </c>
      <c r="M493" t="n">
        <v>0</v>
      </c>
      <c r="N493" t="n">
        <v>0</v>
      </c>
      <c r="O493" t="n">
        <v>0</v>
      </c>
      <c r="P493" t="n">
        <v>0</v>
      </c>
      <c r="Q493" t="n">
        <v>0</v>
      </c>
      <c r="R493" s="2" t="inlineStr"/>
    </row>
    <row r="494" ht="15" customHeight="1">
      <c r="A494" t="inlineStr">
        <is>
          <t>A 60271-2023</t>
        </is>
      </c>
      <c r="B494" s="1" t="n">
        <v>45258</v>
      </c>
      <c r="C494" s="1" t="n">
        <v>45294</v>
      </c>
      <c r="D494" t="inlineStr">
        <is>
          <t>NORRBOTTENS LÄN</t>
        </is>
      </c>
      <c r="E494" t="inlineStr">
        <is>
          <t>JOKKMOKK</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60201-2023</t>
        </is>
      </c>
      <c r="B495" s="1" t="n">
        <v>45258</v>
      </c>
      <c r="C495" s="1" t="n">
        <v>45294</v>
      </c>
      <c r="D495" t="inlineStr">
        <is>
          <t>NORRBOTTENS LÄN</t>
        </is>
      </c>
      <c r="E495" t="inlineStr">
        <is>
          <t>JOKKMOKK</t>
        </is>
      </c>
      <c r="F495" t="inlineStr">
        <is>
          <t>Allmännings- och besparingsskogar</t>
        </is>
      </c>
      <c r="G495" t="n">
        <v>22.8</v>
      </c>
      <c r="H495" t="n">
        <v>0</v>
      </c>
      <c r="I495" t="n">
        <v>0</v>
      </c>
      <c r="J495" t="n">
        <v>0</v>
      </c>
      <c r="K495" t="n">
        <v>0</v>
      </c>
      <c r="L495" t="n">
        <v>0</v>
      </c>
      <c r="M495" t="n">
        <v>0</v>
      </c>
      <c r="N495" t="n">
        <v>0</v>
      </c>
      <c r="O495" t="n">
        <v>0</v>
      </c>
      <c r="P495" t="n">
        <v>0</v>
      </c>
      <c r="Q495" t="n">
        <v>0</v>
      </c>
      <c r="R495" s="2" t="inlineStr"/>
    </row>
    <row r="496" ht="15" customHeight="1">
      <c r="A496" t="inlineStr">
        <is>
          <t>A 60251-2023</t>
        </is>
      </c>
      <c r="B496" s="1" t="n">
        <v>45258</v>
      </c>
      <c r="C496" s="1" t="n">
        <v>45294</v>
      </c>
      <c r="D496" t="inlineStr">
        <is>
          <t>NORRBOTTENS LÄN</t>
        </is>
      </c>
      <c r="E496" t="inlineStr">
        <is>
          <t>JOKKMOKK</t>
        </is>
      </c>
      <c r="F496" t="inlineStr">
        <is>
          <t>Allmännings- och besparingsskogar</t>
        </is>
      </c>
      <c r="G496" t="n">
        <v>12.9</v>
      </c>
      <c r="H496" t="n">
        <v>0</v>
      </c>
      <c r="I496" t="n">
        <v>0</v>
      </c>
      <c r="J496" t="n">
        <v>0</v>
      </c>
      <c r="K496" t="n">
        <v>0</v>
      </c>
      <c r="L496" t="n">
        <v>0</v>
      </c>
      <c r="M496" t="n">
        <v>0</v>
      </c>
      <c r="N496" t="n">
        <v>0</v>
      </c>
      <c r="O496" t="n">
        <v>0</v>
      </c>
      <c r="P496" t="n">
        <v>0</v>
      </c>
      <c r="Q496" t="n">
        <v>0</v>
      </c>
      <c r="R496" s="2" t="inlineStr"/>
    </row>
    <row r="497" ht="15" customHeight="1">
      <c r="A497" t="inlineStr">
        <is>
          <t>A 60275-2023</t>
        </is>
      </c>
      <c r="B497" s="1" t="n">
        <v>45258</v>
      </c>
      <c r="C497" s="1" t="n">
        <v>45294</v>
      </c>
      <c r="D497" t="inlineStr">
        <is>
          <t>NORRBOTTENS LÄN</t>
        </is>
      </c>
      <c r="E497" t="inlineStr">
        <is>
          <t>JOKKMOKK</t>
        </is>
      </c>
      <c r="G497" t="n">
        <v>3.2</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45294</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45294</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60406-2023</t>
        </is>
      </c>
      <c r="B500" s="1" t="n">
        <v>45259</v>
      </c>
      <c r="C500" s="1" t="n">
        <v>45294</v>
      </c>
      <c r="D500" t="inlineStr">
        <is>
          <t>NORRBOTTENS LÄN</t>
        </is>
      </c>
      <c r="E500" t="inlineStr">
        <is>
          <t>JOKKMOKK</t>
        </is>
      </c>
      <c r="F500" t="inlineStr">
        <is>
          <t>Allmännings- och besparingsskogar</t>
        </is>
      </c>
      <c r="G500" t="n">
        <v>2.5</v>
      </c>
      <c r="H500" t="n">
        <v>0</v>
      </c>
      <c r="I500" t="n">
        <v>0</v>
      </c>
      <c r="J500" t="n">
        <v>0</v>
      </c>
      <c r="K500" t="n">
        <v>0</v>
      </c>
      <c r="L500" t="n">
        <v>0</v>
      </c>
      <c r="M500" t="n">
        <v>0</v>
      </c>
      <c r="N500" t="n">
        <v>0</v>
      </c>
      <c r="O500" t="n">
        <v>0</v>
      </c>
      <c r="P500" t="n">
        <v>0</v>
      </c>
      <c r="Q500" t="n">
        <v>0</v>
      </c>
      <c r="R500" s="2" t="inlineStr"/>
    </row>
    <row r="501" ht="15" customHeight="1">
      <c r="A501" t="inlineStr">
        <is>
          <t>A 60390-2023</t>
        </is>
      </c>
      <c r="B501" s="1" t="n">
        <v>45259</v>
      </c>
      <c r="C501" s="1" t="n">
        <v>45294</v>
      </c>
      <c r="D501" t="inlineStr">
        <is>
          <t>NORRBOTTENS LÄN</t>
        </is>
      </c>
      <c r="E501" t="inlineStr">
        <is>
          <t>JOKKMOKK</t>
        </is>
      </c>
      <c r="F501" t="inlineStr">
        <is>
          <t>Sveaskog</t>
        </is>
      </c>
      <c r="G501" t="n">
        <v>10.9</v>
      </c>
      <c r="H501" t="n">
        <v>0</v>
      </c>
      <c r="I501" t="n">
        <v>0</v>
      </c>
      <c r="J501" t="n">
        <v>0</v>
      </c>
      <c r="K501" t="n">
        <v>0</v>
      </c>
      <c r="L501" t="n">
        <v>0</v>
      </c>
      <c r="M501" t="n">
        <v>0</v>
      </c>
      <c r="N501" t="n">
        <v>0</v>
      </c>
      <c r="O501" t="n">
        <v>0</v>
      </c>
      <c r="P501" t="n">
        <v>0</v>
      </c>
      <c r="Q501" t="n">
        <v>0</v>
      </c>
      <c r="R501" s="2" t="inlineStr"/>
    </row>
    <row r="502" ht="15" customHeight="1">
      <c r="A502" t="inlineStr">
        <is>
          <t>A 60376-2023</t>
        </is>
      </c>
      <c r="B502" s="1" t="n">
        <v>45259</v>
      </c>
      <c r="C502" s="1" t="n">
        <v>45294</v>
      </c>
      <c r="D502" t="inlineStr">
        <is>
          <t>NORRBOTTENS LÄN</t>
        </is>
      </c>
      <c r="E502" t="inlineStr">
        <is>
          <t>JOKKMOKK</t>
        </is>
      </c>
      <c r="F502" t="inlineStr">
        <is>
          <t>Allmännings- och besparingsskogar</t>
        </is>
      </c>
      <c r="G502" t="n">
        <v>13.3</v>
      </c>
      <c r="H502" t="n">
        <v>0</v>
      </c>
      <c r="I502" t="n">
        <v>0</v>
      </c>
      <c r="J502" t="n">
        <v>0</v>
      </c>
      <c r="K502" t="n">
        <v>0</v>
      </c>
      <c r="L502" t="n">
        <v>0</v>
      </c>
      <c r="M502" t="n">
        <v>0</v>
      </c>
      <c r="N502" t="n">
        <v>0</v>
      </c>
      <c r="O502" t="n">
        <v>0</v>
      </c>
      <c r="P502" t="n">
        <v>0</v>
      </c>
      <c r="Q502" t="n">
        <v>0</v>
      </c>
      <c r="R502" s="2" t="inlineStr"/>
    </row>
    <row r="503" ht="15" customHeight="1">
      <c r="A503" t="inlineStr">
        <is>
          <t>A 60418-2023</t>
        </is>
      </c>
      <c r="B503" s="1" t="n">
        <v>45259</v>
      </c>
      <c r="C503" s="1" t="n">
        <v>45294</v>
      </c>
      <c r="D503" t="inlineStr">
        <is>
          <t>NORRBOTTENS LÄN</t>
        </is>
      </c>
      <c r="E503" t="inlineStr">
        <is>
          <t>JOKKMOKK</t>
        </is>
      </c>
      <c r="F503" t="inlineStr">
        <is>
          <t>Allmännings- och besparingsskogar</t>
        </is>
      </c>
      <c r="G503" t="n">
        <v>12.7</v>
      </c>
      <c r="H503" t="n">
        <v>0</v>
      </c>
      <c r="I503" t="n">
        <v>0</v>
      </c>
      <c r="J503" t="n">
        <v>0</v>
      </c>
      <c r="K503" t="n">
        <v>0</v>
      </c>
      <c r="L503" t="n">
        <v>0</v>
      </c>
      <c r="M503" t="n">
        <v>0</v>
      </c>
      <c r="N503" t="n">
        <v>0</v>
      </c>
      <c r="O503" t="n">
        <v>0</v>
      </c>
      <c r="P503" t="n">
        <v>0</v>
      </c>
      <c r="Q503" t="n">
        <v>0</v>
      </c>
      <c r="R503" s="2" t="inlineStr"/>
    </row>
    <row r="504" ht="15" customHeight="1">
      <c r="A504" t="inlineStr">
        <is>
          <t>A 60408-2023</t>
        </is>
      </c>
      <c r="B504" s="1" t="n">
        <v>45259</v>
      </c>
      <c r="C504" s="1" t="n">
        <v>45294</v>
      </c>
      <c r="D504" t="inlineStr">
        <is>
          <t>NORRBOTTENS LÄN</t>
        </is>
      </c>
      <c r="E504" t="inlineStr">
        <is>
          <t>JOKKMOKK</t>
        </is>
      </c>
      <c r="F504" t="inlineStr">
        <is>
          <t>Allmännings- och besparingsskogar</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60383-2023</t>
        </is>
      </c>
      <c r="B505" s="1" t="n">
        <v>45259</v>
      </c>
      <c r="C505" s="1" t="n">
        <v>45294</v>
      </c>
      <c r="D505" t="inlineStr">
        <is>
          <t>NORRBOTTENS LÄN</t>
        </is>
      </c>
      <c r="E505" t="inlineStr">
        <is>
          <t>JOKKMOKK</t>
        </is>
      </c>
      <c r="F505" t="inlineStr">
        <is>
          <t>Sveaskog</t>
        </is>
      </c>
      <c r="G505" t="n">
        <v>7.3</v>
      </c>
      <c r="H505" t="n">
        <v>0</v>
      </c>
      <c r="I505" t="n">
        <v>0</v>
      </c>
      <c r="J505" t="n">
        <v>0</v>
      </c>
      <c r="K505" t="n">
        <v>0</v>
      </c>
      <c r="L505" t="n">
        <v>0</v>
      </c>
      <c r="M505" t="n">
        <v>0</v>
      </c>
      <c r="N505" t="n">
        <v>0</v>
      </c>
      <c r="O505" t="n">
        <v>0</v>
      </c>
      <c r="P505" t="n">
        <v>0</v>
      </c>
      <c r="Q505" t="n">
        <v>0</v>
      </c>
      <c r="R505" s="2" t="inlineStr"/>
    </row>
    <row r="506" ht="15" customHeight="1">
      <c r="A506" t="inlineStr">
        <is>
          <t>A 60374-2023</t>
        </is>
      </c>
      <c r="B506" s="1" t="n">
        <v>45259</v>
      </c>
      <c r="C506" s="1" t="n">
        <v>45294</v>
      </c>
      <c r="D506" t="inlineStr">
        <is>
          <t>NORRBOTTENS LÄN</t>
        </is>
      </c>
      <c r="E506" t="inlineStr">
        <is>
          <t>JOKKMOKK</t>
        </is>
      </c>
      <c r="F506" t="inlineStr">
        <is>
          <t>Sveaskog</t>
        </is>
      </c>
      <c r="G506" t="n">
        <v>7.1</v>
      </c>
      <c r="H506" t="n">
        <v>0</v>
      </c>
      <c r="I506" t="n">
        <v>0</v>
      </c>
      <c r="J506" t="n">
        <v>0</v>
      </c>
      <c r="K506" t="n">
        <v>0</v>
      </c>
      <c r="L506" t="n">
        <v>0</v>
      </c>
      <c r="M506" t="n">
        <v>0</v>
      </c>
      <c r="N506" t="n">
        <v>0</v>
      </c>
      <c r="O506" t="n">
        <v>0</v>
      </c>
      <c r="P506" t="n">
        <v>0</v>
      </c>
      <c r="Q506" t="n">
        <v>0</v>
      </c>
      <c r="R506" s="2" t="inlineStr"/>
    </row>
    <row r="507" ht="15" customHeight="1">
      <c r="A507" t="inlineStr">
        <is>
          <t>A 60370-2023</t>
        </is>
      </c>
      <c r="B507" s="1" t="n">
        <v>45259</v>
      </c>
      <c r="C507" s="1" t="n">
        <v>45294</v>
      </c>
      <c r="D507" t="inlineStr">
        <is>
          <t>NORRBOTTENS LÄN</t>
        </is>
      </c>
      <c r="E507" t="inlineStr">
        <is>
          <t>JOKKMOKK</t>
        </is>
      </c>
      <c r="F507" t="inlineStr">
        <is>
          <t>Sveaskog</t>
        </is>
      </c>
      <c r="G507" t="n">
        <v>11.9</v>
      </c>
      <c r="H507" t="n">
        <v>0</v>
      </c>
      <c r="I507" t="n">
        <v>0</v>
      </c>
      <c r="J507" t="n">
        <v>0</v>
      </c>
      <c r="K507" t="n">
        <v>0</v>
      </c>
      <c r="L507" t="n">
        <v>0</v>
      </c>
      <c r="M507" t="n">
        <v>0</v>
      </c>
      <c r="N507" t="n">
        <v>0</v>
      </c>
      <c r="O507" t="n">
        <v>0</v>
      </c>
      <c r="P507" t="n">
        <v>0</v>
      </c>
      <c r="Q507" t="n">
        <v>0</v>
      </c>
      <c r="R507" s="2" t="inlineStr"/>
    </row>
    <row r="508" ht="15" customHeight="1">
      <c r="A508" t="inlineStr">
        <is>
          <t>A 60930-2023</t>
        </is>
      </c>
      <c r="B508" s="1" t="n">
        <v>45261</v>
      </c>
      <c r="C508" s="1" t="n">
        <v>45294</v>
      </c>
      <c r="D508" t="inlineStr">
        <is>
          <t>NORRBOTTENS LÄN</t>
        </is>
      </c>
      <c r="E508" t="inlineStr">
        <is>
          <t>JOKKMOKK</t>
        </is>
      </c>
      <c r="F508" t="inlineStr">
        <is>
          <t>Allmännings- och besparingsskogar</t>
        </is>
      </c>
      <c r="G508" t="n">
        <v>8.5</v>
      </c>
      <c r="H508" t="n">
        <v>0</v>
      </c>
      <c r="I508" t="n">
        <v>0</v>
      </c>
      <c r="J508" t="n">
        <v>0</v>
      </c>
      <c r="K508" t="n">
        <v>0</v>
      </c>
      <c r="L508" t="n">
        <v>0</v>
      </c>
      <c r="M508" t="n">
        <v>0</v>
      </c>
      <c r="N508" t="n">
        <v>0</v>
      </c>
      <c r="O508" t="n">
        <v>0</v>
      </c>
      <c r="P508" t="n">
        <v>0</v>
      </c>
      <c r="Q508" t="n">
        <v>0</v>
      </c>
      <c r="R508" s="2" t="inlineStr"/>
    </row>
    <row r="509" ht="15" customHeight="1">
      <c r="A509" t="inlineStr">
        <is>
          <t>A 63758-2023</t>
        </is>
      </c>
      <c r="B509" s="1" t="n">
        <v>45278</v>
      </c>
      <c r="C509" s="1" t="n">
        <v>45294</v>
      </c>
      <c r="D509" t="inlineStr">
        <is>
          <t>NORRBOTTENS LÄN</t>
        </is>
      </c>
      <c r="E509" t="inlineStr">
        <is>
          <t>JOKKMOKK</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63938-2023</t>
        </is>
      </c>
      <c r="B510" s="1" t="n">
        <v>45278</v>
      </c>
      <c r="C510" s="1" t="n">
        <v>45294</v>
      </c>
      <c r="D510" t="inlineStr">
        <is>
          <t>NORRBOTTENS LÄN</t>
        </is>
      </c>
      <c r="E510" t="inlineStr">
        <is>
          <t>JOKKMOKK</t>
        </is>
      </c>
      <c r="F510" t="inlineStr">
        <is>
          <t>Sveaskog</t>
        </is>
      </c>
      <c r="G510" t="n">
        <v>40</v>
      </c>
      <c r="H510" t="n">
        <v>0</v>
      </c>
      <c r="I510" t="n">
        <v>0</v>
      </c>
      <c r="J510" t="n">
        <v>0</v>
      </c>
      <c r="K510" t="n">
        <v>0</v>
      </c>
      <c r="L510" t="n">
        <v>0</v>
      </c>
      <c r="M510" t="n">
        <v>0</v>
      </c>
      <c r="N510" t="n">
        <v>0</v>
      </c>
      <c r="O510" t="n">
        <v>0</v>
      </c>
      <c r="P510" t="n">
        <v>0</v>
      </c>
      <c r="Q510" t="n">
        <v>0</v>
      </c>
      <c r="R510" s="2" t="inlineStr"/>
    </row>
    <row r="511" ht="15" customHeight="1">
      <c r="A511" t="inlineStr">
        <is>
          <t>A 63760-2023</t>
        </is>
      </c>
      <c r="B511" s="1" t="n">
        <v>45278</v>
      </c>
      <c r="C511" s="1" t="n">
        <v>45294</v>
      </c>
      <c r="D511" t="inlineStr">
        <is>
          <t>NORRBOTTENS LÄN</t>
        </is>
      </c>
      <c r="E511" t="inlineStr">
        <is>
          <t>JOKKMOKK</t>
        </is>
      </c>
      <c r="G511" t="n">
        <v>9.699999999999999</v>
      </c>
      <c r="H511" t="n">
        <v>0</v>
      </c>
      <c r="I511" t="n">
        <v>0</v>
      </c>
      <c r="J511" t="n">
        <v>0</v>
      </c>
      <c r="K511" t="n">
        <v>0</v>
      </c>
      <c r="L511" t="n">
        <v>0</v>
      </c>
      <c r="M511" t="n">
        <v>0</v>
      </c>
      <c r="N511" t="n">
        <v>0</v>
      </c>
      <c r="O511" t="n">
        <v>0</v>
      </c>
      <c r="P511" t="n">
        <v>0</v>
      </c>
      <c r="Q511" t="n">
        <v>0</v>
      </c>
      <c r="R511" s="2" t="inlineStr"/>
    </row>
    <row r="512">
      <c r="A512" t="inlineStr">
        <is>
          <t>A 65233-2023</t>
        </is>
      </c>
      <c r="B512" s="1" t="n">
        <v>45289</v>
      </c>
      <c r="C512" s="1" t="n">
        <v>45294</v>
      </c>
      <c r="D512" t="inlineStr">
        <is>
          <t>NORRBOTTENS LÄN</t>
        </is>
      </c>
      <c r="E512" t="inlineStr">
        <is>
          <t>JOKKMOKK</t>
        </is>
      </c>
      <c r="G512" t="n">
        <v>37.3</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2024-01-03T10:02:27Z</dcterms:created>
  <dcterms:modified xmlns:dcterms="http://purl.org/dc/terms/" xmlns:xsi="http://www.w3.org/2001/XMLSchema-instance" xsi:type="dcterms:W3CDTF">2024-01-03T10:02:28Z</dcterms:modified>
</cp:coreProperties>
</file>