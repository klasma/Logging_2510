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46291</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46291</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46291</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46291</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46291</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46291</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46291</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46291</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46291</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46291</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46291</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46291</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26107-2025</t>
        </is>
      </c>
      <c r="B14" t="inlineStr">
        <is>
          <t>avverkningsanmälan</t>
        </is>
      </c>
      <c r="C14" t="inlineStr">
        <is>
          <t>Föryngringsavverkning</t>
        </is>
      </c>
      <c r="D14" s="1" t="n">
        <v>45805</v>
      </c>
      <c r="E14" s="1" t="n">
        <v>46291</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63190-2025</t>
        </is>
      </c>
      <c r="B15" t="inlineStr">
        <is>
          <t>avverkningsanmälan</t>
        </is>
      </c>
      <c r="C15" t="inlineStr">
        <is>
          <t>Föryngringsavverkning</t>
        </is>
      </c>
      <c r="D15" s="1" t="n">
        <v>46010</v>
      </c>
      <c r="E15" s="1" t="n">
        <v>46291</v>
      </c>
      <c r="F15" t="inlineStr">
        <is>
          <t>NORRBOTTENS LÄN</t>
        </is>
      </c>
      <c r="G15" t="inlineStr">
        <is>
          <t>JOKKMOKK</t>
        </is>
      </c>
      <c r="I15" t="n">
        <v>11.4</v>
      </c>
      <c r="J15" t="n">
        <v>3</v>
      </c>
      <c r="K15" t="n">
        <v>1</v>
      </c>
      <c r="L15" t="n">
        <v>13</v>
      </c>
      <c r="M15" t="n">
        <v>4</v>
      </c>
      <c r="N15" t="n">
        <v>0</v>
      </c>
      <c r="O15" t="n">
        <v>0</v>
      </c>
      <c r="P15" t="n">
        <v>0</v>
      </c>
      <c r="Q15" t="n">
        <v>17</v>
      </c>
      <c r="R15" t="n">
        <v>4</v>
      </c>
      <c r="S15" t="n">
        <v>19</v>
      </c>
      <c r="T15" t="n">
        <v>42</v>
      </c>
      <c r="U15" t="n">
        <v>42</v>
      </c>
      <c r="V15"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5">
        <f>HYPERLINK("https://klasma.github.io/Logging_2510/artfynd/A 63190-2025 artfynd.xlsx", "A 63190-2025")</f>
        <v/>
      </c>
      <c r="X15">
        <f>HYPERLINK("https://klasma.github.io/Logging_2510/kartor/A 63190-2025 karta.png", "A 63190-2025")</f>
        <v/>
      </c>
      <c r="Y15">
        <f>HYPERLINK("https://klasma.github.io/Logging_2510/kartor_geotiff/A 63190-2025 georefererad karta.tif", "A 63190-2025")</f>
        <v/>
      </c>
      <c r="AA15">
        <f>HYPERLINK("https://klasma.github.io/Logging_2510/klagomål/A 63190-2025 FSC-klagomål.docx", "A 63190-2025")</f>
        <v/>
      </c>
      <c r="AB15">
        <f>HYPERLINK("https://klasma.github.io/Logging_2510/klagomålsmail/A 63190-2025 FSC-klagomål mail.docx", "A 63190-2025")</f>
        <v/>
      </c>
      <c r="AC15">
        <f>HYPERLINK("https://klasma.github.io/Logging_2510/tillsyn/A 63190-2025 tillsynsbegäran.docx", "A 63190-2025")</f>
        <v/>
      </c>
      <c r="AD15">
        <f>HYPERLINK("https://klasma.github.io/Logging_2510/tillsynsmail/A 63190-2025 tillsynsbegäran mail.docx", "A 63190-2025")</f>
        <v/>
      </c>
      <c r="AE15">
        <f>HYPERLINK("https://klasma.github.io/Logging_2510/fåglar/A 63190-2025 prioriterade fågelarter.docx", "A 63190-2025")</f>
        <v/>
      </c>
    </row>
    <row r="16" ht="15" customHeight="1">
      <c r="A16" t="inlineStr">
        <is>
          <t>A 32322-2022</t>
        </is>
      </c>
      <c r="B16" t="inlineStr">
        <is>
          <t>avverkningsanmälan</t>
        </is>
      </c>
      <c r="C16" t="inlineStr">
        <is>
          <t>Föryngringsavverkning</t>
        </is>
      </c>
      <c r="D16" s="1" t="n">
        <v>44781</v>
      </c>
      <c r="E16" s="1" t="n">
        <v>46291</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28063-2024</t>
        </is>
      </c>
      <c r="B17" t="inlineStr">
        <is>
          <t>avverkningsanmälan</t>
        </is>
      </c>
      <c r="C17" t="inlineStr">
        <is>
          <t>Föryngringsavverkning</t>
        </is>
      </c>
      <c r="D17" s="1" t="n">
        <v>45476</v>
      </c>
      <c r="E17" s="1" t="n">
        <v>46291</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46291</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46291</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46291</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46291</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46291</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54960-2021</t>
        </is>
      </c>
      <c r="B23" t="inlineStr">
        <is>
          <t>avverkningsanmälan</t>
        </is>
      </c>
      <c r="C23" t="inlineStr">
        <is>
          <t>Föryngringsavverkning</t>
        </is>
      </c>
      <c r="D23" s="1" t="n">
        <v>44474</v>
      </c>
      <c r="E23" s="1" t="n">
        <v>46291</v>
      </c>
      <c r="F23" t="inlineStr">
        <is>
          <t>NORRBOTTENS LÄN</t>
        </is>
      </c>
      <c r="G23" t="inlineStr">
        <is>
          <t>JOKKMOKK</t>
        </is>
      </c>
      <c r="H23" t="inlineStr">
        <is>
          <t>Allmännings- och besparingsskogar</t>
        </is>
      </c>
      <c r="I23" t="n">
        <v>52.4</v>
      </c>
      <c r="J23" t="n">
        <v>6</v>
      </c>
      <c r="K23" t="n">
        <v>2</v>
      </c>
      <c r="L23" t="n">
        <v>6</v>
      </c>
      <c r="M23" t="n">
        <v>2</v>
      </c>
      <c r="N23" t="n">
        <v>0</v>
      </c>
      <c r="O23" t="n">
        <v>0</v>
      </c>
      <c r="P23" t="n">
        <v>0</v>
      </c>
      <c r="Q23" t="n">
        <v>8</v>
      </c>
      <c r="R23" t="n">
        <v>2</v>
      </c>
      <c r="S23" t="n">
        <v>14</v>
      </c>
      <c r="T23" t="n">
        <v>26</v>
      </c>
      <c r="U23" t="n">
        <v>22</v>
      </c>
      <c r="V23" s="2" t="inlineStr">
        <is>
          <t>Knärot
Norna
Dropptaggsvamp
Duvhök
Lunglav
Stiftgelélav
Tretåig hackspett
Ullticka
Spindelblomster
Stuplav
Ekbräken
Hultbräken
Linnea
Fläcknycklar</t>
        </is>
      </c>
      <c r="W23">
        <f>HYPERLINK("https://klasma.github.io/Logging_2510/artfynd/A 54960-2021 artfynd.xlsx", "A 54960-2021")</f>
        <v/>
      </c>
      <c r="X23">
        <f>HYPERLINK("https://klasma.github.io/Logging_2510/kartor/A 54960-2021 karta.png", "A 54960-2021")</f>
        <v/>
      </c>
      <c r="Y23">
        <f>HYPERLINK("https://klasma.github.io/Logging_2510/kartor_geotiff/A 54960-2021 georefererad karta.tif", "A 54960-2021")</f>
        <v/>
      </c>
      <c r="Z23">
        <f>HYPERLINK("https://klasma.github.io/Logging_2510/knärot/A 54960-2021 karta knärot.png", "A 54960-2021")</f>
        <v/>
      </c>
      <c r="AA23">
        <f>HYPERLINK("https://klasma.github.io/Logging_2510/klagomål/A 54960-2021 FSC-klagomål.docx", "A 54960-2021")</f>
        <v/>
      </c>
      <c r="AB23">
        <f>HYPERLINK("https://klasma.github.io/Logging_2510/klagomålsmail/A 54960-2021 FSC-klagomål mail.docx", "A 54960-2021")</f>
        <v/>
      </c>
      <c r="AC23">
        <f>HYPERLINK("https://klasma.github.io/Logging_2510/tillsyn/A 54960-2021 tillsynsbegäran.docx", "A 54960-2021")</f>
        <v/>
      </c>
      <c r="AD23">
        <f>HYPERLINK("https://klasma.github.io/Logging_2510/tillsynsmail/A 54960-2021 tillsynsbegäran mail.docx", "A 54960-2021")</f>
        <v/>
      </c>
      <c r="AE23">
        <f>HYPERLINK("https://klasma.github.io/Logging_2510/fåglar/A 54960-2021 prioriterade fågelarter.docx", "A 54960-2021")</f>
        <v/>
      </c>
    </row>
    <row r="24" ht="15" customHeight="1">
      <c r="A24" t="inlineStr">
        <is>
          <t>A 24072-2022</t>
        </is>
      </c>
      <c r="B24" t="inlineStr">
        <is>
          <t>avverkningsanmälan</t>
        </is>
      </c>
      <c r="C24" t="inlineStr">
        <is>
          <t>Föryngringsavverkning</t>
        </is>
      </c>
      <c r="D24" s="1" t="n">
        <v>44722</v>
      </c>
      <c r="E24" s="1" t="n">
        <v>46291</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46291</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46291</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73873-2021</t>
        </is>
      </c>
      <c r="B27" t="inlineStr">
        <is>
          <t>avverkningsanmälan</t>
        </is>
      </c>
      <c r="C27" t="inlineStr">
        <is>
          <t>Föryngringsavverkning</t>
        </is>
      </c>
      <c r="D27" s="1" t="n">
        <v>44552</v>
      </c>
      <c r="E27" s="1" t="n">
        <v>46291</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46291</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60161-2025</t>
        </is>
      </c>
      <c r="B29" t="inlineStr">
        <is>
          <t>avverkningsanmälan</t>
        </is>
      </c>
      <c r="C29" t="inlineStr">
        <is>
          <t>Föryngringsavverkning</t>
        </is>
      </c>
      <c r="D29" s="1" t="n">
        <v>45994</v>
      </c>
      <c r="E29" s="1" t="n">
        <v>46291</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58565-2025</t>
        </is>
      </c>
      <c r="B30" t="inlineStr">
        <is>
          <t>avverkningsanmälan</t>
        </is>
      </c>
      <c r="C30" t="inlineStr">
        <is>
          <t>Avverkning för att bevara och utveckla /försöksver</t>
        </is>
      </c>
      <c r="D30" s="1" t="n">
        <v>45986</v>
      </c>
      <c r="E30" s="1" t="n">
        <v>46291</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49479-2024</t>
        </is>
      </c>
      <c r="B31" t="inlineStr">
        <is>
          <t>avverkningsanmälan</t>
        </is>
      </c>
      <c r="C31" t="inlineStr">
        <is>
          <t>Föryngringsavverkning</t>
        </is>
      </c>
      <c r="D31" s="1" t="n">
        <v>45596</v>
      </c>
      <c r="E31" s="1" t="n">
        <v>46291</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46291</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46291</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46291</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46291</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46291</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46291</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46291</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46291</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46291</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24068-2022</t>
        </is>
      </c>
      <c r="B41" t="inlineStr">
        <is>
          <t>avverkningsanmälan</t>
        </is>
      </c>
      <c r="C41" t="inlineStr">
        <is>
          <t>Föryngringsavverkning</t>
        </is>
      </c>
      <c r="D41" s="1" t="n">
        <v>44722</v>
      </c>
      <c r="E41" s="1" t="n">
        <v>46291</v>
      </c>
      <c r="F41" t="inlineStr">
        <is>
          <t>NORRBOTTENS LÄN</t>
        </is>
      </c>
      <c r="G41" t="inlineStr">
        <is>
          <t>JOKKMOKK</t>
        </is>
      </c>
      <c r="H41" t="inlineStr">
        <is>
          <t>Övriga statliga verk och myndigheter</t>
        </is>
      </c>
      <c r="I41" t="n">
        <v>5</v>
      </c>
      <c r="J41" t="n">
        <v>0</v>
      </c>
      <c r="K41" t="n">
        <v>1</v>
      </c>
      <c r="L41" t="n">
        <v>5</v>
      </c>
      <c r="M41" t="n">
        <v>0</v>
      </c>
      <c r="N41" t="n">
        <v>0</v>
      </c>
      <c r="O41" t="n">
        <v>0</v>
      </c>
      <c r="P41" t="n">
        <v>0</v>
      </c>
      <c r="Q41" t="n">
        <v>5</v>
      </c>
      <c r="R41" t="n">
        <v>0</v>
      </c>
      <c r="S41" t="n">
        <v>6</v>
      </c>
      <c r="T41" t="n">
        <v>7</v>
      </c>
      <c r="U41" t="n">
        <v>7</v>
      </c>
      <c r="V41" s="2" t="inlineStr">
        <is>
          <t>Blanksvart spiklav
Blå taggsvamp
Dropptaggsvamp
Skarp dropptaggsvamp
Talltaggsvamp
Stuplav</t>
        </is>
      </c>
      <c r="W41">
        <f>HYPERLINK("https://klasma.github.io/Logging_2510/artfynd/A 24068-2022 artfynd.xlsx", "A 24068-2022")</f>
        <v/>
      </c>
      <c r="X41">
        <f>HYPERLINK("https://klasma.github.io/Logging_2510/kartor/A 24068-2022 karta.png", "A 24068-2022")</f>
        <v/>
      </c>
      <c r="Y41">
        <f>HYPERLINK("https://klasma.github.io/Logging_2510/kartor_geotiff/A 24068-2022 georefererad karta.tif", "A 24068-2022")</f>
        <v/>
      </c>
      <c r="AA41">
        <f>HYPERLINK("https://klasma.github.io/Logging_2510/klagomål/A 24068-2022 FSC-klagomål.docx", "A 24068-2022")</f>
        <v/>
      </c>
      <c r="AB41">
        <f>HYPERLINK("https://klasma.github.io/Logging_2510/klagomålsmail/A 24068-2022 FSC-klagomål mail.docx", "A 24068-2022")</f>
        <v/>
      </c>
      <c r="AC41">
        <f>HYPERLINK("https://klasma.github.io/Logging_2510/tillsyn/A 24068-2022 tillsynsbegäran.docx", "A 24068-2022")</f>
        <v/>
      </c>
      <c r="AD41">
        <f>HYPERLINK("https://klasma.github.io/Logging_2510/tillsynsmail/A 24068-2022 tillsynsbegäran mail.docx", "A 24068-2022")</f>
        <v/>
      </c>
    </row>
    <row r="42" ht="15" customHeight="1">
      <c r="A42" t="inlineStr">
        <is>
          <t>A 21761-2026</t>
        </is>
      </c>
      <c r="B42" t="inlineStr">
        <is>
          <t>avverkningsanmälan</t>
        </is>
      </c>
      <c r="C42" t="inlineStr">
        <is>
          <t>Föryngringsavverkning</t>
        </is>
      </c>
      <c r="D42" s="1" t="n">
        <v>46149</v>
      </c>
      <c r="E42" s="1" t="n">
        <v>46291</v>
      </c>
      <c r="F42" t="inlineStr">
        <is>
          <t>NORRBOTTENS LÄN</t>
        </is>
      </c>
      <c r="G42" t="inlineStr">
        <is>
          <t>JOKKMOKK</t>
        </is>
      </c>
      <c r="I42" t="n">
        <v>23.4</v>
      </c>
      <c r="J42" t="n">
        <v>1</v>
      </c>
      <c r="K42" t="n">
        <v>1</v>
      </c>
      <c r="L42" t="n">
        <v>4</v>
      </c>
      <c r="M42" t="n">
        <v>1</v>
      </c>
      <c r="N42" t="n">
        <v>0</v>
      </c>
      <c r="O42" t="n">
        <v>0</v>
      </c>
      <c r="P42" t="n">
        <v>0</v>
      </c>
      <c r="Q42" t="n">
        <v>5</v>
      </c>
      <c r="R42" t="n">
        <v>1</v>
      </c>
      <c r="S42" t="n">
        <v>6</v>
      </c>
      <c r="T42" t="n">
        <v>9</v>
      </c>
      <c r="U42" t="n">
        <v>9</v>
      </c>
      <c r="V42" s="2" t="inlineStr">
        <is>
          <t>Gräddporing
Blanksvart spiklav
Dropptaggsvamp
Dvärgbägarlav
Nordtagging
Plattlummer</t>
        </is>
      </c>
      <c r="W42">
        <f>HYPERLINK("https://klasma.github.io/Logging_2510/artfynd/A 21761-2026 artfynd.xlsx", "A 21761-2026")</f>
        <v/>
      </c>
      <c r="X42">
        <f>HYPERLINK("https://klasma.github.io/Logging_2510/kartor/A 21761-2026 karta.png", "A 21761-2026")</f>
        <v/>
      </c>
      <c r="Y42">
        <f>HYPERLINK("https://klasma.github.io/Logging_2510/kartor_geotiff/A 21761-2026 georefererad karta.tif", "A 21761-2026")</f>
        <v/>
      </c>
      <c r="AA42">
        <f>HYPERLINK("https://klasma.github.io/Logging_2510/klagomål/A 21761-2026 FSC-klagomål.docx", "A 21761-2026")</f>
        <v/>
      </c>
      <c r="AB42">
        <f>HYPERLINK("https://klasma.github.io/Logging_2510/klagomålsmail/A 21761-2026 FSC-klagomål mail.docx", "A 21761-2026")</f>
        <v/>
      </c>
      <c r="AC42">
        <f>HYPERLINK("https://klasma.github.io/Logging_2510/tillsyn/A 21761-2026 tillsynsbegäran.docx", "A 21761-2026")</f>
        <v/>
      </c>
      <c r="AD42">
        <f>HYPERLINK("https://klasma.github.io/Logging_2510/tillsynsmail/A 21761-2026 tillsynsbegäran mail.docx", "A 21761-2026")</f>
        <v/>
      </c>
    </row>
    <row r="43" ht="15" customHeight="1">
      <c r="A43" t="inlineStr">
        <is>
          <t>A 59451-2021</t>
        </is>
      </c>
      <c r="B43" t="inlineStr">
        <is>
          <t>avverkningsanmälan</t>
        </is>
      </c>
      <c r="C43" t="inlineStr">
        <is>
          <t>Föryngringsavverkning</t>
        </is>
      </c>
      <c r="D43" s="1" t="n">
        <v>44490</v>
      </c>
      <c r="E43" s="1" t="n">
        <v>46291</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29679-2024</t>
        </is>
      </c>
      <c r="B44" t="inlineStr">
        <is>
          <t>avverkningsanmälan</t>
        </is>
      </c>
      <c r="C44" t="inlineStr">
        <is>
          <t>Föryngringsavverkning</t>
        </is>
      </c>
      <c r="D44" s="1" t="n">
        <v>45484</v>
      </c>
      <c r="E44" s="1" t="n">
        <v>46291</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52564-2024</t>
        </is>
      </c>
      <c r="B45" t="inlineStr">
        <is>
          <t>avverkningsanmälan</t>
        </is>
      </c>
      <c r="C45" t="inlineStr">
        <is>
          <t>Föryngringsavverkning</t>
        </is>
      </c>
      <c r="D45" s="1" t="n">
        <v>45609</v>
      </c>
      <c r="E45" s="1" t="n">
        <v>46291</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46291</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46291</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16707-2026</t>
        </is>
      </c>
      <c r="B48" t="inlineStr">
        <is>
          <t>avverkningsanmälan</t>
        </is>
      </c>
      <c r="C48" t="inlineStr">
        <is>
          <t>Föryngringsavverkning</t>
        </is>
      </c>
      <c r="D48" s="1" t="n">
        <v>46113</v>
      </c>
      <c r="E48" s="1" t="n">
        <v>46291</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40466-2023</t>
        </is>
      </c>
      <c r="B49" t="inlineStr">
        <is>
          <t>avverkningsanmälan</t>
        </is>
      </c>
      <c r="C49" t="inlineStr">
        <is>
          <t>Avverkning för annat ändamål</t>
        </is>
      </c>
      <c r="D49" s="1" t="n">
        <v>45170</v>
      </c>
      <c r="E49" s="1" t="n">
        <v>46291</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30064-2026</t>
        </is>
      </c>
      <c r="B50" t="inlineStr">
        <is>
          <t>avverkningsanmälan</t>
        </is>
      </c>
      <c r="C50" t="inlineStr">
        <is>
          <t>Föryngringsavverkning</t>
        </is>
      </c>
      <c r="D50" s="1" t="n">
        <v>46206</v>
      </c>
      <c r="E50" s="1" t="n">
        <v>46291</v>
      </c>
      <c r="F50" t="inlineStr">
        <is>
          <t>NORRBOTTENS LÄN</t>
        </is>
      </c>
      <c r="G50" t="inlineStr">
        <is>
          <t>JOKKMOKK</t>
        </is>
      </c>
      <c r="I50" t="n">
        <v>29.8</v>
      </c>
      <c r="J50" t="n">
        <v>0</v>
      </c>
      <c r="K50" t="n">
        <v>0</v>
      </c>
      <c r="L50" t="n">
        <v>3</v>
      </c>
      <c r="M50" t="n">
        <v>1</v>
      </c>
      <c r="N50" t="n">
        <v>0</v>
      </c>
      <c r="O50" t="n">
        <v>0</v>
      </c>
      <c r="P50" t="n">
        <v>0</v>
      </c>
      <c r="Q50" t="n">
        <v>4</v>
      </c>
      <c r="R50" t="n">
        <v>1</v>
      </c>
      <c r="S50" t="n">
        <v>4</v>
      </c>
      <c r="T50" t="n">
        <v>5</v>
      </c>
      <c r="U50" t="n">
        <v>5</v>
      </c>
      <c r="V50" s="2" t="inlineStr">
        <is>
          <t>Lecidea subhumida
Blanksvart spiklav
Dvärgbägarlav
Skarp dropptaggsvamp</t>
        </is>
      </c>
      <c r="W50">
        <f>HYPERLINK("https://klasma.github.io/Logging_2510/artfynd/A 30064-2026 artfynd.xlsx", "A 30064-2026")</f>
        <v/>
      </c>
      <c r="X50">
        <f>HYPERLINK("https://klasma.github.io/Logging_2510/kartor/A 30064-2026 karta.png", "A 30064-2026")</f>
        <v/>
      </c>
      <c r="Y50">
        <f>HYPERLINK("https://klasma.github.io/Logging_2510/kartor_geotiff/A 30064-2026 georefererad karta.tif", "A 30064-2026")</f>
        <v/>
      </c>
      <c r="AA50">
        <f>HYPERLINK("https://klasma.github.io/Logging_2510/klagomål/A 30064-2026 FSC-klagomål.docx", "A 30064-2026")</f>
        <v/>
      </c>
      <c r="AB50">
        <f>HYPERLINK("https://klasma.github.io/Logging_2510/klagomålsmail/A 30064-2026 FSC-klagomål mail.docx", "A 30064-2026")</f>
        <v/>
      </c>
      <c r="AC50">
        <f>HYPERLINK("https://klasma.github.io/Logging_2510/tillsyn/A 30064-2026 tillsynsbegäran.docx", "A 30064-2026")</f>
        <v/>
      </c>
      <c r="AD50">
        <f>HYPERLINK("https://klasma.github.io/Logging_2510/tillsynsmail/A 30064-2026 tillsynsbegäran mail.docx", "A 30064-2026")</f>
        <v/>
      </c>
    </row>
    <row r="51" ht="15" customHeight="1">
      <c r="A51" t="inlineStr">
        <is>
          <t>A 30953-2026</t>
        </is>
      </c>
      <c r="B51" t="inlineStr">
        <is>
          <t>avverkningsanmälan</t>
        </is>
      </c>
      <c r="C51" t="inlineStr">
        <is>
          <t>Föryngringsavverkning</t>
        </is>
      </c>
      <c r="D51" s="1" t="n">
        <v>46213</v>
      </c>
      <c r="E51" s="1" t="n">
        <v>46291</v>
      </c>
      <c r="F51" t="inlineStr">
        <is>
          <t>NORRBOTTENS LÄN</t>
        </is>
      </c>
      <c r="G51" t="inlineStr">
        <is>
          <t>JOKKMOKK</t>
        </is>
      </c>
      <c r="I51" t="n">
        <v>10.7</v>
      </c>
      <c r="J51" t="n">
        <v>1</v>
      </c>
      <c r="K51" t="n">
        <v>0</v>
      </c>
      <c r="L51" t="n">
        <v>4</v>
      </c>
      <c r="M51" t="n">
        <v>0</v>
      </c>
      <c r="N51" t="n">
        <v>0</v>
      </c>
      <c r="O51" t="n">
        <v>0</v>
      </c>
      <c r="P51" t="n">
        <v>0</v>
      </c>
      <c r="Q51" t="n">
        <v>4</v>
      </c>
      <c r="R51" t="n">
        <v>0</v>
      </c>
      <c r="S51" t="n">
        <v>4</v>
      </c>
      <c r="T51" t="n">
        <v>6</v>
      </c>
      <c r="U51" t="n">
        <v>6</v>
      </c>
      <c r="V51" s="2" t="inlineStr">
        <is>
          <t>Knottrig blåslav
Talltagel
Tretåig hackspett
Vedflamlav</t>
        </is>
      </c>
      <c r="W51">
        <f>HYPERLINK("https://klasma.github.io/Logging_2510/artfynd/A 30953-2026 artfynd.xlsx", "A 30953-2026")</f>
        <v/>
      </c>
      <c r="X51">
        <f>HYPERLINK("https://klasma.github.io/Logging_2510/kartor/A 30953-2026 karta.png", "A 30953-2026")</f>
        <v/>
      </c>
      <c r="Y51">
        <f>HYPERLINK("https://klasma.github.io/Logging_2510/kartor_geotiff/A 30953-2026 georefererad karta.tif", "A 30953-2026")</f>
        <v/>
      </c>
      <c r="AA51">
        <f>HYPERLINK("https://klasma.github.io/Logging_2510/klagomål/A 30953-2026 FSC-klagomål.docx", "A 30953-2026")</f>
        <v/>
      </c>
      <c r="AB51">
        <f>HYPERLINK("https://klasma.github.io/Logging_2510/klagomålsmail/A 30953-2026 FSC-klagomål mail.docx", "A 30953-2026")</f>
        <v/>
      </c>
      <c r="AC51">
        <f>HYPERLINK("https://klasma.github.io/Logging_2510/tillsyn/A 30953-2026 tillsynsbegäran.docx", "A 30953-2026")</f>
        <v/>
      </c>
      <c r="AD51">
        <f>HYPERLINK("https://klasma.github.io/Logging_2510/tillsynsmail/A 30953-2026 tillsynsbegäran mail.docx", "A 30953-2026")</f>
        <v/>
      </c>
      <c r="AE51">
        <f>HYPERLINK("https://klasma.github.io/Logging_2510/fåglar/A 30953-2026 prioriterade fågelarter.docx", "A 30953-2026")</f>
        <v/>
      </c>
    </row>
    <row r="52" ht="15" customHeight="1">
      <c r="A52" t="inlineStr">
        <is>
          <t>A 33139-2023</t>
        </is>
      </c>
      <c r="B52" t="inlineStr">
        <is>
          <t>avverkningsanmälan</t>
        </is>
      </c>
      <c r="C52" t="inlineStr">
        <is>
          <t>Föryngringsavverkning</t>
        </is>
      </c>
      <c r="D52" s="1" t="n">
        <v>45114</v>
      </c>
      <c r="E52" s="1" t="n">
        <v>46291</v>
      </c>
      <c r="F52" t="inlineStr">
        <is>
          <t>NORRBOTTENS LÄN</t>
        </is>
      </c>
      <c r="G52" t="inlineStr">
        <is>
          <t>JOKKMOKK</t>
        </is>
      </c>
      <c r="H52" t="inlineStr">
        <is>
          <t>Övriga statliga verk och myndigheter</t>
        </is>
      </c>
      <c r="I52" t="n">
        <v>8.6</v>
      </c>
      <c r="J52" t="n">
        <v>0</v>
      </c>
      <c r="K52" t="n">
        <v>1</v>
      </c>
      <c r="L52" t="n">
        <v>3</v>
      </c>
      <c r="M52" t="n">
        <v>0</v>
      </c>
      <c r="N52" t="n">
        <v>0</v>
      </c>
      <c r="O52" t="n">
        <v>0</v>
      </c>
      <c r="P52" t="n">
        <v>0</v>
      </c>
      <c r="Q52" t="n">
        <v>3</v>
      </c>
      <c r="R52" t="n">
        <v>0</v>
      </c>
      <c r="S52" t="n">
        <v>4</v>
      </c>
      <c r="T52" t="n">
        <v>4</v>
      </c>
      <c r="U52" t="n">
        <v>4</v>
      </c>
      <c r="V52" s="2" t="inlineStr">
        <is>
          <t>Kolflarnlav
Skrovellav
Tallriska
Stuplav</t>
        </is>
      </c>
      <c r="W52">
        <f>HYPERLINK("https://klasma.github.io/Logging_2510/artfynd/A 33139-2023 artfynd.xlsx", "A 33139-2023")</f>
        <v/>
      </c>
      <c r="X52">
        <f>HYPERLINK("https://klasma.github.io/Logging_2510/kartor/A 33139-2023 karta.png", "A 33139-2023")</f>
        <v/>
      </c>
      <c r="Y52">
        <f>HYPERLINK("https://klasma.github.io/Logging_2510/kartor_geotiff/A 33139-2023 georefererad karta.tif", "A 33139-2023")</f>
        <v/>
      </c>
      <c r="AA52">
        <f>HYPERLINK("https://klasma.github.io/Logging_2510/klagomål/A 33139-2023 FSC-klagomål.docx", "A 33139-2023")</f>
        <v/>
      </c>
      <c r="AB52">
        <f>HYPERLINK("https://klasma.github.io/Logging_2510/klagomålsmail/A 33139-2023 FSC-klagomål mail.docx", "A 33139-2023")</f>
        <v/>
      </c>
      <c r="AC52">
        <f>HYPERLINK("https://klasma.github.io/Logging_2510/tillsyn/A 33139-2023 tillsynsbegäran.docx", "A 33139-2023")</f>
        <v/>
      </c>
      <c r="AD52">
        <f>HYPERLINK("https://klasma.github.io/Logging_2510/tillsynsmail/A 33139-2023 tillsynsbegäran mail.docx", "A 33139-2023")</f>
        <v/>
      </c>
    </row>
    <row r="53" ht="15" customHeight="1">
      <c r="A53" t="inlineStr">
        <is>
          <t>A 63444-2025</t>
        </is>
      </c>
      <c r="B53" t="inlineStr">
        <is>
          <t>avverkningsanmälan</t>
        </is>
      </c>
      <c r="C53" t="inlineStr">
        <is>
          <t>Föryngringsavverkning</t>
        </is>
      </c>
      <c r="D53" s="1" t="n">
        <v>46013</v>
      </c>
      <c r="E53" s="1" t="n">
        <v>46291</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33994-2023</t>
        </is>
      </c>
      <c r="B54" t="inlineStr">
        <is>
          <t>avverkningsanmälan</t>
        </is>
      </c>
      <c r="C54" t="inlineStr">
        <is>
          <t>Föryngringsavverkning</t>
        </is>
      </c>
      <c r="D54" s="1" t="n">
        <v>45134</v>
      </c>
      <c r="E54" s="1" t="n">
        <v>46291</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46291</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72477-2021</t>
        </is>
      </c>
      <c r="B56" t="inlineStr">
        <is>
          <t>avverkningsanmälan</t>
        </is>
      </c>
      <c r="C56" t="inlineStr">
        <is>
          <t>Föryngringsavverkning</t>
        </is>
      </c>
      <c r="D56" s="1" t="n">
        <v>44545</v>
      </c>
      <c r="E56" s="1" t="n">
        <v>46291</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A 15827-2025</t>
        </is>
      </c>
      <c r="B57" t="inlineStr">
        <is>
          <t>avverkningsanmälan</t>
        </is>
      </c>
      <c r="C57" t="inlineStr">
        <is>
          <t>Föryngringsavverkning</t>
        </is>
      </c>
      <c r="D57" s="1" t="n">
        <v>45748</v>
      </c>
      <c r="E57" s="1" t="n">
        <v>46291</v>
      </c>
      <c r="F57" t="inlineStr">
        <is>
          <t>NORRBOTTENS LÄN</t>
        </is>
      </c>
      <c r="G57" t="inlineStr">
        <is>
          <t>JOKKMOKK</t>
        </is>
      </c>
      <c r="I57" t="n">
        <v>23</v>
      </c>
      <c r="J57" t="n">
        <v>0</v>
      </c>
      <c r="K57" t="n">
        <v>0</v>
      </c>
      <c r="L57" t="n">
        <v>3</v>
      </c>
      <c r="M57" t="n">
        <v>0</v>
      </c>
      <c r="N57" t="n">
        <v>0</v>
      </c>
      <c r="O57" t="n">
        <v>0</v>
      </c>
      <c r="P57" t="n">
        <v>0</v>
      </c>
      <c r="Q57" t="n">
        <v>3</v>
      </c>
      <c r="R57" t="n">
        <v>0</v>
      </c>
      <c r="S57" t="n">
        <v>3</v>
      </c>
      <c r="T57" t="n">
        <v>4</v>
      </c>
      <c r="U57" t="n">
        <v>0</v>
      </c>
      <c r="V57" s="2" t="inlineStr">
        <is>
          <t>Dvärgbägarlav
Tallticka
Vaddporing</t>
        </is>
      </c>
      <c r="W57">
        <f>HYPERLINK("https://klasma.github.io/Logging_2510/artfynd/A 15827-2025 artfynd.xlsx", "A 15827-2025")</f>
        <v/>
      </c>
      <c r="X57">
        <f>HYPERLINK("https://klasma.github.io/Logging_2510/kartor/A 15827-2025 karta.png", "A 15827-2025")</f>
        <v/>
      </c>
      <c r="Y57">
        <f>HYPERLINK("https://klasma.github.io/Logging_2510/kartor_geotiff/A 15827-2025 georefererad karta.tif", "A 15827-2025")</f>
        <v/>
      </c>
      <c r="AA57">
        <f>HYPERLINK("https://klasma.github.io/Logging_2510/klagomål/A 15827-2025 FSC-klagomål.docx", "A 15827-2025")</f>
        <v/>
      </c>
      <c r="AB57">
        <f>HYPERLINK("https://klasma.github.io/Logging_2510/klagomålsmail/A 15827-2025 FSC-klagomål mail.docx", "A 15827-2025")</f>
        <v/>
      </c>
      <c r="AC57">
        <f>HYPERLINK("https://klasma.github.io/Logging_2510/tillsyn/A 15827-2025 tillsynsbegäran.docx", "A 15827-2025")</f>
        <v/>
      </c>
      <c r="AD57">
        <f>HYPERLINK("https://klasma.github.io/Logging_2510/tillsynsmail/A 15827-2025 tillsynsbegäran mail.docx", "A 15827-2025")</f>
        <v/>
      </c>
    </row>
    <row r="58" ht="15" customHeight="1">
      <c r="A58" t="inlineStr">
        <is>
          <t>S 1074-2023</t>
        </is>
      </c>
      <c r="B58" t="inlineStr">
        <is>
          <t>samrådsanmälan</t>
        </is>
      </c>
      <c r="C58" t="inlineStr">
        <is>
          <t>Skogsgödsling</t>
        </is>
      </c>
      <c r="D58" s="1" t="n">
        <v>45012</v>
      </c>
      <c r="E58" s="1" t="n">
        <v>46291</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46291</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46291</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46291</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46291</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46291</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46291</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46291</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46291</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46291</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46291</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46291</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32982-2023</t>
        </is>
      </c>
      <c r="B70" t="inlineStr">
        <is>
          <t>avverkningsanmälan</t>
        </is>
      </c>
      <c r="C70" t="inlineStr">
        <is>
          <t>Föryngringsavverkning</t>
        </is>
      </c>
      <c r="D70" s="1" t="n">
        <v>45113</v>
      </c>
      <c r="E70" s="1" t="n">
        <v>46291</v>
      </c>
      <c r="F70" t="inlineStr">
        <is>
          <t>NORRBOTTENS LÄN</t>
        </is>
      </c>
      <c r="G70" t="inlineStr">
        <is>
          <t>JOKKMOKK</t>
        </is>
      </c>
      <c r="H70" t="inlineStr">
        <is>
          <t>Övriga statliga verk och myndigheter</t>
        </is>
      </c>
      <c r="I70" t="n">
        <v>9.9</v>
      </c>
      <c r="J70" t="n">
        <v>0</v>
      </c>
      <c r="K70" t="n">
        <v>0</v>
      </c>
      <c r="L70" t="n">
        <v>2</v>
      </c>
      <c r="M70" t="n">
        <v>0</v>
      </c>
      <c r="N70" t="n">
        <v>0</v>
      </c>
      <c r="O70" t="n">
        <v>0</v>
      </c>
      <c r="P70" t="n">
        <v>0</v>
      </c>
      <c r="Q70" t="n">
        <v>2</v>
      </c>
      <c r="R70" t="n">
        <v>0</v>
      </c>
      <c r="S70" t="n">
        <v>2</v>
      </c>
      <c r="T70" t="n">
        <v>3</v>
      </c>
      <c r="U70" t="n">
        <v>3</v>
      </c>
      <c r="V70" s="2" t="inlineStr">
        <is>
          <t>Fjällig taggsvamp s.str.
Vitplätt</t>
        </is>
      </c>
      <c r="W70">
        <f>HYPERLINK("https://klasma.github.io/Logging_2510/artfynd/A 32982-2023 artfynd.xlsx", "A 32982-2023")</f>
        <v/>
      </c>
      <c r="X70">
        <f>HYPERLINK("https://klasma.github.io/Logging_2510/kartor/A 32982-2023 karta.png", "A 32982-2023")</f>
        <v/>
      </c>
      <c r="Y70">
        <f>HYPERLINK("https://klasma.github.io/Logging_2510/kartor_geotiff/A 32982-2023 georefererad karta.tif", "A 32982-2023")</f>
        <v/>
      </c>
      <c r="AA70">
        <f>HYPERLINK("https://klasma.github.io/Logging_2510/klagomål/A 32982-2023 FSC-klagomål.docx", "A 32982-2023")</f>
        <v/>
      </c>
      <c r="AB70">
        <f>HYPERLINK("https://klasma.github.io/Logging_2510/klagomålsmail/A 32982-2023 FSC-klagomål mail.docx", "A 32982-2023")</f>
        <v/>
      </c>
      <c r="AC70">
        <f>HYPERLINK("https://klasma.github.io/Logging_2510/tillsyn/A 32982-2023 tillsynsbegäran.docx", "A 32982-2023")</f>
        <v/>
      </c>
      <c r="AD70">
        <f>HYPERLINK("https://klasma.github.io/Logging_2510/tillsynsmail/A 32982-2023 tillsynsbegäran mail.docx", "A 32982-2023")</f>
        <v/>
      </c>
    </row>
    <row r="71" ht="15" customHeight="1">
      <c r="A71" t="inlineStr">
        <is>
          <t>A 26679-2026</t>
        </is>
      </c>
      <c r="B71" t="inlineStr">
        <is>
          <t>avverkningsanmälan</t>
        </is>
      </c>
      <c r="C71" t="inlineStr">
        <is>
          <t>Föryngringsavverkning</t>
        </is>
      </c>
      <c r="D71" s="1" t="n">
        <v>46184</v>
      </c>
      <c r="E71" s="1" t="n">
        <v>46291</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46291</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46291</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46291</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46291</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52537-2023</t>
        </is>
      </c>
      <c r="B76" t="inlineStr">
        <is>
          <t>avverkningsanmälan</t>
        </is>
      </c>
      <c r="C76" t="inlineStr">
        <is>
          <t>Föryngringsavverkning</t>
        </is>
      </c>
      <c r="D76" s="1" t="n">
        <v>45225</v>
      </c>
      <c r="E76" s="1" t="n">
        <v>46291</v>
      </c>
      <c r="F76" t="inlineStr">
        <is>
          <t>NORRBOTTENS LÄN</t>
        </is>
      </c>
      <c r="G76" t="inlineStr">
        <is>
          <t>JOKKMOKK</t>
        </is>
      </c>
      <c r="H76" t="inlineStr">
        <is>
          <t>Övriga statliga verk och myndigheter</t>
        </is>
      </c>
      <c r="I76" t="n">
        <v>15.3</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HYPERLINK("https://klasma.github.io/Logging_2510/artfynd/A 52537-2023 artfynd.xlsx", "A 52537-2023")</f>
        <v/>
      </c>
      <c r="X76">
        <f>HYPERLINK("https://klasma.github.io/Logging_2510/kartor/A 52537-2023 karta.png", "A 52537-2023")</f>
        <v/>
      </c>
      <c r="Y76">
        <f>HYPERLINK("https://klasma.github.io/Logging_2510/kartor_geotiff/A 52537-2023 georefererad karta.tif", "A 52537-2023")</f>
        <v/>
      </c>
      <c r="AA76">
        <f>HYPERLINK("https://klasma.github.io/Logging_2510/klagomål/A 52537-2023 FSC-klagomål.docx", "A 52537-2023")</f>
        <v/>
      </c>
      <c r="AB76">
        <f>HYPERLINK("https://klasma.github.io/Logging_2510/klagomålsmail/A 52537-2023 FSC-klagomål mail.docx", "A 52537-2023")</f>
        <v/>
      </c>
      <c r="AC76">
        <f>HYPERLINK("https://klasma.github.io/Logging_2510/tillsyn/A 52537-2023 tillsynsbegäran.docx", "A 52537-2023")</f>
        <v/>
      </c>
      <c r="AD76">
        <f>HYPERLINK("https://klasma.github.io/Logging_2510/tillsynsmail/A 52537-2023 tillsynsbegäran mail.docx", "A 52537-2023")</f>
        <v/>
      </c>
    </row>
    <row r="77" ht="15" customHeight="1">
      <c r="A77" t="inlineStr">
        <is>
          <t>A 52901-2023</t>
        </is>
      </c>
      <c r="B77" t="inlineStr">
        <is>
          <t>avverkningsanmälan</t>
        </is>
      </c>
      <c r="C77" t="inlineStr">
        <is>
          <t>Föryngringsavverkning</t>
        </is>
      </c>
      <c r="D77" s="1" t="n">
        <v>45222</v>
      </c>
      <c r="E77" s="1" t="n">
        <v>46291</v>
      </c>
      <c r="F77" t="inlineStr">
        <is>
          <t>NORRBOTTENS LÄN</t>
        </is>
      </c>
      <c r="G77" t="inlineStr">
        <is>
          <t>JOKKMOKK</t>
        </is>
      </c>
      <c r="I77" t="n">
        <v>16.6</v>
      </c>
      <c r="J77" t="n">
        <v>0</v>
      </c>
      <c r="K77" t="n">
        <v>0</v>
      </c>
      <c r="L77" t="n">
        <v>1</v>
      </c>
      <c r="M77" t="n">
        <v>0</v>
      </c>
      <c r="N77" t="n">
        <v>0</v>
      </c>
      <c r="O77" t="n">
        <v>0</v>
      </c>
      <c r="P77" t="n">
        <v>0</v>
      </c>
      <c r="Q77" t="n">
        <v>1</v>
      </c>
      <c r="R77" t="n">
        <v>0</v>
      </c>
      <c r="S77" t="n">
        <v>1</v>
      </c>
      <c r="T77" t="n">
        <v>1</v>
      </c>
      <c r="U77" t="n">
        <v>1</v>
      </c>
      <c r="V77" s="2" t="inlineStr">
        <is>
          <t>Skrovlig flatbagge</t>
        </is>
      </c>
      <c r="W77">
        <f>HYPERLINK("https://klasma.github.io/Logging_2510/artfynd/A 52901-2023 artfynd.xlsx", "A 52901-2023")</f>
        <v/>
      </c>
      <c r="X77">
        <f>HYPERLINK("https://klasma.github.io/Logging_2510/kartor/A 52901-2023 karta.png", "A 52901-2023")</f>
        <v/>
      </c>
      <c r="Y77">
        <f>HYPERLINK("https://klasma.github.io/Logging_2510/kartor_geotiff/A 52901-2023 georefererad karta.tif", "A 52901-2023")</f>
        <v/>
      </c>
      <c r="AA77">
        <f>HYPERLINK("https://klasma.github.io/Logging_2510/klagomål/A 52901-2023 FSC-klagomål.docx", "A 52901-2023")</f>
        <v/>
      </c>
      <c r="AB77">
        <f>HYPERLINK("https://klasma.github.io/Logging_2510/klagomålsmail/A 52901-2023 FSC-klagomål mail.docx", "A 52901-2023")</f>
        <v/>
      </c>
      <c r="AC77">
        <f>HYPERLINK("https://klasma.github.io/Logging_2510/tillsyn/A 52901-2023 tillsynsbegäran.docx", "A 52901-2023")</f>
        <v/>
      </c>
      <c r="AD77">
        <f>HYPERLINK("https://klasma.github.io/Logging_2510/tillsynsmail/A 52901-2023 tillsynsbegäran mail.docx", "A 52901-2023")</f>
        <v/>
      </c>
    </row>
    <row r="78" ht="15" customHeight="1">
      <c r="A78" t="inlineStr">
        <is>
          <t>A 388-2026</t>
        </is>
      </c>
      <c r="B78" t="inlineStr">
        <is>
          <t>avverkningsanmälan</t>
        </is>
      </c>
      <c r="C78" t="inlineStr">
        <is>
          <t>Föryngringsavverkning</t>
        </is>
      </c>
      <c r="D78" s="1" t="n">
        <v>46027</v>
      </c>
      <c r="E78" s="1" t="n">
        <v>46291</v>
      </c>
      <c r="F78" t="inlineStr">
        <is>
          <t>NORRBOTTENS LÄN</t>
        </is>
      </c>
      <c r="G78" t="inlineStr">
        <is>
          <t>JOKKMOKK</t>
        </is>
      </c>
      <c r="I78" t="n">
        <v>15.5</v>
      </c>
      <c r="J78" t="n">
        <v>1</v>
      </c>
      <c r="K78" t="n">
        <v>0</v>
      </c>
      <c r="L78" t="n">
        <v>0</v>
      </c>
      <c r="M78" t="n">
        <v>1</v>
      </c>
      <c r="N78" t="n">
        <v>0</v>
      </c>
      <c r="O78" t="n">
        <v>0</v>
      </c>
      <c r="P78" t="n">
        <v>0</v>
      </c>
      <c r="Q78" t="n">
        <v>1</v>
      </c>
      <c r="R78" t="n">
        <v>1</v>
      </c>
      <c r="S78" t="n">
        <v>1</v>
      </c>
      <c r="T78" t="n">
        <v>20</v>
      </c>
      <c r="U78" t="n">
        <v>0</v>
      </c>
      <c r="V78" s="2" t="inlineStr">
        <is>
          <t>Norna</t>
        </is>
      </c>
      <c r="W78">
        <f>HYPERLINK("https://klasma.github.io/Logging_2510/artfynd/A 388-2026 artfynd.xlsx", "A 388-2026")</f>
        <v/>
      </c>
      <c r="X78">
        <f>HYPERLINK("https://klasma.github.io/Logging_2510/kartor/A 388-2026 karta.png", "A 388-2026")</f>
        <v/>
      </c>
      <c r="Y78">
        <f>HYPERLINK("https://klasma.github.io/Logging_2510/kartor_geotiff/A 388-2026 georefererad karta.tif", "A 388-2026")</f>
        <v/>
      </c>
      <c r="AA78">
        <f>HYPERLINK("https://klasma.github.io/Logging_2510/klagomål/A 388-2026 FSC-klagomål.docx", "A 388-2026")</f>
        <v/>
      </c>
      <c r="AB78">
        <f>HYPERLINK("https://klasma.github.io/Logging_2510/klagomålsmail/A 388-2026 FSC-klagomål mail.docx", "A 388-2026")</f>
        <v/>
      </c>
      <c r="AC78">
        <f>HYPERLINK("https://klasma.github.io/Logging_2510/tillsyn/A 388-2026 tillsynsbegäran.docx", "A 388-2026")</f>
        <v/>
      </c>
      <c r="AD78">
        <f>HYPERLINK("https://klasma.github.io/Logging_2510/tillsynsmail/A 388-2026 tillsynsbegäran mail.docx", "A 388-2026")</f>
        <v/>
      </c>
    </row>
    <row r="79" ht="15" customHeight="1">
      <c r="A79" t="inlineStr">
        <is>
          <t>A 24746-2025</t>
        </is>
      </c>
      <c r="B79" t="inlineStr">
        <is>
          <t>avverkningsanmälan</t>
        </is>
      </c>
      <c r="C79" t="inlineStr">
        <is>
          <t>Föryngringsavverkning</t>
        </is>
      </c>
      <c r="D79" s="1" t="n">
        <v>45799</v>
      </c>
      <c r="E79" s="1" t="n">
        <v>46291</v>
      </c>
      <c r="F79" t="inlineStr">
        <is>
          <t>NORRBOTTENS LÄN</t>
        </is>
      </c>
      <c r="G79" t="inlineStr">
        <is>
          <t>JOKKMOKK</t>
        </is>
      </c>
      <c r="H79" t="inlineStr">
        <is>
          <t>SCA</t>
        </is>
      </c>
      <c r="I79" t="n">
        <v>6.1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HYPERLINK("https://klasma.github.io/Logging_2510/artfynd/A 24746-2025 artfynd.xlsx", "A 24746-2025")</f>
        <v/>
      </c>
      <c r="X79">
        <f>HYPERLINK("https://klasma.github.io/Logging_2510/kartor/A 24746-2025 karta.png", "A 24746-2025")</f>
        <v/>
      </c>
      <c r="Y79">
        <f>HYPERLINK("https://klasma.github.io/Logging_2510/kartor_geotiff/A 24746-2025 georefererad karta.tif", "A 24746-2025")</f>
        <v/>
      </c>
      <c r="AA79">
        <f>HYPERLINK("https://klasma.github.io/Logging_2510/klagomål/A 24746-2025 FSC-klagomål.docx", "A 24746-2025")</f>
        <v/>
      </c>
      <c r="AB79">
        <f>HYPERLINK("https://klasma.github.io/Logging_2510/klagomålsmail/A 24746-2025 FSC-klagomål mail.docx", "A 24746-2025")</f>
        <v/>
      </c>
      <c r="AC79">
        <f>HYPERLINK("https://klasma.github.io/Logging_2510/tillsyn/A 24746-2025 tillsynsbegäran.docx", "A 24746-2025")</f>
        <v/>
      </c>
      <c r="AD79">
        <f>HYPERLINK("https://klasma.github.io/Logging_2510/tillsynsmail/A 24746-2025 tillsynsbegäran mail.docx", "A 24746-2025")</f>
        <v/>
      </c>
      <c r="AE79">
        <f>HYPERLINK("https://klasma.github.io/Logging_2510/fåglar/A 24746-2025 prioriterade fågelarter.docx", "A 24746-2025")</f>
        <v/>
      </c>
    </row>
    <row r="80" ht="15" customHeight="1">
      <c r="A80" t="inlineStr">
        <is>
          <t>A 45201-2025</t>
        </is>
      </c>
      <c r="B80" t="inlineStr">
        <is>
          <t>avverkningsanmälan</t>
        </is>
      </c>
      <c r="C80" t="inlineStr">
        <is>
          <t>Föryngringsavverkning</t>
        </is>
      </c>
      <c r="D80" s="1" t="n">
        <v>45919</v>
      </c>
      <c r="E80" s="1" t="n">
        <v>46291</v>
      </c>
      <c r="F80" t="inlineStr">
        <is>
          <t>NORRBOTTENS LÄN</t>
        </is>
      </c>
      <c r="G80" t="inlineStr">
        <is>
          <t>JOKKMOKK</t>
        </is>
      </c>
      <c r="H80" t="inlineStr">
        <is>
          <t>Sveaskog</t>
        </is>
      </c>
      <c r="I80" t="n">
        <v>21.8</v>
      </c>
      <c r="J80" t="n">
        <v>0</v>
      </c>
      <c r="K80" t="n">
        <v>0</v>
      </c>
      <c r="L80" t="n">
        <v>1</v>
      </c>
      <c r="M80" t="n">
        <v>0</v>
      </c>
      <c r="N80" t="n">
        <v>0</v>
      </c>
      <c r="O80" t="n">
        <v>0</v>
      </c>
      <c r="P80" t="n">
        <v>0</v>
      </c>
      <c r="Q80" t="n">
        <v>1</v>
      </c>
      <c r="R80" t="n">
        <v>0</v>
      </c>
      <c r="S80" t="n">
        <v>1</v>
      </c>
      <c r="T80" t="n">
        <v>1</v>
      </c>
      <c r="U80" t="n">
        <v>1</v>
      </c>
      <c r="V80" s="2" t="inlineStr">
        <is>
          <t>Skarp dropptaggsvamp</t>
        </is>
      </c>
      <c r="W80">
        <f>HYPERLINK("https://klasma.github.io/Logging_2510/artfynd/A 45201-2025 artfynd.xlsx", "A 45201-2025")</f>
        <v/>
      </c>
      <c r="X80">
        <f>HYPERLINK("https://klasma.github.io/Logging_2510/kartor/A 45201-2025 karta.png", "A 45201-2025")</f>
        <v/>
      </c>
      <c r="Y80">
        <f>HYPERLINK("https://klasma.github.io/Logging_2510/kartor_geotiff/A 45201-2025 georefererad karta.tif", "A 45201-2025")</f>
        <v/>
      </c>
      <c r="AA80">
        <f>HYPERLINK("https://klasma.github.io/Logging_2510/klagomål/A 45201-2025 FSC-klagomål.docx", "A 45201-2025")</f>
        <v/>
      </c>
      <c r="AB80">
        <f>HYPERLINK("https://klasma.github.io/Logging_2510/klagomålsmail/A 45201-2025 FSC-klagomål mail.docx", "A 45201-2025")</f>
        <v/>
      </c>
      <c r="AC80">
        <f>HYPERLINK("https://klasma.github.io/Logging_2510/tillsyn/A 45201-2025 tillsynsbegäran.docx", "A 45201-2025")</f>
        <v/>
      </c>
      <c r="AD80">
        <f>HYPERLINK("https://klasma.github.io/Logging_2510/tillsynsmail/A 45201-2025 tillsynsbegäran mail.docx", "A 45201-2025")</f>
        <v/>
      </c>
    </row>
    <row r="81" ht="15" customHeight="1">
      <c r="A81" t="inlineStr">
        <is>
          <t>A 44147-2024</t>
        </is>
      </c>
      <c r="B81" t="inlineStr">
        <is>
          <t>avverkningsanmälan</t>
        </is>
      </c>
      <c r="C81" t="inlineStr">
        <is>
          <t>Föryngringsavverkning</t>
        </is>
      </c>
      <c r="D81" s="1" t="n">
        <v>45572</v>
      </c>
      <c r="E81" s="1" t="n">
        <v>46291</v>
      </c>
      <c r="F81" t="inlineStr">
        <is>
          <t>NORRBOTTENS LÄN</t>
        </is>
      </c>
      <c r="G81" t="inlineStr">
        <is>
          <t>JOKKMOKK</t>
        </is>
      </c>
      <c r="H81" t="inlineStr">
        <is>
          <t>Sveaskog</t>
        </is>
      </c>
      <c r="I81" t="n">
        <v>6.2</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44147-2024 artfynd.xlsx", "A 44147-2024")</f>
        <v/>
      </c>
      <c r="X81">
        <f>HYPERLINK("https://klasma.github.io/Logging_2510/kartor/A 44147-2024 karta.png", "A 44147-2024")</f>
        <v/>
      </c>
      <c r="Y81">
        <f>HYPERLINK("https://klasma.github.io/Logging_2510/kartor_geotiff/A 44147-2024 georefererad karta.tif", "A 44147-2024")</f>
        <v/>
      </c>
      <c r="AA81">
        <f>HYPERLINK("https://klasma.github.io/Logging_2510/klagomål/A 44147-2024 FSC-klagomål.docx", "A 44147-2024")</f>
        <v/>
      </c>
      <c r="AB81">
        <f>HYPERLINK("https://klasma.github.io/Logging_2510/klagomålsmail/A 44147-2024 FSC-klagomål mail.docx", "A 44147-2024")</f>
        <v/>
      </c>
      <c r="AC81">
        <f>HYPERLINK("https://klasma.github.io/Logging_2510/tillsyn/A 44147-2024 tillsynsbegäran.docx", "A 44147-2024")</f>
        <v/>
      </c>
      <c r="AD81">
        <f>HYPERLINK("https://klasma.github.io/Logging_2510/tillsynsmail/A 44147-2024 tillsynsbegäran mail.docx", "A 44147-2024")</f>
        <v/>
      </c>
    </row>
    <row r="82" ht="15" customHeight="1">
      <c r="A82" t="inlineStr">
        <is>
          <t>A 50391-2025</t>
        </is>
      </c>
      <c r="B82" t="inlineStr">
        <is>
          <t>avverkningsanmälan</t>
        </is>
      </c>
      <c r="C82" t="inlineStr">
        <is>
          <t>Föryngringsavverkning</t>
        </is>
      </c>
      <c r="D82" s="1" t="n">
        <v>45944</v>
      </c>
      <c r="E82" s="1" t="n">
        <v>46291</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46291</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53035-2025</t>
        </is>
      </c>
      <c r="B84" t="inlineStr">
        <is>
          <t>avverkningsanmälan</t>
        </is>
      </c>
      <c r="C84" t="inlineStr">
        <is>
          <t>Föryngringsavverkning</t>
        </is>
      </c>
      <c r="D84" s="1" t="n">
        <v>45958</v>
      </c>
      <c r="E84" s="1" t="n">
        <v>46291</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56324-2025</t>
        </is>
      </c>
      <c r="B85" t="inlineStr">
        <is>
          <t>avverkningsanmälan</t>
        </is>
      </c>
      <c r="C85" t="inlineStr">
        <is>
          <t>Föryngringsavverkning</t>
        </is>
      </c>
      <c r="D85" s="1" t="n">
        <v>45974</v>
      </c>
      <c r="E85" s="1" t="n">
        <v>46291</v>
      </c>
      <c r="F85" t="inlineStr">
        <is>
          <t>NORRBOTTENS LÄN</t>
        </is>
      </c>
      <c r="G85" t="inlineStr">
        <is>
          <t>JOKKMOKK</t>
        </is>
      </c>
      <c r="H85" t="inlineStr">
        <is>
          <t>Övriga statliga verk och myndigheter</t>
        </is>
      </c>
      <c r="I85" t="n">
        <v>14.2</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HYPERLINK("https://klasma.github.io/Logging_2510/artfynd/A 56324-2025 artfynd.xlsx", "A 56324-2025")</f>
        <v/>
      </c>
      <c r="X85">
        <f>HYPERLINK("https://klasma.github.io/Logging_2510/kartor/A 56324-2025 karta.png", "A 56324-2025")</f>
        <v/>
      </c>
      <c r="Y85">
        <f>HYPERLINK("https://klasma.github.io/Logging_2510/kartor_geotiff/A 56324-2025 georefererad karta.tif", "A 56324-2025")</f>
        <v/>
      </c>
      <c r="AA85">
        <f>HYPERLINK("https://klasma.github.io/Logging_2510/klagomål/A 56324-2025 FSC-klagomål.docx", "A 56324-2025")</f>
        <v/>
      </c>
      <c r="AB85">
        <f>HYPERLINK("https://klasma.github.io/Logging_2510/klagomålsmail/A 56324-2025 FSC-klagomål mail.docx", "A 56324-2025")</f>
        <v/>
      </c>
      <c r="AC85">
        <f>HYPERLINK("https://klasma.github.io/Logging_2510/tillsyn/A 56324-2025 tillsynsbegäran.docx", "A 56324-2025")</f>
        <v/>
      </c>
      <c r="AD85">
        <f>HYPERLINK("https://klasma.github.io/Logging_2510/tillsynsmail/A 56324-2025 tillsynsbegäran mail.docx", "A 56324-2025")</f>
        <v/>
      </c>
    </row>
    <row r="86" ht="15" customHeight="1">
      <c r="A86" t="inlineStr">
        <is>
          <t>A 56343-2025</t>
        </is>
      </c>
      <c r="B86" t="inlineStr">
        <is>
          <t>avverkningsanmälan</t>
        </is>
      </c>
      <c r="C86" t="inlineStr">
        <is>
          <t>Föryngringsavverkning</t>
        </is>
      </c>
      <c r="D86" s="1" t="n">
        <v>45974</v>
      </c>
      <c r="E86" s="1" t="n">
        <v>46291</v>
      </c>
      <c r="F86" t="inlineStr">
        <is>
          <t>NORRBOTTENS LÄN</t>
        </is>
      </c>
      <c r="G86" t="inlineStr">
        <is>
          <t>JOKKMOKK</t>
        </is>
      </c>
      <c r="H86" t="inlineStr">
        <is>
          <t>Övriga statliga verk och myndigheter</t>
        </is>
      </c>
      <c r="I86" t="n">
        <v>14.8</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56343-2025 artfynd.xlsx", "A 56343-2025")</f>
        <v/>
      </c>
      <c r="X86">
        <f>HYPERLINK("https://klasma.github.io/Logging_2510/kartor/A 56343-2025 karta.png", "A 56343-2025")</f>
        <v/>
      </c>
      <c r="Y86">
        <f>HYPERLINK("https://klasma.github.io/Logging_2510/kartor_geotiff/A 56343-2025 georefererad karta.tif", "A 56343-2025")</f>
        <v/>
      </c>
      <c r="AA86">
        <f>HYPERLINK("https://klasma.github.io/Logging_2510/klagomål/A 56343-2025 FSC-klagomål.docx", "A 56343-2025")</f>
        <v/>
      </c>
      <c r="AB86">
        <f>HYPERLINK("https://klasma.github.io/Logging_2510/klagomålsmail/A 56343-2025 FSC-klagomål mail.docx", "A 56343-2025")</f>
        <v/>
      </c>
      <c r="AC86">
        <f>HYPERLINK("https://klasma.github.io/Logging_2510/tillsyn/A 56343-2025 tillsynsbegäran.docx", "A 56343-2025")</f>
        <v/>
      </c>
      <c r="AD86">
        <f>HYPERLINK("https://klasma.github.io/Logging_2510/tillsynsmail/A 56343-2025 tillsynsbegäran mail.docx", "A 56343-2025")</f>
        <v/>
      </c>
    </row>
    <row r="87" ht="15" customHeight="1">
      <c r="A87" t="inlineStr">
        <is>
          <t>A 72480-2021</t>
        </is>
      </c>
      <c r="B87" t="inlineStr">
        <is>
          <t>avverkningsanmälan</t>
        </is>
      </c>
      <c r="C87" t="inlineStr">
        <is>
          <t>Föryngringsavverkning</t>
        </is>
      </c>
      <c r="D87" s="1" t="n">
        <v>44545</v>
      </c>
      <c r="E87" s="1" t="n">
        <v>46291</v>
      </c>
      <c r="F87" t="inlineStr">
        <is>
          <t>NORRBOTTENS LÄN</t>
        </is>
      </c>
      <c r="G87" t="inlineStr">
        <is>
          <t>JOKKMOKK</t>
        </is>
      </c>
      <c r="I87" t="n">
        <v>8.800000000000001</v>
      </c>
      <c r="J87" t="n">
        <v>0</v>
      </c>
      <c r="K87" t="n">
        <v>0</v>
      </c>
      <c r="L87" t="n">
        <v>1</v>
      </c>
      <c r="M87" t="n">
        <v>0</v>
      </c>
      <c r="N87" t="n">
        <v>0</v>
      </c>
      <c r="O87" t="n">
        <v>0</v>
      </c>
      <c r="P87" t="n">
        <v>0</v>
      </c>
      <c r="Q87" t="n">
        <v>1</v>
      </c>
      <c r="R87" t="n">
        <v>0</v>
      </c>
      <c r="S87" t="n">
        <v>1</v>
      </c>
      <c r="T87" t="n">
        <v>1</v>
      </c>
      <c r="U87" t="n">
        <v>0</v>
      </c>
      <c r="V87" s="2" t="inlineStr">
        <is>
          <t>Dvärgbägarlav</t>
        </is>
      </c>
      <c r="W87">
        <f>HYPERLINK("https://klasma.github.io/Logging_2510/artfynd/A 72480-2021 artfynd.xlsx", "A 72480-2021")</f>
        <v/>
      </c>
      <c r="X87">
        <f>HYPERLINK("https://klasma.github.io/Logging_2510/kartor/A 72480-2021 karta.png", "A 72480-2021")</f>
        <v/>
      </c>
      <c r="Y87">
        <f>HYPERLINK("https://klasma.github.io/Logging_2510/kartor_geotiff/A 72480-2021 georefererad karta.tif", "A 72480-2021")</f>
        <v/>
      </c>
      <c r="AA87">
        <f>HYPERLINK("https://klasma.github.io/Logging_2510/klagomål/A 72480-2021 FSC-klagomål.docx", "A 72480-2021")</f>
        <v/>
      </c>
      <c r="AB87">
        <f>HYPERLINK("https://klasma.github.io/Logging_2510/klagomålsmail/A 72480-2021 FSC-klagomål mail.docx", "A 72480-2021")</f>
        <v/>
      </c>
      <c r="AC87">
        <f>HYPERLINK("https://klasma.github.io/Logging_2510/tillsyn/A 72480-2021 tillsynsbegäran.docx", "A 72480-2021")</f>
        <v/>
      </c>
      <c r="AD87">
        <f>HYPERLINK("https://klasma.github.io/Logging_2510/tillsynsmail/A 72480-2021 tillsynsbegäran mail.docx", "A 72480-2021")</f>
        <v/>
      </c>
    </row>
    <row r="88" ht="15" customHeight="1">
      <c r="A88" t="inlineStr">
        <is>
          <t>A 58133-2025</t>
        </is>
      </c>
      <c r="B88" t="inlineStr">
        <is>
          <t>avverkningsanmälan</t>
        </is>
      </c>
      <c r="C88" t="inlineStr">
        <is>
          <t>Föryngringsavverkning</t>
        </is>
      </c>
      <c r="D88" s="1" t="n">
        <v>45982</v>
      </c>
      <c r="E88" s="1" t="n">
        <v>46291</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58418-2025</t>
        </is>
      </c>
      <c r="B89" t="inlineStr">
        <is>
          <t>avverkningsanmälan</t>
        </is>
      </c>
      <c r="C89" t="inlineStr">
        <is>
          <t>Föryngringsavverkning</t>
        </is>
      </c>
      <c r="D89" s="1" t="n">
        <v>45985</v>
      </c>
      <c r="E89" s="1" t="n">
        <v>46291</v>
      </c>
      <c r="F89" t="inlineStr">
        <is>
          <t>NORRBOTTENS LÄN</t>
        </is>
      </c>
      <c r="G89" t="inlineStr">
        <is>
          <t>JOKKMOKK</t>
        </is>
      </c>
      <c r="H89" t="inlineStr">
        <is>
          <t>Övriga statliga verk och myndigheter</t>
        </is>
      </c>
      <c r="I89" t="n">
        <v>18.1</v>
      </c>
      <c r="J89" t="n">
        <v>1</v>
      </c>
      <c r="K89" t="n">
        <v>1</v>
      </c>
      <c r="L89" t="n">
        <v>0</v>
      </c>
      <c r="M89" t="n">
        <v>0</v>
      </c>
      <c r="N89" t="n">
        <v>0</v>
      </c>
      <c r="O89" t="n">
        <v>0</v>
      </c>
      <c r="P89" t="n">
        <v>0</v>
      </c>
      <c r="Q89" t="n">
        <v>0</v>
      </c>
      <c r="R89" t="n">
        <v>0</v>
      </c>
      <c r="S89" t="n">
        <v>1</v>
      </c>
      <c r="T89" t="n">
        <v>1</v>
      </c>
      <c r="U89" t="n">
        <v>0</v>
      </c>
      <c r="V89" s="2" t="inlineStr">
        <is>
          <t>Lappranunkel</t>
        </is>
      </c>
      <c r="W89">
        <f>HYPERLINK("https://klasma.github.io/Logging_2510/artfynd/A 58418-2025 artfynd.xlsx", "A 58418-2025")</f>
        <v/>
      </c>
      <c r="X89">
        <f>HYPERLINK("https://klasma.github.io/Logging_2510/kartor/A 58418-2025 karta.png", "A 58418-2025")</f>
        <v/>
      </c>
      <c r="Y89">
        <f>HYPERLINK("https://klasma.github.io/Logging_2510/kartor_geotiff/A 58418-2025 georefererad karta.tif", "A 58418-2025")</f>
        <v/>
      </c>
      <c r="AA89">
        <f>HYPERLINK("https://klasma.github.io/Logging_2510/klagomål/A 58418-2025 FSC-klagomål.docx", "A 58418-2025")</f>
        <v/>
      </c>
      <c r="AB89">
        <f>HYPERLINK("https://klasma.github.io/Logging_2510/klagomålsmail/A 58418-2025 FSC-klagomål mail.docx", "A 58418-2025")</f>
        <v/>
      </c>
      <c r="AC89">
        <f>HYPERLINK("https://klasma.github.io/Logging_2510/tillsyn/A 58418-2025 tillsynsbegäran.docx", "A 58418-2025")</f>
        <v/>
      </c>
      <c r="AD89">
        <f>HYPERLINK("https://klasma.github.io/Logging_2510/tillsynsmail/A 58418-2025 tillsynsbegäran mail.docx", "A 58418-2025")</f>
        <v/>
      </c>
    </row>
    <row r="90" ht="15" customHeight="1">
      <c r="A90" t="inlineStr">
        <is>
          <t>A 20141-2026</t>
        </is>
      </c>
      <c r="B90" t="inlineStr">
        <is>
          <t>avverkningsanmälan</t>
        </is>
      </c>
      <c r="C90" t="inlineStr">
        <is>
          <t>Föryngringsavverkning</t>
        </is>
      </c>
      <c r="D90" s="1" t="n">
        <v>46137</v>
      </c>
      <c r="E90" s="1" t="n">
        <v>46291</v>
      </c>
      <c r="F90" t="inlineStr">
        <is>
          <t>NORRBOTTENS LÄN</t>
        </is>
      </c>
      <c r="G90" t="inlineStr">
        <is>
          <t>JOKKMOKK</t>
        </is>
      </c>
      <c r="H90" t="inlineStr">
        <is>
          <t>SCA</t>
        </is>
      </c>
      <c r="I90" t="n">
        <v>17.4</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HYPERLINK("https://klasma.github.io/Logging_2510/artfynd/A 20141-2026 artfynd.xlsx", "A 20141-2026")</f>
        <v/>
      </c>
      <c r="X90">
        <f>HYPERLINK("https://klasma.github.io/Logging_2510/kartor/A 20141-2026 karta.png", "A 20141-2026")</f>
        <v/>
      </c>
      <c r="Y90">
        <f>HYPERLINK("https://klasma.github.io/Logging_2510/kartor_geotiff/A 20141-2026 georefererad karta.tif", "A 20141-2026")</f>
        <v/>
      </c>
      <c r="AA90">
        <f>HYPERLINK("https://klasma.github.io/Logging_2510/klagomål/A 20141-2026 FSC-klagomål.docx", "A 20141-2026")</f>
        <v/>
      </c>
      <c r="AB90">
        <f>HYPERLINK("https://klasma.github.io/Logging_2510/klagomålsmail/A 20141-2026 FSC-klagomål mail.docx", "A 20141-2026")</f>
        <v/>
      </c>
      <c r="AC90">
        <f>HYPERLINK("https://klasma.github.io/Logging_2510/tillsyn/A 20141-2026 tillsynsbegäran.docx", "A 20141-2026")</f>
        <v/>
      </c>
      <c r="AD90">
        <f>HYPERLINK("https://klasma.github.io/Logging_2510/tillsynsmail/A 20141-2026 tillsynsbegäran mail.docx", "A 20141-2026")</f>
        <v/>
      </c>
    </row>
    <row r="91" ht="15" customHeight="1">
      <c r="A91" t="inlineStr">
        <is>
          <t>A 28591-2025</t>
        </is>
      </c>
      <c r="B91" t="inlineStr">
        <is>
          <t>avverkningsanmälan</t>
        </is>
      </c>
      <c r="C91" t="inlineStr">
        <is>
          <t>Föryngringsavverkning</t>
        </is>
      </c>
      <c r="D91" s="1" t="n">
        <v>45819</v>
      </c>
      <c r="E91" s="1" t="n">
        <v>46291</v>
      </c>
      <c r="F91" t="inlineStr">
        <is>
          <t>NORRBOTTENS LÄN</t>
        </is>
      </c>
      <c r="G91" t="inlineStr">
        <is>
          <t>JOKKMOKK</t>
        </is>
      </c>
      <c r="H91" t="inlineStr">
        <is>
          <t>Sveaskog</t>
        </is>
      </c>
      <c r="I91" t="n">
        <v>11.9</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HYPERLINK("https://klasma.github.io/Logging_2510/artfynd/A 28591-2025 artfynd.xlsx", "A 28591-2025")</f>
        <v/>
      </c>
      <c r="X91">
        <f>HYPERLINK("https://klasma.github.io/Logging_2510/kartor/A 28591-2025 karta.png", "A 28591-2025")</f>
        <v/>
      </c>
      <c r="Y91">
        <f>HYPERLINK("https://klasma.github.io/Logging_2510/kartor_geotiff/A 28591-2025 georefererad karta.tif", "A 28591-2025")</f>
        <v/>
      </c>
      <c r="AA91">
        <f>HYPERLINK("https://klasma.github.io/Logging_2510/klagomål/A 28591-2025 FSC-klagomål.docx", "A 28591-2025")</f>
        <v/>
      </c>
      <c r="AB91">
        <f>HYPERLINK("https://klasma.github.io/Logging_2510/klagomålsmail/A 28591-2025 FSC-klagomål mail.docx", "A 28591-2025")</f>
        <v/>
      </c>
      <c r="AC91">
        <f>HYPERLINK("https://klasma.github.io/Logging_2510/tillsyn/A 28591-2025 tillsynsbegäran.docx", "A 28591-2025")</f>
        <v/>
      </c>
      <c r="AD91">
        <f>HYPERLINK("https://klasma.github.io/Logging_2510/tillsynsmail/A 28591-2025 tillsynsbegäran mail.docx", "A 28591-2025")</f>
        <v/>
      </c>
    </row>
    <row r="92" ht="15" customHeight="1">
      <c r="A92" t="inlineStr">
        <is>
          <t>A 2031-2025</t>
        </is>
      </c>
      <c r="B92" t="inlineStr">
        <is>
          <t>avverkningsanmälan</t>
        </is>
      </c>
      <c r="C92" t="inlineStr">
        <is>
          <t>Föryngringsavverkning</t>
        </is>
      </c>
      <c r="D92" s="1" t="n">
        <v>45672</v>
      </c>
      <c r="E92" s="1" t="n">
        <v>46291</v>
      </c>
      <c r="F92" t="inlineStr">
        <is>
          <t>NORRBOTTENS LÄN</t>
        </is>
      </c>
      <c r="G92" t="inlineStr">
        <is>
          <t>JOKKMOKK</t>
        </is>
      </c>
      <c r="H92" t="inlineStr">
        <is>
          <t>Övriga statliga verk och myndigheter</t>
        </is>
      </c>
      <c r="I92" t="n">
        <v>7.5</v>
      </c>
      <c r="J92" t="n">
        <v>0</v>
      </c>
      <c r="K92" t="n">
        <v>0</v>
      </c>
      <c r="L92" t="n">
        <v>1</v>
      </c>
      <c r="M92" t="n">
        <v>0</v>
      </c>
      <c r="N92" t="n">
        <v>0</v>
      </c>
      <c r="O92" t="n">
        <v>0</v>
      </c>
      <c r="P92" t="n">
        <v>0</v>
      </c>
      <c r="Q92" t="n">
        <v>1</v>
      </c>
      <c r="R92" t="n">
        <v>0</v>
      </c>
      <c r="S92" t="n">
        <v>1</v>
      </c>
      <c r="T92" t="n">
        <v>1</v>
      </c>
      <c r="U92" t="n">
        <v>1</v>
      </c>
      <c r="V92" s="2" t="inlineStr">
        <is>
          <t>Vitplätt</t>
        </is>
      </c>
      <c r="W92">
        <f>HYPERLINK("https://klasma.github.io/Logging_2510/artfynd/A 2031-2025 artfynd.xlsx", "A 2031-2025")</f>
        <v/>
      </c>
      <c r="X92">
        <f>HYPERLINK("https://klasma.github.io/Logging_2510/kartor/A 2031-2025 karta.png", "A 2031-2025")</f>
        <v/>
      </c>
      <c r="Y92">
        <f>HYPERLINK("https://klasma.github.io/Logging_2510/kartor_geotiff/A 2031-2025 georefererad karta.tif", "A 2031-2025")</f>
        <v/>
      </c>
      <c r="AA92">
        <f>HYPERLINK("https://klasma.github.io/Logging_2510/klagomål/A 2031-2025 FSC-klagomål.docx", "A 2031-2025")</f>
        <v/>
      </c>
      <c r="AB92">
        <f>HYPERLINK("https://klasma.github.io/Logging_2510/klagomålsmail/A 2031-2025 FSC-klagomål mail.docx", "A 2031-2025")</f>
        <v/>
      </c>
      <c r="AC92">
        <f>HYPERLINK("https://klasma.github.io/Logging_2510/tillsyn/A 2031-2025 tillsynsbegäran.docx", "A 2031-2025")</f>
        <v/>
      </c>
      <c r="AD92">
        <f>HYPERLINK("https://klasma.github.io/Logging_2510/tillsynsmail/A 2031-2025 tillsynsbegäran mail.docx", "A 2031-2025")</f>
        <v/>
      </c>
    </row>
    <row r="93" ht="15" customHeight="1">
      <c r="A93" t="inlineStr">
        <is>
          <t>A 29859-2025</t>
        </is>
      </c>
      <c r="B93" t="inlineStr">
        <is>
          <t>avverkningsanmälan</t>
        </is>
      </c>
      <c r="C93" t="inlineStr">
        <is>
          <t>Föryngringsavverkning</t>
        </is>
      </c>
      <c r="D93" s="1" t="n">
        <v>45826</v>
      </c>
      <c r="E93" s="1" t="n">
        <v>46291</v>
      </c>
      <c r="F93" t="inlineStr">
        <is>
          <t>NORRBOTTENS LÄN</t>
        </is>
      </c>
      <c r="G93" t="inlineStr">
        <is>
          <t>JOKKMOKK</t>
        </is>
      </c>
      <c r="H93" t="inlineStr">
        <is>
          <t>SCA</t>
        </is>
      </c>
      <c r="I93" t="n">
        <v>2.9</v>
      </c>
      <c r="J93" t="n">
        <v>0</v>
      </c>
      <c r="K93" t="n">
        <v>0</v>
      </c>
      <c r="L93" t="n">
        <v>0</v>
      </c>
      <c r="M93" t="n">
        <v>1</v>
      </c>
      <c r="N93" t="n">
        <v>0</v>
      </c>
      <c r="O93" t="n">
        <v>0</v>
      </c>
      <c r="P93" t="n">
        <v>0</v>
      </c>
      <c r="Q93" t="n">
        <v>1</v>
      </c>
      <c r="R93" t="n">
        <v>1</v>
      </c>
      <c r="S93" t="n">
        <v>1</v>
      </c>
      <c r="T93" t="n">
        <v>1</v>
      </c>
      <c r="U93" t="n">
        <v>0</v>
      </c>
      <c r="V93" s="2" t="inlineStr">
        <is>
          <t>Tallgråticka</t>
        </is>
      </c>
      <c r="W93">
        <f>HYPERLINK("https://klasma.github.io/Logging_2510/artfynd/A 29859-2025 artfynd.xlsx", "A 29859-2025")</f>
        <v/>
      </c>
      <c r="X93">
        <f>HYPERLINK("https://klasma.github.io/Logging_2510/kartor/A 29859-2025 karta.png", "A 29859-2025")</f>
        <v/>
      </c>
      <c r="Y93">
        <f>HYPERLINK("https://klasma.github.io/Logging_2510/kartor_geotiff/A 29859-2025 georefererad karta.tif", "A 29859-2025")</f>
        <v/>
      </c>
      <c r="AA93">
        <f>HYPERLINK("https://klasma.github.io/Logging_2510/klagomål/A 29859-2025 FSC-klagomål.docx", "A 29859-2025")</f>
        <v/>
      </c>
      <c r="AB93">
        <f>HYPERLINK("https://klasma.github.io/Logging_2510/klagomålsmail/A 29859-2025 FSC-klagomål mail.docx", "A 29859-2025")</f>
        <v/>
      </c>
      <c r="AC93">
        <f>HYPERLINK("https://klasma.github.io/Logging_2510/tillsyn/A 29859-2025 tillsynsbegäran.docx", "A 29859-2025")</f>
        <v/>
      </c>
      <c r="AD93">
        <f>HYPERLINK("https://klasma.github.io/Logging_2510/tillsynsmail/A 29859-2025 tillsynsbegäran mail.docx", "A 29859-2025")</f>
        <v/>
      </c>
    </row>
    <row r="94" ht="15" customHeight="1">
      <c r="A94" t="inlineStr">
        <is>
          <t>A 50237-2022</t>
        </is>
      </c>
      <c r="B94" t="inlineStr">
        <is>
          <t>avverkningsanmälan</t>
        </is>
      </c>
      <c r="C94" t="inlineStr">
        <is>
          <t>Föryngringsavverkning</t>
        </is>
      </c>
      <c r="D94" s="1" t="n">
        <v>44865</v>
      </c>
      <c r="E94" s="1" t="n">
        <v>46291</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32669-2025</t>
        </is>
      </c>
      <c r="B95" t="inlineStr">
        <is>
          <t>avverkningsanmälan</t>
        </is>
      </c>
      <c r="C95" t="inlineStr">
        <is>
          <t>Föryngringsavverkning</t>
        </is>
      </c>
      <c r="D95" s="1" t="n">
        <v>45838</v>
      </c>
      <c r="E95" s="1" t="n">
        <v>46291</v>
      </c>
      <c r="F95" t="inlineStr">
        <is>
          <t>NORRBOTTENS LÄN</t>
        </is>
      </c>
      <c r="G95" t="inlineStr">
        <is>
          <t>JOKKMOKK</t>
        </is>
      </c>
      <c r="H95" t="inlineStr">
        <is>
          <t>Sveaskog</t>
        </is>
      </c>
      <c r="I95" t="n">
        <v>14.6</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32669-2025 artfynd.xlsx", "A 32669-2025")</f>
        <v/>
      </c>
      <c r="X95">
        <f>HYPERLINK("https://klasma.github.io/Logging_2510/kartor/A 32669-2025 karta.png", "A 32669-2025")</f>
        <v/>
      </c>
      <c r="Y95">
        <f>HYPERLINK("https://klasma.github.io/Logging_2510/kartor_geotiff/A 32669-2025 georefererad karta.tif", "A 32669-2025")</f>
        <v/>
      </c>
      <c r="AA95">
        <f>HYPERLINK("https://klasma.github.io/Logging_2510/klagomål/A 32669-2025 FSC-klagomål.docx", "A 32669-2025")</f>
        <v/>
      </c>
      <c r="AB95">
        <f>HYPERLINK("https://klasma.github.io/Logging_2510/klagomålsmail/A 32669-2025 FSC-klagomål mail.docx", "A 32669-2025")</f>
        <v/>
      </c>
      <c r="AC95">
        <f>HYPERLINK("https://klasma.github.io/Logging_2510/tillsyn/A 32669-2025 tillsynsbegäran.docx", "A 32669-2025")</f>
        <v/>
      </c>
      <c r="AD95">
        <f>HYPERLINK("https://klasma.github.io/Logging_2510/tillsynsmail/A 32669-2025 tillsynsbegäran mail.docx", "A 32669-2025")</f>
        <v/>
      </c>
    </row>
    <row r="96" ht="15" customHeight="1">
      <c r="A96" t="inlineStr">
        <is>
          <t>A 52260-2024</t>
        </is>
      </c>
      <c r="B96" t="inlineStr">
        <is>
          <t>avverkningsanmälan</t>
        </is>
      </c>
      <c r="C96" t="inlineStr">
        <is>
          <t>Föryngringsavverkning</t>
        </is>
      </c>
      <c r="D96" s="1" t="n">
        <v>45608</v>
      </c>
      <c r="E96" s="1" t="n">
        <v>46291</v>
      </c>
      <c r="F96" t="inlineStr">
        <is>
          <t>NORRBOTTENS LÄN</t>
        </is>
      </c>
      <c r="G96" t="inlineStr">
        <is>
          <t>JOKKMOKK</t>
        </is>
      </c>
      <c r="H96" t="inlineStr">
        <is>
          <t>Allmännings- och besparingsskogar</t>
        </is>
      </c>
      <c r="I96" t="n">
        <v>11.6</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HYPERLINK("https://klasma.github.io/Logging_2510/artfynd/A 52260-2024 artfynd.xlsx", "A 52260-2024")</f>
        <v/>
      </c>
      <c r="X96">
        <f>HYPERLINK("https://klasma.github.io/Logging_2510/kartor/A 52260-2024 karta.png", "A 52260-2024")</f>
        <v/>
      </c>
      <c r="Y96">
        <f>HYPERLINK("https://klasma.github.io/Logging_2510/kartor_geotiff/A 52260-2024 georefererad karta.tif", "A 52260-2024")</f>
        <v/>
      </c>
      <c r="AA96">
        <f>HYPERLINK("https://klasma.github.io/Logging_2510/klagomål/A 52260-2024 FSC-klagomål.docx", "A 52260-2024")</f>
        <v/>
      </c>
      <c r="AB96">
        <f>HYPERLINK("https://klasma.github.io/Logging_2510/klagomålsmail/A 52260-2024 FSC-klagomål mail.docx", "A 52260-2024")</f>
        <v/>
      </c>
      <c r="AC96">
        <f>HYPERLINK("https://klasma.github.io/Logging_2510/tillsyn/A 52260-2024 tillsynsbegäran.docx", "A 52260-2024")</f>
        <v/>
      </c>
      <c r="AD96">
        <f>HYPERLINK("https://klasma.github.io/Logging_2510/tillsynsmail/A 52260-2024 tillsynsbegäran mail.docx", "A 52260-2024")</f>
        <v/>
      </c>
    </row>
    <row r="97" ht="15" customHeight="1">
      <c r="A97" t="inlineStr">
        <is>
          <t>A 50121-2024</t>
        </is>
      </c>
      <c r="B97" t="inlineStr">
        <is>
          <t>avverkningsanmälan</t>
        </is>
      </c>
      <c r="C97" t="inlineStr">
        <is>
          <t>Föryngringsavverkning</t>
        </is>
      </c>
      <c r="D97" s="1" t="n">
        <v>45600</v>
      </c>
      <c r="E97" s="1" t="n">
        <v>46291</v>
      </c>
      <c r="F97" t="inlineStr">
        <is>
          <t>NORRBOTTENS LÄN</t>
        </is>
      </c>
      <c r="G97" t="inlineStr">
        <is>
          <t>JOKKMOKK</t>
        </is>
      </c>
      <c r="I97" t="n">
        <v>2.3</v>
      </c>
      <c r="J97" t="n">
        <v>1</v>
      </c>
      <c r="K97" t="n">
        <v>0</v>
      </c>
      <c r="L97" t="n">
        <v>0</v>
      </c>
      <c r="M97" t="n">
        <v>0</v>
      </c>
      <c r="N97" t="n">
        <v>0</v>
      </c>
      <c r="O97" t="n">
        <v>0</v>
      </c>
      <c r="P97" t="n">
        <v>0</v>
      </c>
      <c r="Q97" t="n">
        <v>0</v>
      </c>
      <c r="R97" t="n">
        <v>0</v>
      </c>
      <c r="S97" t="n">
        <v>1</v>
      </c>
      <c r="T97" t="n">
        <v>1</v>
      </c>
      <c r="U97" t="n">
        <v>0</v>
      </c>
      <c r="V97" s="2" t="inlineStr">
        <is>
          <t>Buskskvätta</t>
        </is>
      </c>
      <c r="W97">
        <f>HYPERLINK("https://klasma.github.io/Logging_2510/artfynd/A 50121-2024 artfynd.xlsx", "A 50121-2024")</f>
        <v/>
      </c>
      <c r="X97">
        <f>HYPERLINK("https://klasma.github.io/Logging_2510/kartor/A 50121-2024 karta.png", "A 50121-2024")</f>
        <v/>
      </c>
      <c r="Y97">
        <f>HYPERLINK("https://klasma.github.io/Logging_2510/kartor_geotiff/A 50121-2024 georefererad karta.tif", "A 50121-2024")</f>
        <v/>
      </c>
      <c r="AA97">
        <f>HYPERLINK("https://klasma.github.io/Logging_2510/klagomål/A 50121-2024 FSC-klagomål.docx", "A 50121-2024")</f>
        <v/>
      </c>
      <c r="AB97">
        <f>HYPERLINK("https://klasma.github.io/Logging_2510/klagomålsmail/A 50121-2024 FSC-klagomål mail.docx", "A 50121-2024")</f>
        <v/>
      </c>
      <c r="AC97">
        <f>HYPERLINK("https://klasma.github.io/Logging_2510/tillsyn/A 50121-2024 tillsynsbegäran.docx", "A 50121-2024")</f>
        <v/>
      </c>
      <c r="AD97">
        <f>HYPERLINK("https://klasma.github.io/Logging_2510/tillsynsmail/A 50121-2024 tillsynsbegäran mail.docx", "A 50121-2024")</f>
        <v/>
      </c>
    </row>
    <row r="98" ht="15" customHeight="1">
      <c r="A98" t="inlineStr">
        <is>
          <t>A 37252-2025</t>
        </is>
      </c>
      <c r="B98" t="inlineStr">
        <is>
          <t>avverkningsanmälan</t>
        </is>
      </c>
      <c r="C98" t="inlineStr">
        <is>
          <t>Föryngringsavverkning</t>
        </is>
      </c>
      <c r="D98" s="1" t="n">
        <v>45876</v>
      </c>
      <c r="E98" s="1" t="n">
        <v>46291</v>
      </c>
      <c r="F98" t="inlineStr">
        <is>
          <t>NORRBOTTENS LÄN</t>
        </is>
      </c>
      <c r="G98" t="inlineStr">
        <is>
          <t>JOKKMOKK</t>
        </is>
      </c>
      <c r="H98" t="inlineStr">
        <is>
          <t>Sveaskog</t>
        </is>
      </c>
      <c r="I98" t="n">
        <v>4.5</v>
      </c>
      <c r="J98" t="n">
        <v>1</v>
      </c>
      <c r="K98" t="n">
        <v>1</v>
      </c>
      <c r="L98" t="n">
        <v>0</v>
      </c>
      <c r="M98" t="n">
        <v>0</v>
      </c>
      <c r="N98" t="n">
        <v>0</v>
      </c>
      <c r="O98" t="n">
        <v>0</v>
      </c>
      <c r="P98" t="n">
        <v>0</v>
      </c>
      <c r="Q98" t="n">
        <v>0</v>
      </c>
      <c r="R98" t="n">
        <v>0</v>
      </c>
      <c r="S98" t="n">
        <v>1</v>
      </c>
      <c r="T98" t="n">
        <v>1</v>
      </c>
      <c r="U98" t="n">
        <v>1</v>
      </c>
      <c r="V98" s="2" t="inlineStr">
        <is>
          <t>Spindelblomster</t>
        </is>
      </c>
      <c r="W98">
        <f>HYPERLINK("https://klasma.github.io/Logging_2510/artfynd/A 37252-2025 artfynd.xlsx", "A 37252-2025")</f>
        <v/>
      </c>
      <c r="X98">
        <f>HYPERLINK("https://klasma.github.io/Logging_2510/kartor/A 37252-2025 karta.png", "A 37252-2025")</f>
        <v/>
      </c>
      <c r="Y98">
        <f>HYPERLINK("https://klasma.github.io/Logging_2510/kartor_geotiff/A 37252-2025 georefererad karta.tif", "A 37252-2025")</f>
        <v/>
      </c>
      <c r="AA98">
        <f>HYPERLINK("https://klasma.github.io/Logging_2510/klagomål/A 37252-2025 FSC-klagomål.docx", "A 37252-2025")</f>
        <v/>
      </c>
      <c r="AB98">
        <f>HYPERLINK("https://klasma.github.io/Logging_2510/klagomålsmail/A 37252-2025 FSC-klagomål mail.docx", "A 37252-2025")</f>
        <v/>
      </c>
      <c r="AC98">
        <f>HYPERLINK("https://klasma.github.io/Logging_2510/tillsyn/A 37252-2025 tillsynsbegäran.docx", "A 37252-2025")</f>
        <v/>
      </c>
      <c r="AD98">
        <f>HYPERLINK("https://klasma.github.io/Logging_2510/tillsynsmail/A 37252-2025 tillsynsbegäran mail.docx", "A 37252-2025")</f>
        <v/>
      </c>
    </row>
    <row r="99" ht="15" customHeight="1">
      <c r="A99" t="inlineStr">
        <is>
          <t>A 28562-2026</t>
        </is>
      </c>
      <c r="B99" t="inlineStr">
        <is>
          <t>avverkningsanmälan</t>
        </is>
      </c>
      <c r="C99" t="inlineStr">
        <is>
          <t>Föryngringsavverkning</t>
        </is>
      </c>
      <c r="D99" s="1" t="n">
        <v>46197</v>
      </c>
      <c r="E99" s="1" t="n">
        <v>46291</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46291</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46291</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46291</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37621-2026</t>
        </is>
      </c>
      <c r="B103" t="inlineStr">
        <is>
          <t>avverkningsanmälan</t>
        </is>
      </c>
      <c r="C103" t="inlineStr">
        <is>
          <t>Föryngringsavverkning</t>
        </is>
      </c>
      <c r="D103" s="1" t="n">
        <v>46276</v>
      </c>
      <c r="E103" s="1" t="n">
        <v>46291</v>
      </c>
      <c r="F103" t="inlineStr">
        <is>
          <t>NORRBOTTENS LÄN</t>
        </is>
      </c>
      <c r="G103" t="inlineStr">
        <is>
          <t>JOKKMOKK</t>
        </is>
      </c>
      <c r="H103" t="inlineStr">
        <is>
          <t>Sveaskog</t>
        </is>
      </c>
      <c r="I103" t="n">
        <v>18.1</v>
      </c>
      <c r="J103" t="n">
        <v>0</v>
      </c>
      <c r="K103" t="n">
        <v>0</v>
      </c>
      <c r="L103" t="n">
        <v>1</v>
      </c>
      <c r="M103" t="n">
        <v>0</v>
      </c>
      <c r="N103" t="n">
        <v>0</v>
      </c>
      <c r="O103" t="n">
        <v>0</v>
      </c>
      <c r="P103" t="n">
        <v>0</v>
      </c>
      <c r="Q103" t="n">
        <v>1</v>
      </c>
      <c r="R103" t="n">
        <v>0</v>
      </c>
      <c r="S103" t="n">
        <v>1</v>
      </c>
      <c r="T103" t="n">
        <v>1</v>
      </c>
      <c r="U103" t="n">
        <v>0</v>
      </c>
      <c r="V103" s="2" t="inlineStr">
        <is>
          <t>Blå taggsvamp</t>
        </is>
      </c>
      <c r="W103">
        <f>HYPERLINK("https://klasma.github.io/Logging_2510/artfynd/A 37621-2026 artfynd.xlsx", "A 37621-2026")</f>
        <v/>
      </c>
      <c r="X103">
        <f>HYPERLINK("https://klasma.github.io/Logging_2510/kartor/A 37621-2026 karta.png", "A 37621-2026")</f>
        <v/>
      </c>
      <c r="Y103">
        <f>HYPERLINK("https://klasma.github.io/Logging_2510/kartor_geotiff/A 37621-2026 georefererad karta.tif", "A 37621-2026")</f>
        <v/>
      </c>
      <c r="AA103">
        <f>HYPERLINK("https://klasma.github.io/Logging_2510/klagomål/A 37621-2026 FSC-klagomål.docx", "A 37621-2026")</f>
        <v/>
      </c>
      <c r="AB103">
        <f>HYPERLINK("https://klasma.github.io/Logging_2510/klagomålsmail/A 37621-2026 FSC-klagomål mail.docx", "A 37621-2026")</f>
        <v/>
      </c>
      <c r="AC103">
        <f>HYPERLINK("https://klasma.github.io/Logging_2510/tillsyn/A 37621-2026 tillsynsbegäran.docx", "A 37621-2026")</f>
        <v/>
      </c>
      <c r="AD103">
        <f>HYPERLINK("https://klasma.github.io/Logging_2510/tillsynsmail/A 37621-2026 tillsynsbegäran mail.docx", "A 37621-2026")</f>
        <v/>
      </c>
    </row>
    <row r="104" ht="15" customHeight="1">
      <c r="A104" t="inlineStr">
        <is>
          <t>A 32650-2026</t>
        </is>
      </c>
      <c r="B104" t="inlineStr">
        <is>
          <t>avverkningsanmälan</t>
        </is>
      </c>
      <c r="C104" t="inlineStr">
        <is>
          <t>Föryngringsavverkning</t>
        </is>
      </c>
      <c r="D104" s="1" t="n">
        <v>46240</v>
      </c>
      <c r="E104" s="1" t="n">
        <v>46291</v>
      </c>
      <c r="F104" t="inlineStr">
        <is>
          <t>NORRBOTTENS LÄN</t>
        </is>
      </c>
      <c r="G104" t="inlineStr">
        <is>
          <t>JOKKMOKK</t>
        </is>
      </c>
      <c r="H104" t="inlineStr">
        <is>
          <t>Sveaskog</t>
        </is>
      </c>
      <c r="I104" t="n">
        <v>12.9</v>
      </c>
      <c r="J104" t="n">
        <v>0</v>
      </c>
      <c r="K104" t="n">
        <v>0</v>
      </c>
      <c r="L104" t="n">
        <v>1</v>
      </c>
      <c r="M104" t="n">
        <v>0</v>
      </c>
      <c r="N104" t="n">
        <v>0</v>
      </c>
      <c r="O104" t="n">
        <v>0</v>
      </c>
      <c r="P104" t="n">
        <v>0</v>
      </c>
      <c r="Q104" t="n">
        <v>1</v>
      </c>
      <c r="R104" t="n">
        <v>0</v>
      </c>
      <c r="S104" t="n">
        <v>1</v>
      </c>
      <c r="T104" t="n">
        <v>1</v>
      </c>
      <c r="U104" t="n">
        <v>1</v>
      </c>
      <c r="V104" s="2" t="inlineStr">
        <is>
          <t>Orange taggsvamp</t>
        </is>
      </c>
      <c r="W104">
        <f>HYPERLINK("https://klasma.github.io/Logging_2510/artfynd/A 32650-2026 artfynd.xlsx", "A 32650-2026")</f>
        <v/>
      </c>
      <c r="X104">
        <f>HYPERLINK("https://klasma.github.io/Logging_2510/kartor/A 32650-2026 karta.png", "A 32650-2026")</f>
        <v/>
      </c>
      <c r="Y104">
        <f>HYPERLINK("https://klasma.github.io/Logging_2510/kartor_geotiff/A 32650-2026 georefererad karta.tif", "A 32650-2026")</f>
        <v/>
      </c>
      <c r="AA104">
        <f>HYPERLINK("https://klasma.github.io/Logging_2510/klagomål/A 32650-2026 FSC-klagomål.docx", "A 32650-2026")</f>
        <v/>
      </c>
      <c r="AB104">
        <f>HYPERLINK("https://klasma.github.io/Logging_2510/klagomålsmail/A 32650-2026 FSC-klagomål mail.docx", "A 32650-2026")</f>
        <v/>
      </c>
      <c r="AC104">
        <f>HYPERLINK("https://klasma.github.io/Logging_2510/tillsyn/A 32650-2026 tillsynsbegäran.docx", "A 32650-2026")</f>
        <v/>
      </c>
      <c r="AD104">
        <f>HYPERLINK("https://klasma.github.io/Logging_2510/tillsynsmail/A 32650-2026 tillsynsbegäran mail.docx", "A 32650-2026")</f>
        <v/>
      </c>
    </row>
    <row r="105" ht="15" customHeight="1">
      <c r="A105" t="inlineStr">
        <is>
          <t>A 44842-2025</t>
        </is>
      </c>
      <c r="B105" t="inlineStr">
        <is>
          <t>avverkningsanmälan</t>
        </is>
      </c>
      <c r="C105" t="inlineStr">
        <is>
          <t>Föryngringsavverkning</t>
        </is>
      </c>
      <c r="D105" s="1" t="n">
        <v>45918</v>
      </c>
      <c r="E105" s="1" t="n">
        <v>46291</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46291</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S 530-2023</t>
        </is>
      </c>
      <c r="B107" t="inlineStr">
        <is>
          <t>samrådsanmälan</t>
        </is>
      </c>
      <c r="C107" t="inlineStr">
        <is>
          <t>Skogsgödsling</t>
        </is>
      </c>
      <c r="D107" s="1" t="n">
        <v>44967</v>
      </c>
      <c r="E107" s="1" t="n">
        <v>46291</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46291</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46291</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46291</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46291</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46291</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46291</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46291</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46291</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46291</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46291</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46291</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46291</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46291</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46291</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46291</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46291</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46291</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46291</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46291</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46291</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46291</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46291</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26131-2023</t>
        </is>
      </c>
      <c r="B130" t="inlineStr">
        <is>
          <t>avverkningsanmälan</t>
        </is>
      </c>
      <c r="C130" t="inlineStr">
        <is>
          <t>Föryngringsavverkning</t>
        </is>
      </c>
      <c r="D130" s="1" t="n">
        <v>45086</v>
      </c>
      <c r="E130" s="1" t="n">
        <v>46291</v>
      </c>
      <c r="F130" t="inlineStr">
        <is>
          <t>NORRBOTTENS LÄN</t>
        </is>
      </c>
      <c r="G130" t="inlineStr">
        <is>
          <t>JOKKMOKK</t>
        </is>
      </c>
      <c r="I130" t="n">
        <v>35.6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50716-2022</t>
        </is>
      </c>
      <c r="B131" t="inlineStr">
        <is>
          <t>avverkningsanmälan</t>
        </is>
      </c>
      <c r="C131" t="inlineStr">
        <is>
          <t>Föryngringsavverkning</t>
        </is>
      </c>
      <c r="D131" s="1" t="n">
        <v>44862</v>
      </c>
      <c r="E131" s="1" t="n">
        <v>46291</v>
      </c>
      <c r="F131" t="inlineStr">
        <is>
          <t>NORRBOTTENS LÄN</t>
        </is>
      </c>
      <c r="G131" t="inlineStr">
        <is>
          <t>JOKKMOKK</t>
        </is>
      </c>
      <c r="I131" t="n">
        <v>30.2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45510-2022</t>
        </is>
      </c>
      <c r="B132" t="inlineStr">
        <is>
          <t>avverkningsanmälan</t>
        </is>
      </c>
      <c r="C132" t="inlineStr">
        <is>
          <t>Föryngringsavverkning</t>
        </is>
      </c>
      <c r="D132" s="1" t="n">
        <v>44841</v>
      </c>
      <c r="E132" s="1" t="n">
        <v>46291</v>
      </c>
      <c r="F132" t="inlineStr">
        <is>
          <t>NORRBOTTENS LÄN</t>
        </is>
      </c>
      <c r="G132" t="inlineStr">
        <is>
          <t>JOKKMOKK</t>
        </is>
      </c>
      <c r="H132" t="inlineStr">
        <is>
          <t>Övriga Aktiebolag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53100-2022</t>
        </is>
      </c>
      <c r="B133" t="inlineStr">
        <is>
          <t>avverkningsanmälan</t>
        </is>
      </c>
      <c r="C133" t="inlineStr">
        <is>
          <t>Föryngringsavverkning</t>
        </is>
      </c>
      <c r="D133" s="1" t="n">
        <v>44873</v>
      </c>
      <c r="E133" s="1" t="n">
        <v>46291</v>
      </c>
      <c r="F133" t="inlineStr">
        <is>
          <t>NORRBOTTENS LÄN</t>
        </is>
      </c>
      <c r="G133" t="inlineStr">
        <is>
          <t>JOKKMOKK</t>
        </is>
      </c>
      <c r="H133" t="inlineStr">
        <is>
          <t>Övriga statliga verk och myndigheter</t>
        </is>
      </c>
      <c r="I133" t="n">
        <v>37.1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31208-2023</t>
        </is>
      </c>
      <c r="B134" t="inlineStr">
        <is>
          <t>avverkningsanmälan</t>
        </is>
      </c>
      <c r="C134" t="inlineStr">
        <is>
          <t>Föryngringsavverkning</t>
        </is>
      </c>
      <c r="D134" s="1" t="n">
        <v>45113</v>
      </c>
      <c r="E134" s="1" t="n">
        <v>46291</v>
      </c>
      <c r="F134" t="inlineStr">
        <is>
          <t>NORRBOTTENS LÄN</t>
        </is>
      </c>
      <c r="G134" t="inlineStr">
        <is>
          <t>JOKKMOKK</t>
        </is>
      </c>
      <c r="H134" t="inlineStr">
        <is>
          <t>SCA</t>
        </is>
      </c>
      <c r="I134" t="n">
        <v>10.3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50568-2022</t>
        </is>
      </c>
      <c r="B135" t="inlineStr">
        <is>
          <t>avverkningsanmälan</t>
        </is>
      </c>
      <c r="C135" t="inlineStr">
        <is>
          <t>Föryngringsavverkning</t>
        </is>
      </c>
      <c r="D135" s="1" t="n">
        <v>44866</v>
      </c>
      <c r="E135" s="1" t="n">
        <v>46291</v>
      </c>
      <c r="F135" t="inlineStr">
        <is>
          <t>NORRBOTTENS LÄN</t>
        </is>
      </c>
      <c r="G135" t="inlineStr">
        <is>
          <t>JOKKMOKK</t>
        </is>
      </c>
      <c r="H135" t="inlineStr">
        <is>
          <t>Sveaskog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29625-2023</t>
        </is>
      </c>
      <c r="B136" t="inlineStr">
        <is>
          <t>avverkningsanmälan</t>
        </is>
      </c>
      <c r="C136" t="inlineStr">
        <is>
          <t>Föryngringsavverkning</t>
        </is>
      </c>
      <c r="D136" s="1" t="n">
        <v>45106</v>
      </c>
      <c r="E136" s="1" t="n">
        <v>46291</v>
      </c>
      <c r="F136" t="inlineStr">
        <is>
          <t>NORRBOTTENS LÄN</t>
        </is>
      </c>
      <c r="G136" t="inlineStr">
        <is>
          <t>JOKKMOKK</t>
        </is>
      </c>
      <c r="H136" t="inlineStr">
        <is>
          <t>SCA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51304-2022</t>
        </is>
      </c>
      <c r="B137" t="inlineStr">
        <is>
          <t>avverkningsanmälan</t>
        </is>
      </c>
      <c r="C137" t="inlineStr">
        <is>
          <t>Avverkning för annat ändamål</t>
        </is>
      </c>
      <c r="D137" s="1" t="n">
        <v>44868</v>
      </c>
      <c r="E137" s="1" t="n">
        <v>46291</v>
      </c>
      <c r="F137" t="inlineStr">
        <is>
          <t>NORRBOTTENS LÄN</t>
        </is>
      </c>
      <c r="G137" t="inlineStr">
        <is>
          <t>JOKKMOKK</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27657-2024</t>
        </is>
      </c>
      <c r="B138" t="inlineStr">
        <is>
          <t>avverkningsanmälan</t>
        </is>
      </c>
      <c r="C138" t="inlineStr">
        <is>
          <t>Avverkning för att bevara och utveckla /försöksver</t>
        </is>
      </c>
      <c r="D138" s="1" t="n">
        <v>45474</v>
      </c>
      <c r="E138" s="1" t="n">
        <v>46291</v>
      </c>
      <c r="F138" t="inlineStr">
        <is>
          <t>NORRBOTTENS LÄN</t>
        </is>
      </c>
      <c r="G138" t="inlineStr">
        <is>
          <t>JOKKMOKK</t>
        </is>
      </c>
      <c r="H138" t="inlineStr">
        <is>
          <t>SCA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27658-2024</t>
        </is>
      </c>
      <c r="B139" t="inlineStr">
        <is>
          <t>avverkningsanmälan</t>
        </is>
      </c>
      <c r="C139" t="inlineStr">
        <is>
          <t>Avverkning för att bevara och utveckla /försöksver</t>
        </is>
      </c>
      <c r="D139" s="1" t="n">
        <v>45474</v>
      </c>
      <c r="E139" s="1" t="n">
        <v>46291</v>
      </c>
      <c r="F139" t="inlineStr">
        <is>
          <t>NORRBOTTENS LÄN</t>
        </is>
      </c>
      <c r="G139" t="inlineStr">
        <is>
          <t>JOKKMOKK</t>
        </is>
      </c>
      <c r="H139" t="inlineStr">
        <is>
          <t>SCA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27653-2024</t>
        </is>
      </c>
      <c r="B140" t="inlineStr">
        <is>
          <t>avverkningsanmälan</t>
        </is>
      </c>
      <c r="C140" t="inlineStr">
        <is>
          <t>Föryngringsavverkning</t>
        </is>
      </c>
      <c r="D140" s="1" t="n">
        <v>45474</v>
      </c>
      <c r="E140" s="1" t="n">
        <v>46291</v>
      </c>
      <c r="F140" t="inlineStr">
        <is>
          <t>NORRBOTTENS LÄN</t>
        </is>
      </c>
      <c r="G140" t="inlineStr">
        <is>
          <t>JOKKMOKK</t>
        </is>
      </c>
      <c r="H140" t="inlineStr">
        <is>
          <t>SCA</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27654-2024</t>
        </is>
      </c>
      <c r="B141" t="inlineStr">
        <is>
          <t>avverkningsanmälan</t>
        </is>
      </c>
      <c r="C141" t="inlineStr">
        <is>
          <t>Föryngringsavverkning</t>
        </is>
      </c>
      <c r="D141" s="1" t="n">
        <v>45474</v>
      </c>
      <c r="E141" s="1" t="n">
        <v>46291</v>
      </c>
      <c r="F141" t="inlineStr">
        <is>
          <t>NORRBOTTENS LÄN</t>
        </is>
      </c>
      <c r="G141" t="inlineStr">
        <is>
          <t>JOKKMOKK</t>
        </is>
      </c>
      <c r="H141" t="inlineStr">
        <is>
          <t>SCA</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27656-2024</t>
        </is>
      </c>
      <c r="B142" t="inlineStr">
        <is>
          <t>avverkningsanmälan</t>
        </is>
      </c>
      <c r="C142" t="inlineStr">
        <is>
          <t>Föryngringsavverkning</t>
        </is>
      </c>
      <c r="D142" s="1" t="n">
        <v>45474</v>
      </c>
      <c r="E142" s="1" t="n">
        <v>46291</v>
      </c>
      <c r="F142" t="inlineStr">
        <is>
          <t>NORRBOTTENS LÄN</t>
        </is>
      </c>
      <c r="G142" t="inlineStr">
        <is>
          <t>JOKKMOKK</t>
        </is>
      </c>
      <c r="H142" t="inlineStr">
        <is>
          <t>SCA</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26969-2024</t>
        </is>
      </c>
      <c r="B143" t="inlineStr">
        <is>
          <t>avverkningsanmälan</t>
        </is>
      </c>
      <c r="C143" t="inlineStr">
        <is>
          <t>Föryngringsavverkning</t>
        </is>
      </c>
      <c r="D143" s="1" t="n">
        <v>45471</v>
      </c>
      <c r="E143" s="1" t="n">
        <v>46291</v>
      </c>
      <c r="F143" t="inlineStr">
        <is>
          <t>NORRBOTTENS LÄN</t>
        </is>
      </c>
      <c r="G143" t="inlineStr">
        <is>
          <t>JOKKMOKK</t>
        </is>
      </c>
      <c r="H143" t="inlineStr">
        <is>
          <t>Sveaskog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25715-2024</t>
        </is>
      </c>
      <c r="B144" t="inlineStr">
        <is>
          <t>avverkningsanmälan</t>
        </is>
      </c>
      <c r="C144" t="inlineStr">
        <is>
          <t>Föryngringsavverkning</t>
        </is>
      </c>
      <c r="D144" s="1" t="n">
        <v>45463</v>
      </c>
      <c r="E144" s="1" t="n">
        <v>46291</v>
      </c>
      <c r="F144" t="inlineStr">
        <is>
          <t>NORRBOTTENS LÄN</t>
        </is>
      </c>
      <c r="G144" t="inlineStr">
        <is>
          <t>JOKKMOKK</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43997-2024</t>
        </is>
      </c>
      <c r="B145" t="inlineStr">
        <is>
          <t>avverkningsanmälan</t>
        </is>
      </c>
      <c r="C145" t="inlineStr">
        <is>
          <t>Föryngringsavverkning</t>
        </is>
      </c>
      <c r="D145" s="1" t="n">
        <v>45572</v>
      </c>
      <c r="E145" s="1" t="n">
        <v>46291</v>
      </c>
      <c r="F145" t="inlineStr">
        <is>
          <t>NORRBOTTENS LÄN</t>
        </is>
      </c>
      <c r="G145" t="inlineStr">
        <is>
          <t>JOKKMOKK</t>
        </is>
      </c>
      <c r="H145" t="inlineStr">
        <is>
          <t>Sveaskog</t>
        </is>
      </c>
      <c r="I145" t="n">
        <v>17.4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64016-2025</t>
        </is>
      </c>
      <c r="B146" t="inlineStr">
        <is>
          <t>avverkningsanmälan</t>
        </is>
      </c>
      <c r="C146" t="inlineStr">
        <is>
          <t>Föryngringsavverkning</t>
        </is>
      </c>
      <c r="D146" s="1" t="n">
        <v>46021</v>
      </c>
      <c r="E146" s="1" t="n">
        <v>46291</v>
      </c>
      <c r="F146" t="inlineStr">
        <is>
          <t>NORRBOTTENS LÄN</t>
        </is>
      </c>
      <c r="G146" t="inlineStr">
        <is>
          <t>JOKKMOKK</t>
        </is>
      </c>
      <c r="I146" t="n">
        <v>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63181-2025</t>
        </is>
      </c>
      <c r="B147" t="inlineStr">
        <is>
          <t>avverkningsanmälan</t>
        </is>
      </c>
      <c r="C147" t="inlineStr">
        <is>
          <t>Föryngringsavverkning</t>
        </is>
      </c>
      <c r="D147" s="1" t="n">
        <v>46010</v>
      </c>
      <c r="E147" s="1" t="n">
        <v>46291</v>
      </c>
      <c r="F147" t="inlineStr">
        <is>
          <t>NORRBOTTENS LÄN</t>
        </is>
      </c>
      <c r="G147" t="inlineStr">
        <is>
          <t>JOKKMOKK</t>
        </is>
      </c>
      <c r="I147" t="n">
        <v>42.7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63142-2025</t>
        </is>
      </c>
      <c r="B148" t="inlineStr">
        <is>
          <t>avverkningsanmälan</t>
        </is>
      </c>
      <c r="C148" t="inlineStr">
        <is>
          <t>Föryngringsavverkning</t>
        </is>
      </c>
      <c r="D148" s="1" t="n">
        <v>46010</v>
      </c>
      <c r="E148" s="1" t="n">
        <v>46291</v>
      </c>
      <c r="F148" t="inlineStr">
        <is>
          <t>NORRBOTTENS LÄN</t>
        </is>
      </c>
      <c r="G148" t="inlineStr">
        <is>
          <t>JOKKMOKK</t>
        </is>
      </c>
      <c r="H148" t="inlineStr">
        <is>
          <t>SCA</t>
        </is>
      </c>
      <c r="I148" t="n">
        <v>9.199999999999999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63024-2025</t>
        </is>
      </c>
      <c r="B149" t="inlineStr">
        <is>
          <t>avverkningsanmälan</t>
        </is>
      </c>
      <c r="C149" t="inlineStr">
        <is>
          <t>Föryngringsavverkning</t>
        </is>
      </c>
      <c r="D149" s="1" t="n">
        <v>46009</v>
      </c>
      <c r="E149" s="1" t="n">
        <v>46291</v>
      </c>
      <c r="F149" t="inlineStr">
        <is>
          <t>NORRBOTTENS LÄN</t>
        </is>
      </c>
      <c r="G149" t="inlineStr">
        <is>
          <t>JOKKMOKK</t>
        </is>
      </c>
      <c r="I149" t="n">
        <v>8.800000000000001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6777-2023</t>
        </is>
      </c>
      <c r="B150" t="inlineStr">
        <is>
          <t>avverkningsanmälan</t>
        </is>
      </c>
      <c r="C150" t="inlineStr">
        <is>
          <t>Föryngringsavverkning</t>
        </is>
      </c>
      <c r="D150" s="1" t="n">
        <v>44966</v>
      </c>
      <c r="E150" s="1" t="n">
        <v>46291</v>
      </c>
      <c r="F150" t="inlineStr">
        <is>
          <t>NORRBOTTENS LÄN</t>
        </is>
      </c>
      <c r="G150" t="inlineStr">
        <is>
          <t>JOKKMOKK</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38579-2025</t>
        </is>
      </c>
      <c r="B151" t="inlineStr">
        <is>
          <t>avverkningsanmälan</t>
        </is>
      </c>
      <c r="C151" t="inlineStr">
        <is>
          <t>Föryngringsavverkning</t>
        </is>
      </c>
      <c r="D151" s="1" t="n">
        <v>45884</v>
      </c>
      <c r="E151" s="1" t="n">
        <v>46291</v>
      </c>
      <c r="F151" t="inlineStr">
        <is>
          <t>NORRBOTTENS LÄN</t>
        </is>
      </c>
      <c r="G151" t="inlineStr">
        <is>
          <t>JOKKMOKK</t>
        </is>
      </c>
      <c r="H151" t="inlineStr">
        <is>
          <t>SCA</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848-2026</t>
        </is>
      </c>
      <c r="B152" t="inlineStr">
        <is>
          <t>avverkningsanmälan</t>
        </is>
      </c>
      <c r="C152" t="inlineStr">
        <is>
          <t>Föryngringsavverkning</t>
        </is>
      </c>
      <c r="D152" s="1" t="n">
        <v>46030</v>
      </c>
      <c r="E152" s="1" t="n">
        <v>46291</v>
      </c>
      <c r="F152" t="inlineStr">
        <is>
          <t>NORRBOTTENS LÄN</t>
        </is>
      </c>
      <c r="G152" t="inlineStr">
        <is>
          <t>JOKKMOKK</t>
        </is>
      </c>
      <c r="H152" t="inlineStr">
        <is>
          <t>SCA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31535-2024</t>
        </is>
      </c>
      <c r="B153" t="inlineStr">
        <is>
          <t>avverkningsanmälan</t>
        </is>
      </c>
      <c r="C153" t="inlineStr">
        <is>
          <t>Föryngringsavverkning</t>
        </is>
      </c>
      <c r="D153" s="1" t="n">
        <v>45505</v>
      </c>
      <c r="E153" s="1" t="n">
        <v>46291</v>
      </c>
      <c r="F153" t="inlineStr">
        <is>
          <t>NORRBOTTENS LÄN</t>
        </is>
      </c>
      <c r="G153" t="inlineStr">
        <is>
          <t>JOKKMOKK</t>
        </is>
      </c>
      <c r="H153" t="inlineStr">
        <is>
          <t>SCA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60308-2025</t>
        </is>
      </c>
      <c r="B154" t="inlineStr">
        <is>
          <t>avverkningsanmälan</t>
        </is>
      </c>
      <c r="C154" t="inlineStr">
        <is>
          <t>Föryngringsavverkning</t>
        </is>
      </c>
      <c r="D154" s="1" t="n">
        <v>45994</v>
      </c>
      <c r="E154" s="1" t="n">
        <v>46291</v>
      </c>
      <c r="F154" t="inlineStr">
        <is>
          <t>NORRBOTTENS LÄN</t>
        </is>
      </c>
      <c r="G154" t="inlineStr">
        <is>
          <t>JOKKMOKK</t>
        </is>
      </c>
      <c r="H154" t="inlineStr">
        <is>
          <t>Allmännings- och besparingsskogar</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38223-2025</t>
        </is>
      </c>
      <c r="B155" t="inlineStr">
        <is>
          <t>avverkningsanmälan</t>
        </is>
      </c>
      <c r="C155" t="inlineStr">
        <is>
          <t>Föryngringsavverkning</t>
        </is>
      </c>
      <c r="D155" s="1" t="n">
        <v>45883</v>
      </c>
      <c r="E155" s="1" t="n">
        <v>46291</v>
      </c>
      <c r="F155" t="inlineStr">
        <is>
          <t>NORRBOTTENS LÄN</t>
        </is>
      </c>
      <c r="G155" t="inlineStr">
        <is>
          <t>JOKKMOKK</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59666-2025</t>
        </is>
      </c>
      <c r="B156" t="inlineStr">
        <is>
          <t>avverkningsanmälan</t>
        </is>
      </c>
      <c r="C156" t="inlineStr">
        <is>
          <t>Föryngringsavverkning</t>
        </is>
      </c>
      <c r="D156" s="1" t="n">
        <v>45992</v>
      </c>
      <c r="E156" s="1" t="n">
        <v>46291</v>
      </c>
      <c r="F156" t="inlineStr">
        <is>
          <t>NORRBOTTENS LÄN</t>
        </is>
      </c>
      <c r="G156" t="inlineStr">
        <is>
          <t>JOKKMOKK</t>
        </is>
      </c>
      <c r="H156" t="inlineStr">
        <is>
          <t>Allmännings- och besparingsskogar</t>
        </is>
      </c>
      <c r="I156" t="n">
        <v>12.2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59984-2025</t>
        </is>
      </c>
      <c r="B157" t="inlineStr">
        <is>
          <t>avverkningsanmälan</t>
        </is>
      </c>
      <c r="C157" t="inlineStr">
        <is>
          <t>Föryngringsavverkning</t>
        </is>
      </c>
      <c r="D157" s="1" t="n">
        <v>45993</v>
      </c>
      <c r="E157" s="1" t="n">
        <v>46291</v>
      </c>
      <c r="F157" t="inlineStr">
        <is>
          <t>NORRBOTTENS LÄN</t>
        </is>
      </c>
      <c r="G157" t="inlineStr">
        <is>
          <t>JOKKMOKK</t>
        </is>
      </c>
      <c r="H157" t="inlineStr">
        <is>
          <t>Allmännings- och besparingsskogar</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56412-2021</t>
        </is>
      </c>
      <c r="B158" t="inlineStr">
        <is>
          <t>avverkningsanmälan</t>
        </is>
      </c>
      <c r="C158" t="inlineStr">
        <is>
          <t>Föryngringsavverkning</t>
        </is>
      </c>
      <c r="D158" s="1" t="n">
        <v>44477</v>
      </c>
      <c r="E158" s="1" t="n">
        <v>46291</v>
      </c>
      <c r="F158" t="inlineStr">
        <is>
          <t>NORRBOTTENS LÄN</t>
        </is>
      </c>
      <c r="G158" t="inlineStr">
        <is>
          <t>JOKKMOKK</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45512-2022</t>
        </is>
      </c>
      <c r="B159" t="inlineStr">
        <is>
          <t>avverkningsanmälan</t>
        </is>
      </c>
      <c r="C159" t="inlineStr">
        <is>
          <t>Föryngringsavverkning</t>
        </is>
      </c>
      <c r="D159" s="1" t="n">
        <v>44841</v>
      </c>
      <c r="E159" s="1" t="n">
        <v>46291</v>
      </c>
      <c r="F159" t="inlineStr">
        <is>
          <t>NORRBOTTENS LÄN</t>
        </is>
      </c>
      <c r="G159" t="inlineStr">
        <is>
          <t>JOKKMOKK</t>
        </is>
      </c>
      <c r="H159" t="inlineStr">
        <is>
          <t>Övriga Aktiebolag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9878-2023</t>
        </is>
      </c>
      <c r="B160" t="inlineStr">
        <is>
          <t>avverkningsanmälan</t>
        </is>
      </c>
      <c r="C160" t="inlineStr">
        <is>
          <t>Föryngringsavverkning</t>
        </is>
      </c>
      <c r="D160" s="1" t="n">
        <v>44984</v>
      </c>
      <c r="E160" s="1" t="n">
        <v>46291</v>
      </c>
      <c r="F160" t="inlineStr">
        <is>
          <t>NORRBOTTENS LÄN</t>
        </is>
      </c>
      <c r="G160" t="inlineStr">
        <is>
          <t>JOKKMOKK</t>
        </is>
      </c>
      <c r="H160" t="inlineStr">
        <is>
          <t>SCA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5670-2025</t>
        </is>
      </c>
      <c r="B161" t="inlineStr">
        <is>
          <t>avverkningsanmälan</t>
        </is>
      </c>
      <c r="C161" t="inlineStr">
        <is>
          <t>Föryngringsavverkning</t>
        </is>
      </c>
      <c r="D161" s="1" t="n">
        <v>45693</v>
      </c>
      <c r="E161" s="1" t="n">
        <v>46291</v>
      </c>
      <c r="F161" t="inlineStr">
        <is>
          <t>NORRBOTTENS LÄN</t>
        </is>
      </c>
      <c r="G161" t="inlineStr">
        <is>
          <t>JOKKMOKK</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37827-2024</t>
        </is>
      </c>
      <c r="B162" t="inlineStr">
        <is>
          <t>avverkningsanmälan</t>
        </is>
      </c>
      <c r="C162" t="inlineStr">
        <is>
          <t>Föryngringsavverkning</t>
        </is>
      </c>
      <c r="D162" s="1" t="n">
        <v>45544</v>
      </c>
      <c r="E162" s="1" t="n">
        <v>46291</v>
      </c>
      <c r="F162" t="inlineStr">
        <is>
          <t>NORRBOTTENS LÄN</t>
        </is>
      </c>
      <c r="G162" t="inlineStr">
        <is>
          <t>JOKKMOKK</t>
        </is>
      </c>
      <c r="H162" t="inlineStr">
        <is>
          <t>SCA</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40808-2025</t>
        </is>
      </c>
      <c r="B163" t="inlineStr">
        <is>
          <t>avverkningsanmälan</t>
        </is>
      </c>
      <c r="C163" t="inlineStr">
        <is>
          <t>Föryngringsavverkning</t>
        </is>
      </c>
      <c r="D163" s="1" t="n">
        <v>45897</v>
      </c>
      <c r="E163" s="1" t="n">
        <v>46291</v>
      </c>
      <c r="F163" t="inlineStr">
        <is>
          <t>NORRBOTTENS LÄN</t>
        </is>
      </c>
      <c r="G163" t="inlineStr">
        <is>
          <t>JOKKMOKK</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23023-2023</t>
        </is>
      </c>
      <c r="B164" t="inlineStr">
        <is>
          <t>avverkningsanmälan</t>
        </is>
      </c>
      <c r="C164" t="inlineStr">
        <is>
          <t>Föryngringsavverkning</t>
        </is>
      </c>
      <c r="D164" s="1" t="n">
        <v>45073</v>
      </c>
      <c r="E164" s="1" t="n">
        <v>46291</v>
      </c>
      <c r="F164" t="inlineStr">
        <is>
          <t>NORRBOTTENS LÄN</t>
        </is>
      </c>
      <c r="G164" t="inlineStr">
        <is>
          <t>JOKKMOKK</t>
        </is>
      </c>
      <c r="H164" t="inlineStr">
        <is>
          <t>SCA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41403-2025</t>
        </is>
      </c>
      <c r="B165" t="inlineStr">
        <is>
          <t>avverkningsanmälan</t>
        </is>
      </c>
      <c r="C165" t="inlineStr">
        <is>
          <t>Föryngringsavverkning</t>
        </is>
      </c>
      <c r="D165" s="1" t="n">
        <v>45901</v>
      </c>
      <c r="E165" s="1" t="n">
        <v>46291</v>
      </c>
      <c r="F165" t="inlineStr">
        <is>
          <t>NORRBOTTENS LÄN</t>
        </is>
      </c>
      <c r="G165" t="inlineStr">
        <is>
          <t>JOKKMOKK</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42126-2025</t>
        </is>
      </c>
      <c r="B166" t="inlineStr">
        <is>
          <t>avverkningsanmälan</t>
        </is>
      </c>
      <c r="C166" t="inlineStr">
        <is>
          <t>Föryngringsavverkning</t>
        </is>
      </c>
      <c r="D166" s="1" t="n">
        <v>45904</v>
      </c>
      <c r="E166" s="1" t="n">
        <v>46291</v>
      </c>
      <c r="F166" t="inlineStr">
        <is>
          <t>NORRBOTTENS LÄN</t>
        </is>
      </c>
      <c r="G166" t="inlineStr">
        <is>
          <t>JOKKMOKK</t>
        </is>
      </c>
      <c r="H166" t="inlineStr">
        <is>
          <t>SCA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30399-2024</t>
        </is>
      </c>
      <c r="B167" t="inlineStr">
        <is>
          <t>avverkningsanmälan</t>
        </is>
      </c>
      <c r="C167" t="inlineStr">
        <is>
          <t>Föryngringsavverkning</t>
        </is>
      </c>
      <c r="D167" s="1" t="n">
        <v>45491</v>
      </c>
      <c r="E167" s="1" t="n">
        <v>46291</v>
      </c>
      <c r="F167" t="inlineStr">
        <is>
          <t>NORRBOTTENS LÄN</t>
        </is>
      </c>
      <c r="G167" t="inlineStr">
        <is>
          <t>JOKKMOKK</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38462-2025</t>
        </is>
      </c>
      <c r="B168" t="inlineStr">
        <is>
          <t>avverkningsanmälan</t>
        </is>
      </c>
      <c r="C168" t="inlineStr">
        <is>
          <t>Föryngringsavverkning</t>
        </is>
      </c>
      <c r="D168" s="1" t="n">
        <v>45883</v>
      </c>
      <c r="E168" s="1" t="n">
        <v>46291</v>
      </c>
      <c r="F168" t="inlineStr">
        <is>
          <t>NORRBOTTENS LÄN</t>
        </is>
      </c>
      <c r="G168" t="inlineStr">
        <is>
          <t>JOKKMOKK</t>
        </is>
      </c>
      <c r="H168" t="inlineStr">
        <is>
          <t>SCA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61641-2024</t>
        </is>
      </c>
      <c r="B169" t="inlineStr">
        <is>
          <t>avverkningsanmälan</t>
        </is>
      </c>
      <c r="C169" t="inlineStr">
        <is>
          <t>Föryngringsavverkning</t>
        </is>
      </c>
      <c r="D169" s="1" t="n">
        <v>45646</v>
      </c>
      <c r="E169" s="1" t="n">
        <v>46291</v>
      </c>
      <c r="F169" t="inlineStr">
        <is>
          <t>NORRBOTTENS LÄN</t>
        </is>
      </c>
      <c r="G169" t="inlineStr">
        <is>
          <t>JOKKMOKK</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42664-2025</t>
        </is>
      </c>
      <c r="B170" t="inlineStr">
        <is>
          <t>avverkningsanmälan</t>
        </is>
      </c>
      <c r="C170" t="inlineStr">
        <is>
          <t>Avverkning för annat ändamål</t>
        </is>
      </c>
      <c r="D170" s="1" t="n">
        <v>45907</v>
      </c>
      <c r="E170" s="1" t="n">
        <v>46291</v>
      </c>
      <c r="F170" t="inlineStr">
        <is>
          <t>NORRBOTTENS LÄN</t>
        </is>
      </c>
      <c r="G170" t="inlineStr">
        <is>
          <t>JOKKMOKK</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60418-2023</t>
        </is>
      </c>
      <c r="B171" t="inlineStr">
        <is>
          <t>avverkningsanmälan</t>
        </is>
      </c>
      <c r="C171" t="inlineStr">
        <is>
          <t>Föryngringsavverkning</t>
        </is>
      </c>
      <c r="D171" s="1" t="n">
        <v>45259</v>
      </c>
      <c r="E171" s="1" t="n">
        <v>46291</v>
      </c>
      <c r="F171" t="inlineStr">
        <is>
          <t>NORRBOTTENS LÄN</t>
        </is>
      </c>
      <c r="G171" t="inlineStr">
        <is>
          <t>JOKKMOKK</t>
        </is>
      </c>
      <c r="H171" t="inlineStr">
        <is>
          <t>Allmännings- och besparingsskogar</t>
        </is>
      </c>
      <c r="I171" t="n">
        <v>12.7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44150-2024</t>
        </is>
      </c>
      <c r="B172" t="inlineStr">
        <is>
          <t>avverkningsanmälan</t>
        </is>
      </c>
      <c r="C172" t="inlineStr">
        <is>
          <t>Föryngringsavverkning</t>
        </is>
      </c>
      <c r="D172" s="1" t="n">
        <v>45572</v>
      </c>
      <c r="E172" s="1" t="n">
        <v>46291</v>
      </c>
      <c r="F172" t="inlineStr">
        <is>
          <t>NORRBOTTENS LÄN</t>
        </is>
      </c>
      <c r="G172" t="inlineStr">
        <is>
          <t>JOKKMOKK</t>
        </is>
      </c>
      <c r="H172" t="inlineStr">
        <is>
          <t>Sveaskog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43658-2025</t>
        </is>
      </c>
      <c r="B173" t="inlineStr">
        <is>
          <t>avverkningsanmälan</t>
        </is>
      </c>
      <c r="C173" t="inlineStr">
        <is>
          <t>Föryngringsavverkning</t>
        </is>
      </c>
      <c r="D173" s="1" t="n">
        <v>45912</v>
      </c>
      <c r="E173" s="1" t="n">
        <v>46291</v>
      </c>
      <c r="F173" t="inlineStr">
        <is>
          <t>NORRBOTTENS LÄN</t>
        </is>
      </c>
      <c r="G173" t="inlineStr">
        <is>
          <t>JOKKMOKK</t>
        </is>
      </c>
      <c r="H173" t="inlineStr">
        <is>
          <t>SCA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40658-2024</t>
        </is>
      </c>
      <c r="B174" t="inlineStr">
        <is>
          <t>avverkningsanmälan</t>
        </is>
      </c>
      <c r="C174" t="inlineStr">
        <is>
          <t>Föryngringsavverkning</t>
        </is>
      </c>
      <c r="D174" s="1" t="n">
        <v>45558</v>
      </c>
      <c r="E174" s="1" t="n">
        <v>46291</v>
      </c>
      <c r="F174" t="inlineStr">
        <is>
          <t>NORRBOTTENS LÄN</t>
        </is>
      </c>
      <c r="G174" t="inlineStr">
        <is>
          <t>JOKKMOKK</t>
        </is>
      </c>
      <c r="H174" t="inlineStr">
        <is>
          <t>SCA</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458-2025</t>
        </is>
      </c>
      <c r="B175" t="inlineStr">
        <is>
          <t>avverkningsanmälan</t>
        </is>
      </c>
      <c r="C175" t="inlineStr">
        <is>
          <t>Föryngringsavverkning</t>
        </is>
      </c>
      <c r="D175" s="1" t="n">
        <v>45664</v>
      </c>
      <c r="E175" s="1" t="n">
        <v>46291</v>
      </c>
      <c r="F175" t="inlineStr">
        <is>
          <t>NORRBOTTENS LÄN</t>
        </is>
      </c>
      <c r="G175" t="inlineStr">
        <is>
          <t>JOKKMOKK</t>
        </is>
      </c>
      <c r="H175" t="inlineStr">
        <is>
          <t>Övriga statliga verk och myndigheter</t>
        </is>
      </c>
      <c r="I175" t="n">
        <v>10.3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30401-2024</t>
        </is>
      </c>
      <c r="B176" t="inlineStr">
        <is>
          <t>avverkningsanmälan</t>
        </is>
      </c>
      <c r="C176" t="inlineStr">
        <is>
          <t>Föryngringsavverkning</t>
        </is>
      </c>
      <c r="D176" s="1" t="n">
        <v>45491</v>
      </c>
      <c r="E176" s="1" t="n">
        <v>46291</v>
      </c>
      <c r="F176" t="inlineStr">
        <is>
          <t>NORRBOTTENS LÄN</t>
        </is>
      </c>
      <c r="G176" t="inlineStr">
        <is>
          <t>JOKKMOKK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44958-2025</t>
        </is>
      </c>
      <c r="B177" t="inlineStr">
        <is>
          <t>avverkningsanmälan</t>
        </is>
      </c>
      <c r="C177" t="inlineStr">
        <is>
          <t>Föryngringsavverkning</t>
        </is>
      </c>
      <c r="D177" s="1" t="n">
        <v>45918</v>
      </c>
      <c r="E177" s="1" t="n">
        <v>46291</v>
      </c>
      <c r="F177" t="inlineStr">
        <is>
          <t>NORRBOTTENS LÄN</t>
        </is>
      </c>
      <c r="G177" t="inlineStr">
        <is>
          <t>JOKKMOKK</t>
        </is>
      </c>
      <c r="H177" t="inlineStr">
        <is>
          <t>SCA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44145-2024</t>
        </is>
      </c>
      <c r="B178" t="inlineStr">
        <is>
          <t>avverkningsanmälan</t>
        </is>
      </c>
      <c r="C178" t="inlineStr">
        <is>
          <t>Föryngringsavverkning</t>
        </is>
      </c>
      <c r="D178" s="1" t="n">
        <v>45572</v>
      </c>
      <c r="E178" s="1" t="n">
        <v>46291</v>
      </c>
      <c r="F178" t="inlineStr">
        <is>
          <t>NORRBOTTENS LÄN</t>
        </is>
      </c>
      <c r="G178" t="inlineStr">
        <is>
          <t>JOKKMOKK</t>
        </is>
      </c>
      <c r="H178" t="inlineStr">
        <is>
          <t>Sveaskog</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16847-2023</t>
        </is>
      </c>
      <c r="B179" t="inlineStr">
        <is>
          <t>avverkningsanmälan</t>
        </is>
      </c>
      <c r="C179" t="inlineStr">
        <is>
          <t>Föryngringsavverkning</t>
        </is>
      </c>
      <c r="D179" s="1" t="n">
        <v>45028</v>
      </c>
      <c r="E179" s="1" t="n">
        <v>46291</v>
      </c>
      <c r="F179" t="inlineStr">
        <is>
          <t>NORRBOTTENS LÄN</t>
        </is>
      </c>
      <c r="G179" t="inlineStr">
        <is>
          <t>JOKKMOKK</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49562-2024</t>
        </is>
      </c>
      <c r="B180" t="inlineStr">
        <is>
          <t>avverkningsanmälan</t>
        </is>
      </c>
      <c r="C180" t="inlineStr">
        <is>
          <t>Föryngringsavverkning</t>
        </is>
      </c>
      <c r="D180" s="1" t="n">
        <v>45596</v>
      </c>
      <c r="E180" s="1" t="n">
        <v>46291</v>
      </c>
      <c r="F180" t="inlineStr">
        <is>
          <t>NORRBOTTENS LÄN</t>
        </is>
      </c>
      <c r="G180" t="inlineStr">
        <is>
          <t>JOKKMOKK</t>
        </is>
      </c>
      <c r="H180" t="inlineStr">
        <is>
          <t>Allmännings- och besparingsskogar</t>
        </is>
      </c>
      <c r="I180" t="n">
        <v>8.199999999999999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10590-2026</t>
        </is>
      </c>
      <c r="B181" t="inlineStr">
        <is>
          <t>avverkningsanmälan</t>
        </is>
      </c>
      <c r="C181" t="inlineStr">
        <is>
          <t>Föryngringsavverkning</t>
        </is>
      </c>
      <c r="D181" s="1" t="n">
        <v>46077</v>
      </c>
      <c r="E181" s="1" t="n">
        <v>46291</v>
      </c>
      <c r="F181" t="inlineStr">
        <is>
          <t>NORRBOTTENS LÄN</t>
        </is>
      </c>
      <c r="G181" t="inlineStr">
        <is>
          <t>JOKKMOKK</t>
        </is>
      </c>
      <c r="H181" t="inlineStr">
        <is>
          <t>SCA</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10593-2026</t>
        </is>
      </c>
      <c r="B182" t="inlineStr">
        <is>
          <t>avverkningsanmälan</t>
        </is>
      </c>
      <c r="C182" t="inlineStr">
        <is>
          <t>Föryngringsavverkning</t>
        </is>
      </c>
      <c r="D182" s="1" t="n">
        <v>46077</v>
      </c>
      <c r="E182" s="1" t="n">
        <v>46291</v>
      </c>
      <c r="F182" t="inlineStr">
        <is>
          <t>NORRBOTTENS LÄN</t>
        </is>
      </c>
      <c r="G182" t="inlineStr">
        <is>
          <t>JOKKMOKK</t>
        </is>
      </c>
      <c r="H182" t="inlineStr">
        <is>
          <t>SCA</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10592-2026</t>
        </is>
      </c>
      <c r="B183" t="inlineStr">
        <is>
          <t>avverkningsanmälan</t>
        </is>
      </c>
      <c r="C183" t="inlineStr">
        <is>
          <t>Föryngringsavverkning</t>
        </is>
      </c>
      <c r="D183" s="1" t="n">
        <v>46077</v>
      </c>
      <c r="E183" s="1" t="n">
        <v>46291</v>
      </c>
      <c r="F183" t="inlineStr">
        <is>
          <t>NORRBOTTENS LÄN</t>
        </is>
      </c>
      <c r="G183" t="inlineStr">
        <is>
          <t>JOKKMOKK</t>
        </is>
      </c>
      <c r="H183" t="inlineStr">
        <is>
          <t>SCA</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10591-2026</t>
        </is>
      </c>
      <c r="B184" t="inlineStr">
        <is>
          <t>avverkningsanmälan</t>
        </is>
      </c>
      <c r="C184" t="inlineStr">
        <is>
          <t>Föryngringsavverkning</t>
        </is>
      </c>
      <c r="D184" s="1" t="n">
        <v>46077</v>
      </c>
      <c r="E184" s="1" t="n">
        <v>46291</v>
      </c>
      <c r="F184" t="inlineStr">
        <is>
          <t>NORRBOTTENS LÄN</t>
        </is>
      </c>
      <c r="G184" t="inlineStr">
        <is>
          <t>JOKKMOKK</t>
        </is>
      </c>
      <c r="H184" t="inlineStr">
        <is>
          <t>SCA</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46837-2025</t>
        </is>
      </c>
      <c r="B185" t="inlineStr">
        <is>
          <t>avverkningsanmälan</t>
        </is>
      </c>
      <c r="C185" t="inlineStr">
        <is>
          <t>Föryngringsavverkning</t>
        </is>
      </c>
      <c r="D185" s="1" t="n">
        <v>45928</v>
      </c>
      <c r="E185" s="1" t="n">
        <v>46291</v>
      </c>
      <c r="F185" t="inlineStr">
        <is>
          <t>NORRBOTTENS LÄN</t>
        </is>
      </c>
      <c r="G185" t="inlineStr">
        <is>
          <t>JOKKMOKK</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38928-2025</t>
        </is>
      </c>
      <c r="B186" t="inlineStr">
        <is>
          <t>avverkningsanmälan</t>
        </is>
      </c>
      <c r="C186" t="inlineStr">
        <is>
          <t>Föryngringsavverkning</t>
        </is>
      </c>
      <c r="D186" s="1" t="n">
        <v>45887</v>
      </c>
      <c r="E186" s="1" t="n">
        <v>46291</v>
      </c>
      <c r="F186" t="inlineStr">
        <is>
          <t>NORRBOTTENS LÄN</t>
        </is>
      </c>
      <c r="G186" t="inlineStr">
        <is>
          <t>JOKKMOKK</t>
        </is>
      </c>
      <c r="H186" t="inlineStr">
        <is>
          <t>SCA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9859-2023</t>
        </is>
      </c>
      <c r="B187" t="inlineStr">
        <is>
          <t>avverkningsanmälan</t>
        </is>
      </c>
      <c r="C187" t="inlineStr">
        <is>
          <t>Föryngringsavverkning</t>
        </is>
      </c>
      <c r="D187" s="1" t="n">
        <v>44984</v>
      </c>
      <c r="E187" s="1" t="n">
        <v>46291</v>
      </c>
      <c r="F187" t="inlineStr">
        <is>
          <t>NORRBOTTENS LÄN</t>
        </is>
      </c>
      <c r="G187" t="inlineStr">
        <is>
          <t>JOKKMOKK</t>
        </is>
      </c>
      <c r="H187" t="inlineStr">
        <is>
          <t>SCA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9864-2023</t>
        </is>
      </c>
      <c r="B188" t="inlineStr">
        <is>
          <t>avverkningsanmälan</t>
        </is>
      </c>
      <c r="C188" t="inlineStr">
        <is>
          <t>Föryngringsavverkning</t>
        </is>
      </c>
      <c r="D188" s="1" t="n">
        <v>44984</v>
      </c>
      <c r="E188" s="1" t="n">
        <v>46291</v>
      </c>
      <c r="F188" t="inlineStr">
        <is>
          <t>NORRBOTTENS LÄN</t>
        </is>
      </c>
      <c r="G188" t="inlineStr">
        <is>
          <t>JOKKMOKK</t>
        </is>
      </c>
      <c r="H188" t="inlineStr">
        <is>
          <t>SCA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37828-2024</t>
        </is>
      </c>
      <c r="B189" t="inlineStr">
        <is>
          <t>avverkningsanmälan</t>
        </is>
      </c>
      <c r="C189" t="inlineStr">
        <is>
          <t>Föryngringsavverkning</t>
        </is>
      </c>
      <c r="D189" s="1" t="n">
        <v>45544</v>
      </c>
      <c r="E189" s="1" t="n">
        <v>46291</v>
      </c>
      <c r="F189" t="inlineStr">
        <is>
          <t>NORRBOTTENS LÄN</t>
        </is>
      </c>
      <c r="G189" t="inlineStr">
        <is>
          <t>JOKKMOKK</t>
        </is>
      </c>
      <c r="H189" t="inlineStr">
        <is>
          <t>SCA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35675-2024</t>
        </is>
      </c>
      <c r="B190" t="inlineStr">
        <is>
          <t>avverkningsanmälan</t>
        </is>
      </c>
      <c r="C190" t="inlineStr">
        <is>
          <t>Föryngringsavverkning</t>
        </is>
      </c>
      <c r="D190" s="1" t="n">
        <v>45532</v>
      </c>
      <c r="E190" s="1" t="n">
        <v>46291</v>
      </c>
      <c r="F190" t="inlineStr">
        <is>
          <t>NORRBOTTENS LÄN</t>
        </is>
      </c>
      <c r="G190" t="inlineStr">
        <is>
          <t>JOKKMOKK</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9874-2023</t>
        </is>
      </c>
      <c r="B191" t="inlineStr">
        <is>
          <t>avverkningsanmälan</t>
        </is>
      </c>
      <c r="C191" t="inlineStr">
        <is>
          <t>Föryngringsavverkning</t>
        </is>
      </c>
      <c r="D191" s="1" t="n">
        <v>44984</v>
      </c>
      <c r="E191" s="1" t="n">
        <v>46291</v>
      </c>
      <c r="F191" t="inlineStr">
        <is>
          <t>NORRBOTTENS LÄN</t>
        </is>
      </c>
      <c r="G191" t="inlineStr">
        <is>
          <t>JOKKMOKK</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9875-2023</t>
        </is>
      </c>
      <c r="B192" t="inlineStr">
        <is>
          <t>avverkningsanmälan</t>
        </is>
      </c>
      <c r="C192" t="inlineStr">
        <is>
          <t>Föryngringsavverkning</t>
        </is>
      </c>
      <c r="D192" s="1" t="n">
        <v>44984</v>
      </c>
      <c r="E192" s="1" t="n">
        <v>46291</v>
      </c>
      <c r="F192" t="inlineStr">
        <is>
          <t>NORRBOTTENS LÄN</t>
        </is>
      </c>
      <c r="G192" t="inlineStr">
        <is>
          <t>JOKKMOKK</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34639-2024</t>
        </is>
      </c>
      <c r="B193" t="inlineStr">
        <is>
          <t>avverkningsanmälan</t>
        </is>
      </c>
      <c r="C193" t="inlineStr">
        <is>
          <t>Föryngringsavverkning</t>
        </is>
      </c>
      <c r="D193" s="1" t="n">
        <v>45526</v>
      </c>
      <c r="E193" s="1" t="n">
        <v>46291</v>
      </c>
      <c r="F193" t="inlineStr">
        <is>
          <t>NORRBOTTENS LÄN</t>
        </is>
      </c>
      <c r="G193" t="inlineStr">
        <is>
          <t>JOKKMOKK</t>
        </is>
      </c>
      <c r="I193" t="n">
        <v>7.7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47157-2024</t>
        </is>
      </c>
      <c r="B194" t="inlineStr">
        <is>
          <t>avverkningsanmälan</t>
        </is>
      </c>
      <c r="C194" t="inlineStr">
        <is>
          <t>Föryngringsavverkning</t>
        </is>
      </c>
      <c r="D194" s="1" t="n">
        <v>45586</v>
      </c>
      <c r="E194" s="1" t="n">
        <v>46291</v>
      </c>
      <c r="F194" t="inlineStr">
        <is>
          <t>NORRBOTTENS LÄN</t>
        </is>
      </c>
      <c r="G194" t="inlineStr">
        <is>
          <t>JOKKMOKK</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12862-2026</t>
        </is>
      </c>
      <c r="B195" t="inlineStr">
        <is>
          <t>avverkningsanmälan</t>
        </is>
      </c>
      <c r="C195" t="inlineStr">
        <is>
          <t>Föryngringsavverkning</t>
        </is>
      </c>
      <c r="D195" s="1" t="n">
        <v>46092</v>
      </c>
      <c r="E195" s="1" t="n">
        <v>46291</v>
      </c>
      <c r="F195" t="inlineStr">
        <is>
          <t>NORRBOTTENS LÄN</t>
        </is>
      </c>
      <c r="G195" t="inlineStr">
        <is>
          <t>JOKKMOKK</t>
        </is>
      </c>
      <c r="H195" t="inlineStr">
        <is>
          <t>SCA</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12863-2026</t>
        </is>
      </c>
      <c r="B196" t="inlineStr">
        <is>
          <t>avverkningsanmälan</t>
        </is>
      </c>
      <c r="C196" t="inlineStr">
        <is>
          <t>Föryngringsavverkning</t>
        </is>
      </c>
      <c r="D196" s="1" t="n">
        <v>46092</v>
      </c>
      <c r="E196" s="1" t="n">
        <v>46291</v>
      </c>
      <c r="F196" t="inlineStr">
        <is>
          <t>NORRBOTTENS LÄN</t>
        </is>
      </c>
      <c r="G196" t="inlineStr">
        <is>
          <t>JOKKMOKK</t>
        </is>
      </c>
      <c r="H196" t="inlineStr">
        <is>
          <t>SCA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12867-2026</t>
        </is>
      </c>
      <c r="B197" t="inlineStr">
        <is>
          <t>avverkningsanmälan</t>
        </is>
      </c>
      <c r="C197" t="inlineStr">
        <is>
          <t>Föryngringsavverkning</t>
        </is>
      </c>
      <c r="D197" s="1" t="n">
        <v>46092</v>
      </c>
      <c r="E197" s="1" t="n">
        <v>46291</v>
      </c>
      <c r="F197" t="inlineStr">
        <is>
          <t>NORRBOTTENS LÄN</t>
        </is>
      </c>
      <c r="G197" t="inlineStr">
        <is>
          <t>JOKKMOKK</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12861-2026</t>
        </is>
      </c>
      <c r="B198" t="inlineStr">
        <is>
          <t>avverkningsanmälan</t>
        </is>
      </c>
      <c r="C198" t="inlineStr">
        <is>
          <t>Föryngringsavverkning</t>
        </is>
      </c>
      <c r="D198" s="1" t="n">
        <v>46092</v>
      </c>
      <c r="E198" s="1" t="n">
        <v>46291</v>
      </c>
      <c r="F198" t="inlineStr">
        <is>
          <t>NORRBOTTENS LÄN</t>
        </is>
      </c>
      <c r="G198" t="inlineStr">
        <is>
          <t>JOKKMOKK</t>
        </is>
      </c>
      <c r="H198" t="inlineStr">
        <is>
          <t>SCA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49856-2025</t>
        </is>
      </c>
      <c r="B199" t="inlineStr">
        <is>
          <t>avverkningsanmälan</t>
        </is>
      </c>
      <c r="C199" t="inlineStr">
        <is>
          <t>Föryngringsavverkning</t>
        </is>
      </c>
      <c r="D199" s="1" t="n">
        <v>45940</v>
      </c>
      <c r="E199" s="1" t="n">
        <v>46291</v>
      </c>
      <c r="F199" t="inlineStr">
        <is>
          <t>NORRBOTTENS LÄN</t>
        </is>
      </c>
      <c r="G199" t="inlineStr">
        <is>
          <t>JOKKMOKK</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50185-2025</t>
        </is>
      </c>
      <c r="B200" t="inlineStr">
        <is>
          <t>avverkningsanmälan</t>
        </is>
      </c>
      <c r="C200" t="inlineStr">
        <is>
          <t>Föryngringsavverkning</t>
        </is>
      </c>
      <c r="D200" s="1" t="n">
        <v>45943</v>
      </c>
      <c r="E200" s="1" t="n">
        <v>46291</v>
      </c>
      <c r="F200" t="inlineStr">
        <is>
          <t>NORRBOTTENS LÄN</t>
        </is>
      </c>
      <c r="G200" t="inlineStr">
        <is>
          <t>JOKKMOKK</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49976-2025</t>
        </is>
      </c>
      <c r="B201" t="inlineStr">
        <is>
          <t>avverkningsanmälan</t>
        </is>
      </c>
      <c r="C201" t="inlineStr">
        <is>
          <t>Föryngringsavverkning</t>
        </is>
      </c>
      <c r="D201" s="1" t="n">
        <v>45942</v>
      </c>
      <c r="E201" s="1" t="n">
        <v>46291</v>
      </c>
      <c r="F201" t="inlineStr">
        <is>
          <t>NORRBOTTENS LÄN</t>
        </is>
      </c>
      <c r="G201" t="inlineStr">
        <is>
          <t>JOKKMOKK</t>
        </is>
      </c>
      <c r="H201" t="inlineStr">
        <is>
          <t>SCA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49978-2025</t>
        </is>
      </c>
      <c r="B202" t="inlineStr">
        <is>
          <t>avverkningsanmälan</t>
        </is>
      </c>
      <c r="C202" t="inlineStr">
        <is>
          <t>Föryngringsavverkning</t>
        </is>
      </c>
      <c r="D202" s="1" t="n">
        <v>45942</v>
      </c>
      <c r="E202" s="1" t="n">
        <v>46291</v>
      </c>
      <c r="F202" t="inlineStr">
        <is>
          <t>NORRBOTTENS LÄN</t>
        </is>
      </c>
      <c r="G202" t="inlineStr">
        <is>
          <t>JOKKMOKK</t>
        </is>
      </c>
      <c r="H202" t="inlineStr">
        <is>
          <t>SCA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50717-2025</t>
        </is>
      </c>
      <c r="B203" t="inlineStr">
        <is>
          <t>avverkningsanmälan</t>
        </is>
      </c>
      <c r="C203" t="inlineStr">
        <is>
          <t>Föryngringsavverkning</t>
        </is>
      </c>
      <c r="D203" s="1" t="n">
        <v>45946</v>
      </c>
      <c r="E203" s="1" t="n">
        <v>46291</v>
      </c>
      <c r="F203" t="inlineStr">
        <is>
          <t>NORRBOTTENS LÄN</t>
        </is>
      </c>
      <c r="G203" t="inlineStr">
        <is>
          <t>JOKKMOKK</t>
        </is>
      </c>
      <c r="H203" t="inlineStr">
        <is>
          <t>SCA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48210-2024</t>
        </is>
      </c>
      <c r="B204" t="inlineStr">
        <is>
          <t>avverkningsanmälan</t>
        </is>
      </c>
      <c r="C204" t="inlineStr">
        <is>
          <t>Föryngringsavverkning</t>
        </is>
      </c>
      <c r="D204" s="1" t="n">
        <v>45590</v>
      </c>
      <c r="E204" s="1" t="n">
        <v>46291</v>
      </c>
      <c r="F204" t="inlineStr">
        <is>
          <t>NORRBOTTENS LÄN</t>
        </is>
      </c>
      <c r="G204" t="inlineStr">
        <is>
          <t>JOKKMOKK</t>
        </is>
      </c>
      <c r="H204" t="inlineStr">
        <is>
          <t>SCA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51499-2025</t>
        </is>
      </c>
      <c r="B205" t="inlineStr">
        <is>
          <t>avverkningsanmälan</t>
        </is>
      </c>
      <c r="C205" t="inlineStr">
        <is>
          <t>Föryngringsavverkning</t>
        </is>
      </c>
      <c r="D205" s="1" t="n">
        <v>45950</v>
      </c>
      <c r="E205" s="1" t="n">
        <v>46291</v>
      </c>
      <c r="F205" t="inlineStr">
        <is>
          <t>NORRBOTTENS LÄN</t>
        </is>
      </c>
      <c r="G205" t="inlineStr">
        <is>
          <t>JOKKMOKK</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49478-2024</t>
        </is>
      </c>
      <c r="B206" t="inlineStr">
        <is>
          <t>avverkningsanmälan</t>
        </is>
      </c>
      <c r="C206" t="inlineStr">
        <is>
          <t>Föryngringsavverkning</t>
        </is>
      </c>
      <c r="D206" s="1" t="n">
        <v>45596</v>
      </c>
      <c r="E206" s="1" t="n">
        <v>46291</v>
      </c>
      <c r="F206" t="inlineStr">
        <is>
          <t>NORRBOTTENS LÄN</t>
        </is>
      </c>
      <c r="G206" t="inlineStr">
        <is>
          <t>JOKKMOKK</t>
        </is>
      </c>
      <c r="H206" t="inlineStr">
        <is>
          <t>SCA</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51500-2025</t>
        </is>
      </c>
      <c r="B207" t="inlineStr">
        <is>
          <t>avverkningsanmälan</t>
        </is>
      </c>
      <c r="C207" t="inlineStr">
        <is>
          <t>Föryngringsavverkning</t>
        </is>
      </c>
      <c r="D207" s="1" t="n">
        <v>45950</v>
      </c>
      <c r="E207" s="1" t="n">
        <v>46291</v>
      </c>
      <c r="F207" t="inlineStr">
        <is>
          <t>NORRBOTTENS LÄN</t>
        </is>
      </c>
      <c r="G207" t="inlineStr">
        <is>
          <t>JOKKMOKK</t>
        </is>
      </c>
      <c r="I207" t="n">
        <v>10.1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51707-2025</t>
        </is>
      </c>
      <c r="B208" t="inlineStr">
        <is>
          <t>avverkningsanmälan</t>
        </is>
      </c>
      <c r="C208" t="inlineStr">
        <is>
          <t>Föryngringsavverkning</t>
        </is>
      </c>
      <c r="D208" s="1" t="n">
        <v>45951</v>
      </c>
      <c r="E208" s="1" t="n">
        <v>46291</v>
      </c>
      <c r="F208" t="inlineStr">
        <is>
          <t>NORRBOTTENS LÄN</t>
        </is>
      </c>
      <c r="G208" t="inlineStr">
        <is>
          <t>JOKKMOKK</t>
        </is>
      </c>
      <c r="H208" t="inlineStr">
        <is>
          <t>Övriga statliga verk och myndigheter</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51717-2025</t>
        </is>
      </c>
      <c r="B209" t="inlineStr">
        <is>
          <t>avverkningsanmälan</t>
        </is>
      </c>
      <c r="C209" t="inlineStr">
        <is>
          <t>Föryngringsavverkning</t>
        </is>
      </c>
      <c r="D209" s="1" t="n">
        <v>45951</v>
      </c>
      <c r="E209" s="1" t="n">
        <v>46291</v>
      </c>
      <c r="F209" t="inlineStr">
        <is>
          <t>NORRBOTTENS LÄN</t>
        </is>
      </c>
      <c r="G209" t="inlineStr">
        <is>
          <t>JOKKMOKK</t>
        </is>
      </c>
      <c r="H209" t="inlineStr">
        <is>
          <t>Övriga statliga verk och myndigheter</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51576-2025</t>
        </is>
      </c>
      <c r="B210" t="inlineStr">
        <is>
          <t>avverkningsanmälan</t>
        </is>
      </c>
      <c r="C210" t="inlineStr">
        <is>
          <t>Föryngringsavverkning</t>
        </is>
      </c>
      <c r="D210" s="1" t="n">
        <v>45951</v>
      </c>
      <c r="E210" s="1" t="n">
        <v>46291</v>
      </c>
      <c r="F210" t="inlineStr">
        <is>
          <t>NORRBOTTENS LÄN</t>
        </is>
      </c>
      <c r="G210" t="inlineStr">
        <is>
          <t>JOKKMOKK</t>
        </is>
      </c>
      <c r="H210" t="inlineStr">
        <is>
          <t>SCA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51577-2025</t>
        </is>
      </c>
      <c r="B211" t="inlineStr">
        <is>
          <t>avverkningsanmälan</t>
        </is>
      </c>
      <c r="C211" t="inlineStr">
        <is>
          <t>Föryngringsavverkning</t>
        </is>
      </c>
      <c r="D211" s="1" t="n">
        <v>45951</v>
      </c>
      <c r="E211" s="1" t="n">
        <v>46291</v>
      </c>
      <c r="F211" t="inlineStr">
        <is>
          <t>NORRBOTTENS LÄN</t>
        </is>
      </c>
      <c r="G211" t="inlineStr">
        <is>
          <t>JOKKMOKK</t>
        </is>
      </c>
      <c r="H211" t="inlineStr">
        <is>
          <t>SCA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9852-2023</t>
        </is>
      </c>
      <c r="B212" t="inlineStr">
        <is>
          <t>avverkningsanmälan</t>
        </is>
      </c>
      <c r="C212" t="inlineStr">
        <is>
          <t>Föryngringsavverkning</t>
        </is>
      </c>
      <c r="D212" s="1" t="n">
        <v>44984</v>
      </c>
      <c r="E212" s="1" t="n">
        <v>46291</v>
      </c>
      <c r="F212" t="inlineStr">
        <is>
          <t>NORRBOTTENS LÄN</t>
        </is>
      </c>
      <c r="G212" t="inlineStr">
        <is>
          <t>JOKKMOKK</t>
        </is>
      </c>
      <c r="H212" t="inlineStr">
        <is>
          <t>SCA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51679-2025</t>
        </is>
      </c>
      <c r="B213" t="inlineStr">
        <is>
          <t>avverkningsanmälan</t>
        </is>
      </c>
      <c r="C213" t="inlineStr">
        <is>
          <t>Föryngringsavverkning</t>
        </is>
      </c>
      <c r="D213" s="1" t="n">
        <v>45951</v>
      </c>
      <c r="E213" s="1" t="n">
        <v>46291</v>
      </c>
      <c r="F213" t="inlineStr">
        <is>
          <t>NORRBOTTENS LÄN</t>
        </is>
      </c>
      <c r="G213" t="inlineStr">
        <is>
          <t>JOKKMOKK</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51700-2025</t>
        </is>
      </c>
      <c r="B214" t="inlineStr">
        <is>
          <t>avverkningsanmälan</t>
        </is>
      </c>
      <c r="C214" t="inlineStr">
        <is>
          <t>Föryngringsavverkning</t>
        </is>
      </c>
      <c r="D214" s="1" t="n">
        <v>45951</v>
      </c>
      <c r="E214" s="1" t="n">
        <v>46291</v>
      </c>
      <c r="F214" t="inlineStr">
        <is>
          <t>NORRBOTTENS LÄN</t>
        </is>
      </c>
      <c r="G214" t="inlineStr">
        <is>
          <t>JOKKMOKK</t>
        </is>
      </c>
      <c r="H214" t="inlineStr">
        <is>
          <t>SCA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51715-2025</t>
        </is>
      </c>
      <c r="B215" t="inlineStr">
        <is>
          <t>avverkningsanmälan</t>
        </is>
      </c>
      <c r="C215" t="inlineStr">
        <is>
          <t>Föryngringsavverkning</t>
        </is>
      </c>
      <c r="D215" s="1" t="n">
        <v>45951</v>
      </c>
      <c r="E215" s="1" t="n">
        <v>46291</v>
      </c>
      <c r="F215" t="inlineStr">
        <is>
          <t>NORRBOTTENS LÄN</t>
        </is>
      </c>
      <c r="G215" t="inlineStr">
        <is>
          <t>JOKKMOKK</t>
        </is>
      </c>
      <c r="H215" t="inlineStr">
        <is>
          <t>Övriga statliga verk och myndigheter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15385-2026</t>
        </is>
      </c>
      <c r="B216" t="inlineStr">
        <is>
          <t>avverkningsanmälan</t>
        </is>
      </c>
      <c r="C216" t="inlineStr">
        <is>
          <t>Föryngringsavverkning</t>
        </is>
      </c>
      <c r="D216" s="1" t="n">
        <v>46106</v>
      </c>
      <c r="E216" s="1" t="n">
        <v>46291</v>
      </c>
      <c r="F216" t="inlineStr">
        <is>
          <t>NORRBOTTENS LÄN</t>
        </is>
      </c>
      <c r="G216" t="inlineStr">
        <is>
          <t>JOKKMOKK</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15386-2026</t>
        </is>
      </c>
      <c r="B217" t="inlineStr">
        <is>
          <t>avverkningsanmälan</t>
        </is>
      </c>
      <c r="C217" t="inlineStr">
        <is>
          <t>Föryngringsavverkning</t>
        </is>
      </c>
      <c r="D217" s="1" t="n">
        <v>46106</v>
      </c>
      <c r="E217" s="1" t="n">
        <v>46291</v>
      </c>
      <c r="F217" t="inlineStr">
        <is>
          <t>NORRBOTTENS LÄN</t>
        </is>
      </c>
      <c r="G217" t="inlineStr">
        <is>
          <t>JOKKMOKK</t>
        </is>
      </c>
      <c r="H217" t="inlineStr">
        <is>
          <t>SCA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15383-2026</t>
        </is>
      </c>
      <c r="B218" t="inlineStr">
        <is>
          <t>avverkningsanmälan</t>
        </is>
      </c>
      <c r="C218" t="inlineStr">
        <is>
          <t>Föryngringsavverkning</t>
        </is>
      </c>
      <c r="D218" s="1" t="n">
        <v>46106</v>
      </c>
      <c r="E218" s="1" t="n">
        <v>46291</v>
      </c>
      <c r="F218" t="inlineStr">
        <is>
          <t>NORRBOTTENS LÄN</t>
        </is>
      </c>
      <c r="G218" t="inlineStr">
        <is>
          <t>JOKKMOKK</t>
        </is>
      </c>
      <c r="H218" t="inlineStr">
        <is>
          <t>SCA</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52294-2025</t>
        </is>
      </c>
      <c r="B219" t="inlineStr">
        <is>
          <t>avverkningsanmälan</t>
        </is>
      </c>
      <c r="C219" t="inlineStr">
        <is>
          <t>Föryngringsavverkning</t>
        </is>
      </c>
      <c r="D219" s="1" t="n">
        <v>45953</v>
      </c>
      <c r="E219" s="1" t="n">
        <v>46291</v>
      </c>
      <c r="F219" t="inlineStr">
        <is>
          <t>NORRBOTTENS LÄN</t>
        </is>
      </c>
      <c r="G219" t="inlineStr">
        <is>
          <t>JOKKMOKK</t>
        </is>
      </c>
      <c r="H219" t="inlineStr">
        <is>
          <t>Övriga statliga verk och myndigheter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52288-2025</t>
        </is>
      </c>
      <c r="B220" t="inlineStr">
        <is>
          <t>avverkningsanmälan</t>
        </is>
      </c>
      <c r="C220" t="inlineStr">
        <is>
          <t>Föryngringsavverkning</t>
        </is>
      </c>
      <c r="D220" s="1" t="n">
        <v>45953</v>
      </c>
      <c r="E220" s="1" t="n">
        <v>46291</v>
      </c>
      <c r="F220" t="inlineStr">
        <is>
          <t>NORRBOTTENS LÄN</t>
        </is>
      </c>
      <c r="G220" t="inlineStr">
        <is>
          <t>JOKKMOKK</t>
        </is>
      </c>
      <c r="H220" t="inlineStr">
        <is>
          <t>Övriga statliga verk och myndigheter</t>
        </is>
      </c>
      <c r="I220" t="n">
        <v>11.4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52293-2025</t>
        </is>
      </c>
      <c r="B221" t="inlineStr">
        <is>
          <t>avverkningsanmälan</t>
        </is>
      </c>
      <c r="C221" t="inlineStr">
        <is>
          <t>Föryngringsavverkning</t>
        </is>
      </c>
      <c r="D221" s="1" t="n">
        <v>45953</v>
      </c>
      <c r="E221" s="1" t="n">
        <v>46291</v>
      </c>
      <c r="F221" t="inlineStr">
        <is>
          <t>NORRBOTTENS LÄN</t>
        </is>
      </c>
      <c r="G221" t="inlineStr">
        <is>
          <t>JOKKMOKK</t>
        </is>
      </c>
      <c r="H221" t="inlineStr">
        <is>
          <t>Övriga statliga verk och myndigheter</t>
        </is>
      </c>
      <c r="I221" t="n">
        <v>65.09999999999999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15968-2026</t>
        </is>
      </c>
      <c r="B222" t="inlineStr">
        <is>
          <t>avverkningsanmälan</t>
        </is>
      </c>
      <c r="C222" t="inlineStr">
        <is>
          <t>Föryngringsavverkning</t>
        </is>
      </c>
      <c r="D222" s="1" t="n">
        <v>46108</v>
      </c>
      <c r="E222" s="1" t="n">
        <v>46291</v>
      </c>
      <c r="F222" t="inlineStr">
        <is>
          <t>NORRBOTTENS LÄN</t>
        </is>
      </c>
      <c r="G222" t="inlineStr">
        <is>
          <t>JOKKMOKK</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15972-2026</t>
        </is>
      </c>
      <c r="B223" t="inlineStr">
        <is>
          <t>avverkningsanmälan</t>
        </is>
      </c>
      <c r="C223" t="inlineStr">
        <is>
          <t>Föryngringsavverkning</t>
        </is>
      </c>
      <c r="D223" s="1" t="n">
        <v>46108</v>
      </c>
      <c r="E223" s="1" t="n">
        <v>46291</v>
      </c>
      <c r="F223" t="inlineStr">
        <is>
          <t>NORRBOTTENS LÄN</t>
        </is>
      </c>
      <c r="G223" t="inlineStr">
        <is>
          <t>JOKKMOKK</t>
        </is>
      </c>
      <c r="H223" t="inlineStr">
        <is>
          <t>SCA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52291-2025</t>
        </is>
      </c>
      <c r="B224" t="inlineStr">
        <is>
          <t>avverkningsanmälan</t>
        </is>
      </c>
      <c r="C224" t="inlineStr">
        <is>
          <t>Föryngringsavverkning</t>
        </is>
      </c>
      <c r="D224" s="1" t="n">
        <v>45953</v>
      </c>
      <c r="E224" s="1" t="n">
        <v>46291</v>
      </c>
      <c r="F224" t="inlineStr">
        <is>
          <t>NORRBOTTENS LÄN</t>
        </is>
      </c>
      <c r="G224" t="inlineStr">
        <is>
          <t>JOKKMOKK</t>
        </is>
      </c>
      <c r="H224" t="inlineStr">
        <is>
          <t>Övriga statliga verk och myndigheter</t>
        </is>
      </c>
      <c r="I224" t="n">
        <v>41.2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15969-2026</t>
        </is>
      </c>
      <c r="B225" t="inlineStr">
        <is>
          <t>avverkningsanmälan</t>
        </is>
      </c>
      <c r="C225" t="inlineStr">
        <is>
          <t>Föryngringsavverkning</t>
        </is>
      </c>
      <c r="D225" s="1" t="n">
        <v>46108</v>
      </c>
      <c r="E225" s="1" t="n">
        <v>46291</v>
      </c>
      <c r="F225" t="inlineStr">
        <is>
          <t>NORRBOTTENS LÄN</t>
        </is>
      </c>
      <c r="G225" t="inlineStr">
        <is>
          <t>JOKKMOKK</t>
        </is>
      </c>
      <c r="H225" t="inlineStr">
        <is>
          <t>SCA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16711-2026</t>
        </is>
      </c>
      <c r="B226" t="inlineStr">
        <is>
          <t>avverkningsanmälan</t>
        </is>
      </c>
      <c r="C226" t="inlineStr">
        <is>
          <t>Föryngringsavverkning</t>
        </is>
      </c>
      <c r="D226" s="1" t="n">
        <v>46113</v>
      </c>
      <c r="E226" s="1" t="n">
        <v>46291</v>
      </c>
      <c r="F226" t="inlineStr">
        <is>
          <t>NORRBOTTENS LÄN</t>
        </is>
      </c>
      <c r="G226" t="inlineStr">
        <is>
          <t>JOKKMOKK</t>
        </is>
      </c>
      <c r="H226" t="inlineStr">
        <is>
          <t>SCA</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16757-2026</t>
        </is>
      </c>
      <c r="B227" t="inlineStr">
        <is>
          <t>avverkningsanmälan</t>
        </is>
      </c>
      <c r="C227" t="inlineStr">
        <is>
          <t>Föryngringsavverkning</t>
        </is>
      </c>
      <c r="D227" s="1" t="n">
        <v>46113</v>
      </c>
      <c r="E227" s="1" t="n">
        <v>46291</v>
      </c>
      <c r="F227" t="inlineStr">
        <is>
          <t>NORRBOTTENS LÄN</t>
        </is>
      </c>
      <c r="G227" t="inlineStr">
        <is>
          <t>JOKKMOKK</t>
        </is>
      </c>
      <c r="H227" t="inlineStr">
        <is>
          <t>SCA</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16716-2026</t>
        </is>
      </c>
      <c r="B228" t="inlineStr">
        <is>
          <t>avverkningsanmälan</t>
        </is>
      </c>
      <c r="C228" t="inlineStr">
        <is>
          <t>Föryngringsavverkning</t>
        </is>
      </c>
      <c r="D228" s="1" t="n">
        <v>46113</v>
      </c>
      <c r="E228" s="1" t="n">
        <v>46291</v>
      </c>
      <c r="F228" t="inlineStr">
        <is>
          <t>NORRBOTTENS LÄN</t>
        </is>
      </c>
      <c r="G228" t="inlineStr">
        <is>
          <t>JOKKMOKK</t>
        </is>
      </c>
      <c r="H228" t="inlineStr">
        <is>
          <t>SCA</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16708-2026</t>
        </is>
      </c>
      <c r="B229" t="inlineStr">
        <is>
          <t>avverkningsanmälan</t>
        </is>
      </c>
      <c r="C229" t="inlineStr">
        <is>
          <t>Föryngringsavverkning</t>
        </is>
      </c>
      <c r="D229" s="1" t="n">
        <v>46113</v>
      </c>
      <c r="E229" s="1" t="n">
        <v>46291</v>
      </c>
      <c r="F229" t="inlineStr">
        <is>
          <t>NORRBOTTENS LÄN</t>
        </is>
      </c>
      <c r="G229" t="inlineStr">
        <is>
          <t>JOKKMOKK</t>
        </is>
      </c>
      <c r="H229" t="inlineStr">
        <is>
          <t>SCA</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16709-2026</t>
        </is>
      </c>
      <c r="B230" t="inlineStr">
        <is>
          <t>avverkningsanmälan</t>
        </is>
      </c>
      <c r="C230" t="inlineStr">
        <is>
          <t>Föryngringsavverkning</t>
        </is>
      </c>
      <c r="D230" s="1" t="n">
        <v>46113</v>
      </c>
      <c r="E230" s="1" t="n">
        <v>46291</v>
      </c>
      <c r="F230" t="inlineStr">
        <is>
          <t>NORRBOTTENS LÄN</t>
        </is>
      </c>
      <c r="G230" t="inlineStr">
        <is>
          <t>JOKKMOKK</t>
        </is>
      </c>
      <c r="H230" t="inlineStr">
        <is>
          <t>SCA</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16714-2026</t>
        </is>
      </c>
      <c r="B231" t="inlineStr">
        <is>
          <t>avverkningsanmälan</t>
        </is>
      </c>
      <c r="C231" t="inlineStr">
        <is>
          <t>Föryngringsavverkning</t>
        </is>
      </c>
      <c r="D231" s="1" t="n">
        <v>46113</v>
      </c>
      <c r="E231" s="1" t="n">
        <v>46291</v>
      </c>
      <c r="F231" t="inlineStr">
        <is>
          <t>NORRBOTTENS LÄN</t>
        </is>
      </c>
      <c r="G231" t="inlineStr">
        <is>
          <t>JOKKMOKK</t>
        </is>
      </c>
      <c r="H231" t="inlineStr">
        <is>
          <t>SCA</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17001-2026</t>
        </is>
      </c>
      <c r="B232" t="inlineStr">
        <is>
          <t>avverkningsanmälan</t>
        </is>
      </c>
      <c r="C232" t="inlineStr">
        <is>
          <t>Föryngringsavverkning</t>
        </is>
      </c>
      <c r="D232" s="1" t="n">
        <v>46114</v>
      </c>
      <c r="E232" s="1" t="n">
        <v>46291</v>
      </c>
      <c r="F232" t="inlineStr">
        <is>
          <t>NORRBOTTENS LÄN</t>
        </is>
      </c>
      <c r="G232" t="inlineStr">
        <is>
          <t>JOKKMOKK</t>
        </is>
      </c>
      <c r="H232" t="inlineStr">
        <is>
          <t>SCA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60028-2025</t>
        </is>
      </c>
      <c r="B233" t="inlineStr">
        <is>
          <t>avverkningsanmälan</t>
        </is>
      </c>
      <c r="C233" t="inlineStr">
        <is>
          <t>Föryngringsavverkning</t>
        </is>
      </c>
      <c r="D233" s="1" t="n">
        <v>45993</v>
      </c>
      <c r="E233" s="1" t="n">
        <v>46291</v>
      </c>
      <c r="F233" t="inlineStr">
        <is>
          <t>NORRBOTTENS LÄN</t>
        </is>
      </c>
      <c r="G233" t="inlineStr">
        <is>
          <t>JOKKMOKK</t>
        </is>
      </c>
      <c r="H233" t="inlineStr">
        <is>
          <t>Övriga statliga verk och myndigheter</t>
        </is>
      </c>
      <c r="I233" t="n">
        <v>15.8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53513-2025</t>
        </is>
      </c>
      <c r="B234" t="inlineStr">
        <is>
          <t>avverkningsanmälan</t>
        </is>
      </c>
      <c r="C234" t="inlineStr">
        <is>
          <t>Föryngringsavverkning</t>
        </is>
      </c>
      <c r="D234" s="1" t="n">
        <v>45960</v>
      </c>
      <c r="E234" s="1" t="n">
        <v>46291</v>
      </c>
      <c r="F234" t="inlineStr">
        <is>
          <t>NORRBOTTENS LÄN</t>
        </is>
      </c>
      <c r="G234" t="inlineStr">
        <is>
          <t>JOKKMOKK</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44151-2024</t>
        </is>
      </c>
      <c r="B235" t="inlineStr">
        <is>
          <t>avverkningsanmälan</t>
        </is>
      </c>
      <c r="C235" t="inlineStr">
        <is>
          <t>Föryngringsavverkning</t>
        </is>
      </c>
      <c r="D235" s="1" t="n">
        <v>45572</v>
      </c>
      <c r="E235" s="1" t="n">
        <v>46291</v>
      </c>
      <c r="F235" t="inlineStr">
        <is>
          <t>NORRBOTTENS LÄN</t>
        </is>
      </c>
      <c r="G235" t="inlineStr">
        <is>
          <t>JOKKMOKK</t>
        </is>
      </c>
      <c r="H235" t="inlineStr">
        <is>
          <t>Sveaskog</t>
        </is>
      </c>
      <c r="I235" t="n">
        <v>9.4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54270-2025</t>
        </is>
      </c>
      <c r="B236" t="inlineStr">
        <is>
          <t>avverkningsanmälan</t>
        </is>
      </c>
      <c r="C236" t="inlineStr">
        <is>
          <t>Föryngringsavverkning</t>
        </is>
      </c>
      <c r="D236" s="1" t="n">
        <v>45964</v>
      </c>
      <c r="E236" s="1" t="n">
        <v>46291</v>
      </c>
      <c r="F236" t="inlineStr">
        <is>
          <t>NORRBOTTENS LÄN</t>
        </is>
      </c>
      <c r="G236" t="inlineStr">
        <is>
          <t>JOKKMOKK</t>
        </is>
      </c>
      <c r="H236" t="inlineStr">
        <is>
          <t>Allmännings- och besparingsskogar</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54546-2025</t>
        </is>
      </c>
      <c r="B237" t="inlineStr">
        <is>
          <t>avverkningsanmälan</t>
        </is>
      </c>
      <c r="C237" t="inlineStr">
        <is>
          <t>Föryngringsavverkning</t>
        </is>
      </c>
      <c r="D237" s="1" t="n">
        <v>45965</v>
      </c>
      <c r="E237" s="1" t="n">
        <v>46291</v>
      </c>
      <c r="F237" t="inlineStr">
        <is>
          <t>NORRBOTTENS LÄN</t>
        </is>
      </c>
      <c r="G237" t="inlineStr">
        <is>
          <t>JOKKMOKK</t>
        </is>
      </c>
      <c r="H237" t="inlineStr">
        <is>
          <t>Allmännings- och besparingsskogar</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42481-2024</t>
        </is>
      </c>
      <c r="B238" t="inlineStr">
        <is>
          <t>avverkningsanmälan</t>
        </is>
      </c>
      <c r="C238" t="inlineStr">
        <is>
          <t>Föryngringsavverkning</t>
        </is>
      </c>
      <c r="D238" s="1" t="n">
        <v>45565</v>
      </c>
      <c r="E238" s="1" t="n">
        <v>46291</v>
      </c>
      <c r="F238" t="inlineStr">
        <is>
          <t>NORRBOTTENS LÄN</t>
        </is>
      </c>
      <c r="G238" t="inlineStr">
        <is>
          <t>JOKKMOKK</t>
        </is>
      </c>
      <c r="H238" t="inlineStr">
        <is>
          <t>SCA</t>
        </is>
      </c>
      <c r="I238" t="n">
        <v>25.2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54585-2025</t>
        </is>
      </c>
      <c r="B239" t="inlineStr">
        <is>
          <t>avverkningsanmälan</t>
        </is>
      </c>
      <c r="C239" t="inlineStr">
        <is>
          <t>Föryngringsavverkning</t>
        </is>
      </c>
      <c r="D239" s="1" t="n">
        <v>45965</v>
      </c>
      <c r="E239" s="1" t="n">
        <v>46291</v>
      </c>
      <c r="F239" t="inlineStr">
        <is>
          <t>NORRBOTTENS LÄN</t>
        </is>
      </c>
      <c r="G239" t="inlineStr">
        <is>
          <t>JOKKMOKK</t>
        </is>
      </c>
      <c r="H239" t="inlineStr">
        <is>
          <t>Allmännings- och besparingsskogar</t>
        </is>
      </c>
      <c r="I239" t="n">
        <v>10.2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55195-2025</t>
        </is>
      </c>
      <c r="B240" t="inlineStr">
        <is>
          <t>avverkningsanmälan</t>
        </is>
      </c>
      <c r="C240" t="inlineStr">
        <is>
          <t>Föryngringsavverkning</t>
        </is>
      </c>
      <c r="D240" s="1" t="n">
        <v>45968</v>
      </c>
      <c r="E240" s="1" t="n">
        <v>46291</v>
      </c>
      <c r="F240" t="inlineStr">
        <is>
          <t>NORRBOTTENS LÄN</t>
        </is>
      </c>
      <c r="G240" t="inlineStr">
        <is>
          <t>JOKKMOKK</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55015-2025</t>
        </is>
      </c>
      <c r="B241" t="inlineStr">
        <is>
          <t>avverkningsanmälan</t>
        </is>
      </c>
      <c r="C241" t="inlineStr">
        <is>
          <t>Föryngringsavverkning</t>
        </is>
      </c>
      <c r="D241" s="1" t="n">
        <v>45967</v>
      </c>
      <c r="E241" s="1" t="n">
        <v>46291</v>
      </c>
      <c r="F241" t="inlineStr">
        <is>
          <t>NORRBOTTENS LÄN</t>
        </is>
      </c>
      <c r="G241" t="inlineStr">
        <is>
          <t>JOKKMOKK</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27685-2025</t>
        </is>
      </c>
      <c r="B242" t="inlineStr">
        <is>
          <t>avverkningsanmälan</t>
        </is>
      </c>
      <c r="C242" t="inlineStr">
        <is>
          <t>Föryngringsavverkning</t>
        </is>
      </c>
      <c r="D242" s="1" t="n">
        <v>45813</v>
      </c>
      <c r="E242" s="1" t="n">
        <v>46291</v>
      </c>
      <c r="F242" t="inlineStr">
        <is>
          <t>NORRBOTTENS LÄN</t>
        </is>
      </c>
      <c r="G242" t="inlineStr">
        <is>
          <t>JOKKMOKK</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55673-2025</t>
        </is>
      </c>
      <c r="B243" t="inlineStr">
        <is>
          <t>avverkningsanmälan</t>
        </is>
      </c>
      <c r="C243" t="inlineStr">
        <is>
          <t>Föryngringsavverkning</t>
        </is>
      </c>
      <c r="D243" s="1" t="n">
        <v>45972</v>
      </c>
      <c r="E243" s="1" t="n">
        <v>46291</v>
      </c>
      <c r="F243" t="inlineStr">
        <is>
          <t>NORRBOTTENS LÄN</t>
        </is>
      </c>
      <c r="G243" t="inlineStr">
        <is>
          <t>JOKKMOKK</t>
        </is>
      </c>
      <c r="H243" t="inlineStr">
        <is>
          <t>SCA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55577-2025</t>
        </is>
      </c>
      <c r="B244" t="inlineStr">
        <is>
          <t>avverkningsanmälan</t>
        </is>
      </c>
      <c r="C244" t="inlineStr">
        <is>
          <t>Föryngringsavverkning</t>
        </is>
      </c>
      <c r="D244" s="1" t="n">
        <v>45971</v>
      </c>
      <c r="E244" s="1" t="n">
        <v>46291</v>
      </c>
      <c r="F244" t="inlineStr">
        <is>
          <t>NORRBOTTENS LÄN</t>
        </is>
      </c>
      <c r="G244" t="inlineStr">
        <is>
          <t>JOKKMOKK</t>
        </is>
      </c>
      <c r="H244" t="inlineStr">
        <is>
          <t>Allmännings- och besparingsskogar</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56523-2021</t>
        </is>
      </c>
      <c r="B245" t="inlineStr">
        <is>
          <t>avverkningsanmälan</t>
        </is>
      </c>
      <c r="C245" t="inlineStr">
        <is>
          <t>Föryngringsavverkning</t>
        </is>
      </c>
      <c r="D245" s="1" t="n">
        <v>44477</v>
      </c>
      <c r="E245" s="1" t="n">
        <v>46291</v>
      </c>
      <c r="F245" t="inlineStr">
        <is>
          <t>NORRBOTTENS LÄN</t>
        </is>
      </c>
      <c r="G245" t="inlineStr">
        <is>
          <t>JOKKMOKK</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56286-2025</t>
        </is>
      </c>
      <c r="B246" t="inlineStr">
        <is>
          <t>avverkningsanmälan</t>
        </is>
      </c>
      <c r="C246" t="inlineStr">
        <is>
          <t>Föryngringsavverkning</t>
        </is>
      </c>
      <c r="D246" s="1" t="n">
        <v>45974</v>
      </c>
      <c r="E246" s="1" t="n">
        <v>46291</v>
      </c>
      <c r="F246" t="inlineStr">
        <is>
          <t>NORRBOTTENS LÄN</t>
        </is>
      </c>
      <c r="G246" t="inlineStr">
        <is>
          <t>JOKKMOKK</t>
        </is>
      </c>
      <c r="H246" t="inlineStr">
        <is>
          <t>Sveaskog</t>
        </is>
      </c>
      <c r="I246" t="n">
        <v>22.8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56012-2025</t>
        </is>
      </c>
      <c r="B247" t="inlineStr">
        <is>
          <t>avverkningsanmälan</t>
        </is>
      </c>
      <c r="C247" t="inlineStr">
        <is>
          <t>Föryngringsavverkning</t>
        </is>
      </c>
      <c r="D247" s="1" t="n">
        <v>45973</v>
      </c>
      <c r="E247" s="1" t="n">
        <v>46291</v>
      </c>
      <c r="F247" t="inlineStr">
        <is>
          <t>NORRBOTTENS LÄN</t>
        </is>
      </c>
      <c r="G247" t="inlineStr">
        <is>
          <t>JOKKMOKK</t>
        </is>
      </c>
      <c r="H247" t="inlineStr">
        <is>
          <t>Naturvårdsverket</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56317-2025</t>
        </is>
      </c>
      <c r="B248" t="inlineStr">
        <is>
          <t>avverkningsanmälan</t>
        </is>
      </c>
      <c r="C248" t="inlineStr">
        <is>
          <t>Föryngringsavverkning</t>
        </is>
      </c>
      <c r="D248" s="1" t="n">
        <v>45974</v>
      </c>
      <c r="E248" s="1" t="n">
        <v>46291</v>
      </c>
      <c r="F248" t="inlineStr">
        <is>
          <t>NORRBOTTENS LÄN</t>
        </is>
      </c>
      <c r="G248" t="inlineStr">
        <is>
          <t>JOKKMOKK</t>
        </is>
      </c>
      <c r="H248" t="inlineStr">
        <is>
          <t>Övriga statliga verk och myndigheter</t>
        </is>
      </c>
      <c r="I248" t="n">
        <v>14.5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55990-2025</t>
        </is>
      </c>
      <c r="B249" t="inlineStr">
        <is>
          <t>avverkningsanmälan</t>
        </is>
      </c>
      <c r="C249" t="inlineStr">
        <is>
          <t>Föryngringsavverkning</t>
        </is>
      </c>
      <c r="D249" s="1" t="n">
        <v>45973</v>
      </c>
      <c r="E249" s="1" t="n">
        <v>46291</v>
      </c>
      <c r="F249" t="inlineStr">
        <is>
          <t>NORRBOTTENS LÄN</t>
        </is>
      </c>
      <c r="G249" t="inlineStr">
        <is>
          <t>JOKKMOKK</t>
        </is>
      </c>
      <c r="H249" t="inlineStr">
        <is>
          <t>Naturvårdsverket</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56323-2025</t>
        </is>
      </c>
      <c r="B250" t="inlineStr">
        <is>
          <t>avverkningsanmälan</t>
        </is>
      </c>
      <c r="C250" t="inlineStr">
        <is>
          <t>Föryngringsavverkning</t>
        </is>
      </c>
      <c r="D250" s="1" t="n">
        <v>45974</v>
      </c>
      <c r="E250" s="1" t="n">
        <v>46291</v>
      </c>
      <c r="F250" t="inlineStr">
        <is>
          <t>NORRBOTTENS LÄN</t>
        </is>
      </c>
      <c r="G250" t="inlineStr">
        <is>
          <t>JOKKMOKK</t>
        </is>
      </c>
      <c r="H250" t="inlineStr">
        <is>
          <t>Övriga statliga verk och myndigheter</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56321-2025</t>
        </is>
      </c>
      <c r="B251" t="inlineStr">
        <is>
          <t>avverkningsanmälan</t>
        </is>
      </c>
      <c r="C251" t="inlineStr">
        <is>
          <t>Föryngringsavverkning</t>
        </is>
      </c>
      <c r="D251" s="1" t="n">
        <v>45974</v>
      </c>
      <c r="E251" s="1" t="n">
        <v>46291</v>
      </c>
      <c r="F251" t="inlineStr">
        <is>
          <t>NORRBOTTENS LÄN</t>
        </is>
      </c>
      <c r="G251" t="inlineStr">
        <is>
          <t>JOKKMOKK</t>
        </is>
      </c>
      <c r="H251" t="inlineStr">
        <is>
          <t>Övriga statliga verk och myndigheter</t>
        </is>
      </c>
      <c r="I251" t="n">
        <v>14.6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56322-2025</t>
        </is>
      </c>
      <c r="B252" t="inlineStr">
        <is>
          <t>avverkningsanmälan</t>
        </is>
      </c>
      <c r="C252" t="inlineStr">
        <is>
          <t>Föryngringsavverkning</t>
        </is>
      </c>
      <c r="D252" s="1" t="n">
        <v>45974</v>
      </c>
      <c r="E252" s="1" t="n">
        <v>46291</v>
      </c>
      <c r="F252" t="inlineStr">
        <is>
          <t>NORRBOTTENS LÄN</t>
        </is>
      </c>
      <c r="G252" t="inlineStr">
        <is>
          <t>JOKKMOKK</t>
        </is>
      </c>
      <c r="H252" t="inlineStr">
        <is>
          <t>Övriga statliga verk och myndigheter</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30511-2023</t>
        </is>
      </c>
      <c r="B253" t="inlineStr">
        <is>
          <t>avverkningsanmälan</t>
        </is>
      </c>
      <c r="C253" t="inlineStr">
        <is>
          <t>Föryngringsavverkning</t>
        </is>
      </c>
      <c r="D253" s="1" t="n">
        <v>45111</v>
      </c>
      <c r="E253" s="1" t="n">
        <v>46291</v>
      </c>
      <c r="F253" t="inlineStr">
        <is>
          <t>NORRBOTTENS LÄN</t>
        </is>
      </c>
      <c r="G253" t="inlineStr">
        <is>
          <t>JOKKMOKK</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56192-2025</t>
        </is>
      </c>
      <c r="B254" t="inlineStr">
        <is>
          <t>avverkningsanmälan</t>
        </is>
      </c>
      <c r="C254" t="inlineStr">
        <is>
          <t>Avverkning för annat ändamål</t>
        </is>
      </c>
      <c r="D254" s="1" t="n">
        <v>45974</v>
      </c>
      <c r="E254" s="1" t="n">
        <v>46291</v>
      </c>
      <c r="F254" t="inlineStr">
        <is>
          <t>NORRBOTTENS LÄN</t>
        </is>
      </c>
      <c r="G254" t="inlineStr">
        <is>
          <t>JOKKMOKK</t>
        </is>
      </c>
      <c r="H254" t="inlineStr">
        <is>
          <t>Sveaskog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56445-2025</t>
        </is>
      </c>
      <c r="B255" t="inlineStr">
        <is>
          <t>avverkningsanmälan</t>
        </is>
      </c>
      <c r="C255" t="inlineStr">
        <is>
          <t>Föryngringsavverkning</t>
        </is>
      </c>
      <c r="D255" s="1" t="n">
        <v>45975</v>
      </c>
      <c r="E255" s="1" t="n">
        <v>46291</v>
      </c>
      <c r="F255" t="inlineStr">
        <is>
          <t>NORRBOTTENS LÄN</t>
        </is>
      </c>
      <c r="G255" t="inlineStr">
        <is>
          <t>JOKKMOKK</t>
        </is>
      </c>
      <c r="I255" t="n">
        <v>35.7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56507-2025</t>
        </is>
      </c>
      <c r="B256" t="inlineStr">
        <is>
          <t>avverkningsanmälan</t>
        </is>
      </c>
      <c r="C256" t="inlineStr">
        <is>
          <t>Föryngringsavverkning</t>
        </is>
      </c>
      <c r="D256" s="1" t="n">
        <v>45975</v>
      </c>
      <c r="E256" s="1" t="n">
        <v>46291</v>
      </c>
      <c r="F256" t="inlineStr">
        <is>
          <t>NORRBOTTENS LÄN</t>
        </is>
      </c>
      <c r="G256" t="inlineStr">
        <is>
          <t>JOKKMOKK</t>
        </is>
      </c>
      <c r="H256" t="inlineStr">
        <is>
          <t>Allmännings- och besparingsskogar</t>
        </is>
      </c>
      <c r="I256" t="n">
        <v>20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63182-2025</t>
        </is>
      </c>
      <c r="B257" t="inlineStr">
        <is>
          <t>avverkningsanmälan</t>
        </is>
      </c>
      <c r="C257" t="inlineStr">
        <is>
          <t>Föryngringsavverkning</t>
        </is>
      </c>
      <c r="D257" s="1" t="n">
        <v>46010</v>
      </c>
      <c r="E257" s="1" t="n">
        <v>46291</v>
      </c>
      <c r="F257" t="inlineStr">
        <is>
          <t>NORRBOTTENS LÄN</t>
        </is>
      </c>
      <c r="G257" t="inlineStr">
        <is>
          <t>JOKKMOKK</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57167-2025</t>
        </is>
      </c>
      <c r="B258" t="inlineStr">
        <is>
          <t>avverkningsanmälan</t>
        </is>
      </c>
      <c r="C258" t="inlineStr">
        <is>
          <t>Föryngringsavverkning</t>
        </is>
      </c>
      <c r="D258" s="1" t="n">
        <v>45979</v>
      </c>
      <c r="E258" s="1" t="n">
        <v>46291</v>
      </c>
      <c r="F258" t="inlineStr">
        <is>
          <t>NORRBOTTENS LÄN</t>
        </is>
      </c>
      <c r="G258" t="inlineStr">
        <is>
          <t>JOKKMOKK</t>
        </is>
      </c>
      <c r="H258" t="inlineStr">
        <is>
          <t>Allmännings- och besparingsskogar</t>
        </is>
      </c>
      <c r="I258" t="n">
        <v>12.8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57256-2025</t>
        </is>
      </c>
      <c r="B259" t="inlineStr">
        <is>
          <t>avverkningsanmälan</t>
        </is>
      </c>
      <c r="C259" t="inlineStr">
        <is>
          <t>Föryngringsavverkning</t>
        </is>
      </c>
      <c r="D259" s="1" t="n">
        <v>45979</v>
      </c>
      <c r="E259" s="1" t="n">
        <v>46291</v>
      </c>
      <c r="F259" t="inlineStr">
        <is>
          <t>NORRBOTTENS LÄN</t>
        </is>
      </c>
      <c r="G259" t="inlineStr">
        <is>
          <t>JOKKMOKK</t>
        </is>
      </c>
      <c r="H259" t="inlineStr">
        <is>
          <t>Allmännings- och besparingsskogar</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35876-2022</t>
        </is>
      </c>
      <c r="B260" t="inlineStr">
        <is>
          <t>avverkningsanmälan</t>
        </is>
      </c>
      <c r="C260" t="inlineStr">
        <is>
          <t>Föryngringsavverkning</t>
        </is>
      </c>
      <c r="D260" s="1" t="n">
        <v>44802</v>
      </c>
      <c r="E260" s="1" t="n">
        <v>46291</v>
      </c>
      <c r="F260" t="inlineStr">
        <is>
          <t>NORRBOTTENS LÄN</t>
        </is>
      </c>
      <c r="G260" t="inlineStr">
        <is>
          <t>JOKKMOKK</t>
        </is>
      </c>
      <c r="I260" t="n">
        <v>9.5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58404-2025</t>
        </is>
      </c>
      <c r="B261" t="inlineStr">
        <is>
          <t>avverkningsanmälan</t>
        </is>
      </c>
      <c r="C261" t="inlineStr">
        <is>
          <t>Föryngringsavverkning</t>
        </is>
      </c>
      <c r="D261" s="1" t="n">
        <v>45985</v>
      </c>
      <c r="E261" s="1" t="n">
        <v>46291</v>
      </c>
      <c r="F261" t="inlineStr">
        <is>
          <t>NORRBOTTENS LÄN</t>
        </is>
      </c>
      <c r="G261" t="inlineStr">
        <is>
          <t>JOKKMOKK</t>
        </is>
      </c>
      <c r="H261" t="inlineStr">
        <is>
          <t>Övriga statliga verk och myndigheter</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48339-2024</t>
        </is>
      </c>
      <c r="B262" t="inlineStr">
        <is>
          <t>avverkningsanmälan</t>
        </is>
      </c>
      <c r="C262" t="inlineStr">
        <is>
          <t>Föryngringsavverkning</t>
        </is>
      </c>
      <c r="D262" s="1" t="n">
        <v>45590</v>
      </c>
      <c r="E262" s="1" t="n">
        <v>46291</v>
      </c>
      <c r="F262" t="inlineStr">
        <is>
          <t>NORRBOTTENS LÄN</t>
        </is>
      </c>
      <c r="G262" t="inlineStr">
        <is>
          <t>JOKKMOKK</t>
        </is>
      </c>
      <c r="H262" t="inlineStr">
        <is>
          <t>Allmännings- och besparingsskogar</t>
        </is>
      </c>
      <c r="I262" t="n">
        <v>24.9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58419-2025</t>
        </is>
      </c>
      <c r="B263" t="inlineStr">
        <is>
          <t>avverkningsanmälan</t>
        </is>
      </c>
      <c r="C263" t="inlineStr">
        <is>
          <t>Föryngringsavverkning</t>
        </is>
      </c>
      <c r="D263" s="1" t="n">
        <v>45985</v>
      </c>
      <c r="E263" s="1" t="n">
        <v>46291</v>
      </c>
      <c r="F263" t="inlineStr">
        <is>
          <t>NORRBOTTENS LÄN</t>
        </is>
      </c>
      <c r="G263" t="inlineStr">
        <is>
          <t>JOKKMOKK</t>
        </is>
      </c>
      <c r="H263" t="inlineStr">
        <is>
          <t>Övriga statliga verk och myndigheter</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46291</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10630-2025</t>
        </is>
      </c>
      <c r="B265" t="inlineStr">
        <is>
          <t>avverkningsanmälan</t>
        </is>
      </c>
      <c r="C265" t="inlineStr">
        <is>
          <t>Föryngringsavverkning</t>
        </is>
      </c>
      <c r="D265" s="1" t="n">
        <v>45721</v>
      </c>
      <c r="E265" s="1" t="n">
        <v>46291</v>
      </c>
      <c r="F265" t="inlineStr">
        <is>
          <t>NORRBOTTENS LÄN</t>
        </is>
      </c>
      <c r="G265" t="inlineStr">
        <is>
          <t>JOKKMOKK</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60155-2025</t>
        </is>
      </c>
      <c r="B266" t="inlineStr">
        <is>
          <t>avverkningsanmälan</t>
        </is>
      </c>
      <c r="C266" t="inlineStr">
        <is>
          <t>Föryngringsavverkning</t>
        </is>
      </c>
      <c r="D266" s="1" t="n">
        <v>45994</v>
      </c>
      <c r="E266" s="1" t="n">
        <v>46291</v>
      </c>
      <c r="F266" t="inlineStr">
        <is>
          <t>NORRBOTTENS LÄN</t>
        </is>
      </c>
      <c r="G266" t="inlineStr">
        <is>
          <t>JOKKMOKK</t>
        </is>
      </c>
      <c r="H266" t="inlineStr">
        <is>
          <t>Övriga statliga verk och myndigheter</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60404-2025</t>
        </is>
      </c>
      <c r="B267" t="inlineStr">
        <is>
          <t>avverkningsanmälan</t>
        </is>
      </c>
      <c r="C267" t="inlineStr">
        <is>
          <t>Föryngringsavverkning</t>
        </is>
      </c>
      <c r="D267" s="1" t="n">
        <v>45995</v>
      </c>
      <c r="E267" s="1" t="n">
        <v>46291</v>
      </c>
      <c r="F267" t="inlineStr">
        <is>
          <t>NORRBOTTENS LÄN</t>
        </is>
      </c>
      <c r="G267" t="inlineStr">
        <is>
          <t>JOKKMOKK</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60408-2025</t>
        </is>
      </c>
      <c r="B268" t="inlineStr">
        <is>
          <t>avverkningsanmälan</t>
        </is>
      </c>
      <c r="C268" t="inlineStr">
        <is>
          <t>Föryngringsavverkning</t>
        </is>
      </c>
      <c r="D268" s="1" t="n">
        <v>45995</v>
      </c>
      <c r="E268" s="1" t="n">
        <v>46291</v>
      </c>
      <c r="F268" t="inlineStr">
        <is>
          <t>NORRBOTTENS LÄN</t>
        </is>
      </c>
      <c r="G268" t="inlineStr">
        <is>
          <t>JOKKMOKK</t>
        </is>
      </c>
      <c r="H268" t="inlineStr">
        <is>
          <t>Övriga statliga verk och myndigheter</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32915-2023</t>
        </is>
      </c>
      <c r="B269" t="inlineStr">
        <is>
          <t>avverkningsanmälan</t>
        </is>
      </c>
      <c r="C269" t="inlineStr">
        <is>
          <t>Föryngringsavverkning</t>
        </is>
      </c>
      <c r="D269" s="1" t="n">
        <v>45124</v>
      </c>
      <c r="E269" s="1" t="n">
        <v>46291</v>
      </c>
      <c r="F269" t="inlineStr">
        <is>
          <t>NORRBOTTENS LÄN</t>
        </is>
      </c>
      <c r="G269" t="inlineStr">
        <is>
          <t>JOKKMOKK</t>
        </is>
      </c>
      <c r="H269" t="inlineStr">
        <is>
          <t>SCA</t>
        </is>
      </c>
      <c r="I269" t="n">
        <v>15.1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30041-2024</t>
        </is>
      </c>
      <c r="B270" t="inlineStr">
        <is>
          <t>avverkningsanmälan</t>
        </is>
      </c>
      <c r="C270" t="inlineStr">
        <is>
          <t>Föryngringsavverkning</t>
        </is>
      </c>
      <c r="D270" s="1" t="n">
        <v>45488</v>
      </c>
      <c r="E270" s="1" t="n">
        <v>46291</v>
      </c>
      <c r="F270" t="inlineStr">
        <is>
          <t>NORRBOTTENS LÄN</t>
        </is>
      </c>
      <c r="G270" t="inlineStr">
        <is>
          <t>JOKKMOKK</t>
        </is>
      </c>
      <c r="I270" t="n">
        <v>19.9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52240-2025</t>
        </is>
      </c>
      <c r="B271" t="inlineStr">
        <is>
          <t>avverkningsanmälan</t>
        </is>
      </c>
      <c r="C271" t="inlineStr">
        <is>
          <t>Föryngringsavverkning</t>
        </is>
      </c>
      <c r="D271" s="1" t="n">
        <v>45953</v>
      </c>
      <c r="E271" s="1" t="n">
        <v>46291</v>
      </c>
      <c r="F271" t="inlineStr">
        <is>
          <t>NORRBOTTENS LÄN</t>
        </is>
      </c>
      <c r="G271" t="inlineStr">
        <is>
          <t>JOKKMOKK</t>
        </is>
      </c>
      <c r="H271" t="inlineStr">
        <is>
          <t>Övriga statliga verk och myndigheter</t>
        </is>
      </c>
      <c r="I271" t="n">
        <v>17.6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62093-2025</t>
        </is>
      </c>
      <c r="B272" t="inlineStr">
        <is>
          <t>avverkningsanmälan</t>
        </is>
      </c>
      <c r="C272" t="inlineStr">
        <is>
          <t>Föryngringsavverkning</t>
        </is>
      </c>
      <c r="D272" s="1" t="n">
        <v>46006</v>
      </c>
      <c r="E272" s="1" t="n">
        <v>46291</v>
      </c>
      <c r="F272" t="inlineStr">
        <is>
          <t>NORRBOTTENS LÄN</t>
        </is>
      </c>
      <c r="G272" t="inlineStr">
        <is>
          <t>JOKKMOKK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20142-2026</t>
        </is>
      </c>
      <c r="B273" t="inlineStr">
        <is>
          <t>avverkningsanmälan</t>
        </is>
      </c>
      <c r="C273" t="inlineStr">
        <is>
          <t>Föryngringsavverkning</t>
        </is>
      </c>
      <c r="D273" s="1" t="n">
        <v>46137</v>
      </c>
      <c r="E273" s="1" t="n">
        <v>46291</v>
      </c>
      <c r="F273" t="inlineStr">
        <is>
          <t>NORRBOTTENS LÄN</t>
        </is>
      </c>
      <c r="G273" t="inlineStr">
        <is>
          <t>JOKKMOKK</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16864-2023</t>
        </is>
      </c>
      <c r="B274" t="inlineStr">
        <is>
          <t>avverkningsanmälan</t>
        </is>
      </c>
      <c r="C274" t="inlineStr">
        <is>
          <t>Föryngringsavverkning</t>
        </is>
      </c>
      <c r="D274" s="1" t="n">
        <v>45028</v>
      </c>
      <c r="E274" s="1" t="n">
        <v>46291</v>
      </c>
      <c r="F274" t="inlineStr">
        <is>
          <t>NORRBOTTENS LÄN</t>
        </is>
      </c>
      <c r="G274" t="inlineStr">
        <is>
          <t>JOKKMOKK</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28601-2025</t>
        </is>
      </c>
      <c r="B275" t="inlineStr">
        <is>
          <t>avverkningsanmälan</t>
        </is>
      </c>
      <c r="C275" t="inlineStr">
        <is>
          <t>Föryngringsavverkning</t>
        </is>
      </c>
      <c r="D275" s="1" t="n">
        <v>45819</v>
      </c>
      <c r="E275" s="1" t="n">
        <v>46291</v>
      </c>
      <c r="F275" t="inlineStr">
        <is>
          <t>NORRBOTTENS LÄN</t>
        </is>
      </c>
      <c r="G275" t="inlineStr">
        <is>
          <t>JOKKMOKK</t>
        </is>
      </c>
      <c r="H275" t="inlineStr">
        <is>
          <t>Sveaskog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63206-2025</t>
        </is>
      </c>
      <c r="B276" t="inlineStr">
        <is>
          <t>avverkningsanmälan</t>
        </is>
      </c>
      <c r="C276" t="inlineStr">
        <is>
          <t>Avverkning för annat ändamål</t>
        </is>
      </c>
      <c r="D276" s="1" t="n">
        <v>46010</v>
      </c>
      <c r="E276" s="1" t="n">
        <v>46291</v>
      </c>
      <c r="F276" t="inlineStr">
        <is>
          <t>NORRBOTTENS LÄN</t>
        </is>
      </c>
      <c r="G276" t="inlineStr">
        <is>
          <t>JOKKMOKK</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29418-2025</t>
        </is>
      </c>
      <c r="B277" t="inlineStr">
        <is>
          <t>avverkningsanmälan</t>
        </is>
      </c>
      <c r="C277" t="inlineStr">
        <is>
          <t>Föryngringsavverkning</t>
        </is>
      </c>
      <c r="D277" s="1" t="n">
        <v>45824</v>
      </c>
      <c r="E277" s="1" t="n">
        <v>46291</v>
      </c>
      <c r="F277" t="inlineStr">
        <is>
          <t>NORRBOTTENS LÄN</t>
        </is>
      </c>
      <c r="G277" t="inlineStr">
        <is>
          <t>JOKKMOKK</t>
        </is>
      </c>
      <c r="I277" t="n">
        <v>17.8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29853-2025</t>
        </is>
      </c>
      <c r="B278" t="inlineStr">
        <is>
          <t>avverkningsanmälan</t>
        </is>
      </c>
      <c r="C278" t="inlineStr">
        <is>
          <t>Föryngringsavverkning</t>
        </is>
      </c>
      <c r="D278" s="1" t="n">
        <v>45826</v>
      </c>
      <c r="E278" s="1" t="n">
        <v>46291</v>
      </c>
      <c r="F278" t="inlineStr">
        <is>
          <t>NORRBOTTENS LÄN</t>
        </is>
      </c>
      <c r="G278" t="inlineStr">
        <is>
          <t>JOKKMOKK</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42322-2025</t>
        </is>
      </c>
      <c r="B279" t="inlineStr">
        <is>
          <t>avverkningsanmälan</t>
        </is>
      </c>
      <c r="C279" t="inlineStr">
        <is>
          <t>Föryngringsavverkning</t>
        </is>
      </c>
      <c r="D279" s="1" t="n">
        <v>45904</v>
      </c>
      <c r="E279" s="1" t="n">
        <v>46291</v>
      </c>
      <c r="F279" t="inlineStr">
        <is>
          <t>NORRBOTTENS LÄN</t>
        </is>
      </c>
      <c r="G279" t="inlineStr">
        <is>
          <t>JOKKMOKK</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30177-2025</t>
        </is>
      </c>
      <c r="B280" t="inlineStr">
        <is>
          <t>avverkningsanmälan</t>
        </is>
      </c>
      <c r="C280" t="inlineStr">
        <is>
          <t>Föryngringsavverkning</t>
        </is>
      </c>
      <c r="D280" s="1" t="n">
        <v>45827</v>
      </c>
      <c r="E280" s="1" t="n">
        <v>46291</v>
      </c>
      <c r="F280" t="inlineStr">
        <is>
          <t>NORRBOTTENS LÄN</t>
        </is>
      </c>
      <c r="G280" t="inlineStr">
        <is>
          <t>JOKKMOKK</t>
        </is>
      </c>
      <c r="H280" t="inlineStr">
        <is>
          <t>SCA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32915-2024</t>
        </is>
      </c>
      <c r="B281" t="inlineStr">
        <is>
          <t>avverkningsanmälan</t>
        </is>
      </c>
      <c r="C281" t="inlineStr">
        <is>
          <t>Föryngringsavverkning</t>
        </is>
      </c>
      <c r="D281" s="1" t="n">
        <v>45516</v>
      </c>
      <c r="E281" s="1" t="n">
        <v>46291</v>
      </c>
      <c r="F281" t="inlineStr">
        <is>
          <t>NORRBOTTENS LÄN</t>
        </is>
      </c>
      <c r="G281" t="inlineStr">
        <is>
          <t>JOKKMOKK</t>
        </is>
      </c>
      <c r="H281" t="inlineStr">
        <is>
          <t>SCA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16336-2023</t>
        </is>
      </c>
      <c r="B282" t="inlineStr">
        <is>
          <t>avverkningsanmälan</t>
        </is>
      </c>
      <c r="C282" t="inlineStr">
        <is>
          <t>Föryngringsavverkning</t>
        </is>
      </c>
      <c r="D282" s="1" t="n">
        <v>45022</v>
      </c>
      <c r="E282" s="1" t="n">
        <v>46291</v>
      </c>
      <c r="F282" t="inlineStr">
        <is>
          <t>NORRBOTTENS LÄN</t>
        </is>
      </c>
      <c r="G282" t="inlineStr">
        <is>
          <t>JOKKMOKK</t>
        </is>
      </c>
      <c r="H282" t="inlineStr">
        <is>
          <t>Övriga statliga verk och myndigheter</t>
        </is>
      </c>
      <c r="I282" t="n">
        <v>130.2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52130-2024</t>
        </is>
      </c>
      <c r="B283" t="inlineStr">
        <is>
          <t>avverkningsanmälan</t>
        </is>
      </c>
      <c r="C283" t="inlineStr">
        <is>
          <t>Föryngringsavverkning</t>
        </is>
      </c>
      <c r="D283" s="1" t="n">
        <v>45608</v>
      </c>
      <c r="E283" s="1" t="n">
        <v>46291</v>
      </c>
      <c r="F283" t="inlineStr">
        <is>
          <t>NORRBOTTENS LÄN</t>
        </is>
      </c>
      <c r="G283" t="inlineStr">
        <is>
          <t>JOKKMOKK</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42095-2025</t>
        </is>
      </c>
      <c r="B284" t="inlineStr">
        <is>
          <t>avverkningsanmälan</t>
        </is>
      </c>
      <c r="C284" t="inlineStr">
        <is>
          <t>Föryngringsavverkning</t>
        </is>
      </c>
      <c r="D284" s="1" t="n">
        <v>45903</v>
      </c>
      <c r="E284" s="1" t="n">
        <v>46291</v>
      </c>
      <c r="F284" t="inlineStr">
        <is>
          <t>NORRBOTTENS LÄN</t>
        </is>
      </c>
      <c r="G284" t="inlineStr">
        <is>
          <t>JOKKMOKK</t>
        </is>
      </c>
      <c r="H284" t="inlineStr">
        <is>
          <t>SCA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11381-2026</t>
        </is>
      </c>
      <c r="B285" t="inlineStr">
        <is>
          <t>avverkningsanmälan</t>
        </is>
      </c>
      <c r="C285" t="inlineStr">
        <is>
          <t>Föryngringsavverkning</t>
        </is>
      </c>
      <c r="D285" s="1" t="n">
        <v>46083</v>
      </c>
      <c r="E285" s="1" t="n">
        <v>46291</v>
      </c>
      <c r="F285" t="inlineStr">
        <is>
          <t>NORRBOTTENS LÄN</t>
        </is>
      </c>
      <c r="G285" t="inlineStr">
        <is>
          <t>JOKKMOKK</t>
        </is>
      </c>
      <c r="I285" t="n">
        <v>49.1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33741-2025</t>
        </is>
      </c>
      <c r="B286" t="inlineStr">
        <is>
          <t>avverkningsanmälan</t>
        </is>
      </c>
      <c r="C286" t="inlineStr">
        <is>
          <t>Föryngringsavverkning</t>
        </is>
      </c>
      <c r="D286" s="1" t="n">
        <v>45842</v>
      </c>
      <c r="E286" s="1" t="n">
        <v>46291</v>
      </c>
      <c r="F286" t="inlineStr">
        <is>
          <t>NORRBOTTENS LÄN</t>
        </is>
      </c>
      <c r="G286" t="inlineStr">
        <is>
          <t>JOKKMOKK</t>
        </is>
      </c>
      <c r="H286" t="inlineStr">
        <is>
          <t>SCA</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32670-2025</t>
        </is>
      </c>
      <c r="B287" t="inlineStr">
        <is>
          <t>avverkningsanmälan</t>
        </is>
      </c>
      <c r="C287" t="inlineStr">
        <is>
          <t>Föryngringsavverkning</t>
        </is>
      </c>
      <c r="D287" s="1" t="n">
        <v>45838</v>
      </c>
      <c r="E287" s="1" t="n">
        <v>46291</v>
      </c>
      <c r="F287" t="inlineStr">
        <is>
          <t>NORRBOTTENS LÄN</t>
        </is>
      </c>
      <c r="G287" t="inlineStr">
        <is>
          <t>JOKKMOKK</t>
        </is>
      </c>
      <c r="H287" t="inlineStr">
        <is>
          <t>Sveaskog</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27650-2024</t>
        </is>
      </c>
      <c r="B288" t="inlineStr">
        <is>
          <t>avverkningsanmälan</t>
        </is>
      </c>
      <c r="C288" t="inlineStr">
        <is>
          <t>Föryngringsavverkning</t>
        </is>
      </c>
      <c r="D288" s="1" t="n">
        <v>45474</v>
      </c>
      <c r="E288" s="1" t="n">
        <v>46291</v>
      </c>
      <c r="F288" t="inlineStr">
        <is>
          <t>NORRBOTTENS LÄN</t>
        </is>
      </c>
      <c r="G288" t="inlineStr">
        <is>
          <t>JOKKMOKK</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23303-2026</t>
        </is>
      </c>
      <c r="B289" t="inlineStr">
        <is>
          <t>avverkningsanmälan</t>
        </is>
      </c>
      <c r="C289" t="inlineStr">
        <is>
          <t>Föryngringsavverkning</t>
        </is>
      </c>
      <c r="D289" s="1" t="n">
        <v>46162</v>
      </c>
      <c r="E289" s="1" t="n">
        <v>46291</v>
      </c>
      <c r="F289" t="inlineStr">
        <is>
          <t>NORRBOTTENS LÄN</t>
        </is>
      </c>
      <c r="G289" t="inlineStr">
        <is>
          <t>JOKKMOKK</t>
        </is>
      </c>
      <c r="H289" t="inlineStr">
        <is>
          <t>SCA</t>
        </is>
      </c>
      <c r="I289" t="n">
        <v>24.8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23791-2026</t>
        </is>
      </c>
      <c r="B290" t="inlineStr">
        <is>
          <t>avverkningsanmälan</t>
        </is>
      </c>
      <c r="C290" t="inlineStr">
        <is>
          <t>Föryngringsavverkning</t>
        </is>
      </c>
      <c r="D290" s="1" t="n">
        <v>46164</v>
      </c>
      <c r="E290" s="1" t="n">
        <v>46291</v>
      </c>
      <c r="F290" t="inlineStr">
        <is>
          <t>NORRBOTTENS LÄN</t>
        </is>
      </c>
      <c r="G290" t="inlineStr">
        <is>
          <t>JOKKMOKK</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35749-2025</t>
        </is>
      </c>
      <c r="B291" t="inlineStr">
        <is>
          <t>avverkningsanmälan</t>
        </is>
      </c>
      <c r="C291" t="inlineStr">
        <is>
          <t>Föryngringsavverkning</t>
        </is>
      </c>
      <c r="D291" s="1" t="n">
        <v>45860</v>
      </c>
      <c r="E291" s="1" t="n">
        <v>46291</v>
      </c>
      <c r="F291" t="inlineStr">
        <is>
          <t>NORRBOTTENS LÄN</t>
        </is>
      </c>
      <c r="G291" t="inlineStr">
        <is>
          <t>JOKKMOKK</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29446-2025</t>
        </is>
      </c>
      <c r="B292" t="inlineStr">
        <is>
          <t>avverkningsanmälan</t>
        </is>
      </c>
      <c r="C292" t="inlineStr">
        <is>
          <t>Föryngringsavverkning</t>
        </is>
      </c>
      <c r="D292" s="1" t="n">
        <v>45824</v>
      </c>
      <c r="E292" s="1" t="n">
        <v>46291</v>
      </c>
      <c r="F292" t="inlineStr">
        <is>
          <t>NORRBOTTENS LÄN</t>
        </is>
      </c>
      <c r="G292" t="inlineStr">
        <is>
          <t>JOKKMOKK</t>
        </is>
      </c>
      <c r="I292" t="n">
        <v>68.5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38226-2025</t>
        </is>
      </c>
      <c r="B293" t="inlineStr">
        <is>
          <t>avverkningsanmälan</t>
        </is>
      </c>
      <c r="C293" t="inlineStr">
        <is>
          <t>Föryngringsavverkning</t>
        </is>
      </c>
      <c r="D293" s="1" t="n">
        <v>45883</v>
      </c>
      <c r="E293" s="1" t="n">
        <v>46291</v>
      </c>
      <c r="F293" t="inlineStr">
        <is>
          <t>NORRBOTTENS LÄN</t>
        </is>
      </c>
      <c r="G293" t="inlineStr">
        <is>
          <t>JOKKMOKK</t>
        </is>
      </c>
      <c r="H293" t="inlineStr">
        <is>
          <t>SCA</t>
        </is>
      </c>
      <c r="I293" t="n">
        <v>14.5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24052-2023</t>
        </is>
      </c>
      <c r="B294" t="inlineStr">
        <is>
          <t>avverkningsanmälan</t>
        </is>
      </c>
      <c r="C294" t="inlineStr">
        <is>
          <t>Föryngringsavverkning</t>
        </is>
      </c>
      <c r="D294" s="1" t="n">
        <v>45078</v>
      </c>
      <c r="E294" s="1" t="n">
        <v>46291</v>
      </c>
      <c r="F294" t="inlineStr">
        <is>
          <t>NORRBOTTENS LÄN</t>
        </is>
      </c>
      <c r="G294" t="inlineStr">
        <is>
          <t>JOKKMOKK</t>
        </is>
      </c>
      <c r="H294" t="inlineStr">
        <is>
          <t>Naturvårdsverket</t>
        </is>
      </c>
      <c r="I294" t="n">
        <v>58.1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59849-2021</t>
        </is>
      </c>
      <c r="B295" t="inlineStr">
        <is>
          <t>avverkningsanmälan</t>
        </is>
      </c>
      <c r="C295" t="inlineStr">
        <is>
          <t>Föryngringsavverkning</t>
        </is>
      </c>
      <c r="D295" s="1" t="n">
        <v>44493</v>
      </c>
      <c r="E295" s="1" t="n">
        <v>46291</v>
      </c>
      <c r="F295" t="inlineStr">
        <is>
          <t>NORRBOTTENS LÄN</t>
        </is>
      </c>
      <c r="G295" t="inlineStr">
        <is>
          <t>JOKKMOKK</t>
        </is>
      </c>
      <c r="H295" t="inlineStr">
        <is>
          <t>Övriga Aktiebolag</t>
        </is>
      </c>
      <c r="I295" t="n">
        <v>11.7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24584-2026</t>
        </is>
      </c>
      <c r="B296" t="inlineStr">
        <is>
          <t>avverkningsanmälan</t>
        </is>
      </c>
      <c r="C296" t="inlineStr">
        <is>
          <t>Föryngringsavverkning</t>
        </is>
      </c>
      <c r="D296" s="1" t="n">
        <v>46170</v>
      </c>
      <c r="E296" s="1" t="n">
        <v>46291</v>
      </c>
      <c r="F296" t="inlineStr">
        <is>
          <t>NORRBOTTENS LÄN</t>
        </is>
      </c>
      <c r="G296" t="inlineStr">
        <is>
          <t>JOKKMOKK</t>
        </is>
      </c>
      <c r="H296" t="inlineStr">
        <is>
          <t>SCA</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24594-2026</t>
        </is>
      </c>
      <c r="B297" t="inlineStr">
        <is>
          <t>avverkningsanmälan</t>
        </is>
      </c>
      <c r="C297" t="inlineStr">
        <is>
          <t>Föryngringsavverkning</t>
        </is>
      </c>
      <c r="D297" s="1" t="n">
        <v>46170</v>
      </c>
      <c r="E297" s="1" t="n">
        <v>46291</v>
      </c>
      <c r="F297" t="inlineStr">
        <is>
          <t>NORRBOTTENS LÄN</t>
        </is>
      </c>
      <c r="G297" t="inlineStr">
        <is>
          <t>JOKKMOKK</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26552-2025</t>
        </is>
      </c>
      <c r="B298" t="inlineStr">
        <is>
          <t>avverkningsanmälan</t>
        </is>
      </c>
      <c r="C298" t="inlineStr">
        <is>
          <t>Föryngringsavverkning</t>
        </is>
      </c>
      <c r="D298" s="1" t="n">
        <v>45807</v>
      </c>
      <c r="E298" s="1" t="n">
        <v>46291</v>
      </c>
      <c r="F298" t="inlineStr">
        <is>
          <t>NORRBOTTENS LÄN</t>
        </is>
      </c>
      <c r="G298" t="inlineStr">
        <is>
          <t>JOKKMOKK</t>
        </is>
      </c>
      <c r="H298" t="inlineStr">
        <is>
          <t>SCA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36357-2025</t>
        </is>
      </c>
      <c r="B299" t="inlineStr">
        <is>
          <t>avverkningsanmälan</t>
        </is>
      </c>
      <c r="C299" t="inlineStr">
        <is>
          <t>Föryngringsavverkning</t>
        </is>
      </c>
      <c r="D299" s="1" t="n">
        <v>45868</v>
      </c>
      <c r="E299" s="1" t="n">
        <v>46291</v>
      </c>
      <c r="F299" t="inlineStr">
        <is>
          <t>NORRBOTTENS LÄN</t>
        </is>
      </c>
      <c r="G299" t="inlineStr">
        <is>
          <t>JOKKMOKK</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32900-2023</t>
        </is>
      </c>
      <c r="B300" t="inlineStr">
        <is>
          <t>avverkningsanmälan</t>
        </is>
      </c>
      <c r="C300" t="inlineStr">
        <is>
          <t>Avverkning för att bevara och utveckla /försöksver</t>
        </is>
      </c>
      <c r="D300" s="1" t="n">
        <v>45124</v>
      </c>
      <c r="E300" s="1" t="n">
        <v>46291</v>
      </c>
      <c r="F300" t="inlineStr">
        <is>
          <t>NORRBOTTENS LÄN</t>
        </is>
      </c>
      <c r="G300" t="inlineStr">
        <is>
          <t>JOKKMOKK</t>
        </is>
      </c>
      <c r="H300" t="inlineStr">
        <is>
          <t>SCA</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25595-2026</t>
        </is>
      </c>
      <c r="B301" t="inlineStr">
        <is>
          <t>avverkningsanmälan</t>
        </is>
      </c>
      <c r="C301" t="inlineStr">
        <is>
          <t>Föryngringsavverkning</t>
        </is>
      </c>
      <c r="D301" s="1" t="n">
        <v>46177</v>
      </c>
      <c r="E301" s="1" t="n">
        <v>46291</v>
      </c>
      <c r="F301" t="inlineStr">
        <is>
          <t>NORRBOTTENS LÄN</t>
        </is>
      </c>
      <c r="G301" t="inlineStr">
        <is>
          <t>JOKKMOKK</t>
        </is>
      </c>
      <c r="H301" t="inlineStr">
        <is>
          <t>Sveaskog</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25622-2026</t>
        </is>
      </c>
      <c r="B302" t="inlineStr">
        <is>
          <t>avverkningsanmälan</t>
        </is>
      </c>
      <c r="C302" t="inlineStr">
        <is>
          <t>Föryngringsavverkning</t>
        </is>
      </c>
      <c r="D302" s="1" t="n">
        <v>46177</v>
      </c>
      <c r="E302" s="1" t="n">
        <v>46291</v>
      </c>
      <c r="F302" t="inlineStr">
        <is>
          <t>NORRBOTTENS LÄN</t>
        </is>
      </c>
      <c r="G302" t="inlineStr">
        <is>
          <t>JOKKMOKK</t>
        </is>
      </c>
      <c r="H302" t="inlineStr">
        <is>
          <t>SCA</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25600-2026</t>
        </is>
      </c>
      <c r="B303" t="inlineStr">
        <is>
          <t>avverkningsanmälan</t>
        </is>
      </c>
      <c r="C303" t="inlineStr">
        <is>
          <t>Föryngringsavverkning</t>
        </is>
      </c>
      <c r="D303" s="1" t="n">
        <v>46177</v>
      </c>
      <c r="E303" s="1" t="n">
        <v>46291</v>
      </c>
      <c r="F303" t="inlineStr">
        <is>
          <t>NORRBOTTENS LÄN</t>
        </is>
      </c>
      <c r="G303" t="inlineStr">
        <is>
          <t>JOKKMOKK</t>
        </is>
      </c>
      <c r="H303" t="inlineStr">
        <is>
          <t>Sveaskog</t>
        </is>
      </c>
      <c r="I303" t="n">
        <v>19.4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25594-2026</t>
        </is>
      </c>
      <c r="B304" t="inlineStr">
        <is>
          <t>avverkningsanmälan</t>
        </is>
      </c>
      <c r="C304" t="inlineStr">
        <is>
          <t>Avverkning för annat ändamål</t>
        </is>
      </c>
      <c r="D304" s="1" t="n">
        <v>46177</v>
      </c>
      <c r="E304" s="1" t="n">
        <v>46291</v>
      </c>
      <c r="F304" t="inlineStr">
        <is>
          <t>NORRBOTTENS LÄN</t>
        </is>
      </c>
      <c r="G304" t="inlineStr">
        <is>
          <t>JOKKMOKK</t>
        </is>
      </c>
      <c r="H304" t="inlineStr">
        <is>
          <t>Sveaskog</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25661-2026</t>
        </is>
      </c>
      <c r="B305" t="inlineStr">
        <is>
          <t>avverkningsanmälan</t>
        </is>
      </c>
      <c r="C305" t="inlineStr">
        <is>
          <t>Föryngringsavverkning</t>
        </is>
      </c>
      <c r="D305" s="1" t="n">
        <v>46178</v>
      </c>
      <c r="E305" s="1" t="n">
        <v>46291</v>
      </c>
      <c r="F305" t="inlineStr">
        <is>
          <t>NORRBOTTENS LÄN</t>
        </is>
      </c>
      <c r="G305" t="inlineStr">
        <is>
          <t>JOKKMOKK</t>
        </is>
      </c>
      <c r="H305" t="inlineStr">
        <is>
          <t>Sveaskog</t>
        </is>
      </c>
      <c r="I305" t="n">
        <v>51.9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26384-2026</t>
        </is>
      </c>
      <c r="B306" t="inlineStr">
        <is>
          <t>avverkningsanmälan</t>
        </is>
      </c>
      <c r="C306" t="inlineStr">
        <is>
          <t>Föryngringsavverkning</t>
        </is>
      </c>
      <c r="D306" s="1" t="n">
        <v>46183</v>
      </c>
      <c r="E306" s="1" t="n">
        <v>46291</v>
      </c>
      <c r="F306" t="inlineStr">
        <is>
          <t>NORRBOTTENS LÄN</t>
        </is>
      </c>
      <c r="G306" t="inlineStr">
        <is>
          <t>JOKKMOKK</t>
        </is>
      </c>
      <c r="H306" t="inlineStr">
        <is>
          <t>SCA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71369-2021</t>
        </is>
      </c>
      <c r="B307" t="inlineStr">
        <is>
          <t>avverkningsanmälan</t>
        </is>
      </c>
      <c r="C307" t="inlineStr">
        <is>
          <t>Avverkning för att bevara och utveckla /försöksver</t>
        </is>
      </c>
      <c r="D307" s="1" t="n">
        <v>44539</v>
      </c>
      <c r="E307" s="1" t="n">
        <v>46291</v>
      </c>
      <c r="F307" t="inlineStr">
        <is>
          <t>NORRBOTTENS LÄN</t>
        </is>
      </c>
      <c r="G307" t="inlineStr">
        <is>
          <t>JOKKMOKK</t>
        </is>
      </c>
      <c r="H307" t="inlineStr">
        <is>
          <t>SCA</t>
        </is>
      </c>
      <c r="I307" t="n">
        <v>15.7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26983-2026</t>
        </is>
      </c>
      <c r="B308" t="inlineStr">
        <is>
          <t>avverkningsanmälan</t>
        </is>
      </c>
      <c r="C308" t="inlineStr">
        <is>
          <t>Föryngringsavverkning</t>
        </is>
      </c>
      <c r="D308" s="1" t="n">
        <v>46185</v>
      </c>
      <c r="E308" s="1" t="n">
        <v>46291</v>
      </c>
      <c r="F308" t="inlineStr">
        <is>
          <t>NORRBOTTENS LÄN</t>
        </is>
      </c>
      <c r="G308" t="inlineStr">
        <is>
          <t>JOKKMOKK</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39684-2023</t>
        </is>
      </c>
      <c r="B309" t="inlineStr">
        <is>
          <t>avverkningsanmälan</t>
        </is>
      </c>
      <c r="C309" t="inlineStr">
        <is>
          <t>Föryngringsavverkning</t>
        </is>
      </c>
      <c r="D309" s="1" t="n">
        <v>45166</v>
      </c>
      <c r="E309" s="1" t="n">
        <v>46291</v>
      </c>
      <c r="F309" t="inlineStr">
        <is>
          <t>NORRBOTTENS LÄN</t>
        </is>
      </c>
      <c r="G309" t="inlineStr">
        <is>
          <t>JOKKMOKK</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9860-2023</t>
        </is>
      </c>
      <c r="B310" t="inlineStr">
        <is>
          <t>avverkningsanmälan</t>
        </is>
      </c>
      <c r="C310" t="inlineStr">
        <is>
          <t>Föryngringsavverkning</t>
        </is>
      </c>
      <c r="D310" s="1" t="n">
        <v>44984</v>
      </c>
      <c r="E310" s="1" t="n">
        <v>46291</v>
      </c>
      <c r="F310" t="inlineStr">
        <is>
          <t>NORRBOTTENS LÄN</t>
        </is>
      </c>
      <c r="G310" t="inlineStr">
        <is>
          <t>JOKKMOKK</t>
        </is>
      </c>
      <c r="H310" t="inlineStr">
        <is>
          <t>SCA</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9863-2023</t>
        </is>
      </c>
      <c r="B311" t="inlineStr">
        <is>
          <t>avverkningsanmälan</t>
        </is>
      </c>
      <c r="C311" t="inlineStr">
        <is>
          <t>Föryngringsavverkning</t>
        </is>
      </c>
      <c r="D311" s="1" t="n">
        <v>44984</v>
      </c>
      <c r="E311" s="1" t="n">
        <v>46291</v>
      </c>
      <c r="F311" t="inlineStr">
        <is>
          <t>NORRBOTTENS LÄN</t>
        </is>
      </c>
      <c r="G311" t="inlineStr">
        <is>
          <t>JOKKMOKK</t>
        </is>
      </c>
      <c r="H311" t="inlineStr">
        <is>
          <t>SCA</t>
        </is>
      </c>
      <c r="I311" t="n">
        <v>14.4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9872-2023</t>
        </is>
      </c>
      <c r="B312" t="inlineStr">
        <is>
          <t>avverkningsanmälan</t>
        </is>
      </c>
      <c r="C312" t="inlineStr">
        <is>
          <t>Föryngringsavverkning</t>
        </is>
      </c>
      <c r="D312" s="1" t="n">
        <v>44984</v>
      </c>
      <c r="E312" s="1" t="n">
        <v>46291</v>
      </c>
      <c r="F312" t="inlineStr">
        <is>
          <t>NORRBOTTENS LÄN</t>
        </is>
      </c>
      <c r="G312" t="inlineStr">
        <is>
          <t>JOKKMOKK</t>
        </is>
      </c>
      <c r="H312" t="inlineStr">
        <is>
          <t>SCA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9873-2023</t>
        </is>
      </c>
      <c r="B313" t="inlineStr">
        <is>
          <t>avverkningsanmälan</t>
        </is>
      </c>
      <c r="C313" t="inlineStr">
        <is>
          <t>Föryngringsavverkning</t>
        </is>
      </c>
      <c r="D313" s="1" t="n">
        <v>44984</v>
      </c>
      <c r="E313" s="1" t="n">
        <v>46291</v>
      </c>
      <c r="F313" t="inlineStr">
        <is>
          <t>NORRBOTTENS LÄN</t>
        </is>
      </c>
      <c r="G313" t="inlineStr">
        <is>
          <t>JOKKMOKK</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9877-2023</t>
        </is>
      </c>
      <c r="B314" t="inlineStr">
        <is>
          <t>avverkningsanmälan</t>
        </is>
      </c>
      <c r="C314" t="inlineStr">
        <is>
          <t>Föryngringsavverkning</t>
        </is>
      </c>
      <c r="D314" s="1" t="n">
        <v>44984</v>
      </c>
      <c r="E314" s="1" t="n">
        <v>46291</v>
      </c>
      <c r="F314" t="inlineStr">
        <is>
          <t>NORRBOTTENS LÄN</t>
        </is>
      </c>
      <c r="G314" t="inlineStr">
        <is>
          <t>JOKKMOKK</t>
        </is>
      </c>
      <c r="H314" t="inlineStr">
        <is>
          <t>SCA</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27807-2026</t>
        </is>
      </c>
      <c r="B315" t="inlineStr">
        <is>
          <t>avverkningsanmälan</t>
        </is>
      </c>
      <c r="C315" t="inlineStr">
        <is>
          <t>Föryngringsavverkning</t>
        </is>
      </c>
      <c r="D315" s="1" t="n">
        <v>46191</v>
      </c>
      <c r="E315" s="1" t="n">
        <v>46291</v>
      </c>
      <c r="F315" t="inlineStr">
        <is>
          <t>NORRBOTTENS LÄN</t>
        </is>
      </c>
      <c r="G315" t="inlineStr">
        <is>
          <t>JOKKMOKK</t>
        </is>
      </c>
      <c r="H315" t="inlineStr">
        <is>
          <t>SCA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32899-2023</t>
        </is>
      </c>
      <c r="B316" t="inlineStr">
        <is>
          <t>avverkningsanmälan</t>
        </is>
      </c>
      <c r="C316" t="inlineStr">
        <is>
          <t>Avverkning för att bevara och utveckla /försöksver</t>
        </is>
      </c>
      <c r="D316" s="1" t="n">
        <v>45124</v>
      </c>
      <c r="E316" s="1" t="n">
        <v>46291</v>
      </c>
      <c r="F316" t="inlineStr">
        <is>
          <t>NORRBOTTENS LÄN</t>
        </is>
      </c>
      <c r="G316" t="inlineStr">
        <is>
          <t>JOKKMOKK</t>
        </is>
      </c>
      <c r="H316" t="inlineStr">
        <is>
          <t>SCA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27948-2026</t>
        </is>
      </c>
      <c r="B317" t="inlineStr">
        <is>
          <t>avverkningsanmälan</t>
        </is>
      </c>
      <c r="C317" t="inlineStr">
        <is>
          <t>Föryngringsavverkning</t>
        </is>
      </c>
      <c r="D317" s="1" t="n">
        <v>46192</v>
      </c>
      <c r="E317" s="1" t="n">
        <v>46291</v>
      </c>
      <c r="F317" t="inlineStr">
        <is>
          <t>NORRBOTTENS LÄN</t>
        </is>
      </c>
      <c r="G317" t="inlineStr">
        <is>
          <t>JOKKMOKK</t>
        </is>
      </c>
      <c r="H317" t="inlineStr">
        <is>
          <t>SCA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27811-2026</t>
        </is>
      </c>
      <c r="B318" t="inlineStr">
        <is>
          <t>avverkningsanmälan</t>
        </is>
      </c>
      <c r="C318" t="inlineStr">
        <is>
          <t>Föryngringsavverkning</t>
        </is>
      </c>
      <c r="D318" s="1" t="n">
        <v>46191</v>
      </c>
      <c r="E318" s="1" t="n">
        <v>46291</v>
      </c>
      <c r="F318" t="inlineStr">
        <is>
          <t>NORRBOTTENS LÄN</t>
        </is>
      </c>
      <c r="G318" t="inlineStr">
        <is>
          <t>JOKKMOKK</t>
        </is>
      </c>
      <c r="H318" t="inlineStr">
        <is>
          <t>SCA</t>
        </is>
      </c>
      <c r="I318" t="n">
        <v>30.2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53232-2024</t>
        </is>
      </c>
      <c r="B319" t="inlineStr">
        <is>
          <t>avverkningsanmälan</t>
        </is>
      </c>
      <c r="C319" t="inlineStr">
        <is>
          <t>Föryngringsavverkning</t>
        </is>
      </c>
      <c r="D319" s="1" t="n">
        <v>45613</v>
      </c>
      <c r="E319" s="1" t="n">
        <v>46291</v>
      </c>
      <c r="F319" t="inlineStr">
        <is>
          <t>NORRBOTTENS LÄN</t>
        </is>
      </c>
      <c r="G319" t="inlineStr">
        <is>
          <t>JOKKMOKK</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3055-2025</t>
        </is>
      </c>
      <c r="B320" t="inlineStr">
        <is>
          <t>avverkningsanmälan</t>
        </is>
      </c>
      <c r="C320" t="inlineStr">
        <is>
          <t>Föryngringsavverkning</t>
        </is>
      </c>
      <c r="D320" s="1" t="n">
        <v>45678</v>
      </c>
      <c r="E320" s="1" t="n">
        <v>46291</v>
      </c>
      <c r="F320" t="inlineStr">
        <is>
          <t>NORRBOTTENS LÄN</t>
        </is>
      </c>
      <c r="G320" t="inlineStr">
        <is>
          <t>JOKKMOKK</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28553-2026</t>
        </is>
      </c>
      <c r="B321" t="inlineStr">
        <is>
          <t>avverkningsanmälan</t>
        </is>
      </c>
      <c r="C321" t="inlineStr">
        <is>
          <t>Föryngringsavverkning</t>
        </is>
      </c>
      <c r="D321" s="1" t="n">
        <v>46197</v>
      </c>
      <c r="E321" s="1" t="n">
        <v>46291</v>
      </c>
      <c r="F321" t="inlineStr">
        <is>
          <t>NORRBOTTENS LÄN</t>
        </is>
      </c>
      <c r="G321" t="inlineStr">
        <is>
          <t>JOKKMOKK</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28523-2026</t>
        </is>
      </c>
      <c r="B322" t="inlineStr">
        <is>
          <t>avverkningsanmälan</t>
        </is>
      </c>
      <c r="C322" t="inlineStr">
        <is>
          <t>Föryngringsavverkning</t>
        </is>
      </c>
      <c r="D322" s="1" t="n">
        <v>46197</v>
      </c>
      <c r="E322" s="1" t="n">
        <v>46291</v>
      </c>
      <c r="F322" t="inlineStr">
        <is>
          <t>NORRBOTTENS LÄN</t>
        </is>
      </c>
      <c r="G322" t="inlineStr">
        <is>
          <t>JOKKMOKK</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42639-2024</t>
        </is>
      </c>
      <c r="B323" t="inlineStr">
        <is>
          <t>avverkningsanmälan</t>
        </is>
      </c>
      <c r="C323" t="inlineStr">
        <is>
          <t>Föryngringsavverkning</t>
        </is>
      </c>
      <c r="D323" s="1" t="n">
        <v>45565</v>
      </c>
      <c r="E323" s="1" t="n">
        <v>46291</v>
      </c>
      <c r="F323" t="inlineStr">
        <is>
          <t>NORRBOTTENS LÄN</t>
        </is>
      </c>
      <c r="G323" t="inlineStr">
        <is>
          <t>JOKKMOKK</t>
        </is>
      </c>
      <c r="I323" t="n">
        <v>34.5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37694-2025</t>
        </is>
      </c>
      <c r="B324" t="inlineStr">
        <is>
          <t>avverkningsanmälan</t>
        </is>
      </c>
      <c r="C324" t="inlineStr">
        <is>
          <t>Föryngringsavverkning</t>
        </is>
      </c>
      <c r="D324" s="1" t="n">
        <v>45880</v>
      </c>
      <c r="E324" s="1" t="n">
        <v>46291</v>
      </c>
      <c r="F324" t="inlineStr">
        <is>
          <t>NORRBOTTENS LÄN</t>
        </is>
      </c>
      <c r="G324" t="inlineStr">
        <is>
          <t>JOKKMOKK</t>
        </is>
      </c>
      <c r="H324" t="inlineStr">
        <is>
          <t>SCA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28548-2026</t>
        </is>
      </c>
      <c r="B325" t="inlineStr">
        <is>
          <t>avverkningsanmälan</t>
        </is>
      </c>
      <c r="C325" t="inlineStr">
        <is>
          <t>Föryngringsavverkning</t>
        </is>
      </c>
      <c r="D325" s="1" t="n">
        <v>46197</v>
      </c>
      <c r="E325" s="1" t="n">
        <v>46291</v>
      </c>
      <c r="F325" t="inlineStr">
        <is>
          <t>NORRBOTTENS LÄN</t>
        </is>
      </c>
      <c r="G325" t="inlineStr">
        <is>
          <t>JOKKMOKK</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58609-2025</t>
        </is>
      </c>
      <c r="B326" t="inlineStr">
        <is>
          <t>avverkningsanmälan</t>
        </is>
      </c>
      <c r="C326" t="inlineStr">
        <is>
          <t>Föryngringsavverkning</t>
        </is>
      </c>
      <c r="D326" s="1" t="n">
        <v>45986</v>
      </c>
      <c r="E326" s="1" t="n">
        <v>46291</v>
      </c>
      <c r="F326" t="inlineStr">
        <is>
          <t>NORRBOTTENS LÄN</t>
        </is>
      </c>
      <c r="G326" t="inlineStr">
        <is>
          <t>JOKKMOKK</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28986-2026</t>
        </is>
      </c>
      <c r="B327" t="inlineStr">
        <is>
          <t>avverkningsanmälan</t>
        </is>
      </c>
      <c r="C327" t="inlineStr">
        <is>
          <t>Föryngringsavverkning</t>
        </is>
      </c>
      <c r="D327" s="1" t="n">
        <v>46199</v>
      </c>
      <c r="E327" s="1" t="n">
        <v>46291</v>
      </c>
      <c r="F327" t="inlineStr">
        <is>
          <t>NORRBOTTENS LÄN</t>
        </is>
      </c>
      <c r="G327" t="inlineStr">
        <is>
          <t>JOKKMOKK</t>
        </is>
      </c>
      <c r="H327" t="inlineStr">
        <is>
          <t>SCA</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28886-2026</t>
        </is>
      </c>
      <c r="B328" t="inlineStr">
        <is>
          <t>avverkningsanmälan</t>
        </is>
      </c>
      <c r="C328" t="inlineStr">
        <is>
          <t>Föryngringsavverkning</t>
        </is>
      </c>
      <c r="D328" s="1" t="n">
        <v>46199</v>
      </c>
      <c r="E328" s="1" t="n">
        <v>46291</v>
      </c>
      <c r="F328" t="inlineStr">
        <is>
          <t>NORRBOTTENS LÄN</t>
        </is>
      </c>
      <c r="G328" t="inlineStr">
        <is>
          <t>JOKKMOKK</t>
        </is>
      </c>
      <c r="H328" t="inlineStr">
        <is>
          <t>SCA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29008-2026</t>
        </is>
      </c>
      <c r="B329" t="inlineStr">
        <is>
          <t>avverkningsanmälan</t>
        </is>
      </c>
      <c r="C329" t="inlineStr">
        <is>
          <t>Föryngringsavverkning</t>
        </is>
      </c>
      <c r="D329" s="1" t="n">
        <v>46199</v>
      </c>
      <c r="E329" s="1" t="n">
        <v>46291</v>
      </c>
      <c r="F329" t="inlineStr">
        <is>
          <t>NORRBOTTENS LÄN</t>
        </is>
      </c>
      <c r="G329" t="inlineStr">
        <is>
          <t>JOKKMOKK</t>
        </is>
      </c>
      <c r="H329" t="inlineStr">
        <is>
          <t>SCA</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52181-2023</t>
        </is>
      </c>
      <c r="B330" t="inlineStr">
        <is>
          <t>avverkningsanmälan</t>
        </is>
      </c>
      <c r="C330" t="inlineStr">
        <is>
          <t>Föryngringsavverkning</t>
        </is>
      </c>
      <c r="D330" s="1" t="n">
        <v>45224</v>
      </c>
      <c r="E330" s="1" t="n">
        <v>46291</v>
      </c>
      <c r="F330" t="inlineStr">
        <is>
          <t>NORRBOTTENS LÄN</t>
        </is>
      </c>
      <c r="G330" t="inlineStr">
        <is>
          <t>JOKKMOKK</t>
        </is>
      </c>
      <c r="H330" t="inlineStr">
        <is>
          <t>Sveaskog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28770-2026</t>
        </is>
      </c>
      <c r="B331" t="inlineStr">
        <is>
          <t>avverkningsanmälan</t>
        </is>
      </c>
      <c r="C331" t="inlineStr">
        <is>
          <t>Föryngringsavverkning</t>
        </is>
      </c>
      <c r="D331" s="1" t="n">
        <v>46198</v>
      </c>
      <c r="E331" s="1" t="n">
        <v>46291</v>
      </c>
      <c r="F331" t="inlineStr">
        <is>
          <t>NORRBOTTENS LÄN</t>
        </is>
      </c>
      <c r="G331" t="inlineStr">
        <is>
          <t>JOKKMOKK</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40432-2024</t>
        </is>
      </c>
      <c r="B332" t="inlineStr">
        <is>
          <t>avverkningsanmälan</t>
        </is>
      </c>
      <c r="C332" t="inlineStr">
        <is>
          <t>Föryngringsavverkning</t>
        </is>
      </c>
      <c r="D332" s="1" t="n">
        <v>45555</v>
      </c>
      <c r="E332" s="1" t="n">
        <v>46291</v>
      </c>
      <c r="F332" t="inlineStr">
        <is>
          <t>NORRBOTTENS LÄN</t>
        </is>
      </c>
      <c r="G332" t="inlineStr">
        <is>
          <t>JOKKMOKK</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7845-2024</t>
        </is>
      </c>
      <c r="B333" t="inlineStr">
        <is>
          <t>avverkningsanmälan</t>
        </is>
      </c>
      <c r="C333" t="inlineStr">
        <is>
          <t>Föryngringsavverkning</t>
        </is>
      </c>
      <c r="D333" s="1" t="n">
        <v>45349</v>
      </c>
      <c r="E333" s="1" t="n">
        <v>46291</v>
      </c>
      <c r="F333" t="inlineStr">
        <is>
          <t>NORRBOTTENS LÄN</t>
        </is>
      </c>
      <c r="G333" t="inlineStr">
        <is>
          <t>JOKKMOKK</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30008-2026</t>
        </is>
      </c>
      <c r="B334" t="inlineStr">
        <is>
          <t>avverkningsanmälan</t>
        </is>
      </c>
      <c r="C334" t="inlineStr">
        <is>
          <t>Föryngringsavverkning</t>
        </is>
      </c>
      <c r="D334" s="1" t="n">
        <v>46205</v>
      </c>
      <c r="E334" s="1" t="n">
        <v>46291</v>
      </c>
      <c r="F334" t="inlineStr">
        <is>
          <t>NORRBOTTENS LÄN</t>
        </is>
      </c>
      <c r="G334" t="inlineStr">
        <is>
          <t>JOKKMOKK</t>
        </is>
      </c>
      <c r="I334" t="n">
        <v>11.8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29758-2026</t>
        </is>
      </c>
      <c r="B335" t="inlineStr">
        <is>
          <t>avverkningsanmälan</t>
        </is>
      </c>
      <c r="C335" t="inlineStr">
        <is>
          <t>Föryngringsavverkning</t>
        </is>
      </c>
      <c r="D335" s="1" t="n">
        <v>46204</v>
      </c>
      <c r="E335" s="1" t="n">
        <v>46291</v>
      </c>
      <c r="F335" t="inlineStr">
        <is>
          <t>NORRBOTTENS LÄN</t>
        </is>
      </c>
      <c r="G335" t="inlineStr">
        <is>
          <t>JOKKMOKK</t>
        </is>
      </c>
      <c r="H335" t="inlineStr">
        <is>
          <t>SCA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29907-2026</t>
        </is>
      </c>
      <c r="B336" t="inlineStr">
        <is>
          <t>avverkningsanmälan</t>
        </is>
      </c>
      <c r="C336" t="inlineStr">
        <is>
          <t>Föryngringsavverkning</t>
        </is>
      </c>
      <c r="D336" s="1" t="n">
        <v>46205</v>
      </c>
      <c r="E336" s="1" t="n">
        <v>46291</v>
      </c>
      <c r="F336" t="inlineStr">
        <is>
          <t>NORRBOTTENS LÄN</t>
        </is>
      </c>
      <c r="G336" t="inlineStr">
        <is>
          <t>JOKKMOKK</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30068-2026</t>
        </is>
      </c>
      <c r="B337" t="inlineStr">
        <is>
          <t>avverkningsanmälan</t>
        </is>
      </c>
      <c r="C337" t="inlineStr">
        <is>
          <t>Föryngringsavverkning</t>
        </is>
      </c>
      <c r="D337" s="1" t="n">
        <v>46206</v>
      </c>
      <c r="E337" s="1" t="n">
        <v>46291</v>
      </c>
      <c r="F337" t="inlineStr">
        <is>
          <t>NORRBOTTENS LÄN</t>
        </is>
      </c>
      <c r="G337" t="inlineStr">
        <is>
          <t>JOKKMOKK</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30072-2026</t>
        </is>
      </c>
      <c r="B338" t="inlineStr">
        <is>
          <t>avverkningsanmälan</t>
        </is>
      </c>
      <c r="C338" t="inlineStr">
        <is>
          <t>Föryngringsavverkning</t>
        </is>
      </c>
      <c r="D338" s="1" t="n">
        <v>46206</v>
      </c>
      <c r="E338" s="1" t="n">
        <v>46291</v>
      </c>
      <c r="F338" t="inlineStr">
        <is>
          <t>NORRBOTTENS LÄN</t>
        </is>
      </c>
      <c r="G338" t="inlineStr">
        <is>
          <t>JOKKMOKK</t>
        </is>
      </c>
      <c r="I338" t="n">
        <v>21.7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30657-2026</t>
        </is>
      </c>
      <c r="B339" t="inlineStr">
        <is>
          <t>avverkningsanmälan</t>
        </is>
      </c>
      <c r="C339" t="inlineStr">
        <is>
          <t>Föryngringsavverkning</t>
        </is>
      </c>
      <c r="D339" s="1" t="n">
        <v>46211</v>
      </c>
      <c r="E339" s="1" t="n">
        <v>46291</v>
      </c>
      <c r="F339" t="inlineStr">
        <is>
          <t>NORRBOTTENS LÄN</t>
        </is>
      </c>
      <c r="G339" t="inlineStr">
        <is>
          <t>JOKKMOKK</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51617-2024</t>
        </is>
      </c>
      <c r="B340" t="inlineStr">
        <is>
          <t>avverkningsanmälan</t>
        </is>
      </c>
      <c r="C340" t="inlineStr">
        <is>
          <t>Föryngringsavverkning</t>
        </is>
      </c>
      <c r="D340" s="1" t="n">
        <v>45604</v>
      </c>
      <c r="E340" s="1" t="n">
        <v>46291</v>
      </c>
      <c r="F340" t="inlineStr">
        <is>
          <t>NORRBOTTENS LÄN</t>
        </is>
      </c>
      <c r="G340" t="inlineStr">
        <is>
          <t>JOKKMOKK</t>
        </is>
      </c>
      <c r="H340" t="inlineStr">
        <is>
          <t>SCA</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34316-2026</t>
        </is>
      </c>
      <c r="B341" t="inlineStr">
        <is>
          <t>avverkningsanmälan</t>
        </is>
      </c>
      <c r="C341" t="inlineStr">
        <is>
          <t>Föryngringsavverkning</t>
        </is>
      </c>
      <c r="D341" s="1" t="n">
        <v>46254</v>
      </c>
      <c r="E341" s="1" t="n">
        <v>46291</v>
      </c>
      <c r="F341" t="inlineStr">
        <is>
          <t>NORRBOTTENS LÄN</t>
        </is>
      </c>
      <c r="G341" t="inlineStr">
        <is>
          <t>JOKKMOKK</t>
        </is>
      </c>
      <c r="H341" t="inlineStr">
        <is>
          <t>SCA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31064-2026</t>
        </is>
      </c>
      <c r="B342" t="inlineStr">
        <is>
          <t>avverkningsanmälan</t>
        </is>
      </c>
      <c r="C342" t="inlineStr">
        <is>
          <t>Föryngringsavverkning</t>
        </is>
      </c>
      <c r="D342" s="1" t="n">
        <v>46215</v>
      </c>
      <c r="E342" s="1" t="n">
        <v>46291</v>
      </c>
      <c r="F342" t="inlineStr">
        <is>
          <t>NORRBOTTENS LÄN</t>
        </is>
      </c>
      <c r="G342" t="inlineStr">
        <is>
          <t>JOKKMOKK</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31063-2026</t>
        </is>
      </c>
      <c r="B343" t="inlineStr">
        <is>
          <t>avverkningsanmälan</t>
        </is>
      </c>
      <c r="C343" t="inlineStr">
        <is>
          <t>Föryngringsavverkning</t>
        </is>
      </c>
      <c r="D343" s="1" t="n">
        <v>46215</v>
      </c>
      <c r="E343" s="1" t="n">
        <v>46291</v>
      </c>
      <c r="F343" t="inlineStr">
        <is>
          <t>NORRBOTTENS LÄN</t>
        </is>
      </c>
      <c r="G343" t="inlineStr">
        <is>
          <t>JOKKMOKK</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34626-2026</t>
        </is>
      </c>
      <c r="B344" t="inlineStr">
        <is>
          <t>avverkningsanmälan</t>
        </is>
      </c>
      <c r="C344" t="inlineStr">
        <is>
          <t>Föryngringsavverkning</t>
        </is>
      </c>
      <c r="D344" s="1" t="n">
        <v>46255</v>
      </c>
      <c r="E344" s="1" t="n">
        <v>46291</v>
      </c>
      <c r="F344" t="inlineStr">
        <is>
          <t>NORRBOTTENS LÄN</t>
        </is>
      </c>
      <c r="G344" t="inlineStr">
        <is>
          <t>JOKKMOKK</t>
        </is>
      </c>
      <c r="I344" t="n">
        <v>10.8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30756-2026</t>
        </is>
      </c>
      <c r="B345" t="inlineStr">
        <is>
          <t>avverkningsanmälan</t>
        </is>
      </c>
      <c r="C345" t="inlineStr">
        <is>
          <t>Föryngringsavverkning</t>
        </is>
      </c>
      <c r="D345" s="1" t="n">
        <v>46212</v>
      </c>
      <c r="E345" s="1" t="n">
        <v>46291</v>
      </c>
      <c r="F345" t="inlineStr">
        <is>
          <t>NORRBOTTENS LÄN</t>
        </is>
      </c>
      <c r="G345" t="inlineStr">
        <is>
          <t>JOKKMOKK</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34453-2026</t>
        </is>
      </c>
      <c r="B346" t="inlineStr">
        <is>
          <t>avverkningsanmälan</t>
        </is>
      </c>
      <c r="C346" t="inlineStr">
        <is>
          <t>Föryngringsavverkning</t>
        </is>
      </c>
      <c r="D346" s="1" t="n">
        <v>46253</v>
      </c>
      <c r="E346" s="1" t="n">
        <v>46291</v>
      </c>
      <c r="F346" t="inlineStr">
        <is>
          <t>NORRBOTTENS LÄN</t>
        </is>
      </c>
      <c r="G346" t="inlineStr">
        <is>
          <t>JOKKMOKK</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30757-2026</t>
        </is>
      </c>
      <c r="B347" t="inlineStr">
        <is>
          <t>avverkningsanmälan</t>
        </is>
      </c>
      <c r="C347" t="inlineStr">
        <is>
          <t>Föryngringsavverkning</t>
        </is>
      </c>
      <c r="D347" s="1" t="n">
        <v>46212</v>
      </c>
      <c r="E347" s="1" t="n">
        <v>46291</v>
      </c>
      <c r="F347" t="inlineStr">
        <is>
          <t>NORRBOTTENS LÄN</t>
        </is>
      </c>
      <c r="G347" t="inlineStr">
        <is>
          <t>JOKKMOKK</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33827-2024</t>
        </is>
      </c>
      <c r="B348" t="inlineStr">
        <is>
          <t>avverkningsanmälan</t>
        </is>
      </c>
      <c r="C348" t="inlineStr">
        <is>
          <t>Föryngringsavverkning</t>
        </is>
      </c>
      <c r="D348" s="1" t="n">
        <v>45520</v>
      </c>
      <c r="E348" s="1" t="n">
        <v>46291</v>
      </c>
      <c r="F348" t="inlineStr">
        <is>
          <t>NORRBOTTENS LÄN</t>
        </is>
      </c>
      <c r="G348" t="inlineStr">
        <is>
          <t>JOKKMOKK</t>
        </is>
      </c>
      <c r="H348" t="inlineStr">
        <is>
          <t>SCA</t>
        </is>
      </c>
      <c r="I348" t="n">
        <v>12.8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31099-2026</t>
        </is>
      </c>
      <c r="B349" t="inlineStr">
        <is>
          <t>avverkningsanmälan</t>
        </is>
      </c>
      <c r="C349" t="inlineStr">
        <is>
          <t>Föryngringsavverkning</t>
        </is>
      </c>
      <c r="D349" s="1" t="n">
        <v>46216</v>
      </c>
      <c r="E349" s="1" t="n">
        <v>46291</v>
      </c>
      <c r="F349" t="inlineStr">
        <is>
          <t>NORRBOTTENS LÄN</t>
        </is>
      </c>
      <c r="G349" t="inlineStr">
        <is>
          <t>JOKKMOKK</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25156-2026</t>
        </is>
      </c>
      <c r="B350" t="inlineStr">
        <is>
          <t>avverkningsanmälan</t>
        </is>
      </c>
      <c r="C350" t="inlineStr">
        <is>
          <t>Föryngringsavverkning</t>
        </is>
      </c>
      <c r="D350" s="1" t="n">
        <v>46175</v>
      </c>
      <c r="E350" s="1" t="n">
        <v>46291</v>
      </c>
      <c r="F350" t="inlineStr">
        <is>
          <t>NORRBOTTENS LÄN</t>
        </is>
      </c>
      <c r="G350" t="inlineStr">
        <is>
          <t>JOKKMOKK</t>
        </is>
      </c>
      <c r="I350" t="n">
        <v>35.4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31100-2026</t>
        </is>
      </c>
      <c r="B351" t="inlineStr">
        <is>
          <t>avverkningsanmälan</t>
        </is>
      </c>
      <c r="C351" t="inlineStr">
        <is>
          <t>Föryngringsavverkning</t>
        </is>
      </c>
      <c r="D351" s="1" t="n">
        <v>46216</v>
      </c>
      <c r="E351" s="1" t="n">
        <v>46291</v>
      </c>
      <c r="F351" t="inlineStr">
        <is>
          <t>NORRBOTTENS LÄN</t>
        </is>
      </c>
      <c r="G351" t="inlineStr">
        <is>
          <t>JOKKMOKK</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47208-2022</t>
        </is>
      </c>
      <c r="B352" t="inlineStr">
        <is>
          <t>avverkningsanmälan</t>
        </is>
      </c>
      <c r="C352" t="inlineStr">
        <is>
          <t>Föryngringsavverkning</t>
        </is>
      </c>
      <c r="D352" s="1" t="n">
        <v>44851</v>
      </c>
      <c r="E352" s="1" t="n">
        <v>46291</v>
      </c>
      <c r="F352" t="inlineStr">
        <is>
          <t>NORRBOTTENS LÄN</t>
        </is>
      </c>
      <c r="G352" t="inlineStr">
        <is>
          <t>JOKKMOKK</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35867-2026</t>
        </is>
      </c>
      <c r="B353" t="inlineStr">
        <is>
          <t>avverkningsanmälan</t>
        </is>
      </c>
      <c r="C353" t="inlineStr">
        <is>
          <t>Avverkning för annat ändamål</t>
        </is>
      </c>
      <c r="D353" s="1" t="n">
        <v>46266</v>
      </c>
      <c r="E353" s="1" t="n">
        <v>46291</v>
      </c>
      <c r="F353" t="inlineStr">
        <is>
          <t>NORRBOTTENS LÄN</t>
        </is>
      </c>
      <c r="G353" t="inlineStr">
        <is>
          <t>JOKKMOKK</t>
        </is>
      </c>
      <c r="H353" t="inlineStr">
        <is>
          <t>Sveaskog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59849-2023</t>
        </is>
      </c>
      <c r="B354" t="inlineStr">
        <is>
          <t>avverkningsanmälan</t>
        </is>
      </c>
      <c r="C354" t="inlineStr">
        <is>
          <t>Föryngringsavverkning</t>
        </is>
      </c>
      <c r="D354" s="1" t="n">
        <v>45257</v>
      </c>
      <c r="E354" s="1" t="n">
        <v>46291</v>
      </c>
      <c r="F354" t="inlineStr">
        <is>
          <t>NORRBOTTENS LÄN</t>
        </is>
      </c>
      <c r="G354" t="inlineStr">
        <is>
          <t>JOKKMOKK</t>
        </is>
      </c>
      <c r="H354" t="inlineStr">
        <is>
          <t>Allmännings- och besparingsskogar</t>
        </is>
      </c>
      <c r="I354" t="n">
        <v>12.7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27652-2024</t>
        </is>
      </c>
      <c r="B355" t="inlineStr">
        <is>
          <t>avverkningsanmälan</t>
        </is>
      </c>
      <c r="C355" t="inlineStr">
        <is>
          <t>Föryngringsavverkning</t>
        </is>
      </c>
      <c r="D355" s="1" t="n">
        <v>45474</v>
      </c>
      <c r="E355" s="1" t="n">
        <v>46291</v>
      </c>
      <c r="F355" t="inlineStr">
        <is>
          <t>NORRBOTTENS LÄN</t>
        </is>
      </c>
      <c r="G355" t="inlineStr">
        <is>
          <t>JOKKMOKK</t>
        </is>
      </c>
      <c r="H355" t="inlineStr">
        <is>
          <t>SCA</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18493-2025</t>
        </is>
      </c>
      <c r="B356" t="inlineStr">
        <is>
          <t>avverkningsanmälan</t>
        </is>
      </c>
      <c r="C356" t="inlineStr">
        <is>
          <t>Föryngringsavverkning</t>
        </is>
      </c>
      <c r="D356" s="1" t="n">
        <v>45763</v>
      </c>
      <c r="E356" s="1" t="n">
        <v>46291</v>
      </c>
      <c r="F356" t="inlineStr">
        <is>
          <t>NORRBOTTENS LÄN</t>
        </is>
      </c>
      <c r="G356" t="inlineStr">
        <is>
          <t>JOKKMOKK</t>
        </is>
      </c>
      <c r="H356" t="inlineStr">
        <is>
          <t>SCA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37284-2026</t>
        </is>
      </c>
      <c r="B357" t="inlineStr">
        <is>
          <t>avverkningsanmälan</t>
        </is>
      </c>
      <c r="C357" t="inlineStr">
        <is>
          <t>Föryngringsavverkning</t>
        </is>
      </c>
      <c r="D357" s="1" t="n">
        <v>46274</v>
      </c>
      <c r="E357" s="1" t="n">
        <v>46291</v>
      </c>
      <c r="F357" t="inlineStr">
        <is>
          <t>NORRBOTTENS LÄN</t>
        </is>
      </c>
      <c r="G357" t="inlineStr">
        <is>
          <t>JOKKMOKK</t>
        </is>
      </c>
      <c r="H357" t="inlineStr">
        <is>
          <t>SCA</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63025-2025</t>
        </is>
      </c>
      <c r="B358" t="inlineStr">
        <is>
          <t>avverkningsanmälan</t>
        </is>
      </c>
      <c r="C358" t="inlineStr">
        <is>
          <t>Föryngringsavverkning</t>
        </is>
      </c>
      <c r="D358" s="1" t="n">
        <v>46009</v>
      </c>
      <c r="E358" s="1" t="n">
        <v>46291</v>
      </c>
      <c r="F358" t="inlineStr">
        <is>
          <t>NORRBOTTENS LÄN</t>
        </is>
      </c>
      <c r="G358" t="inlineStr">
        <is>
          <t>JOKKMOKK</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32265-2026</t>
        </is>
      </c>
      <c r="B359" t="inlineStr">
        <is>
          <t>avverkningsanmälan</t>
        </is>
      </c>
      <c r="C359" t="inlineStr">
        <is>
          <t>Föryngringsavverkning</t>
        </is>
      </c>
      <c r="D359" s="1" t="n">
        <v>46237</v>
      </c>
      <c r="E359" s="1" t="n">
        <v>46291</v>
      </c>
      <c r="F359" t="inlineStr">
        <is>
          <t>NORRBOTTENS LÄN</t>
        </is>
      </c>
      <c r="G359" t="inlineStr">
        <is>
          <t>JOKKMOKK</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45468-2022</t>
        </is>
      </c>
      <c r="B360" t="inlineStr">
        <is>
          <t>avverkningsanmälan</t>
        </is>
      </c>
      <c r="C360" t="inlineStr">
        <is>
          <t>Föryngringsavverkning</t>
        </is>
      </c>
      <c r="D360" s="1" t="n">
        <v>44841</v>
      </c>
      <c r="E360" s="1" t="n">
        <v>46291</v>
      </c>
      <c r="F360" t="inlineStr">
        <is>
          <t>NORRBOTTENS LÄN</t>
        </is>
      </c>
      <c r="G360" t="inlineStr">
        <is>
          <t>JOKKMOKK</t>
        </is>
      </c>
      <c r="H360" t="inlineStr">
        <is>
          <t>Övriga Aktiebolag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38250-2026</t>
        </is>
      </c>
      <c r="B361" t="inlineStr">
        <is>
          <t>avverkningsanmälan</t>
        </is>
      </c>
      <c r="C361" t="inlineStr">
        <is>
          <t>Föryngringsavverkning</t>
        </is>
      </c>
      <c r="D361" s="1" t="n">
        <v>46281</v>
      </c>
      <c r="E361" s="1" t="n">
        <v>46291</v>
      </c>
      <c r="F361" t="inlineStr">
        <is>
          <t>NORRBOTTENS LÄN</t>
        </is>
      </c>
      <c r="G361" t="inlineStr">
        <is>
          <t>JOKKMOKK</t>
        </is>
      </c>
      <c r="H361" t="inlineStr">
        <is>
          <t>SCA</t>
        </is>
      </c>
      <c r="I361" t="n">
        <v>12.7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38199-2026</t>
        </is>
      </c>
      <c r="B362" t="inlineStr">
        <is>
          <t>avverkningsanmälan</t>
        </is>
      </c>
      <c r="C362" t="inlineStr">
        <is>
          <t>Föryngringsavverkning</t>
        </is>
      </c>
      <c r="D362" s="1" t="n">
        <v>46281</v>
      </c>
      <c r="E362" s="1" t="n">
        <v>46291</v>
      </c>
      <c r="F362" t="inlineStr">
        <is>
          <t>NORRBOTTENS LÄN</t>
        </is>
      </c>
      <c r="G362" t="inlineStr">
        <is>
          <t>JOKKMOKK</t>
        </is>
      </c>
      <c r="H362" t="inlineStr">
        <is>
          <t>SCA</t>
        </is>
      </c>
      <c r="I362" t="n">
        <v>9.300000000000001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38154-2026</t>
        </is>
      </c>
      <c r="B363" t="inlineStr">
        <is>
          <t>avverkningsanmälan</t>
        </is>
      </c>
      <c r="C363" t="inlineStr">
        <is>
          <t>Föryngringsavverkning</t>
        </is>
      </c>
      <c r="D363" s="1" t="n">
        <v>46281</v>
      </c>
      <c r="E363" s="1" t="n">
        <v>46291</v>
      </c>
      <c r="F363" t="inlineStr">
        <is>
          <t>NORRBOTTENS LÄN</t>
        </is>
      </c>
      <c r="G363" t="inlineStr">
        <is>
          <t>JOKKMOKK</t>
        </is>
      </c>
      <c r="H363" t="inlineStr">
        <is>
          <t>SCA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18772-2023</t>
        </is>
      </c>
      <c r="B364" t="inlineStr">
        <is>
          <t>avverkningsanmälan</t>
        </is>
      </c>
      <c r="C364" t="inlineStr">
        <is>
          <t>Föryngringsavverkning</t>
        </is>
      </c>
      <c r="D364" s="1" t="n">
        <v>45043</v>
      </c>
      <c r="E364" s="1" t="n">
        <v>46291</v>
      </c>
      <c r="F364" t="inlineStr">
        <is>
          <t>NORRBOTTENS LÄN</t>
        </is>
      </c>
      <c r="G364" t="inlineStr">
        <is>
          <t>JOKKMOKK</t>
        </is>
      </c>
      <c r="H364" t="inlineStr">
        <is>
          <t>SCA</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38155-2026</t>
        </is>
      </c>
      <c r="B365" t="inlineStr">
        <is>
          <t>avverkningsanmälan</t>
        </is>
      </c>
      <c r="C365" t="inlineStr">
        <is>
          <t>Föryngringsavverkning</t>
        </is>
      </c>
      <c r="D365" s="1" t="n">
        <v>46281</v>
      </c>
      <c r="E365" s="1" t="n">
        <v>46291</v>
      </c>
      <c r="F365" t="inlineStr">
        <is>
          <t>NORRBOTTENS LÄN</t>
        </is>
      </c>
      <c r="G365" t="inlineStr">
        <is>
          <t>JOKKMOKK</t>
        </is>
      </c>
      <c r="H365" t="inlineStr">
        <is>
          <t>SCA</t>
        </is>
      </c>
      <c r="I365" t="n">
        <v>11.6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32428-2026</t>
        </is>
      </c>
      <c r="B366" t="inlineStr">
        <is>
          <t>avverkningsanmälan</t>
        </is>
      </c>
      <c r="C366" t="inlineStr">
        <is>
          <t>Föryngringsavverkning</t>
        </is>
      </c>
      <c r="D366" s="1" t="n">
        <v>46238</v>
      </c>
      <c r="E366" s="1" t="n">
        <v>46291</v>
      </c>
      <c r="F366" t="inlineStr">
        <is>
          <t>NORRBOTTENS LÄN</t>
        </is>
      </c>
      <c r="G366" t="inlineStr">
        <is>
          <t>JOKKMOKK</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38197-2026</t>
        </is>
      </c>
      <c r="B367" t="inlineStr">
        <is>
          <t>avverkningsanmälan</t>
        </is>
      </c>
      <c r="C367" t="inlineStr">
        <is>
          <t>Föryngringsavverkning</t>
        </is>
      </c>
      <c r="D367" s="1" t="n">
        <v>46281</v>
      </c>
      <c r="E367" s="1" t="n">
        <v>46291</v>
      </c>
      <c r="F367" t="inlineStr">
        <is>
          <t>NORRBOTTENS LÄN</t>
        </is>
      </c>
      <c r="G367" t="inlineStr">
        <is>
          <t>JOKKMOKK</t>
        </is>
      </c>
      <c r="H367" t="inlineStr">
        <is>
          <t>SCA</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9854-2023</t>
        </is>
      </c>
      <c r="B368" t="inlineStr">
        <is>
          <t>avverkningsanmälan</t>
        </is>
      </c>
      <c r="C368" t="inlineStr">
        <is>
          <t>Föryngringsavverkning</t>
        </is>
      </c>
      <c r="D368" s="1" t="n">
        <v>44984</v>
      </c>
      <c r="E368" s="1" t="n">
        <v>46291</v>
      </c>
      <c r="F368" t="inlineStr">
        <is>
          <t>NORRBOTTENS LÄN</t>
        </is>
      </c>
      <c r="G368" t="inlineStr">
        <is>
          <t>JOKKMOKK</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56168-2022</t>
        </is>
      </c>
      <c r="B369" t="inlineStr">
        <is>
          <t>avverkningsanmälan</t>
        </is>
      </c>
      <c r="C369" t="inlineStr">
        <is>
          <t>Avverkning för annat ändamål</t>
        </is>
      </c>
      <c r="D369" s="1" t="n">
        <v>44889</v>
      </c>
      <c r="E369" s="1" t="n">
        <v>46291</v>
      </c>
      <c r="F369" t="inlineStr">
        <is>
          <t>NORRBOTTENS LÄN</t>
        </is>
      </c>
      <c r="G369" t="inlineStr">
        <is>
          <t>JOKKMOKK</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9865-2023</t>
        </is>
      </c>
      <c r="B370" t="inlineStr">
        <is>
          <t>avverkningsanmälan</t>
        </is>
      </c>
      <c r="C370" t="inlineStr">
        <is>
          <t>Föryngringsavverkning</t>
        </is>
      </c>
      <c r="D370" s="1" t="n">
        <v>44984</v>
      </c>
      <c r="E370" s="1" t="n">
        <v>46291</v>
      </c>
      <c r="F370" t="inlineStr">
        <is>
          <t>NORRBOTTENS LÄN</t>
        </is>
      </c>
      <c r="G370" t="inlineStr">
        <is>
          <t>JOKKMOKK</t>
        </is>
      </c>
      <c r="H370" t="inlineStr">
        <is>
          <t>SCA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45469-2022</t>
        </is>
      </c>
      <c r="B371" t="inlineStr">
        <is>
          <t>avverkningsanmälan</t>
        </is>
      </c>
      <c r="C371" t="inlineStr">
        <is>
          <t>Föryngringsavverkning</t>
        </is>
      </c>
      <c r="D371" s="1" t="n">
        <v>44841</v>
      </c>
      <c r="E371" s="1" t="n">
        <v>46291</v>
      </c>
      <c r="F371" t="inlineStr">
        <is>
          <t>NORRBOTTENS LÄN</t>
        </is>
      </c>
      <c r="G371" t="inlineStr">
        <is>
          <t>JOKKMOKK</t>
        </is>
      </c>
      <c r="H371" t="inlineStr">
        <is>
          <t>Övriga Aktiebolag</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32957-2024</t>
        </is>
      </c>
      <c r="B372" t="inlineStr">
        <is>
          <t>avverkningsanmälan</t>
        </is>
      </c>
      <c r="C372" t="inlineStr">
        <is>
          <t>Föryngringsavverkning</t>
        </is>
      </c>
      <c r="D372" s="1" t="n">
        <v>45517</v>
      </c>
      <c r="E372" s="1" t="n">
        <v>46291</v>
      </c>
      <c r="F372" t="inlineStr">
        <is>
          <t>NORRBOTTENS LÄN</t>
        </is>
      </c>
      <c r="G372" t="inlineStr">
        <is>
          <t>JOKKMOKK</t>
        </is>
      </c>
      <c r="H372" t="inlineStr">
        <is>
          <t>Sveaskog</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45333-2024</t>
        </is>
      </c>
      <c r="B373" t="inlineStr">
        <is>
          <t>avverkningsanmälan</t>
        </is>
      </c>
      <c r="C373" t="inlineStr">
        <is>
          <t>Avverkning för annat ändamål</t>
        </is>
      </c>
      <c r="D373" s="1" t="n">
        <v>45576</v>
      </c>
      <c r="E373" s="1" t="n">
        <v>46291</v>
      </c>
      <c r="F373" t="inlineStr">
        <is>
          <t>NORRBOTTENS LÄN</t>
        </is>
      </c>
      <c r="G373" t="inlineStr">
        <is>
          <t>JOKKMOKK</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6778-2023</t>
        </is>
      </c>
      <c r="B374" t="inlineStr">
        <is>
          <t>avverkningsanmälan</t>
        </is>
      </c>
      <c r="C374" t="inlineStr">
        <is>
          <t>Föryngringsavverkning</t>
        </is>
      </c>
      <c r="D374" s="1" t="n">
        <v>44966</v>
      </c>
      <c r="E374" s="1" t="n">
        <v>46291</v>
      </c>
      <c r="F374" t="inlineStr">
        <is>
          <t>NORRBOTTENS LÄN</t>
        </is>
      </c>
      <c r="G374" t="inlineStr">
        <is>
          <t>JOKKMOKK</t>
        </is>
      </c>
      <c r="H374" t="inlineStr">
        <is>
          <t>SCA</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31209-2023</t>
        </is>
      </c>
      <c r="B375" t="inlineStr">
        <is>
          <t>avverkningsanmälan</t>
        </is>
      </c>
      <c r="C375" t="inlineStr">
        <is>
          <t>Föryngringsavverkning</t>
        </is>
      </c>
      <c r="D375" s="1" t="n">
        <v>45113</v>
      </c>
      <c r="E375" s="1" t="n">
        <v>46291</v>
      </c>
      <c r="F375" t="inlineStr">
        <is>
          <t>NORRBOTTENS LÄN</t>
        </is>
      </c>
      <c r="G375" t="inlineStr">
        <is>
          <t>JOKKMOKK</t>
        </is>
      </c>
      <c r="H375" t="inlineStr">
        <is>
          <t>SCA</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39312-2026</t>
        </is>
      </c>
      <c r="B376" t="inlineStr">
        <is>
          <t>avverkningsanmälan</t>
        </is>
      </c>
      <c r="C376" t="inlineStr">
        <is>
          <t>Föryngringsavverkning</t>
        </is>
      </c>
      <c r="D376" s="1" t="n">
        <v>46288</v>
      </c>
      <c r="E376" s="1" t="n">
        <v>46291</v>
      </c>
      <c r="F376" t="inlineStr">
        <is>
          <t>NORRBOTTENS LÄN</t>
        </is>
      </c>
      <c r="G376" t="inlineStr">
        <is>
          <t>JOKKMOKK</t>
        </is>
      </c>
      <c r="H376" t="inlineStr">
        <is>
          <t>Sveaskog</t>
        </is>
      </c>
      <c r="I376" t="n">
        <v>33.8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23019-2023</t>
        </is>
      </c>
      <c r="B377" t="inlineStr">
        <is>
          <t>avverkningsanmälan</t>
        </is>
      </c>
      <c r="C377" t="inlineStr">
        <is>
          <t>Föryngringsavverkning</t>
        </is>
      </c>
      <c r="D377" s="1" t="n">
        <v>45073</v>
      </c>
      <c r="E377" s="1" t="n">
        <v>46291</v>
      </c>
      <c r="F377" t="inlineStr">
        <is>
          <t>NORRBOTTENS LÄN</t>
        </is>
      </c>
      <c r="G377" t="inlineStr">
        <is>
          <t>JOKKMOKK</t>
        </is>
      </c>
      <c r="H377" t="inlineStr">
        <is>
          <t>SCA</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10576-2026</t>
        </is>
      </c>
      <c r="B378" t="inlineStr">
        <is>
          <t>avverkningsanmälan</t>
        </is>
      </c>
      <c r="C378" t="inlineStr">
        <is>
          <t>Föryngringsavverkning</t>
        </is>
      </c>
      <c r="D378" s="1" t="n">
        <v>46077</v>
      </c>
      <c r="E378" s="1" t="n">
        <v>46291</v>
      </c>
      <c r="F378" t="inlineStr">
        <is>
          <t>NORRBOTTENS LÄN</t>
        </is>
      </c>
      <c r="G378" t="inlineStr">
        <is>
          <t>JOKKMOKK</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48586-2022</t>
        </is>
      </c>
      <c r="B379" t="inlineStr">
        <is>
          <t>avverkningsanmälan</t>
        </is>
      </c>
      <c r="C379" t="inlineStr">
        <is>
          <t>Föryngringsavverkning</t>
        </is>
      </c>
      <c r="D379" s="1" t="n">
        <v>44854</v>
      </c>
      <c r="E379" s="1" t="n">
        <v>46291</v>
      </c>
      <c r="F379" t="inlineStr">
        <is>
          <t>NORRBOTTENS LÄN</t>
        </is>
      </c>
      <c r="G379" t="inlineStr">
        <is>
          <t>JOKKMOKK</t>
        </is>
      </c>
      <c r="H379" t="inlineStr">
        <is>
          <t>Övriga statliga verk och myndigheter</t>
        </is>
      </c>
      <c r="I379" t="n">
        <v>26.1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39636-2026</t>
        </is>
      </c>
      <c r="B380" t="inlineStr">
        <is>
          <t>avverkningsanmälan</t>
        </is>
      </c>
      <c r="C380" t="inlineStr">
        <is>
          <t>Föryngringsavverkning</t>
        </is>
      </c>
      <c r="D380" s="1" t="n">
        <v>46289</v>
      </c>
      <c r="E380" s="1" t="n">
        <v>46291</v>
      </c>
      <c r="F380" t="inlineStr">
        <is>
          <t>NORRBOTTENS LÄN</t>
        </is>
      </c>
      <c r="G380" t="inlineStr">
        <is>
          <t>JOKKMOKK</t>
        </is>
      </c>
      <c r="H380" t="inlineStr">
        <is>
          <t>SCA</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24441-2026</t>
        </is>
      </c>
      <c r="B381" t="inlineStr">
        <is>
          <t>avverkningsanmälan</t>
        </is>
      </c>
      <c r="C381" t="inlineStr">
        <is>
          <t>Föryngringsavverkning</t>
        </is>
      </c>
      <c r="D381" s="1" t="n">
        <v>46170</v>
      </c>
      <c r="E381" s="1" t="n">
        <v>46291</v>
      </c>
      <c r="F381" t="inlineStr">
        <is>
          <t>NORRBOTTENS LÄN</t>
        </is>
      </c>
      <c r="G381" t="inlineStr">
        <is>
          <t>JOKKMOKK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24926-2026</t>
        </is>
      </c>
      <c r="B382" t="inlineStr">
        <is>
          <t>avverkningsanmälan</t>
        </is>
      </c>
      <c r="C382" t="inlineStr">
        <is>
          <t>Föryngringsavverkning</t>
        </is>
      </c>
      <c r="D382" s="1" t="n">
        <v>46174</v>
      </c>
      <c r="E382" s="1" t="n">
        <v>46291</v>
      </c>
      <c r="F382" t="inlineStr">
        <is>
          <t>NORRBOTTENS LÄN</t>
        </is>
      </c>
      <c r="G382" t="inlineStr">
        <is>
          <t>JOKKMOKK</t>
        </is>
      </c>
      <c r="H382" t="inlineStr">
        <is>
          <t>Övriga Aktiebolag</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4136-2024</t>
        </is>
      </c>
      <c r="B383" t="inlineStr">
        <is>
          <t>avverkningsanmälan</t>
        </is>
      </c>
      <c r="C383" t="inlineStr">
        <is>
          <t>Föryngringsavverkning</t>
        </is>
      </c>
      <c r="D383" s="1" t="n">
        <v>45323</v>
      </c>
      <c r="E383" s="1" t="n">
        <v>46291</v>
      </c>
      <c r="F383" t="inlineStr">
        <is>
          <t>NORRBOTTENS LÄN</t>
        </is>
      </c>
      <c r="G383" t="inlineStr">
        <is>
          <t>JOKKMOKK</t>
        </is>
      </c>
      <c r="I383" t="n">
        <v>27.3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33648-2026</t>
        </is>
      </c>
      <c r="B384" t="inlineStr">
        <is>
          <t>avverkningsanmälan</t>
        </is>
      </c>
      <c r="C384" t="inlineStr">
        <is>
          <t>Föryngringsavverkning</t>
        </is>
      </c>
      <c r="D384" s="1" t="n">
        <v>46248</v>
      </c>
      <c r="E384" s="1" t="n">
        <v>46291</v>
      </c>
      <c r="F384" t="inlineStr">
        <is>
          <t>NORRBOTTENS LÄN</t>
        </is>
      </c>
      <c r="G384" t="inlineStr">
        <is>
          <t>JOKKMOKK</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33434-2026</t>
        </is>
      </c>
      <c r="B385" t="inlineStr">
        <is>
          <t>avverkningsanmälan</t>
        </is>
      </c>
      <c r="C385" t="inlineStr">
        <is>
          <t>Föryngringsavverkning</t>
        </is>
      </c>
      <c r="D385" s="1" t="n">
        <v>46247</v>
      </c>
      <c r="E385" s="1" t="n">
        <v>46291</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18537-2023</t>
        </is>
      </c>
      <c r="B386" t="inlineStr">
        <is>
          <t>avverkningsanmälan</t>
        </is>
      </c>
      <c r="C386" t="inlineStr">
        <is>
          <t>Föryngringsavverkning</t>
        </is>
      </c>
      <c r="D386" s="1" t="n">
        <v>45028</v>
      </c>
      <c r="E386" s="1" t="n">
        <v>46291</v>
      </c>
      <c r="F386" t="inlineStr">
        <is>
          <t>NORRBOTTENS LÄN</t>
        </is>
      </c>
      <c r="G386" t="inlineStr">
        <is>
          <t>JOKKMOKK</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49474-2024</t>
        </is>
      </c>
      <c r="B387" t="inlineStr">
        <is>
          <t>avverkningsanmälan</t>
        </is>
      </c>
      <c r="C387" t="inlineStr">
        <is>
          <t>Föryngringsavverkning</t>
        </is>
      </c>
      <c r="D387" s="1" t="n">
        <v>45596</v>
      </c>
      <c r="E387" s="1" t="n">
        <v>46291</v>
      </c>
      <c r="F387" t="inlineStr">
        <is>
          <t>NORRBOTTENS LÄN</t>
        </is>
      </c>
      <c r="G387" t="inlineStr">
        <is>
          <t>JOKKMOKK</t>
        </is>
      </c>
      <c r="H387" t="inlineStr">
        <is>
          <t>SCA</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33652-2026</t>
        </is>
      </c>
      <c r="B388" t="inlineStr">
        <is>
          <t>avverkningsanmälan</t>
        </is>
      </c>
      <c r="C388" t="inlineStr">
        <is>
          <t>Föryngringsavverkning</t>
        </is>
      </c>
      <c r="D388" s="1" t="n">
        <v>46248</v>
      </c>
      <c r="E388" s="1" t="n">
        <v>46291</v>
      </c>
      <c r="F388" t="inlineStr">
        <is>
          <t>NORRBOTTENS LÄN</t>
        </is>
      </c>
      <c r="G388" t="inlineStr">
        <is>
          <t>JOKKMOKK</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457-2025</t>
        </is>
      </c>
      <c r="B389" t="inlineStr">
        <is>
          <t>avverkningsanmälan</t>
        </is>
      </c>
      <c r="C389" t="inlineStr">
        <is>
          <t>Föryngringsavverkning</t>
        </is>
      </c>
      <c r="D389" s="1" t="n">
        <v>45664</v>
      </c>
      <c r="E389" s="1" t="n">
        <v>46291</v>
      </c>
      <c r="F389" t="inlineStr">
        <is>
          <t>NORRBOTTENS LÄN</t>
        </is>
      </c>
      <c r="G389" t="inlineStr">
        <is>
          <t>JOKKMOKK</t>
        </is>
      </c>
      <c r="H389" t="inlineStr">
        <is>
          <t>Övriga statliga verk och myndigheter</t>
        </is>
      </c>
      <c r="I389" t="n">
        <v>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20593-2023</t>
        </is>
      </c>
      <c r="B390" t="inlineStr">
        <is>
          <t>avverkningsanmälan</t>
        </is>
      </c>
      <c r="C390" t="inlineStr">
        <is>
          <t>Föryngringsavverkning</t>
        </is>
      </c>
      <c r="D390" s="1" t="n">
        <v>45057</v>
      </c>
      <c r="E390" s="1" t="n">
        <v>46291</v>
      </c>
      <c r="F390" t="inlineStr">
        <is>
          <t>NORRBOTTENS LÄN</t>
        </is>
      </c>
      <c r="G390" t="inlineStr">
        <is>
          <t>JOKKMOKK</t>
        </is>
      </c>
      <c r="H390" t="inlineStr">
        <is>
          <t>SCA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33014-2023</t>
        </is>
      </c>
      <c r="B391" t="inlineStr">
        <is>
          <t>avverkningsanmälan</t>
        </is>
      </c>
      <c r="C391" t="inlineStr">
        <is>
          <t>Avverkning för annat ändamål</t>
        </is>
      </c>
      <c r="D391" s="1" t="n">
        <v>45113</v>
      </c>
      <c r="E391" s="1" t="n">
        <v>46291</v>
      </c>
      <c r="F391" t="inlineStr">
        <is>
          <t>NORRBOTTENS LÄN</t>
        </is>
      </c>
      <c r="G391" t="inlineStr">
        <is>
          <t>JOKKMOKK</t>
        </is>
      </c>
      <c r="H391" t="inlineStr">
        <is>
          <t>Övriga statliga verk och myndigheter</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56199-2021</t>
        </is>
      </c>
      <c r="B392" t="inlineStr">
        <is>
          <t>avverkningsanmälan</t>
        </is>
      </c>
      <c r="C392" t="inlineStr">
        <is>
          <t>Föryngringsavverkning</t>
        </is>
      </c>
      <c r="D392" s="1" t="n">
        <v>44477</v>
      </c>
      <c r="E392" s="1" t="n">
        <v>46291</v>
      </c>
      <c r="F392" t="inlineStr">
        <is>
          <t>NORRBOTTENS LÄN</t>
        </is>
      </c>
      <c r="G392" t="inlineStr">
        <is>
          <t>JOKKMOKK</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2826-2025</t>
        </is>
      </c>
      <c r="B393" t="inlineStr">
        <is>
          <t>avverkningsanmälan</t>
        </is>
      </c>
      <c r="C393" t="inlineStr">
        <is>
          <t>Föryngringsavverkning</t>
        </is>
      </c>
      <c r="D393" s="1" t="n">
        <v>45677</v>
      </c>
      <c r="E393" s="1" t="n">
        <v>46291</v>
      </c>
      <c r="F393" t="inlineStr">
        <is>
          <t>NORRBOTTENS LÄN</t>
        </is>
      </c>
      <c r="G393" t="inlineStr">
        <is>
          <t>JOKKMOKK</t>
        </is>
      </c>
      <c r="H393" t="inlineStr">
        <is>
          <t>Övriga statliga verk och myndigheter</t>
        </is>
      </c>
      <c r="I393" t="n">
        <v>10.5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40106-2023</t>
        </is>
      </c>
      <c r="B394" t="inlineStr">
        <is>
          <t>avverkningsanmälan</t>
        </is>
      </c>
      <c r="C394" t="inlineStr">
        <is>
          <t>Föryngringsavverkning</t>
        </is>
      </c>
      <c r="D394" s="1" t="n">
        <v>45168</v>
      </c>
      <c r="E394" s="1" t="n">
        <v>46291</v>
      </c>
      <c r="F394" t="inlineStr">
        <is>
          <t>NORRBOTTENS LÄN</t>
        </is>
      </c>
      <c r="G394" t="inlineStr">
        <is>
          <t>JOKKMOKK</t>
        </is>
      </c>
      <c r="H394" t="inlineStr">
        <is>
          <t>SCA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25720-2023</t>
        </is>
      </c>
      <c r="B395" t="inlineStr">
        <is>
          <t>avverkningsanmälan</t>
        </is>
      </c>
      <c r="C395" t="inlineStr">
        <is>
          <t>Föryngringsavverkning</t>
        </is>
      </c>
      <c r="D395" s="1" t="n">
        <v>45090</v>
      </c>
      <c r="E395" s="1" t="n">
        <v>46291</v>
      </c>
      <c r="F395" t="inlineStr">
        <is>
          <t>NORRBOTTENS LÄN</t>
        </is>
      </c>
      <c r="G395" t="inlineStr">
        <is>
          <t>JOKKMOKK</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29212-2024</t>
        </is>
      </c>
      <c r="B396" t="inlineStr">
        <is>
          <t>avverkningsanmälan</t>
        </is>
      </c>
      <c r="C396" t="inlineStr">
        <is>
          <t>Föryngringsavverkning</t>
        </is>
      </c>
      <c r="D396" s="1" t="n">
        <v>45482</v>
      </c>
      <c r="E396" s="1" t="n">
        <v>46291</v>
      </c>
      <c r="F396" t="inlineStr">
        <is>
          <t>NORRBOTTENS LÄN</t>
        </is>
      </c>
      <c r="G396" t="inlineStr">
        <is>
          <t>JOKKMOKK</t>
        </is>
      </c>
      <c r="I396" t="n">
        <v>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3206-2025</t>
        </is>
      </c>
      <c r="B397" t="inlineStr">
        <is>
          <t>avverkningsanmälan</t>
        </is>
      </c>
      <c r="C397" t="inlineStr">
        <is>
          <t>Föryngringsavverkning</t>
        </is>
      </c>
      <c r="D397" s="1" t="n">
        <v>45679</v>
      </c>
      <c r="E397" s="1" t="n">
        <v>46291</v>
      </c>
      <c r="F397" t="inlineStr">
        <is>
          <t>NORRBOTTENS LÄN</t>
        </is>
      </c>
      <c r="G397" t="inlineStr">
        <is>
          <t>JOKKMOKK</t>
        </is>
      </c>
      <c r="H397" t="inlineStr">
        <is>
          <t>SCA</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36113-2024</t>
        </is>
      </c>
      <c r="B398" t="inlineStr">
        <is>
          <t>avverkningsanmälan</t>
        </is>
      </c>
      <c r="C398" t="inlineStr">
        <is>
          <t>Avverkning för annat ändamål</t>
        </is>
      </c>
      <c r="D398" s="1" t="n">
        <v>45534</v>
      </c>
      <c r="E398" s="1" t="n">
        <v>46291</v>
      </c>
      <c r="F398" t="inlineStr">
        <is>
          <t>NORRBOTTENS LÄN</t>
        </is>
      </c>
      <c r="G398" t="inlineStr">
        <is>
          <t>JOKKMOKK</t>
        </is>
      </c>
      <c r="H398" t="inlineStr">
        <is>
          <t>Sveaskog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45505-2022</t>
        </is>
      </c>
      <c r="B399" t="inlineStr">
        <is>
          <t>avverkningsanmälan</t>
        </is>
      </c>
      <c r="C399" t="inlineStr">
        <is>
          <t>Föryngringsavverkning</t>
        </is>
      </c>
      <c r="D399" s="1" t="n">
        <v>44841</v>
      </c>
      <c r="E399" s="1" t="n">
        <v>46291</v>
      </c>
      <c r="F399" t="inlineStr">
        <is>
          <t>NORRBOTTENS LÄN</t>
        </is>
      </c>
      <c r="G399" t="inlineStr">
        <is>
          <t>JOKKMOKK</t>
        </is>
      </c>
      <c r="H399" t="inlineStr">
        <is>
          <t>Övriga Aktiebolag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14815-2024</t>
        </is>
      </c>
      <c r="B400" t="inlineStr">
        <is>
          <t>avverkningsanmälan</t>
        </is>
      </c>
      <c r="C400" t="inlineStr">
        <is>
          <t>Föryngringsavverkning</t>
        </is>
      </c>
      <c r="D400" s="1" t="n">
        <v>45397</v>
      </c>
      <c r="E400" s="1" t="n">
        <v>46291</v>
      </c>
      <c r="F400" t="inlineStr">
        <is>
          <t>NORRBOTTENS LÄN</t>
        </is>
      </c>
      <c r="G400" t="inlineStr">
        <is>
          <t>JOKKMOKK</t>
        </is>
      </c>
      <c r="H400" t="inlineStr">
        <is>
          <t>SCA</t>
        </is>
      </c>
      <c r="I400" t="n">
        <v>54.1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4661-2022</t>
        </is>
      </c>
      <c r="B401" t="inlineStr">
        <is>
          <t>avverkningsanmälan</t>
        </is>
      </c>
      <c r="C401" t="inlineStr">
        <is>
          <t>Föryngringsavverkning</t>
        </is>
      </c>
      <c r="D401" s="1" t="n">
        <v>44589</v>
      </c>
      <c r="E401" s="1" t="n">
        <v>46291</v>
      </c>
      <c r="F401" t="inlineStr">
        <is>
          <t>NORRBOTTENS LÄN</t>
        </is>
      </c>
      <c r="G401" t="inlineStr">
        <is>
          <t>JOKKMOKK</t>
        </is>
      </c>
      <c r="I401" t="n">
        <v>39.5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29213-2024</t>
        </is>
      </c>
      <c r="B402" t="inlineStr">
        <is>
          <t>avverkningsanmälan</t>
        </is>
      </c>
      <c r="C402" t="inlineStr">
        <is>
          <t>Föryngringsavverkning</t>
        </is>
      </c>
      <c r="D402" s="1" t="n">
        <v>45482</v>
      </c>
      <c r="E402" s="1" t="n">
        <v>46291</v>
      </c>
      <c r="F402" t="inlineStr">
        <is>
          <t>NORRBOTTENS LÄN</t>
        </is>
      </c>
      <c r="G402" t="inlineStr">
        <is>
          <t>JOKKMOKK</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40345-2024</t>
        </is>
      </c>
      <c r="B403" t="inlineStr">
        <is>
          <t>avverkningsanmälan</t>
        </is>
      </c>
      <c r="C403" t="inlineStr">
        <is>
          <t>Föryngringsavverkning</t>
        </is>
      </c>
      <c r="D403" s="1" t="n">
        <v>45555</v>
      </c>
      <c r="E403" s="1" t="n">
        <v>46291</v>
      </c>
      <c r="F403" t="inlineStr">
        <is>
          <t>NORRBOTTENS LÄN</t>
        </is>
      </c>
      <c r="G403" t="inlineStr">
        <is>
          <t>JOKKMOKK</t>
        </is>
      </c>
      <c r="H403" t="inlineStr">
        <is>
          <t>SCA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30313-2024</t>
        </is>
      </c>
      <c r="B404" t="inlineStr">
        <is>
          <t>avverkningsanmälan</t>
        </is>
      </c>
      <c r="C404" t="inlineStr">
        <is>
          <t>Föryngringsavverkning</t>
        </is>
      </c>
      <c r="D404" s="1" t="n">
        <v>45490</v>
      </c>
      <c r="E404" s="1" t="n">
        <v>46291</v>
      </c>
      <c r="F404" t="inlineStr">
        <is>
          <t>NORRBOTTENS LÄN</t>
        </is>
      </c>
      <c r="G404" t="inlineStr">
        <is>
          <t>JOKKMOKK</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52882-2023</t>
        </is>
      </c>
      <c r="B405" t="inlineStr">
        <is>
          <t>avverkningsanmälan</t>
        </is>
      </c>
      <c r="C405" t="inlineStr">
        <is>
          <t>Föryngringsavverkning</t>
        </is>
      </c>
      <c r="D405" s="1" t="n">
        <v>45222</v>
      </c>
      <c r="E405" s="1" t="n">
        <v>46291</v>
      </c>
      <c r="F405" t="inlineStr">
        <is>
          <t>NORRBOTTENS LÄN</t>
        </is>
      </c>
      <c r="G405" t="inlineStr">
        <is>
          <t>JOKKMOKK</t>
        </is>
      </c>
      <c r="I405" t="n">
        <v>56.1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50258-2023</t>
        </is>
      </c>
      <c r="B406" t="inlineStr">
        <is>
          <t>avverkningsanmälan</t>
        </is>
      </c>
      <c r="C406" t="inlineStr">
        <is>
          <t>Föryngringsavverkning</t>
        </is>
      </c>
      <c r="D406" s="1" t="n">
        <v>45216</v>
      </c>
      <c r="E406" s="1" t="n">
        <v>46291</v>
      </c>
      <c r="F406" t="inlineStr">
        <is>
          <t>NORRBOTTENS LÄN</t>
        </is>
      </c>
      <c r="G406" t="inlineStr">
        <is>
          <t>JOKKMOKK</t>
        </is>
      </c>
      <c r="H406" t="inlineStr">
        <is>
          <t>Sveaskog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26962-2023</t>
        </is>
      </c>
      <c r="B407" t="inlineStr">
        <is>
          <t>avverkningsanmälan</t>
        </is>
      </c>
      <c r="C407" t="inlineStr">
        <is>
          <t>Föryngringsavverkning</t>
        </is>
      </c>
      <c r="D407" s="1" t="n">
        <v>45093</v>
      </c>
      <c r="E407" s="1" t="n">
        <v>46291</v>
      </c>
      <c r="F407" t="inlineStr">
        <is>
          <t>NORRBOTTENS LÄN</t>
        </is>
      </c>
      <c r="G407" t="inlineStr">
        <is>
          <t>JOKKMOKK</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30305-2024</t>
        </is>
      </c>
      <c r="B408" t="inlineStr">
        <is>
          <t>avverkningsanmälan</t>
        </is>
      </c>
      <c r="C408" t="inlineStr">
        <is>
          <t>Föryngringsavverkning</t>
        </is>
      </c>
      <c r="D408" s="1" t="n">
        <v>45490</v>
      </c>
      <c r="E408" s="1" t="n">
        <v>46291</v>
      </c>
      <c r="F408" t="inlineStr">
        <is>
          <t>NORRBOTTENS LÄN</t>
        </is>
      </c>
      <c r="G408" t="inlineStr">
        <is>
          <t>JOKKMOKK</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30308-2024</t>
        </is>
      </c>
      <c r="B409" t="inlineStr">
        <is>
          <t>avverkningsanmälan</t>
        </is>
      </c>
      <c r="C409" t="inlineStr">
        <is>
          <t>Föryngringsavverkning</t>
        </is>
      </c>
      <c r="D409" s="1" t="n">
        <v>45490</v>
      </c>
      <c r="E409" s="1" t="n">
        <v>46291</v>
      </c>
      <c r="F409" t="inlineStr">
        <is>
          <t>NORRBOTTENS LÄN</t>
        </is>
      </c>
      <c r="G409" t="inlineStr">
        <is>
          <t>JOKKMOKK</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30310-2024</t>
        </is>
      </c>
      <c r="B410" t="inlineStr">
        <is>
          <t>avverkningsanmälan</t>
        </is>
      </c>
      <c r="C410" t="inlineStr">
        <is>
          <t>Föryngringsavverkning</t>
        </is>
      </c>
      <c r="D410" s="1" t="n">
        <v>45490</v>
      </c>
      <c r="E410" s="1" t="n">
        <v>46291</v>
      </c>
      <c r="F410" t="inlineStr">
        <is>
          <t>NORRBOTTENS LÄN</t>
        </is>
      </c>
      <c r="G410" t="inlineStr">
        <is>
          <t>JOKKMOKK</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30312-2024</t>
        </is>
      </c>
      <c r="B411" t="inlineStr">
        <is>
          <t>avverkningsanmälan</t>
        </is>
      </c>
      <c r="C411" t="inlineStr">
        <is>
          <t>Föryngringsavverkning</t>
        </is>
      </c>
      <c r="D411" s="1" t="n">
        <v>45490</v>
      </c>
      <c r="E411" s="1" t="n">
        <v>46291</v>
      </c>
      <c r="F411" t="inlineStr">
        <is>
          <t>NORRBOTTENS LÄN</t>
        </is>
      </c>
      <c r="G411" t="inlineStr">
        <is>
          <t>JOKKMOKK</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23203-2024</t>
        </is>
      </c>
      <c r="B412" t="inlineStr">
        <is>
          <t>avverkningsanmälan</t>
        </is>
      </c>
      <c r="C412" t="inlineStr">
        <is>
          <t>Föryngringsavverkning</t>
        </is>
      </c>
      <c r="D412" s="1" t="n">
        <v>45451</v>
      </c>
      <c r="E412" s="1" t="n">
        <v>46291</v>
      </c>
      <c r="F412" t="inlineStr">
        <is>
          <t>NORRBOTTENS LÄN</t>
        </is>
      </c>
      <c r="G412" t="inlineStr">
        <is>
          <t>JOKKMOKK</t>
        </is>
      </c>
      <c r="H412" t="inlineStr">
        <is>
          <t>SCA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5226-2022</t>
        </is>
      </c>
      <c r="B413" t="inlineStr">
        <is>
          <t>samrådsanmälan</t>
        </is>
      </c>
      <c r="C413" t="inlineStr">
        <is>
          <t>Skogsbilväg</t>
        </is>
      </c>
      <c r="D413" s="1" t="n">
        <v>44823</v>
      </c>
      <c r="E413" s="1" t="n">
        <v>46291</v>
      </c>
      <c r="F413" t="inlineStr">
        <is>
          <t>NORRBOTTENS LÄN</t>
        </is>
      </c>
      <c r="G413" t="inlineStr">
        <is>
          <t>JOKKMOKK</t>
        </is>
      </c>
      <c r="H413" t="inlineStr">
        <is>
          <t>Övriga Aktiebolag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5220-2022</t>
        </is>
      </c>
      <c r="B414" t="inlineStr">
        <is>
          <t>samrådsanmälan</t>
        </is>
      </c>
      <c r="C414" t="inlineStr">
        <is>
          <t>Skogsbilväg</t>
        </is>
      </c>
      <c r="D414" s="1" t="n">
        <v>44820</v>
      </c>
      <c r="E414" s="1" t="n">
        <v>46291</v>
      </c>
      <c r="F414" t="inlineStr">
        <is>
          <t>NORRBOTTENS LÄN</t>
        </is>
      </c>
      <c r="G414" t="inlineStr">
        <is>
          <t>JOKKMOKK</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1106-2024</t>
        </is>
      </c>
      <c r="B415" t="inlineStr">
        <is>
          <t>samrådsanmälan</t>
        </is>
      </c>
      <c r="C415" t="inlineStr">
        <is>
          <t>Åtgärd i nyckelbiotop</t>
        </is>
      </c>
      <c r="D415" s="1" t="n">
        <v>45392</v>
      </c>
      <c r="E415" s="1" t="n">
        <v>46291</v>
      </c>
      <c r="F415" t="inlineStr">
        <is>
          <t>NORRBOTTENS LÄN</t>
        </is>
      </c>
      <c r="G415" t="inlineStr">
        <is>
          <t>JOKKMOKK</t>
        </is>
      </c>
      <c r="I415" t="n">
        <v>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5227-2022</t>
        </is>
      </c>
      <c r="B416" t="inlineStr">
        <is>
          <t>samrådsanmälan</t>
        </is>
      </c>
      <c r="C416" t="inlineStr">
        <is>
          <t>Skogsbilväg</t>
        </is>
      </c>
      <c r="D416" s="1" t="n">
        <v>44823</v>
      </c>
      <c r="E416" s="1" t="n">
        <v>46291</v>
      </c>
      <c r="F416" t="inlineStr">
        <is>
          <t>NORRBOTTENS LÄN</t>
        </is>
      </c>
      <c r="G416" t="inlineStr">
        <is>
          <t>JOKKMOKK</t>
        </is>
      </c>
      <c r="H416" t="inlineStr">
        <is>
          <t>Övriga Aktiebolag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323-2024</t>
        </is>
      </c>
      <c r="B417" t="inlineStr">
        <is>
          <t>samrådsanmälan</t>
        </is>
      </c>
      <c r="C417" t="inlineStr">
        <is>
          <t>Skogsgödsling</t>
        </is>
      </c>
      <c r="D417" s="1" t="n">
        <v>45327</v>
      </c>
      <c r="E417" s="1" t="n">
        <v>46291</v>
      </c>
      <c r="F417" t="inlineStr">
        <is>
          <t>NORRBOTTENS LÄN</t>
        </is>
      </c>
      <c r="G417" t="inlineStr">
        <is>
          <t>JOKKMOKK</t>
        </is>
      </c>
      <c r="I417" t="n">
        <v>26.6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319-2024</t>
        </is>
      </c>
      <c r="B418" t="inlineStr">
        <is>
          <t>samrådsanmälan</t>
        </is>
      </c>
      <c r="C418" t="inlineStr">
        <is>
          <t>Skogsgödsling</t>
        </is>
      </c>
      <c r="D418" s="1" t="n">
        <v>45327</v>
      </c>
      <c r="E418" s="1" t="n">
        <v>46291</v>
      </c>
      <c r="F418" t="inlineStr">
        <is>
          <t>NORRBOTTENS LÄN</t>
        </is>
      </c>
      <c r="G418" t="inlineStr">
        <is>
          <t>JOKKMOKK</t>
        </is>
      </c>
      <c r="I418" t="n">
        <v>34.9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5257-2022</t>
        </is>
      </c>
      <c r="B419" t="inlineStr">
        <is>
          <t>samrådsanmälan</t>
        </is>
      </c>
      <c r="C419" t="inlineStr">
        <is>
          <t>Annan skogsbruksåtgärd</t>
        </is>
      </c>
      <c r="D419" s="1" t="n">
        <v>44824</v>
      </c>
      <c r="E419" s="1" t="n">
        <v>46291</v>
      </c>
      <c r="F419" t="inlineStr">
        <is>
          <t>NORRBOTTENS LÄN</t>
        </is>
      </c>
      <c r="G419" t="inlineStr">
        <is>
          <t>JOKKMOKK</t>
        </is>
      </c>
      <c r="H419" t="inlineStr">
        <is>
          <t>Övriga Aktiebolag</t>
        </is>
      </c>
      <c r="I419" t="n">
        <v>242.2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1163-2025</t>
        </is>
      </c>
      <c r="B420" t="inlineStr">
        <is>
          <t>samrådsanmälan</t>
        </is>
      </c>
      <c r="C420" t="inlineStr">
        <is>
          <t>Skogsgödsling</t>
        </is>
      </c>
      <c r="D420" s="1" t="n">
        <v>45756</v>
      </c>
      <c r="E420" s="1" t="n">
        <v>46291</v>
      </c>
      <c r="F420" t="inlineStr">
        <is>
          <t>NORRBOTTENS LÄN</t>
        </is>
      </c>
      <c r="G420" t="inlineStr">
        <is>
          <t>JOKKMOKK</t>
        </is>
      </c>
      <c r="I420" t="n">
        <v>18.7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2082-2025</t>
        </is>
      </c>
      <c r="B421" t="inlineStr">
        <is>
          <t>samrådsanmälan</t>
        </is>
      </c>
      <c r="C421" t="inlineStr">
        <is>
          <t>Annan skogsbruksåtgärd</t>
        </is>
      </c>
      <c r="D421" s="1" t="n">
        <v>45841</v>
      </c>
      <c r="E421" s="1" t="n">
        <v>46291</v>
      </c>
      <c r="F421" t="inlineStr">
        <is>
          <t>NORRBOTTENS LÄN</t>
        </is>
      </c>
      <c r="G421" t="inlineStr">
        <is>
          <t>JOKKMOKK</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1266-2026</t>
        </is>
      </c>
      <c r="B422" t="inlineStr">
        <is>
          <t>samrådsanmälan</t>
        </is>
      </c>
      <c r="C422" t="inlineStr">
        <is>
          <t>Skogsgödsling</t>
        </is>
      </c>
      <c r="D422" s="1" t="n">
        <v>46147</v>
      </c>
      <c r="E422" s="1" t="n">
        <v>46291</v>
      </c>
      <c r="F422" t="inlineStr">
        <is>
          <t>NORRBOTTENS LÄN</t>
        </is>
      </c>
      <c r="G422" t="inlineStr">
        <is>
          <t>JOKKMOKK</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1282-2026</t>
        </is>
      </c>
      <c r="B423" t="inlineStr">
        <is>
          <t>samrådsanmälan</t>
        </is>
      </c>
      <c r="C423" t="inlineStr">
        <is>
          <t>Skogsgödsling</t>
        </is>
      </c>
      <c r="D423" s="1" t="n">
        <v>46147</v>
      </c>
      <c r="E423" s="1" t="n">
        <v>46291</v>
      </c>
      <c r="F423" t="inlineStr">
        <is>
          <t>NORRBOTTENS LÄN</t>
        </is>
      </c>
      <c r="G423" t="inlineStr">
        <is>
          <t>JOKKMOKK</t>
        </is>
      </c>
      <c r="I423" t="n">
        <v>24.5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1281-2026</t>
        </is>
      </c>
      <c r="B424" t="inlineStr">
        <is>
          <t>samrådsanmälan</t>
        </is>
      </c>
      <c r="C424" t="inlineStr">
        <is>
          <t>Skogsgödsling</t>
        </is>
      </c>
      <c r="D424" s="1" t="n">
        <v>46147</v>
      </c>
      <c r="E424" s="1" t="n">
        <v>46291</v>
      </c>
      <c r="F424" t="inlineStr">
        <is>
          <t>NORRBOTTENS LÄN</t>
        </is>
      </c>
      <c r="G424" t="inlineStr">
        <is>
          <t>JOKKMOKK</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1291-2026</t>
        </is>
      </c>
      <c r="B425" t="inlineStr">
        <is>
          <t>samrådsanmälan</t>
        </is>
      </c>
      <c r="C425" t="inlineStr">
        <is>
          <t>Skogsgödsling</t>
        </is>
      </c>
      <c r="D425" s="1" t="n">
        <v>46148</v>
      </c>
      <c r="E425" s="1" t="n">
        <v>46291</v>
      </c>
      <c r="F425" t="inlineStr">
        <is>
          <t>NORRBOTTENS LÄN</t>
        </is>
      </c>
      <c r="G425" t="inlineStr">
        <is>
          <t>JOKKMOKK</t>
        </is>
      </c>
      <c r="I425" t="n">
        <v>6.7</v>
      </c>
      <c r="J425" t="n">
        <v>0</v>
      </c>
      <c r="K425" t="n">
        <v>0</v>
      </c>
      <c r="L425" t="n">
        <v>0</v>
      </c>
      <c r="M425" t="n">
        <v>0</v>
      </c>
      <c r="N425" t="n">
        <v>0</v>
      </c>
      <c r="O425" t="n">
        <v>0</v>
      </c>
      <c r="P425" t="n">
        <v>0</v>
      </c>
      <c r="Q425" t="n">
        <v>0</v>
      </c>
      <c r="R425" t="n">
        <v>0</v>
      </c>
      <c r="S425" t="n">
        <v>0</v>
      </c>
      <c r="T425" t="n">
        <v>0</v>
      </c>
      <c r="U425" t="n">
        <v>0</v>
      </c>
      <c r="V425" s="2" t="inlineStr"/>
    </row>
    <row r="426">
      <c r="A426" t="inlineStr">
        <is>
          <t>S 1313-2026</t>
        </is>
      </c>
      <c r="B426" t="inlineStr">
        <is>
          <t>samrådsanmälan</t>
        </is>
      </c>
      <c r="C426" t="inlineStr">
        <is>
          <t>Skogsgödsling</t>
        </is>
      </c>
      <c r="D426" s="1" t="n">
        <v>46148</v>
      </c>
      <c r="E426" s="1" t="n">
        <v>46291</v>
      </c>
      <c r="F426" t="inlineStr">
        <is>
          <t>NORRBOTTENS LÄN</t>
        </is>
      </c>
      <c r="G426" t="inlineStr">
        <is>
          <t>JOKKMOKK</t>
        </is>
      </c>
      <c r="I426" t="n">
        <v>28.4</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2026-09-26T02:06:06Z</dcterms:created>
  <dcterms:modified xmlns:dcterms="http://purl.org/dc/terms/" xmlns:xsi="http://www.w3.org/2001/XMLSchema-instance" xsi:type="dcterms:W3CDTF">2026-09-26T02:06:07Z</dcterms:modified>
</cp:coreProperties>
</file>