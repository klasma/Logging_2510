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45984</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45984</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45984</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45984</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45984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45984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53217-2023</t>
        </is>
      </c>
      <c r="B14" s="1" t="n">
        <v>45222</v>
      </c>
      <c r="C14" s="1" t="n">
        <v>45984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45984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45984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45984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45984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45984</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45984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45984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45984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45984</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45984</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45984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45984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45984</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45984</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45984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45984</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45984</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59451-2021</t>
        </is>
      </c>
      <c r="B32" s="1" t="n">
        <v>44490</v>
      </c>
      <c r="C32" s="1" t="n">
        <v>45984</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33343-2025</t>
        </is>
      </c>
      <c r="B33" s="1" t="n">
        <v>45841.36481481481</v>
      </c>
      <c r="C33" s="1" t="n">
        <v>45984</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54960-2021</t>
        </is>
      </c>
      <c r="B34" s="1" t="n">
        <v>44474</v>
      </c>
      <c r="C34" s="1" t="n">
        <v>45984</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46059-2021</t>
        </is>
      </c>
      <c r="B35" s="1" t="n">
        <v>44441.94325231481</v>
      </c>
      <c r="C35" s="1" t="n">
        <v>45984</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45984</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45984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22747-2025</t>
        </is>
      </c>
      <c r="B38" s="1" t="n">
        <v>45789.60505787037</v>
      </c>
      <c r="C38" s="1" t="n">
        <v>45984</v>
      </c>
      <c r="D38" t="inlineStr">
        <is>
          <t>NORRBOTTENS LÄN</t>
        </is>
      </c>
      <c r="E38" t="inlineStr">
        <is>
          <t>JOKKMOKK</t>
        </is>
      </c>
      <c r="F38" t="inlineStr">
        <is>
          <t>Sveaskog</t>
        </is>
      </c>
      <c r="G38" t="n">
        <v>2.3</v>
      </c>
      <c r="H38" t="n">
        <v>0</v>
      </c>
      <c r="I38" t="n">
        <v>0</v>
      </c>
      <c r="J38" t="n">
        <v>1</v>
      </c>
      <c r="K38" t="n">
        <v>2</v>
      </c>
      <c r="L38" t="n">
        <v>0</v>
      </c>
      <c r="M38" t="n">
        <v>0</v>
      </c>
      <c r="N38" t="n">
        <v>0</v>
      </c>
      <c r="O38" t="n">
        <v>3</v>
      </c>
      <c r="P38" t="n">
        <v>2</v>
      </c>
      <c r="Q38" t="n">
        <v>3</v>
      </c>
      <c r="R38" s="2" t="inlineStr">
        <is>
          <t>Smalfotad taggsvamp
Tajgataggsvamp
Orange taggsvamp</t>
        </is>
      </c>
      <c r="S38">
        <f>HYPERLINK("https://klasma.github.io/Logging_2510/artfynd/A 22747-2025 artfynd.xlsx", "A 22747-2025")</f>
        <v/>
      </c>
      <c r="T38">
        <f>HYPERLINK("https://klasma.github.io/Logging_2510/kartor/A 22747-2025 karta.png", "A 22747-2025")</f>
        <v/>
      </c>
      <c r="V38">
        <f>HYPERLINK("https://klasma.github.io/Logging_2510/klagomål/A 22747-2025 FSC-klagomål.docx", "A 22747-2025")</f>
        <v/>
      </c>
      <c r="W38">
        <f>HYPERLINK("https://klasma.github.io/Logging_2510/klagomålsmail/A 22747-2025 FSC-klagomål mail.docx", "A 22747-2025")</f>
        <v/>
      </c>
      <c r="X38">
        <f>HYPERLINK("https://klasma.github.io/Logging_2510/tillsyn/A 22747-2025 tillsynsbegäran.docx", "A 22747-2025")</f>
        <v/>
      </c>
      <c r="Y38">
        <f>HYPERLINK("https://klasma.github.io/Logging_2510/tillsynsmail/A 22747-2025 tillsynsbegäran mail.docx", "A 22747-2025")</f>
        <v/>
      </c>
    </row>
    <row r="39" ht="15" customHeight="1">
      <c r="A39" t="inlineStr">
        <is>
          <t>A 24737-2025</t>
        </is>
      </c>
      <c r="B39" s="1" t="n">
        <v>45799.34494212963</v>
      </c>
      <c r="C39" s="1" t="n">
        <v>45984</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33994-2023</t>
        </is>
      </c>
      <c r="B40" s="1" t="n">
        <v>45134</v>
      </c>
      <c r="C40" s="1" t="n">
        <v>45984</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45984</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45984</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45984</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6435-2025</t>
        </is>
      </c>
      <c r="B44" s="1" t="n">
        <v>45699</v>
      </c>
      <c r="C44" s="1" t="n">
        <v>45984</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24408-2022</t>
        </is>
      </c>
      <c r="B45" s="1" t="n">
        <v>44726</v>
      </c>
      <c r="C45" s="1" t="n">
        <v>45984</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38607-2025</t>
        </is>
      </c>
      <c r="B46" s="1" t="n">
        <v>45884.53171296296</v>
      </c>
      <c r="C46" s="1" t="n">
        <v>45984</v>
      </c>
      <c r="D46" t="inlineStr">
        <is>
          <t>NORRBOTTENS LÄN</t>
        </is>
      </c>
      <c r="E46" t="inlineStr">
        <is>
          <t>JOKKMOKK</t>
        </is>
      </c>
      <c r="F46" t="inlineStr">
        <is>
          <t>SCA</t>
        </is>
      </c>
      <c r="G46" t="n">
        <v>6.1</v>
      </c>
      <c r="H46" t="n">
        <v>1</v>
      </c>
      <c r="I46" t="n">
        <v>0</v>
      </c>
      <c r="J46" t="n">
        <v>2</v>
      </c>
      <c r="K46" t="n">
        <v>0</v>
      </c>
      <c r="L46" t="n">
        <v>0</v>
      </c>
      <c r="M46" t="n">
        <v>0</v>
      </c>
      <c r="N46" t="n">
        <v>0</v>
      </c>
      <c r="O46" t="n">
        <v>2</v>
      </c>
      <c r="P46" t="n">
        <v>0</v>
      </c>
      <c r="Q46" t="n">
        <v>2</v>
      </c>
      <c r="R46" s="2" t="inlineStr">
        <is>
          <t>Gammelgransskål
Järpe</t>
        </is>
      </c>
      <c r="S46">
        <f>HYPERLINK("https://klasma.github.io/Logging_2510/artfynd/A 38607-2025 artfynd.xlsx", "A 38607-2025")</f>
        <v/>
      </c>
      <c r="T46">
        <f>HYPERLINK("https://klasma.github.io/Logging_2510/kartor/A 38607-2025 karta.png", "A 38607-2025")</f>
        <v/>
      </c>
      <c r="V46">
        <f>HYPERLINK("https://klasma.github.io/Logging_2510/klagomål/A 38607-2025 FSC-klagomål.docx", "A 38607-2025")</f>
        <v/>
      </c>
      <c r="W46">
        <f>HYPERLINK("https://klasma.github.io/Logging_2510/klagomålsmail/A 38607-2025 FSC-klagomål mail.docx", "A 38607-2025")</f>
        <v/>
      </c>
      <c r="X46">
        <f>HYPERLINK("https://klasma.github.io/Logging_2510/tillsyn/A 38607-2025 tillsynsbegäran.docx", "A 38607-2025")</f>
        <v/>
      </c>
      <c r="Y46">
        <f>HYPERLINK("https://klasma.github.io/Logging_2510/tillsynsmail/A 38607-2025 tillsynsbegäran mail.docx", "A 38607-2025")</f>
        <v/>
      </c>
      <c r="Z46">
        <f>HYPERLINK("https://klasma.github.io/Logging_2510/fåglar/A 38607-2025 prioriterade fågelarter.docx", "A 38607-2025")</f>
        <v/>
      </c>
    </row>
    <row r="47" ht="15" customHeight="1">
      <c r="A47" t="inlineStr">
        <is>
          <t>A 52877-2025</t>
        </is>
      </c>
      <c r="B47" s="1" t="n">
        <v>45957.53907407408</v>
      </c>
      <c r="C47" s="1" t="n">
        <v>45984</v>
      </c>
      <c r="D47" t="inlineStr">
        <is>
          <t>NORRBOTTENS LÄN</t>
        </is>
      </c>
      <c r="E47" t="inlineStr">
        <is>
          <t>JOKKMOKK</t>
        </is>
      </c>
      <c r="F47" t="inlineStr">
        <is>
          <t>Sveaskog</t>
        </is>
      </c>
      <c r="G47" t="n">
        <v>26.7</v>
      </c>
      <c r="H47" t="n">
        <v>0</v>
      </c>
      <c r="I47" t="n">
        <v>2</v>
      </c>
      <c r="J47" t="n">
        <v>0</v>
      </c>
      <c r="K47" t="n">
        <v>0</v>
      </c>
      <c r="L47" t="n">
        <v>0</v>
      </c>
      <c r="M47" t="n">
        <v>0</v>
      </c>
      <c r="N47" t="n">
        <v>0</v>
      </c>
      <c r="O47" t="n">
        <v>0</v>
      </c>
      <c r="P47" t="n">
        <v>0</v>
      </c>
      <c r="Q47" t="n">
        <v>2</v>
      </c>
      <c r="R47" s="2" t="inlineStr">
        <is>
          <t>Bollvitmossa
Bårdlav</t>
        </is>
      </c>
      <c r="S47">
        <f>HYPERLINK("https://klasma.github.io/Logging_2510/artfynd/A 52877-2025 artfynd.xlsx", "A 52877-2025")</f>
        <v/>
      </c>
      <c r="T47">
        <f>HYPERLINK("https://klasma.github.io/Logging_2510/kartor/A 52877-2025 karta.png", "A 52877-2025")</f>
        <v/>
      </c>
      <c r="V47">
        <f>HYPERLINK("https://klasma.github.io/Logging_2510/klagomål/A 52877-2025 FSC-klagomål.docx", "A 52877-2025")</f>
        <v/>
      </c>
      <c r="W47">
        <f>HYPERLINK("https://klasma.github.io/Logging_2510/klagomålsmail/A 52877-2025 FSC-klagomål mail.docx", "A 52877-2025")</f>
        <v/>
      </c>
      <c r="X47">
        <f>HYPERLINK("https://klasma.github.io/Logging_2510/tillsyn/A 52877-2025 tillsynsbegäran.docx", "A 52877-2025")</f>
        <v/>
      </c>
      <c r="Y47">
        <f>HYPERLINK("https://klasma.github.io/Logging_2510/tillsynsmail/A 52877-2025 tillsynsbegäran mail.docx", "A 52877-2025")</f>
        <v/>
      </c>
    </row>
    <row r="48" ht="15" customHeight="1">
      <c r="A48" t="inlineStr">
        <is>
          <t>A 55525-2025</t>
        </is>
      </c>
      <c r="B48" s="1" t="n">
        <v>45971.61633101852</v>
      </c>
      <c r="C48" s="1" t="n">
        <v>45984</v>
      </c>
      <c r="D48" t="inlineStr">
        <is>
          <t>NORRBOTTENS LÄN</t>
        </is>
      </c>
      <c r="E48" t="inlineStr">
        <is>
          <t>JOKKMOKK</t>
        </is>
      </c>
      <c r="F48" t="inlineStr">
        <is>
          <t>Övriga statliga verk och myndigheter</t>
        </is>
      </c>
      <c r="G48" t="n">
        <v>20.3</v>
      </c>
      <c r="H48" t="n">
        <v>0</v>
      </c>
      <c r="I48" t="n">
        <v>0</v>
      </c>
      <c r="J48" t="n">
        <v>2</v>
      </c>
      <c r="K48" t="n">
        <v>0</v>
      </c>
      <c r="L48" t="n">
        <v>0</v>
      </c>
      <c r="M48" t="n">
        <v>0</v>
      </c>
      <c r="N48" t="n">
        <v>0</v>
      </c>
      <c r="O48" t="n">
        <v>2</v>
      </c>
      <c r="P48" t="n">
        <v>0</v>
      </c>
      <c r="Q48" t="n">
        <v>2</v>
      </c>
      <c r="R48" s="2" t="inlineStr">
        <is>
          <t>Blå taggsvamp
Violmussling</t>
        </is>
      </c>
      <c r="S48">
        <f>HYPERLINK("https://klasma.github.io/Logging_2510/artfynd/A 55525-2025 artfynd.xlsx", "A 55525-2025")</f>
        <v/>
      </c>
      <c r="T48">
        <f>HYPERLINK("https://klasma.github.io/Logging_2510/kartor/A 55525-2025 karta.png", "A 55525-2025")</f>
        <v/>
      </c>
      <c r="V48">
        <f>HYPERLINK("https://klasma.github.io/Logging_2510/klagomål/A 55525-2025 FSC-klagomål.docx", "A 55525-2025")</f>
        <v/>
      </c>
      <c r="W48">
        <f>HYPERLINK("https://klasma.github.io/Logging_2510/klagomålsmail/A 55525-2025 FSC-klagomål mail.docx", "A 55525-2025")</f>
        <v/>
      </c>
      <c r="X48">
        <f>HYPERLINK("https://klasma.github.io/Logging_2510/tillsyn/A 55525-2025 tillsynsbegäran.docx", "A 55525-2025")</f>
        <v/>
      </c>
      <c r="Y48">
        <f>HYPERLINK("https://klasma.github.io/Logging_2510/tillsynsmail/A 55525-2025 tillsynsbegäran mail.docx", "A 55525-2025")</f>
        <v/>
      </c>
    </row>
    <row r="49" ht="15" customHeight="1">
      <c r="A49" t="inlineStr">
        <is>
          <t>A 57700-2025</t>
        </is>
      </c>
      <c r="B49" s="1" t="n">
        <v>45981.46185185185</v>
      </c>
      <c r="C49" s="1" t="n">
        <v>45984</v>
      </c>
      <c r="D49" t="inlineStr">
        <is>
          <t>NORRBOTTENS LÄN</t>
        </is>
      </c>
      <c r="E49" t="inlineStr">
        <is>
          <t>JOKKMOKK</t>
        </is>
      </c>
      <c r="F49" t="inlineStr">
        <is>
          <t>Sveaskog</t>
        </is>
      </c>
      <c r="G49" t="n">
        <v>10.8</v>
      </c>
      <c r="H49" t="n">
        <v>0</v>
      </c>
      <c r="I49" t="n">
        <v>0</v>
      </c>
      <c r="J49" t="n">
        <v>2</v>
      </c>
      <c r="K49" t="n">
        <v>0</v>
      </c>
      <c r="L49" t="n">
        <v>0</v>
      </c>
      <c r="M49" t="n">
        <v>0</v>
      </c>
      <c r="N49" t="n">
        <v>0</v>
      </c>
      <c r="O49" t="n">
        <v>2</v>
      </c>
      <c r="P49" t="n">
        <v>0</v>
      </c>
      <c r="Q49" t="n">
        <v>2</v>
      </c>
      <c r="R49" s="2" t="inlineStr">
        <is>
          <t>Motaggsvamp
Orange taggsvamp</t>
        </is>
      </c>
      <c r="S49">
        <f>HYPERLINK("https://klasma.github.io/Logging_2510/artfynd/A 57700-2025 artfynd.xlsx", "A 57700-2025")</f>
        <v/>
      </c>
      <c r="T49">
        <f>HYPERLINK("https://klasma.github.io/Logging_2510/kartor/A 57700-2025 karta.png", "A 57700-2025")</f>
        <v/>
      </c>
      <c r="V49">
        <f>HYPERLINK("https://klasma.github.io/Logging_2510/klagomål/A 57700-2025 FSC-klagomål.docx", "A 57700-2025")</f>
        <v/>
      </c>
      <c r="W49">
        <f>HYPERLINK("https://klasma.github.io/Logging_2510/klagomålsmail/A 57700-2025 FSC-klagomål mail.docx", "A 57700-2025")</f>
        <v/>
      </c>
      <c r="X49">
        <f>HYPERLINK("https://klasma.github.io/Logging_2510/tillsyn/A 57700-2025 tillsynsbegäran.docx", "A 57700-2025")</f>
        <v/>
      </c>
      <c r="Y49">
        <f>HYPERLINK("https://klasma.github.io/Logging_2510/tillsynsmail/A 57700-2025 tillsynsbegäran mail.docx", "A 57700-2025")</f>
        <v/>
      </c>
    </row>
    <row r="50" ht="15" customHeight="1">
      <c r="A50" t="inlineStr">
        <is>
          <t>A 29679-2024</t>
        </is>
      </c>
      <c r="B50" s="1" t="n">
        <v>45484</v>
      </c>
      <c r="C50" s="1" t="n">
        <v>45984</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45984</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45984</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45984</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36594-2021</t>
        </is>
      </c>
      <c r="B54" s="1" t="n">
        <v>44391</v>
      </c>
      <c r="C54" s="1" t="n">
        <v>45984</v>
      </c>
      <c r="D54" t="inlineStr">
        <is>
          <t>NORRBOTTENS LÄN</t>
        </is>
      </c>
      <c r="E54" t="inlineStr">
        <is>
          <t>JOKKMOKK</t>
        </is>
      </c>
      <c r="F54" t="inlineStr">
        <is>
          <t>Sveaskog</t>
        </is>
      </c>
      <c r="G54" t="n">
        <v>5.8</v>
      </c>
      <c r="H54" t="n">
        <v>1</v>
      </c>
      <c r="I54" t="n">
        <v>0</v>
      </c>
      <c r="J54" t="n">
        <v>0</v>
      </c>
      <c r="K54" t="n">
        <v>1</v>
      </c>
      <c r="L54" t="n">
        <v>0</v>
      </c>
      <c r="M54" t="n">
        <v>0</v>
      </c>
      <c r="N54" t="n">
        <v>0</v>
      </c>
      <c r="O54" t="n">
        <v>1</v>
      </c>
      <c r="P54" t="n">
        <v>1</v>
      </c>
      <c r="Q54" t="n">
        <v>1</v>
      </c>
      <c r="R54" s="2" t="inlineStr">
        <is>
          <t>Doftticka</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52537-2023</t>
        </is>
      </c>
      <c r="B55" s="1" t="n">
        <v>45225</v>
      </c>
      <c r="C55" s="1" t="n">
        <v>45984</v>
      </c>
      <c r="D55" t="inlineStr">
        <is>
          <t>NORRBOTTENS LÄN</t>
        </is>
      </c>
      <c r="E55" t="inlineStr">
        <is>
          <t>JOKKMOKK</t>
        </is>
      </c>
      <c r="F55" t="inlineStr">
        <is>
          <t>Övriga statliga verk och myndigheter</t>
        </is>
      </c>
      <c r="G55" t="n">
        <v>15.3</v>
      </c>
      <c r="H55" t="n">
        <v>0</v>
      </c>
      <c r="I55" t="n">
        <v>0</v>
      </c>
      <c r="J55" t="n">
        <v>1</v>
      </c>
      <c r="K55" t="n">
        <v>0</v>
      </c>
      <c r="L55" t="n">
        <v>0</v>
      </c>
      <c r="M55" t="n">
        <v>0</v>
      </c>
      <c r="N55" t="n">
        <v>0</v>
      </c>
      <c r="O55" t="n">
        <v>1</v>
      </c>
      <c r="P55" t="n">
        <v>0</v>
      </c>
      <c r="Q55" t="n">
        <v>1</v>
      </c>
      <c r="R55" s="2" t="inlineStr">
        <is>
          <t>Reliktbock</t>
        </is>
      </c>
      <c r="S55">
        <f>HYPERLINK("https://klasma.github.io/Logging_2510/artfynd/A 52537-2023 artfynd.xlsx", "A 52537-2023")</f>
        <v/>
      </c>
      <c r="T55">
        <f>HYPERLINK("https://klasma.github.io/Logging_2510/kartor/A 52537-2023 karta.png", "A 52537-2023")</f>
        <v/>
      </c>
      <c r="V55">
        <f>HYPERLINK("https://klasma.github.io/Logging_2510/klagomål/A 52537-2023 FSC-klagomål.docx", "A 52537-2023")</f>
        <v/>
      </c>
      <c r="W55">
        <f>HYPERLINK("https://klasma.github.io/Logging_2510/klagomålsmail/A 52537-2023 FSC-klagomål mail.docx", "A 52537-2023")</f>
        <v/>
      </c>
      <c r="X55">
        <f>HYPERLINK("https://klasma.github.io/Logging_2510/tillsyn/A 52537-2023 tillsynsbegäran.docx", "A 52537-2023")</f>
        <v/>
      </c>
      <c r="Y55">
        <f>HYPERLINK("https://klasma.github.io/Logging_2510/tillsynsmail/A 52537-2023 tillsynsbegäran mail.docx", "A 52537-2023")</f>
        <v/>
      </c>
    </row>
    <row r="56" ht="15" customHeight="1">
      <c r="A56" t="inlineStr">
        <is>
          <t>A 39850-2025</t>
        </is>
      </c>
      <c r="B56" s="1" t="n">
        <v>45891.58591435185</v>
      </c>
      <c r="C56" s="1" t="n">
        <v>45984</v>
      </c>
      <c r="D56" t="inlineStr">
        <is>
          <t>NORRBOTTENS LÄN</t>
        </is>
      </c>
      <c r="E56" t="inlineStr">
        <is>
          <t>JOKKMOKK</t>
        </is>
      </c>
      <c r="F56" t="inlineStr">
        <is>
          <t>Sveaskog</t>
        </is>
      </c>
      <c r="G56" t="n">
        <v>4.5</v>
      </c>
      <c r="H56" t="n">
        <v>0</v>
      </c>
      <c r="I56" t="n">
        <v>0</v>
      </c>
      <c r="J56" t="n">
        <v>1</v>
      </c>
      <c r="K56" t="n">
        <v>0</v>
      </c>
      <c r="L56" t="n">
        <v>0</v>
      </c>
      <c r="M56" t="n">
        <v>0</v>
      </c>
      <c r="N56" t="n">
        <v>0</v>
      </c>
      <c r="O56" t="n">
        <v>1</v>
      </c>
      <c r="P56" t="n">
        <v>0</v>
      </c>
      <c r="Q56" t="n">
        <v>1</v>
      </c>
      <c r="R56" s="2" t="inlineStr">
        <is>
          <t>Blanksvart spiklav</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49525-2024</t>
        </is>
      </c>
      <c r="B57" s="1" t="n">
        <v>45596</v>
      </c>
      <c r="C57" s="1" t="n">
        <v>45984</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32982-2023</t>
        </is>
      </c>
      <c r="B58" s="1" t="n">
        <v>45113</v>
      </c>
      <c r="C58" s="1" t="n">
        <v>45984</v>
      </c>
      <c r="D58" t="inlineStr">
        <is>
          <t>NORRBOTTENS LÄN</t>
        </is>
      </c>
      <c r="E58" t="inlineStr">
        <is>
          <t>JOKKMOKK</t>
        </is>
      </c>
      <c r="F58" t="inlineStr">
        <is>
          <t>Övriga statliga verk och myndigheter</t>
        </is>
      </c>
      <c r="G58" t="n">
        <v>21</v>
      </c>
      <c r="H58" t="n">
        <v>0</v>
      </c>
      <c r="I58" t="n">
        <v>0</v>
      </c>
      <c r="J58" t="n">
        <v>1</v>
      </c>
      <c r="K58" t="n">
        <v>0</v>
      </c>
      <c r="L58" t="n">
        <v>0</v>
      </c>
      <c r="M58" t="n">
        <v>0</v>
      </c>
      <c r="N58" t="n">
        <v>0</v>
      </c>
      <c r="O58" t="n">
        <v>1</v>
      </c>
      <c r="P58" t="n">
        <v>0</v>
      </c>
      <c r="Q58" t="n">
        <v>1</v>
      </c>
      <c r="R58" s="2" t="inlineStr">
        <is>
          <t>Vitplätt</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50391-2025</t>
        </is>
      </c>
      <c r="B59" s="1" t="n">
        <v>45944.61743055555</v>
      </c>
      <c r="C59" s="1" t="n">
        <v>45984</v>
      </c>
      <c r="D59" t="inlineStr">
        <is>
          <t>NORRBOTTENS LÄN</t>
        </is>
      </c>
      <c r="E59" t="inlineStr">
        <is>
          <t>JOKKMOKK</t>
        </is>
      </c>
      <c r="F59" t="inlineStr">
        <is>
          <t>Sveaskog</t>
        </is>
      </c>
      <c r="G59" t="n">
        <v>7.6</v>
      </c>
      <c r="H59" t="n">
        <v>1</v>
      </c>
      <c r="I59" t="n">
        <v>1</v>
      </c>
      <c r="J59" t="n">
        <v>0</v>
      </c>
      <c r="K59" t="n">
        <v>0</v>
      </c>
      <c r="L59" t="n">
        <v>0</v>
      </c>
      <c r="M59" t="n">
        <v>0</v>
      </c>
      <c r="N59" t="n">
        <v>0</v>
      </c>
      <c r="O59" t="n">
        <v>0</v>
      </c>
      <c r="P59" t="n">
        <v>0</v>
      </c>
      <c r="Q59" t="n">
        <v>1</v>
      </c>
      <c r="R59" s="2" t="inlineStr">
        <is>
          <t>Plattlummer</t>
        </is>
      </c>
      <c r="S59">
        <f>HYPERLINK("https://klasma.github.io/Logging_2510/artfynd/A 50391-2025 artfynd.xlsx", "A 50391-2025")</f>
        <v/>
      </c>
      <c r="T59">
        <f>HYPERLINK("https://klasma.github.io/Logging_2510/kartor/A 50391-2025 karta.png", "A 50391-2025")</f>
        <v/>
      </c>
      <c r="V59">
        <f>HYPERLINK("https://klasma.github.io/Logging_2510/klagomål/A 50391-2025 FSC-klagomål.docx", "A 50391-2025")</f>
        <v/>
      </c>
      <c r="W59">
        <f>HYPERLINK("https://klasma.github.io/Logging_2510/klagomålsmail/A 50391-2025 FSC-klagomål mail.docx", "A 50391-2025")</f>
        <v/>
      </c>
      <c r="X59">
        <f>HYPERLINK("https://klasma.github.io/Logging_2510/tillsyn/A 50391-2025 tillsynsbegäran.docx", "A 50391-2025")</f>
        <v/>
      </c>
      <c r="Y59">
        <f>HYPERLINK("https://klasma.github.io/Logging_2510/tillsynsmail/A 50391-2025 tillsynsbegäran mail.docx", "A 50391-2025")</f>
        <v/>
      </c>
    </row>
    <row r="60" ht="15" customHeight="1">
      <c r="A60" t="inlineStr">
        <is>
          <t>A 43023-2024</t>
        </is>
      </c>
      <c r="B60" s="1" t="n">
        <v>45567</v>
      </c>
      <c r="C60" s="1" t="n">
        <v>45984</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29859-2025</t>
        </is>
      </c>
      <c r="B61" s="1" t="n">
        <v>45826.34621527778</v>
      </c>
      <c r="C61" s="1" t="n">
        <v>45984</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43039-2024</t>
        </is>
      </c>
      <c r="B62" s="1" t="n">
        <v>45567</v>
      </c>
      <c r="C62" s="1" t="n">
        <v>45984</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44234-2025</t>
        </is>
      </c>
      <c r="B63" s="1" t="n">
        <v>45915.65525462963</v>
      </c>
      <c r="C63" s="1" t="n">
        <v>45984</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32669-2025</t>
        </is>
      </c>
      <c r="B64" s="1" t="n">
        <v>45838.69793981482</v>
      </c>
      <c r="C64" s="1" t="n">
        <v>45984</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44828-2025</t>
        </is>
      </c>
      <c r="B65" s="1" t="n">
        <v>45918.38981481481</v>
      </c>
      <c r="C65" s="1" t="n">
        <v>45984</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53035-2025</t>
        </is>
      </c>
      <c r="B66" s="1" t="n">
        <v>45958.34751157407</v>
      </c>
      <c r="C66" s="1" t="n">
        <v>45984</v>
      </c>
      <c r="D66" t="inlineStr">
        <is>
          <t>NORRBOTTENS LÄN</t>
        </is>
      </c>
      <c r="E66" t="inlineStr">
        <is>
          <t>JOKKMOKK</t>
        </is>
      </c>
      <c r="F66" t="inlineStr">
        <is>
          <t>Sveaskog</t>
        </is>
      </c>
      <c r="G66" t="n">
        <v>15.2</v>
      </c>
      <c r="H66" t="n">
        <v>1</v>
      </c>
      <c r="I66" t="n">
        <v>1</v>
      </c>
      <c r="J66" t="n">
        <v>0</v>
      </c>
      <c r="K66" t="n">
        <v>0</v>
      </c>
      <c r="L66" t="n">
        <v>0</v>
      </c>
      <c r="M66" t="n">
        <v>0</v>
      </c>
      <c r="N66" t="n">
        <v>0</v>
      </c>
      <c r="O66" t="n">
        <v>0</v>
      </c>
      <c r="P66" t="n">
        <v>0</v>
      </c>
      <c r="Q66" t="n">
        <v>1</v>
      </c>
      <c r="R66" s="2" t="inlineStr">
        <is>
          <t>Plattlummer</t>
        </is>
      </c>
      <c r="S66">
        <f>HYPERLINK("https://klasma.github.io/Logging_2510/artfynd/A 53035-2025 artfynd.xlsx", "A 53035-2025")</f>
        <v/>
      </c>
      <c r="T66">
        <f>HYPERLINK("https://klasma.github.io/Logging_2510/kartor/A 53035-2025 karta.png", "A 53035-2025")</f>
        <v/>
      </c>
      <c r="V66">
        <f>HYPERLINK("https://klasma.github.io/Logging_2510/klagomål/A 53035-2025 FSC-klagomål.docx", "A 53035-2025")</f>
        <v/>
      </c>
      <c r="W66">
        <f>HYPERLINK("https://klasma.github.io/Logging_2510/klagomålsmail/A 53035-2025 FSC-klagomål mail.docx", "A 53035-2025")</f>
        <v/>
      </c>
      <c r="X66">
        <f>HYPERLINK("https://klasma.github.io/Logging_2510/tillsyn/A 53035-2025 tillsynsbegäran.docx", "A 53035-2025")</f>
        <v/>
      </c>
      <c r="Y66">
        <f>HYPERLINK("https://klasma.github.io/Logging_2510/tillsynsmail/A 53035-2025 tillsynsbegäran mail.docx", "A 53035-2025")</f>
        <v/>
      </c>
    </row>
    <row r="67" ht="15" customHeight="1">
      <c r="A67" t="inlineStr">
        <is>
          <t>A 45201-2025</t>
        </is>
      </c>
      <c r="B67" s="1" t="n">
        <v>45919.56230324074</v>
      </c>
      <c r="C67" s="1" t="n">
        <v>45984</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34135-2025</t>
        </is>
      </c>
      <c r="B68" s="1" t="n">
        <v>45845.5409375</v>
      </c>
      <c r="C68" s="1" t="n">
        <v>45984</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45984</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52260-2024</t>
        </is>
      </c>
      <c r="B70" s="1" t="n">
        <v>45608</v>
      </c>
      <c r="C70" s="1" t="n">
        <v>45984</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45984</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72480-2021</t>
        </is>
      </c>
      <c r="B72" s="1" t="n">
        <v>44545</v>
      </c>
      <c r="C72" s="1" t="n">
        <v>45984</v>
      </c>
      <c r="D72" t="inlineStr">
        <is>
          <t>NORRBOTTENS LÄN</t>
        </is>
      </c>
      <c r="E72" t="inlineStr">
        <is>
          <t>JOKKMOKK</t>
        </is>
      </c>
      <c r="G72" t="n">
        <v>8.800000000000001</v>
      </c>
      <c r="H72" t="n">
        <v>0</v>
      </c>
      <c r="I72" t="n">
        <v>0</v>
      </c>
      <c r="J72" t="n">
        <v>1</v>
      </c>
      <c r="K72" t="n">
        <v>0</v>
      </c>
      <c r="L72" t="n">
        <v>0</v>
      </c>
      <c r="M72" t="n">
        <v>0</v>
      </c>
      <c r="N72" t="n">
        <v>0</v>
      </c>
      <c r="O72" t="n">
        <v>1</v>
      </c>
      <c r="P72" t="n">
        <v>0</v>
      </c>
      <c r="Q72" t="n">
        <v>1</v>
      </c>
      <c r="R72" s="2" t="inlineStr">
        <is>
          <t>Dvärgbägarlav</t>
        </is>
      </c>
      <c r="S72">
        <f>HYPERLINK("https://klasma.github.io/Logging_2510/artfynd/A 72480-2021 artfynd.xlsx", "A 72480-2021")</f>
        <v/>
      </c>
      <c r="T72">
        <f>HYPERLINK("https://klasma.github.io/Logging_2510/kartor/A 72480-2021 karta.png", "A 72480-2021")</f>
        <v/>
      </c>
      <c r="V72">
        <f>HYPERLINK("https://klasma.github.io/Logging_2510/klagomål/A 72480-2021 FSC-klagomål.docx", "A 72480-2021")</f>
        <v/>
      </c>
      <c r="W72">
        <f>HYPERLINK("https://klasma.github.io/Logging_2510/klagomålsmail/A 72480-2021 FSC-klagomål mail.docx", "A 72480-2021")</f>
        <v/>
      </c>
      <c r="X72">
        <f>HYPERLINK("https://klasma.github.io/Logging_2510/tillsyn/A 72480-2021 tillsynsbegäran.docx", "A 72480-2021")</f>
        <v/>
      </c>
      <c r="Y72">
        <f>HYPERLINK("https://klasma.github.io/Logging_2510/tillsynsmail/A 72480-2021 tillsynsbegäran mail.docx", "A 72480-2021")</f>
        <v/>
      </c>
    </row>
    <row r="73" ht="15" customHeight="1">
      <c r="A73" t="inlineStr">
        <is>
          <t>A 44147-2024</t>
        </is>
      </c>
      <c r="B73" s="1" t="n">
        <v>45572.67306712963</v>
      </c>
      <c r="C73" s="1" t="n">
        <v>45984</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45984</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37252-2025</t>
        </is>
      </c>
      <c r="B75" s="1" t="n">
        <v>45876.4228125</v>
      </c>
      <c r="C75" s="1" t="n">
        <v>45984</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42834-2025</t>
        </is>
      </c>
      <c r="B76" s="1" t="n">
        <v>45908</v>
      </c>
      <c r="C76" s="1" t="n">
        <v>45984</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2031-2025</t>
        </is>
      </c>
      <c r="B77" s="1" t="n">
        <v>45672</v>
      </c>
      <c r="C77" s="1" t="n">
        <v>45984</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40466-2023</t>
        </is>
      </c>
      <c r="B78" s="1" t="n">
        <v>45170</v>
      </c>
      <c r="C78" s="1" t="n">
        <v>45984</v>
      </c>
      <c r="D78" t="inlineStr">
        <is>
          <t>NORRBOTTENS LÄN</t>
        </is>
      </c>
      <c r="E78" t="inlineStr">
        <is>
          <t>JOKKMOKK</t>
        </is>
      </c>
      <c r="F78" t="inlineStr">
        <is>
          <t>Sveaskog</t>
        </is>
      </c>
      <c r="G78" t="n">
        <v>1.5</v>
      </c>
      <c r="H78" t="n">
        <v>0</v>
      </c>
      <c r="I78" t="n">
        <v>0</v>
      </c>
      <c r="J78" t="n">
        <v>1</v>
      </c>
      <c r="K78" t="n">
        <v>0</v>
      </c>
      <c r="L78" t="n">
        <v>0</v>
      </c>
      <c r="M78" t="n">
        <v>0</v>
      </c>
      <c r="N78" t="n">
        <v>0</v>
      </c>
      <c r="O78" t="n">
        <v>1</v>
      </c>
      <c r="P78" t="n">
        <v>0</v>
      </c>
      <c r="Q78" t="n">
        <v>1</v>
      </c>
      <c r="R78" s="2" t="inlineStr">
        <is>
          <t>Motaggsvamp</t>
        </is>
      </c>
      <c r="S78">
        <f>HYPERLINK("https://klasma.github.io/Logging_2510/artfynd/A 40466-2023 artfynd.xlsx", "A 40466-2023")</f>
        <v/>
      </c>
      <c r="T78">
        <f>HYPERLINK("https://klasma.github.io/Logging_2510/kartor/A 40466-2023 karta.png", "A 40466-2023")</f>
        <v/>
      </c>
      <c r="V78">
        <f>HYPERLINK("https://klasma.github.io/Logging_2510/klagomål/A 40466-2023 FSC-klagomål.docx", "A 40466-2023")</f>
        <v/>
      </c>
      <c r="W78">
        <f>HYPERLINK("https://klasma.github.io/Logging_2510/klagomålsmail/A 40466-2023 FSC-klagomål mail.docx", "A 40466-2023")</f>
        <v/>
      </c>
      <c r="X78">
        <f>HYPERLINK("https://klasma.github.io/Logging_2510/tillsyn/A 40466-2023 tillsynsbegäran.docx", "A 40466-2023")</f>
        <v/>
      </c>
      <c r="Y78">
        <f>HYPERLINK("https://klasma.github.io/Logging_2510/tillsynsmail/A 40466-2023 tillsynsbegäran mail.docx", "A 40466-2023")</f>
        <v/>
      </c>
    </row>
    <row r="79" ht="15" customHeight="1">
      <c r="A79" t="inlineStr">
        <is>
          <t>A 38039-2021</t>
        </is>
      </c>
      <c r="B79" s="1" t="n">
        <v>44404</v>
      </c>
      <c r="C79" s="1" t="n">
        <v>45984</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17000-2022</t>
        </is>
      </c>
      <c r="B80" s="1" t="n">
        <v>44676</v>
      </c>
      <c r="C80" s="1" t="n">
        <v>45984</v>
      </c>
      <c r="D80" t="inlineStr">
        <is>
          <t>NORRBOTTENS LÄN</t>
        </is>
      </c>
      <c r="E80" t="inlineStr">
        <is>
          <t>JOKKMOKK</t>
        </is>
      </c>
      <c r="G80" t="n">
        <v>36.6</v>
      </c>
      <c r="H80" t="n">
        <v>0</v>
      </c>
      <c r="I80" t="n">
        <v>0</v>
      </c>
      <c r="J80" t="n">
        <v>0</v>
      </c>
      <c r="K80" t="n">
        <v>0</v>
      </c>
      <c r="L80" t="n">
        <v>0</v>
      </c>
      <c r="M80" t="n">
        <v>0</v>
      </c>
      <c r="N80" t="n">
        <v>0</v>
      </c>
      <c r="O80" t="n">
        <v>0</v>
      </c>
      <c r="P80" t="n">
        <v>0</v>
      </c>
      <c r="Q80" t="n">
        <v>0</v>
      </c>
      <c r="R80" s="2" t="inlineStr"/>
    </row>
    <row r="81" ht="15" customHeight="1">
      <c r="A81" t="inlineStr">
        <is>
          <t>A 40248-2022</t>
        </is>
      </c>
      <c r="B81" s="1" t="n">
        <v>44820</v>
      </c>
      <c r="C81" s="1" t="n">
        <v>45984</v>
      </c>
      <c r="D81" t="inlineStr">
        <is>
          <t>NORRBOTTENS LÄN</t>
        </is>
      </c>
      <c r="E81" t="inlineStr">
        <is>
          <t>JOKKMOKK</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68583-2020</t>
        </is>
      </c>
      <c r="B82" s="1" t="n">
        <v>44186</v>
      </c>
      <c r="C82" s="1" t="n">
        <v>45984</v>
      </c>
      <c r="D82" t="inlineStr">
        <is>
          <t>NORRBOTTENS LÄN</t>
        </is>
      </c>
      <c r="E82" t="inlineStr">
        <is>
          <t>JOKKMOKK</t>
        </is>
      </c>
      <c r="F82" t="inlineStr">
        <is>
          <t>Sveaskog</t>
        </is>
      </c>
      <c r="G82" t="n">
        <v>12.5</v>
      </c>
      <c r="H82" t="n">
        <v>0</v>
      </c>
      <c r="I82" t="n">
        <v>0</v>
      </c>
      <c r="J82" t="n">
        <v>0</v>
      </c>
      <c r="K82" t="n">
        <v>0</v>
      </c>
      <c r="L82" t="n">
        <v>0</v>
      </c>
      <c r="M82" t="n">
        <v>0</v>
      </c>
      <c r="N82" t="n">
        <v>0</v>
      </c>
      <c r="O82" t="n">
        <v>0</v>
      </c>
      <c r="P82" t="n">
        <v>0</v>
      </c>
      <c r="Q82" t="n">
        <v>0</v>
      </c>
      <c r="R82" s="2" t="inlineStr"/>
    </row>
    <row r="83" ht="15" customHeight="1">
      <c r="A83" t="inlineStr">
        <is>
          <t>A 37114-2021</t>
        </is>
      </c>
      <c r="B83" s="1" t="n">
        <v>44393</v>
      </c>
      <c r="C83" s="1" t="n">
        <v>45984</v>
      </c>
      <c r="D83" t="inlineStr">
        <is>
          <t>NORRBOTTENS LÄN</t>
        </is>
      </c>
      <c r="E83" t="inlineStr">
        <is>
          <t>JOKKMOKK</t>
        </is>
      </c>
      <c r="F83" t="inlineStr">
        <is>
          <t>Övriga statliga verk och myndigheter</t>
        </is>
      </c>
      <c r="G83" t="n">
        <v>30</v>
      </c>
      <c r="H83" t="n">
        <v>0</v>
      </c>
      <c r="I83" t="n">
        <v>0</v>
      </c>
      <c r="J83" t="n">
        <v>0</v>
      </c>
      <c r="K83" t="n">
        <v>0</v>
      </c>
      <c r="L83" t="n">
        <v>0</v>
      </c>
      <c r="M83" t="n">
        <v>0</v>
      </c>
      <c r="N83" t="n">
        <v>0</v>
      </c>
      <c r="O83" t="n">
        <v>0</v>
      </c>
      <c r="P83" t="n">
        <v>0</v>
      </c>
      <c r="Q83" t="n">
        <v>0</v>
      </c>
      <c r="R83" s="2" t="inlineStr"/>
    </row>
    <row r="84" ht="15" customHeight="1">
      <c r="A84" t="inlineStr">
        <is>
          <t>A 43781-2021</t>
        </is>
      </c>
      <c r="B84" s="1" t="n">
        <v>44433</v>
      </c>
      <c r="C84" s="1" t="n">
        <v>45984</v>
      </c>
      <c r="D84" t="inlineStr">
        <is>
          <t>NORRBOTTENS LÄN</t>
        </is>
      </c>
      <c r="E84" t="inlineStr">
        <is>
          <t>JOKKMOKK</t>
        </is>
      </c>
      <c r="G84" t="n">
        <v>1.7</v>
      </c>
      <c r="H84" t="n">
        <v>0</v>
      </c>
      <c r="I84" t="n">
        <v>0</v>
      </c>
      <c r="J84" t="n">
        <v>0</v>
      </c>
      <c r="K84" t="n">
        <v>0</v>
      </c>
      <c r="L84" t="n">
        <v>0</v>
      </c>
      <c r="M84" t="n">
        <v>0</v>
      </c>
      <c r="N84" t="n">
        <v>0</v>
      </c>
      <c r="O84" t="n">
        <v>0</v>
      </c>
      <c r="P84" t="n">
        <v>0</v>
      </c>
      <c r="Q84" t="n">
        <v>0</v>
      </c>
      <c r="R84" s="2" t="inlineStr"/>
    </row>
    <row r="85" ht="15" customHeight="1">
      <c r="A85" t="inlineStr">
        <is>
          <t>A 71955-2021</t>
        </is>
      </c>
      <c r="B85" s="1" t="n">
        <v>44543</v>
      </c>
      <c r="C85" s="1" t="n">
        <v>45984</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71950-2021</t>
        </is>
      </c>
      <c r="B86" s="1" t="n">
        <v>44543</v>
      </c>
      <c r="C86" s="1" t="n">
        <v>45984</v>
      </c>
      <c r="D86" t="inlineStr">
        <is>
          <t>NORRBOTTENS LÄN</t>
        </is>
      </c>
      <c r="E86" t="inlineStr">
        <is>
          <t>JOKKMOKK</t>
        </is>
      </c>
      <c r="F86" t="inlineStr">
        <is>
          <t>Naturvårdsverket</t>
        </is>
      </c>
      <c r="G86" t="n">
        <v>13.3</v>
      </c>
      <c r="H86" t="n">
        <v>0</v>
      </c>
      <c r="I86" t="n">
        <v>0</v>
      </c>
      <c r="J86" t="n">
        <v>0</v>
      </c>
      <c r="K86" t="n">
        <v>0</v>
      </c>
      <c r="L86" t="n">
        <v>0</v>
      </c>
      <c r="M86" t="n">
        <v>0</v>
      </c>
      <c r="N86" t="n">
        <v>0</v>
      </c>
      <c r="O86" t="n">
        <v>0</v>
      </c>
      <c r="P86" t="n">
        <v>0</v>
      </c>
      <c r="Q86" t="n">
        <v>0</v>
      </c>
      <c r="R86" s="2" t="inlineStr"/>
    </row>
    <row r="87" ht="15" customHeight="1">
      <c r="A87" t="inlineStr">
        <is>
          <t>A 71921-2021</t>
        </is>
      </c>
      <c r="B87" s="1" t="n">
        <v>44543</v>
      </c>
      <c r="C87" s="1" t="n">
        <v>45984</v>
      </c>
      <c r="D87" t="inlineStr">
        <is>
          <t>NORRBOTTENS LÄN</t>
        </is>
      </c>
      <c r="E87" t="inlineStr">
        <is>
          <t>JOKKMOKK</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71944-2021</t>
        </is>
      </c>
      <c r="B88" s="1" t="n">
        <v>44543</v>
      </c>
      <c r="C88" s="1" t="n">
        <v>45984</v>
      </c>
      <c r="D88" t="inlineStr">
        <is>
          <t>NORRBOTTENS LÄN</t>
        </is>
      </c>
      <c r="E88" t="inlineStr">
        <is>
          <t>JOKKMOKK</t>
        </is>
      </c>
      <c r="G88" t="n">
        <v>1.2</v>
      </c>
      <c r="H88" t="n">
        <v>0</v>
      </c>
      <c r="I88" t="n">
        <v>0</v>
      </c>
      <c r="J88" t="n">
        <v>0</v>
      </c>
      <c r="K88" t="n">
        <v>0</v>
      </c>
      <c r="L88" t="n">
        <v>0</v>
      </c>
      <c r="M88" t="n">
        <v>0</v>
      </c>
      <c r="N88" t="n">
        <v>0</v>
      </c>
      <c r="O88" t="n">
        <v>0</v>
      </c>
      <c r="P88" t="n">
        <v>0</v>
      </c>
      <c r="Q88" t="n">
        <v>0</v>
      </c>
      <c r="R88" s="2" t="inlineStr"/>
    </row>
    <row r="89" ht="15" customHeight="1">
      <c r="A89" t="inlineStr">
        <is>
          <t>A 8358-2021</t>
        </is>
      </c>
      <c r="B89" s="1" t="n">
        <v>44244</v>
      </c>
      <c r="C89" s="1" t="n">
        <v>45984</v>
      </c>
      <c r="D89" t="inlineStr">
        <is>
          <t>NORRBOTTENS LÄN</t>
        </is>
      </c>
      <c r="E89" t="inlineStr">
        <is>
          <t>JOKKMOKK</t>
        </is>
      </c>
      <c r="F89" t="inlineStr">
        <is>
          <t>SCA</t>
        </is>
      </c>
      <c r="G89" t="n">
        <v>4.5</v>
      </c>
      <c r="H89" t="n">
        <v>0</v>
      </c>
      <c r="I89" t="n">
        <v>0</v>
      </c>
      <c r="J89" t="n">
        <v>0</v>
      </c>
      <c r="K89" t="n">
        <v>0</v>
      </c>
      <c r="L89" t="n">
        <v>0</v>
      </c>
      <c r="M89" t="n">
        <v>0</v>
      </c>
      <c r="N89" t="n">
        <v>0</v>
      </c>
      <c r="O89" t="n">
        <v>0</v>
      </c>
      <c r="P89" t="n">
        <v>0</v>
      </c>
      <c r="Q89" t="n">
        <v>0</v>
      </c>
      <c r="R89" s="2" t="inlineStr"/>
    </row>
    <row r="90" ht="15" customHeight="1">
      <c r="A90" t="inlineStr">
        <is>
          <t>A 71936-2021</t>
        </is>
      </c>
      <c r="B90" s="1" t="n">
        <v>44543</v>
      </c>
      <c r="C90" s="1" t="n">
        <v>45984</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3772-2022</t>
        </is>
      </c>
      <c r="B91" s="1" t="n">
        <v>44586</v>
      </c>
      <c r="C91" s="1" t="n">
        <v>45984</v>
      </c>
      <c r="D91" t="inlineStr">
        <is>
          <t>NORRBOTTENS LÄN</t>
        </is>
      </c>
      <c r="E91" t="inlineStr">
        <is>
          <t>JOKKMOKK</t>
        </is>
      </c>
      <c r="F91" t="inlineStr">
        <is>
          <t>SCA</t>
        </is>
      </c>
      <c r="G91" t="n">
        <v>2.4</v>
      </c>
      <c r="H91" t="n">
        <v>0</v>
      </c>
      <c r="I91" t="n">
        <v>0</v>
      </c>
      <c r="J91" t="n">
        <v>0</v>
      </c>
      <c r="K91" t="n">
        <v>0</v>
      </c>
      <c r="L91" t="n">
        <v>0</v>
      </c>
      <c r="M91" t="n">
        <v>0</v>
      </c>
      <c r="N91" t="n">
        <v>0</v>
      </c>
      <c r="O91" t="n">
        <v>0</v>
      </c>
      <c r="P91" t="n">
        <v>0</v>
      </c>
      <c r="Q91" t="n">
        <v>0</v>
      </c>
      <c r="R91" s="2" t="inlineStr"/>
    </row>
    <row r="92" ht="15" customHeight="1">
      <c r="A92" t="inlineStr">
        <is>
          <t>A 3776-2022</t>
        </is>
      </c>
      <c r="B92" s="1" t="n">
        <v>44586.93454861111</v>
      </c>
      <c r="C92" s="1" t="n">
        <v>45984</v>
      </c>
      <c r="D92" t="inlineStr">
        <is>
          <t>NORRBOTTENS LÄN</t>
        </is>
      </c>
      <c r="E92" t="inlineStr">
        <is>
          <t>JOKKMOKK</t>
        </is>
      </c>
      <c r="F92" t="inlineStr">
        <is>
          <t>SCA</t>
        </is>
      </c>
      <c r="G92" t="n">
        <v>8</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45984</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62038-2020</t>
        </is>
      </c>
      <c r="B94" s="1" t="n">
        <v>44158</v>
      </c>
      <c r="C94" s="1" t="n">
        <v>45984</v>
      </c>
      <c r="D94" t="inlineStr">
        <is>
          <t>NORRBOTTENS LÄN</t>
        </is>
      </c>
      <c r="E94" t="inlineStr">
        <is>
          <t>JOKKMOKK</t>
        </is>
      </c>
      <c r="F94" t="inlineStr">
        <is>
          <t>Övriga Aktiebolag</t>
        </is>
      </c>
      <c r="G94" t="n">
        <v>7.3</v>
      </c>
      <c r="H94" t="n">
        <v>0</v>
      </c>
      <c r="I94" t="n">
        <v>0</v>
      </c>
      <c r="J94" t="n">
        <v>0</v>
      </c>
      <c r="K94" t="n">
        <v>0</v>
      </c>
      <c r="L94" t="n">
        <v>0</v>
      </c>
      <c r="M94" t="n">
        <v>0</v>
      </c>
      <c r="N94" t="n">
        <v>0</v>
      </c>
      <c r="O94" t="n">
        <v>0</v>
      </c>
      <c r="P94" t="n">
        <v>0</v>
      </c>
      <c r="Q94" t="n">
        <v>0</v>
      </c>
      <c r="R94" s="2" t="inlineStr"/>
    </row>
    <row r="95" ht="15" customHeight="1">
      <c r="A95" t="inlineStr">
        <is>
          <t>A 29955-2021</t>
        </is>
      </c>
      <c r="B95" s="1" t="n">
        <v>44362</v>
      </c>
      <c r="C95" s="1" t="n">
        <v>45984</v>
      </c>
      <c r="D95" t="inlineStr">
        <is>
          <t>NORRBOTTENS LÄN</t>
        </is>
      </c>
      <c r="E95" t="inlineStr">
        <is>
          <t>JOKKMOKK</t>
        </is>
      </c>
      <c r="G95" t="n">
        <v>14.1</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45984</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45984</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45984</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45984</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45984</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45984</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45984</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45984</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45984</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45984</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45984</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45984</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45984</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45984</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45984</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45984</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45984</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45984</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45984</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45984</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45984</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45984</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45984</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45984</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45984</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45984</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45984</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45984</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45984</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45984</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45984</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45984</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45984</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45984</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50716-2022</t>
        </is>
      </c>
      <c r="B131" s="1" t="n">
        <v>44862</v>
      </c>
      <c r="C131" s="1" t="n">
        <v>45984</v>
      </c>
      <c r="D131" t="inlineStr">
        <is>
          <t>NORRBOTTENS LÄN</t>
        </is>
      </c>
      <c r="E131" t="inlineStr">
        <is>
          <t>JOKKMOKK</t>
        </is>
      </c>
      <c r="G131" t="n">
        <v>30.2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45984</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45984</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45984</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45984</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45984</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51293-2024</t>
        </is>
      </c>
      <c r="B137" s="1" t="n">
        <v>45603.92878472222</v>
      </c>
      <c r="C137" s="1" t="n">
        <v>45984</v>
      </c>
      <c r="D137" t="inlineStr">
        <is>
          <t>NORRBOTTENS LÄN</t>
        </is>
      </c>
      <c r="E137" t="inlineStr">
        <is>
          <t>JOKKMOKK</t>
        </is>
      </c>
      <c r="G137" t="n">
        <v>2.5</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45984</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45984</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52901-2023</t>
        </is>
      </c>
      <c r="B140" s="1" t="n">
        <v>45222</v>
      </c>
      <c r="C140" s="1" t="n">
        <v>45984</v>
      </c>
      <c r="D140" t="inlineStr">
        <is>
          <t>NORRBOTTENS LÄN</t>
        </is>
      </c>
      <c r="E140" t="inlineStr">
        <is>
          <t>JOKKMOKK</t>
        </is>
      </c>
      <c r="G140" t="n">
        <v>16.6</v>
      </c>
      <c r="H140" t="n">
        <v>0</v>
      </c>
      <c r="I140" t="n">
        <v>0</v>
      </c>
      <c r="J140" t="n">
        <v>0</v>
      </c>
      <c r="K140" t="n">
        <v>0</v>
      </c>
      <c r="L140" t="n">
        <v>0</v>
      </c>
      <c r="M140" t="n">
        <v>0</v>
      </c>
      <c r="N140" t="n">
        <v>0</v>
      </c>
      <c r="O140" t="n">
        <v>0</v>
      </c>
      <c r="P140" t="n">
        <v>0</v>
      </c>
      <c r="Q140" t="n">
        <v>0</v>
      </c>
      <c r="R140" s="2" t="inlineStr"/>
    </row>
    <row r="141" ht="15" customHeight="1">
      <c r="A141" t="inlineStr">
        <is>
          <t>A 31208-2023</t>
        </is>
      </c>
      <c r="B141" s="1" t="n">
        <v>45113.95083333334</v>
      </c>
      <c r="C141" s="1" t="n">
        <v>45984</v>
      </c>
      <c r="D141" t="inlineStr">
        <is>
          <t>NORRBOTTENS LÄN</t>
        </is>
      </c>
      <c r="E141" t="inlineStr">
        <is>
          <t>JOKKMOKK</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38223-2025</t>
        </is>
      </c>
      <c r="B142" s="1" t="n">
        <v>45883</v>
      </c>
      <c r="C142" s="1" t="n">
        <v>45984</v>
      </c>
      <c r="D142" t="inlineStr">
        <is>
          <t>NORRBOTTENS LÄN</t>
        </is>
      </c>
      <c r="E142" t="inlineStr">
        <is>
          <t>JOKKMOKK</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23317-2025</t>
        </is>
      </c>
      <c r="B143" s="1" t="n">
        <v>45791.61278935185</v>
      </c>
      <c r="C143" s="1" t="n">
        <v>45984</v>
      </c>
      <c r="D143" t="inlineStr">
        <is>
          <t>NORRBOTTENS LÄN</t>
        </is>
      </c>
      <c r="E143" t="inlineStr">
        <is>
          <t>JOKKMOKK</t>
        </is>
      </c>
      <c r="F143" t="inlineStr">
        <is>
          <t>Sveaskog</t>
        </is>
      </c>
      <c r="G143" t="n">
        <v>22.4</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45984</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38228-2025</t>
        </is>
      </c>
      <c r="B145" s="1" t="n">
        <v>45883.34554398148</v>
      </c>
      <c r="C145" s="1" t="n">
        <v>45984</v>
      </c>
      <c r="D145" t="inlineStr">
        <is>
          <t>NORRBOTTENS LÄN</t>
        </is>
      </c>
      <c r="E145" t="inlineStr">
        <is>
          <t>JOKKMOKK</t>
        </is>
      </c>
      <c r="F145" t="inlineStr">
        <is>
          <t>SCA</t>
        </is>
      </c>
      <c r="G145" t="n">
        <v>14.5</v>
      </c>
      <c r="H145" t="n">
        <v>0</v>
      </c>
      <c r="I145" t="n">
        <v>0</v>
      </c>
      <c r="J145" t="n">
        <v>0</v>
      </c>
      <c r="K145" t="n">
        <v>0</v>
      </c>
      <c r="L145" t="n">
        <v>0</v>
      </c>
      <c r="M145" t="n">
        <v>0</v>
      </c>
      <c r="N145" t="n">
        <v>0</v>
      </c>
      <c r="O145" t="n">
        <v>0</v>
      </c>
      <c r="P145" t="n">
        <v>0</v>
      </c>
      <c r="Q145" t="n">
        <v>0</v>
      </c>
      <c r="R145" s="2" t="inlineStr"/>
    </row>
    <row r="146" ht="15" customHeight="1">
      <c r="A146" t="inlineStr">
        <is>
          <t>A 51304-2022</t>
        </is>
      </c>
      <c r="B146" s="1" t="n">
        <v>44868</v>
      </c>
      <c r="C146" s="1" t="n">
        <v>45984</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50568-2022</t>
        </is>
      </c>
      <c r="B147" s="1" t="n">
        <v>44866</v>
      </c>
      <c r="C147" s="1" t="n">
        <v>45984</v>
      </c>
      <c r="D147" t="inlineStr">
        <is>
          <t>NORRBOTTENS LÄN</t>
        </is>
      </c>
      <c r="E147" t="inlineStr">
        <is>
          <t>JOKKMOKK</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44646-2021</t>
        </is>
      </c>
      <c r="B148" s="1" t="n">
        <v>44437</v>
      </c>
      <c r="C148" s="1" t="n">
        <v>45984</v>
      </c>
      <c r="D148" t="inlineStr">
        <is>
          <t>NORRBOTTENS LÄN</t>
        </is>
      </c>
      <c r="E148" t="inlineStr">
        <is>
          <t>JOKKMOKK</t>
        </is>
      </c>
      <c r="G148" t="n">
        <v>10</v>
      </c>
      <c r="H148" t="n">
        <v>0</v>
      </c>
      <c r="I148" t="n">
        <v>0</v>
      </c>
      <c r="J148" t="n">
        <v>0</v>
      </c>
      <c r="K148" t="n">
        <v>0</v>
      </c>
      <c r="L148" t="n">
        <v>0</v>
      </c>
      <c r="M148" t="n">
        <v>0</v>
      </c>
      <c r="N148" t="n">
        <v>0</v>
      </c>
      <c r="O148" t="n">
        <v>0</v>
      </c>
      <c r="P148" t="n">
        <v>0</v>
      </c>
      <c r="Q148" t="n">
        <v>0</v>
      </c>
      <c r="R148" s="2" t="inlineStr"/>
    </row>
    <row r="149" ht="15" customHeight="1">
      <c r="A149" t="inlineStr">
        <is>
          <t>A 19493-2025</t>
        </is>
      </c>
      <c r="B149" s="1" t="n">
        <v>45770.38886574074</v>
      </c>
      <c r="C149" s="1" t="n">
        <v>45984</v>
      </c>
      <c r="D149" t="inlineStr">
        <is>
          <t>NORRBOTTENS LÄN</t>
        </is>
      </c>
      <c r="E149" t="inlineStr">
        <is>
          <t>JOKKMOKK</t>
        </is>
      </c>
      <c r="F149" t="inlineStr">
        <is>
          <t>SCA</t>
        </is>
      </c>
      <c r="G149" t="n">
        <v>7.1</v>
      </c>
      <c r="H149" t="n">
        <v>0</v>
      </c>
      <c r="I149" t="n">
        <v>0</v>
      </c>
      <c r="J149" t="n">
        <v>0</v>
      </c>
      <c r="K149" t="n">
        <v>0</v>
      </c>
      <c r="L149" t="n">
        <v>0</v>
      </c>
      <c r="M149" t="n">
        <v>0</v>
      </c>
      <c r="N149" t="n">
        <v>0</v>
      </c>
      <c r="O149" t="n">
        <v>0</v>
      </c>
      <c r="P149" t="n">
        <v>0</v>
      </c>
      <c r="Q149" t="n">
        <v>0</v>
      </c>
      <c r="R149" s="2" t="inlineStr"/>
    </row>
    <row r="150" ht="15" customHeight="1">
      <c r="A150" t="inlineStr">
        <is>
          <t>A 7273-2021</t>
        </is>
      </c>
      <c r="B150" s="1" t="n">
        <v>44238</v>
      </c>
      <c r="C150" s="1" t="n">
        <v>45984</v>
      </c>
      <c r="D150" t="inlineStr">
        <is>
          <t>NORRBOTTENS LÄN</t>
        </is>
      </c>
      <c r="E150" t="inlineStr">
        <is>
          <t>JOKKMOKK</t>
        </is>
      </c>
      <c r="F150" t="inlineStr">
        <is>
          <t>Övriga statliga verk och myndigheter</t>
        </is>
      </c>
      <c r="G150" t="n">
        <v>19.8</v>
      </c>
      <c r="H150" t="n">
        <v>0</v>
      </c>
      <c r="I150" t="n">
        <v>0</v>
      </c>
      <c r="J150" t="n">
        <v>0</v>
      </c>
      <c r="K150" t="n">
        <v>0</v>
      </c>
      <c r="L150" t="n">
        <v>0</v>
      </c>
      <c r="M150" t="n">
        <v>0</v>
      </c>
      <c r="N150" t="n">
        <v>0</v>
      </c>
      <c r="O150" t="n">
        <v>0</v>
      </c>
      <c r="P150" t="n">
        <v>0</v>
      </c>
      <c r="Q150" t="n">
        <v>0</v>
      </c>
      <c r="R150" s="2" t="inlineStr"/>
    </row>
    <row r="151" ht="15" customHeight="1">
      <c r="A151" t="inlineStr">
        <is>
          <t>A 27657-2024</t>
        </is>
      </c>
      <c r="B151" s="1" t="n">
        <v>45474.95196759259</v>
      </c>
      <c r="C151" s="1" t="n">
        <v>45984</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27658-2024</t>
        </is>
      </c>
      <c r="B152" s="1" t="n">
        <v>45474.95246527778</v>
      </c>
      <c r="C152" s="1" t="n">
        <v>45984</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27653-2024</t>
        </is>
      </c>
      <c r="B153" s="1" t="n">
        <v>45474.95037037037</v>
      </c>
      <c r="C153" s="1" t="n">
        <v>45984</v>
      </c>
      <c r="D153" t="inlineStr">
        <is>
          <t>NORRBOTTENS LÄN</t>
        </is>
      </c>
      <c r="E153" t="inlineStr">
        <is>
          <t>JOKKMOKK</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27654-2024</t>
        </is>
      </c>
      <c r="B154" s="1" t="n">
        <v>45474</v>
      </c>
      <c r="C154" s="1" t="n">
        <v>45984</v>
      </c>
      <c r="D154" t="inlineStr">
        <is>
          <t>NORRBOTTENS LÄN</t>
        </is>
      </c>
      <c r="E154" t="inlineStr">
        <is>
          <t>JOKKMOKK</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27656-2024</t>
        </is>
      </c>
      <c r="B155" s="1" t="n">
        <v>45474</v>
      </c>
      <c r="C155" s="1" t="n">
        <v>45984</v>
      </c>
      <c r="D155" t="inlineStr">
        <is>
          <t>NORRBOTTENS LÄN</t>
        </is>
      </c>
      <c r="E155" t="inlineStr">
        <is>
          <t>JOKKMOKK</t>
        </is>
      </c>
      <c r="F155" t="inlineStr">
        <is>
          <t>SCA</t>
        </is>
      </c>
      <c r="G155" t="n">
        <v>3.8</v>
      </c>
      <c r="H155" t="n">
        <v>0</v>
      </c>
      <c r="I155" t="n">
        <v>0</v>
      </c>
      <c r="J155" t="n">
        <v>0</v>
      </c>
      <c r="K155" t="n">
        <v>0</v>
      </c>
      <c r="L155" t="n">
        <v>0</v>
      </c>
      <c r="M155" t="n">
        <v>0</v>
      </c>
      <c r="N155" t="n">
        <v>0</v>
      </c>
      <c r="O155" t="n">
        <v>0</v>
      </c>
      <c r="P155" t="n">
        <v>0</v>
      </c>
      <c r="Q155" t="n">
        <v>0</v>
      </c>
      <c r="R155" s="2" t="inlineStr"/>
    </row>
    <row r="156" ht="15" customHeight="1">
      <c r="A156" t="inlineStr">
        <is>
          <t>A 60215-2023</t>
        </is>
      </c>
      <c r="B156" s="1" t="n">
        <v>45258.60766203704</v>
      </c>
      <c r="C156" s="1" t="n">
        <v>45984</v>
      </c>
      <c r="D156" t="inlineStr">
        <is>
          <t>NORRBOTTENS LÄN</t>
        </is>
      </c>
      <c r="E156" t="inlineStr">
        <is>
          <t>JOKKMOKK</t>
        </is>
      </c>
      <c r="F156" t="inlineStr">
        <is>
          <t>Allmännings- och besparingsskogar</t>
        </is>
      </c>
      <c r="G156" t="n">
        <v>7.8</v>
      </c>
      <c r="H156" t="n">
        <v>0</v>
      </c>
      <c r="I156" t="n">
        <v>0</v>
      </c>
      <c r="J156" t="n">
        <v>0</v>
      </c>
      <c r="K156" t="n">
        <v>0</v>
      </c>
      <c r="L156" t="n">
        <v>0</v>
      </c>
      <c r="M156" t="n">
        <v>0</v>
      </c>
      <c r="N156" t="n">
        <v>0</v>
      </c>
      <c r="O156" t="n">
        <v>0</v>
      </c>
      <c r="P156" t="n">
        <v>0</v>
      </c>
      <c r="Q156" t="n">
        <v>0</v>
      </c>
      <c r="R156" s="2" t="inlineStr"/>
    </row>
    <row r="157" ht="15" customHeight="1">
      <c r="A157" t="inlineStr">
        <is>
          <t>A 26969-2024</t>
        </is>
      </c>
      <c r="B157" s="1" t="n">
        <v>45471.27252314815</v>
      </c>
      <c r="C157" s="1" t="n">
        <v>45984</v>
      </c>
      <c r="D157" t="inlineStr">
        <is>
          <t>NORRBOTTENS LÄN</t>
        </is>
      </c>
      <c r="E157" t="inlineStr">
        <is>
          <t>JOKKMOKK</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25715-2024</t>
        </is>
      </c>
      <c r="B158" s="1" t="n">
        <v>45463</v>
      </c>
      <c r="C158" s="1" t="n">
        <v>45984</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45984</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34609-2024</t>
        </is>
      </c>
      <c r="B160" s="1" t="n">
        <v>45526</v>
      </c>
      <c r="C160" s="1" t="n">
        <v>45984</v>
      </c>
      <c r="D160" t="inlineStr">
        <is>
          <t>NORRBOTTENS LÄN</t>
        </is>
      </c>
      <c r="E160" t="inlineStr">
        <is>
          <t>JOKKMOKK</t>
        </is>
      </c>
      <c r="G160" t="n">
        <v>27</v>
      </c>
      <c r="H160" t="n">
        <v>0</v>
      </c>
      <c r="I160" t="n">
        <v>0</v>
      </c>
      <c r="J160" t="n">
        <v>0</v>
      </c>
      <c r="K160" t="n">
        <v>0</v>
      </c>
      <c r="L160" t="n">
        <v>0</v>
      </c>
      <c r="M160" t="n">
        <v>0</v>
      </c>
      <c r="N160" t="n">
        <v>0</v>
      </c>
      <c r="O160" t="n">
        <v>0</v>
      </c>
      <c r="P160" t="n">
        <v>0</v>
      </c>
      <c r="Q160" t="n">
        <v>0</v>
      </c>
      <c r="R160" s="2" t="inlineStr"/>
    </row>
    <row r="161" ht="15" customHeight="1">
      <c r="A161" t="inlineStr">
        <is>
          <t>A 9852-2023</t>
        </is>
      </c>
      <c r="B161" s="1" t="n">
        <v>44984</v>
      </c>
      <c r="C161" s="1" t="n">
        <v>45984</v>
      </c>
      <c r="D161" t="inlineStr">
        <is>
          <t>NORRBOTTENS LÄN</t>
        </is>
      </c>
      <c r="E161" t="inlineStr">
        <is>
          <t>JOKKMOKK</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6777-2023</t>
        </is>
      </c>
      <c r="B162" s="1" t="n">
        <v>44966</v>
      </c>
      <c r="C162" s="1" t="n">
        <v>45984</v>
      </c>
      <c r="D162" t="inlineStr">
        <is>
          <t>NORRBOTTENS LÄN</t>
        </is>
      </c>
      <c r="E162" t="inlineStr">
        <is>
          <t>JOKKMOKK</t>
        </is>
      </c>
      <c r="G162" t="n">
        <v>2.2</v>
      </c>
      <c r="H162" t="n">
        <v>0</v>
      </c>
      <c r="I162" t="n">
        <v>0</v>
      </c>
      <c r="J162" t="n">
        <v>0</v>
      </c>
      <c r="K162" t="n">
        <v>0</v>
      </c>
      <c r="L162" t="n">
        <v>0</v>
      </c>
      <c r="M162" t="n">
        <v>0</v>
      </c>
      <c r="N162" t="n">
        <v>0</v>
      </c>
      <c r="O162" t="n">
        <v>0</v>
      </c>
      <c r="P162" t="n">
        <v>0</v>
      </c>
      <c r="Q162" t="n">
        <v>0</v>
      </c>
      <c r="R162" s="2" t="inlineStr"/>
    </row>
    <row r="163" ht="15" customHeight="1">
      <c r="A163" t="inlineStr">
        <is>
          <t>A 60193-2023</t>
        </is>
      </c>
      <c r="B163" s="1" t="n">
        <v>45258</v>
      </c>
      <c r="C163" s="1" t="n">
        <v>45984</v>
      </c>
      <c r="D163" t="inlineStr">
        <is>
          <t>NORRBOTTENS LÄN</t>
        </is>
      </c>
      <c r="E163" t="inlineStr">
        <is>
          <t>JOKKMOKK</t>
        </is>
      </c>
      <c r="F163" t="inlineStr">
        <is>
          <t>Allmännings- och besparingsskogar</t>
        </is>
      </c>
      <c r="G163" t="n">
        <v>11.1</v>
      </c>
      <c r="H163" t="n">
        <v>0</v>
      </c>
      <c r="I163" t="n">
        <v>0</v>
      </c>
      <c r="J163" t="n">
        <v>0</v>
      </c>
      <c r="K163" t="n">
        <v>0</v>
      </c>
      <c r="L163" t="n">
        <v>0</v>
      </c>
      <c r="M163" t="n">
        <v>0</v>
      </c>
      <c r="N163" t="n">
        <v>0</v>
      </c>
      <c r="O163" t="n">
        <v>0</v>
      </c>
      <c r="P163" t="n">
        <v>0</v>
      </c>
      <c r="Q163" t="n">
        <v>0</v>
      </c>
      <c r="R163" s="2" t="inlineStr"/>
    </row>
    <row r="164" ht="15" customHeight="1">
      <c r="A164" t="inlineStr">
        <is>
          <t>A 28036-2024</t>
        </is>
      </c>
      <c r="B164" s="1" t="n">
        <v>45476.49958333333</v>
      </c>
      <c r="C164" s="1" t="n">
        <v>45984</v>
      </c>
      <c r="D164" t="inlineStr">
        <is>
          <t>NORRBOTTENS LÄN</t>
        </is>
      </c>
      <c r="E164" t="inlineStr">
        <is>
          <t>JOKKMOKK</t>
        </is>
      </c>
      <c r="G164" t="n">
        <v>7.4</v>
      </c>
      <c r="H164" t="n">
        <v>0</v>
      </c>
      <c r="I164" t="n">
        <v>0</v>
      </c>
      <c r="J164" t="n">
        <v>0</v>
      </c>
      <c r="K164" t="n">
        <v>0</v>
      </c>
      <c r="L164" t="n">
        <v>0</v>
      </c>
      <c r="M164" t="n">
        <v>0</v>
      </c>
      <c r="N164" t="n">
        <v>0</v>
      </c>
      <c r="O164" t="n">
        <v>0</v>
      </c>
      <c r="P164" t="n">
        <v>0</v>
      </c>
      <c r="Q164" t="n">
        <v>0</v>
      </c>
      <c r="R164" s="2" t="inlineStr"/>
    </row>
    <row r="165" ht="15" customHeight="1">
      <c r="A165" t="inlineStr">
        <is>
          <t>A 48645-2025</t>
        </is>
      </c>
      <c r="B165" s="1" t="n">
        <v>45935</v>
      </c>
      <c r="C165" s="1" t="n">
        <v>45984</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24746-2025</t>
        </is>
      </c>
      <c r="B166" s="1" t="n">
        <v>45799.34662037037</v>
      </c>
      <c r="C166" s="1" t="n">
        <v>45984</v>
      </c>
      <c r="D166" t="inlineStr">
        <is>
          <t>NORRBOTTENS LÄN</t>
        </is>
      </c>
      <c r="E166" t="inlineStr">
        <is>
          <t>JOKKMOKK</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24740-2025</t>
        </is>
      </c>
      <c r="B167" s="1" t="n">
        <v>45799.34543981482</v>
      </c>
      <c r="C167" s="1" t="n">
        <v>45984</v>
      </c>
      <c r="D167" t="inlineStr">
        <is>
          <t>NORRBOTTENS LÄN</t>
        </is>
      </c>
      <c r="E167" t="inlineStr">
        <is>
          <t>JOKKMOKK</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24743-2025</t>
        </is>
      </c>
      <c r="B168" s="1" t="n">
        <v>45799.34598379629</v>
      </c>
      <c r="C168" s="1" t="n">
        <v>45984</v>
      </c>
      <c r="D168" t="inlineStr">
        <is>
          <t>NORRBOTTENS LÄN</t>
        </is>
      </c>
      <c r="E168" t="inlineStr">
        <is>
          <t>JOKKMOKK</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40756-2025</t>
        </is>
      </c>
      <c r="B169" s="1" t="n">
        <v>45897.38686342593</v>
      </c>
      <c r="C169" s="1" t="n">
        <v>45984</v>
      </c>
      <c r="D169" t="inlineStr">
        <is>
          <t>NORRBOTTENS LÄN</t>
        </is>
      </c>
      <c r="E169" t="inlineStr">
        <is>
          <t>JOKKMOKK</t>
        </is>
      </c>
      <c r="G169" t="n">
        <v>24.7</v>
      </c>
      <c r="H169" t="n">
        <v>0</v>
      </c>
      <c r="I169" t="n">
        <v>0</v>
      </c>
      <c r="J169" t="n">
        <v>0</v>
      </c>
      <c r="K169" t="n">
        <v>0</v>
      </c>
      <c r="L169" t="n">
        <v>0</v>
      </c>
      <c r="M169" t="n">
        <v>0</v>
      </c>
      <c r="N169" t="n">
        <v>0</v>
      </c>
      <c r="O169" t="n">
        <v>0</v>
      </c>
      <c r="P169" t="n">
        <v>0</v>
      </c>
      <c r="Q169" t="n">
        <v>0</v>
      </c>
      <c r="R169" s="2" t="inlineStr"/>
    </row>
    <row r="170" ht="15" customHeight="1">
      <c r="A170" t="inlineStr">
        <is>
          <t>A 40779-2025</t>
        </is>
      </c>
      <c r="B170" s="1" t="n">
        <v>45897</v>
      </c>
      <c r="C170" s="1" t="n">
        <v>45984</v>
      </c>
      <c r="D170" t="inlineStr">
        <is>
          <t>NORRBOTTENS LÄN</t>
        </is>
      </c>
      <c r="E170" t="inlineStr">
        <is>
          <t>JOKKMOKK</t>
        </is>
      </c>
      <c r="F170" t="inlineStr">
        <is>
          <t>Sveaskog</t>
        </is>
      </c>
      <c r="G170" t="n">
        <v>53.8</v>
      </c>
      <c r="H170" t="n">
        <v>0</v>
      </c>
      <c r="I170" t="n">
        <v>0</v>
      </c>
      <c r="J170" t="n">
        <v>0</v>
      </c>
      <c r="K170" t="n">
        <v>0</v>
      </c>
      <c r="L170" t="n">
        <v>0</v>
      </c>
      <c r="M170" t="n">
        <v>0</v>
      </c>
      <c r="N170" t="n">
        <v>0</v>
      </c>
      <c r="O170" t="n">
        <v>0</v>
      </c>
      <c r="P170" t="n">
        <v>0</v>
      </c>
      <c r="Q170" t="n">
        <v>0</v>
      </c>
      <c r="R170" s="2" t="inlineStr"/>
    </row>
    <row r="171" ht="15" customHeight="1">
      <c r="A171" t="inlineStr">
        <is>
          <t>A 31535-2024</t>
        </is>
      </c>
      <c r="B171" s="1" t="n">
        <v>45505</v>
      </c>
      <c r="C171" s="1" t="n">
        <v>45984</v>
      </c>
      <c r="D171" t="inlineStr">
        <is>
          <t>NORRBOTTENS LÄN</t>
        </is>
      </c>
      <c r="E171" t="inlineStr">
        <is>
          <t>JOKKMOKK</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40808-2025</t>
        </is>
      </c>
      <c r="B172" s="1" t="n">
        <v>45897.46922453704</v>
      </c>
      <c r="C172" s="1" t="n">
        <v>45984</v>
      </c>
      <c r="D172" t="inlineStr">
        <is>
          <t>NORRBOTTENS LÄN</t>
        </is>
      </c>
      <c r="E172" t="inlineStr">
        <is>
          <t>JOKKMOKK</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60418-2023</t>
        </is>
      </c>
      <c r="B173" s="1" t="n">
        <v>45259.49666666667</v>
      </c>
      <c r="C173" s="1" t="n">
        <v>45984</v>
      </c>
      <c r="D173" t="inlineStr">
        <is>
          <t>NORRBOTTENS LÄN</t>
        </is>
      </c>
      <c r="E173" t="inlineStr">
        <is>
          <t>JOKKMOKK</t>
        </is>
      </c>
      <c r="F173" t="inlineStr">
        <is>
          <t>Allmännings- och besparingsskogar</t>
        </is>
      </c>
      <c r="G173" t="n">
        <v>12.7</v>
      </c>
      <c r="H173" t="n">
        <v>0</v>
      </c>
      <c r="I173" t="n">
        <v>0</v>
      </c>
      <c r="J173" t="n">
        <v>0</v>
      </c>
      <c r="K173" t="n">
        <v>0</v>
      </c>
      <c r="L173" t="n">
        <v>0</v>
      </c>
      <c r="M173" t="n">
        <v>0</v>
      </c>
      <c r="N173" t="n">
        <v>0</v>
      </c>
      <c r="O173" t="n">
        <v>0</v>
      </c>
      <c r="P173" t="n">
        <v>0</v>
      </c>
      <c r="Q173" t="n">
        <v>0</v>
      </c>
      <c r="R173" s="2" t="inlineStr"/>
    </row>
    <row r="174" ht="15" customHeight="1">
      <c r="A174" t="inlineStr">
        <is>
          <t>A 51336-2024</t>
        </is>
      </c>
      <c r="B174" s="1" t="n">
        <v>45604.34443287037</v>
      </c>
      <c r="C174" s="1" t="n">
        <v>45984</v>
      </c>
      <c r="D174" t="inlineStr">
        <is>
          <t>NORRBOTTENS LÄN</t>
        </is>
      </c>
      <c r="E174" t="inlineStr">
        <is>
          <t>JOKKMOKK</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9349-2023</t>
        </is>
      </c>
      <c r="B175" s="1" t="n">
        <v>44980</v>
      </c>
      <c r="C175" s="1" t="n">
        <v>45984</v>
      </c>
      <c r="D175" t="inlineStr">
        <is>
          <t>NORRBOTTENS LÄN</t>
        </is>
      </c>
      <c r="E175" t="inlineStr">
        <is>
          <t>JOKKMOKK</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9351-2023</t>
        </is>
      </c>
      <c r="B176" s="1" t="n">
        <v>44980</v>
      </c>
      <c r="C176" s="1" t="n">
        <v>45984</v>
      </c>
      <c r="D176" t="inlineStr">
        <is>
          <t>NORRBOTTENS LÄN</t>
        </is>
      </c>
      <c r="E176" t="inlineStr">
        <is>
          <t>JOKKMOKK</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45984</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41403-2025</t>
        </is>
      </c>
      <c r="B178" s="1" t="n">
        <v>45901.344375</v>
      </c>
      <c r="C178" s="1" t="n">
        <v>45984</v>
      </c>
      <c r="D178" t="inlineStr">
        <is>
          <t>NORRBOTTENS LÄN</t>
        </is>
      </c>
      <c r="E178" t="inlineStr">
        <is>
          <t>JOKKMOKK</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60164-2023</t>
        </is>
      </c>
      <c r="B179" s="1" t="n">
        <v>45258</v>
      </c>
      <c r="C179" s="1" t="n">
        <v>45984</v>
      </c>
      <c r="D179" t="inlineStr">
        <is>
          <t>NORRBOTTENS LÄN</t>
        </is>
      </c>
      <c r="E179" t="inlineStr">
        <is>
          <t>JOKKMOKK</t>
        </is>
      </c>
      <c r="F179" t="inlineStr">
        <is>
          <t>Allmännings- och besparingsskogar</t>
        </is>
      </c>
      <c r="G179" t="n">
        <v>14.3</v>
      </c>
      <c r="H179" t="n">
        <v>0</v>
      </c>
      <c r="I179" t="n">
        <v>0</v>
      </c>
      <c r="J179" t="n">
        <v>0</v>
      </c>
      <c r="K179" t="n">
        <v>0</v>
      </c>
      <c r="L179" t="n">
        <v>0</v>
      </c>
      <c r="M179" t="n">
        <v>0</v>
      </c>
      <c r="N179" t="n">
        <v>0</v>
      </c>
      <c r="O179" t="n">
        <v>0</v>
      </c>
      <c r="P179" t="n">
        <v>0</v>
      </c>
      <c r="Q179" t="n">
        <v>0</v>
      </c>
      <c r="R179" s="2" t="inlineStr"/>
    </row>
    <row r="180" ht="15" customHeight="1">
      <c r="A180" t="inlineStr">
        <is>
          <t>A 45512-2022</t>
        </is>
      </c>
      <c r="B180" s="1" t="n">
        <v>44841</v>
      </c>
      <c r="C180" s="1" t="n">
        <v>45984</v>
      </c>
      <c r="D180" t="inlineStr">
        <is>
          <t>NORRBOTTENS LÄN</t>
        </is>
      </c>
      <c r="E180" t="inlineStr">
        <is>
          <t>JOKKMOKK</t>
        </is>
      </c>
      <c r="F180" t="inlineStr">
        <is>
          <t>Övriga Aktiebolag</t>
        </is>
      </c>
      <c r="G180" t="n">
        <v>0.6</v>
      </c>
      <c r="H180" t="n">
        <v>0</v>
      </c>
      <c r="I180" t="n">
        <v>0</v>
      </c>
      <c r="J180" t="n">
        <v>0</v>
      </c>
      <c r="K180" t="n">
        <v>0</v>
      </c>
      <c r="L180" t="n">
        <v>0</v>
      </c>
      <c r="M180" t="n">
        <v>0</v>
      </c>
      <c r="N180" t="n">
        <v>0</v>
      </c>
      <c r="O180" t="n">
        <v>0</v>
      </c>
      <c r="P180" t="n">
        <v>0</v>
      </c>
      <c r="Q180" t="n">
        <v>0</v>
      </c>
      <c r="R180" s="2" t="inlineStr"/>
    </row>
    <row r="181" ht="15" customHeight="1">
      <c r="A181" t="inlineStr">
        <is>
          <t>A 49562-2024</t>
        </is>
      </c>
      <c r="B181" s="1" t="n">
        <v>45596</v>
      </c>
      <c r="C181" s="1" t="n">
        <v>45984</v>
      </c>
      <c r="D181" t="inlineStr">
        <is>
          <t>NORRBOTTENS LÄN</t>
        </is>
      </c>
      <c r="E181" t="inlineStr">
        <is>
          <t>JOKKMOKK</t>
        </is>
      </c>
      <c r="F181" t="inlineStr">
        <is>
          <t>Allmännings- och besparingsskogar</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50185-2025</t>
        </is>
      </c>
      <c r="B182" s="1" t="n">
        <v>45943.62515046296</v>
      </c>
      <c r="C182" s="1" t="n">
        <v>45984</v>
      </c>
      <c r="D182" t="inlineStr">
        <is>
          <t>NORRBOTTENS LÄN</t>
        </is>
      </c>
      <c r="E182" t="inlineStr">
        <is>
          <t>JOKKMOKK</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49953-2024</t>
        </is>
      </c>
      <c r="B183" s="1" t="n">
        <v>45597</v>
      </c>
      <c r="C183" s="1" t="n">
        <v>45984</v>
      </c>
      <c r="D183" t="inlineStr">
        <is>
          <t>NORRBOTTENS LÄN</t>
        </is>
      </c>
      <c r="E183" t="inlineStr">
        <is>
          <t>JOKKMOKK</t>
        </is>
      </c>
      <c r="F183" t="inlineStr">
        <is>
          <t>Allmännings- och besparingsskogar</t>
        </is>
      </c>
      <c r="G183" t="n">
        <v>9.4</v>
      </c>
      <c r="H183" t="n">
        <v>0</v>
      </c>
      <c r="I183" t="n">
        <v>0</v>
      </c>
      <c r="J183" t="n">
        <v>0</v>
      </c>
      <c r="K183" t="n">
        <v>0</v>
      </c>
      <c r="L183" t="n">
        <v>0</v>
      </c>
      <c r="M183" t="n">
        <v>0</v>
      </c>
      <c r="N183" t="n">
        <v>0</v>
      </c>
      <c r="O183" t="n">
        <v>0</v>
      </c>
      <c r="P183" t="n">
        <v>0</v>
      </c>
      <c r="Q183" t="n">
        <v>0</v>
      </c>
      <c r="R183" s="2" t="inlineStr"/>
    </row>
    <row r="184" ht="15" customHeight="1">
      <c r="A184" t="inlineStr">
        <is>
          <t>A 37828-2024</t>
        </is>
      </c>
      <c r="B184" s="1" t="n">
        <v>45544</v>
      </c>
      <c r="C184" s="1" t="n">
        <v>45984</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52130-2024</t>
        </is>
      </c>
      <c r="B185" s="1" t="n">
        <v>45608</v>
      </c>
      <c r="C185" s="1" t="n">
        <v>45984</v>
      </c>
      <c r="D185" t="inlineStr">
        <is>
          <t>NORRBOTTENS LÄN</t>
        </is>
      </c>
      <c r="E185" t="inlineStr">
        <is>
          <t>JOKKMOKK</t>
        </is>
      </c>
      <c r="G185" t="n">
        <v>84</v>
      </c>
      <c r="H185" t="n">
        <v>0</v>
      </c>
      <c r="I185" t="n">
        <v>0</v>
      </c>
      <c r="J185" t="n">
        <v>0</v>
      </c>
      <c r="K185" t="n">
        <v>0</v>
      </c>
      <c r="L185" t="n">
        <v>0</v>
      </c>
      <c r="M185" t="n">
        <v>0</v>
      </c>
      <c r="N185" t="n">
        <v>0</v>
      </c>
      <c r="O185" t="n">
        <v>0</v>
      </c>
      <c r="P185" t="n">
        <v>0</v>
      </c>
      <c r="Q185" t="n">
        <v>0</v>
      </c>
      <c r="R185" s="2" t="inlineStr"/>
    </row>
    <row r="186" ht="15" customHeight="1">
      <c r="A186" t="inlineStr">
        <is>
          <t>A 18602-2024</t>
        </is>
      </c>
      <c r="B186" s="1" t="n">
        <v>45425</v>
      </c>
      <c r="C186" s="1" t="n">
        <v>45984</v>
      </c>
      <c r="D186" t="inlineStr">
        <is>
          <t>NORRBOTTENS LÄN</t>
        </is>
      </c>
      <c r="E186" t="inlineStr">
        <is>
          <t>JOKKMOKK</t>
        </is>
      </c>
      <c r="G186" t="n">
        <v>4.6</v>
      </c>
      <c r="H186" t="n">
        <v>0</v>
      </c>
      <c r="I186" t="n">
        <v>0</v>
      </c>
      <c r="J186" t="n">
        <v>0</v>
      </c>
      <c r="K186" t="n">
        <v>0</v>
      </c>
      <c r="L186" t="n">
        <v>0</v>
      </c>
      <c r="M186" t="n">
        <v>0</v>
      </c>
      <c r="N186" t="n">
        <v>0</v>
      </c>
      <c r="O186" t="n">
        <v>0</v>
      </c>
      <c r="P186" t="n">
        <v>0</v>
      </c>
      <c r="Q186" t="n">
        <v>0</v>
      </c>
      <c r="R186" s="2" t="inlineStr"/>
    </row>
    <row r="187" ht="15" customHeight="1">
      <c r="A187" t="inlineStr">
        <is>
          <t>A 55635-2024</t>
        </is>
      </c>
      <c r="B187" s="1" t="n">
        <v>45622</v>
      </c>
      <c r="C187" s="1" t="n">
        <v>45984</v>
      </c>
      <c r="D187" t="inlineStr">
        <is>
          <t>NORRBOTTENS LÄN</t>
        </is>
      </c>
      <c r="E187" t="inlineStr">
        <is>
          <t>JOKKMOKK</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49978-2025</t>
        </is>
      </c>
      <c r="B188" s="1" t="n">
        <v>45942.61520833334</v>
      </c>
      <c r="C188" s="1" t="n">
        <v>45984</v>
      </c>
      <c r="D188" t="inlineStr">
        <is>
          <t>NORRBOTTENS LÄN</t>
        </is>
      </c>
      <c r="E188" t="inlineStr">
        <is>
          <t>JOKKMOKK</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35675-2024</t>
        </is>
      </c>
      <c r="B189" s="1" t="n">
        <v>45532</v>
      </c>
      <c r="C189" s="1" t="n">
        <v>45984</v>
      </c>
      <c r="D189" t="inlineStr">
        <is>
          <t>NORRBOTTENS LÄN</t>
        </is>
      </c>
      <c r="E189" t="inlineStr">
        <is>
          <t>JOKKMOKK</t>
        </is>
      </c>
      <c r="G189" t="n">
        <v>1.4</v>
      </c>
      <c r="H189" t="n">
        <v>0</v>
      </c>
      <c r="I189" t="n">
        <v>0</v>
      </c>
      <c r="J189" t="n">
        <v>0</v>
      </c>
      <c r="K189" t="n">
        <v>0</v>
      </c>
      <c r="L189" t="n">
        <v>0</v>
      </c>
      <c r="M189" t="n">
        <v>0</v>
      </c>
      <c r="N189" t="n">
        <v>0</v>
      </c>
      <c r="O189" t="n">
        <v>0</v>
      </c>
      <c r="P189" t="n">
        <v>0</v>
      </c>
      <c r="Q189" t="n">
        <v>0</v>
      </c>
      <c r="R189" s="2" t="inlineStr"/>
    </row>
    <row r="190" ht="15" customHeight="1">
      <c r="A190" t="inlineStr">
        <is>
          <t>A 50717-2025</t>
        </is>
      </c>
      <c r="B190" s="1" t="n">
        <v>45946.34598379629</v>
      </c>
      <c r="C190" s="1" t="n">
        <v>45984</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50723-2025</t>
        </is>
      </c>
      <c r="B191" s="1" t="n">
        <v>45946.34690972222</v>
      </c>
      <c r="C191" s="1" t="n">
        <v>45984</v>
      </c>
      <c r="D191" t="inlineStr">
        <is>
          <t>NORRBOTTENS LÄN</t>
        </is>
      </c>
      <c r="E191" t="inlineStr">
        <is>
          <t>JOKKMOKK</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9878-2023</t>
        </is>
      </c>
      <c r="B192" s="1" t="n">
        <v>44984</v>
      </c>
      <c r="C192" s="1" t="n">
        <v>45984</v>
      </c>
      <c r="D192" t="inlineStr">
        <is>
          <t>NORRBOTTENS LÄN</t>
        </is>
      </c>
      <c r="E192" t="inlineStr">
        <is>
          <t>JOKKMOKK</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42322-2025</t>
        </is>
      </c>
      <c r="B193" s="1" t="n">
        <v>45904</v>
      </c>
      <c r="C193" s="1" t="n">
        <v>45984</v>
      </c>
      <c r="D193" t="inlineStr">
        <is>
          <t>NORRBOTTENS LÄN</t>
        </is>
      </c>
      <c r="E193" t="inlineStr">
        <is>
          <t>JOKKMOKK</t>
        </is>
      </c>
      <c r="G193" t="n">
        <v>3.8</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45984</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23023-2023</t>
        </is>
      </c>
      <c r="B195" s="1" t="n">
        <v>45073</v>
      </c>
      <c r="C195" s="1" t="n">
        <v>45984</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30399-2024</t>
        </is>
      </c>
      <c r="B196" s="1" t="n">
        <v>45491</v>
      </c>
      <c r="C196" s="1" t="n">
        <v>45984</v>
      </c>
      <c r="D196" t="inlineStr">
        <is>
          <t>NORRBOTTENS LÄN</t>
        </is>
      </c>
      <c r="E196" t="inlineStr">
        <is>
          <t>JOKKMOKK</t>
        </is>
      </c>
      <c r="G196" t="n">
        <v>4.6</v>
      </c>
      <c r="H196" t="n">
        <v>0</v>
      </c>
      <c r="I196" t="n">
        <v>0</v>
      </c>
      <c r="J196" t="n">
        <v>0</v>
      </c>
      <c r="K196" t="n">
        <v>0</v>
      </c>
      <c r="L196" t="n">
        <v>0</v>
      </c>
      <c r="M196" t="n">
        <v>0</v>
      </c>
      <c r="N196" t="n">
        <v>0</v>
      </c>
      <c r="O196" t="n">
        <v>0</v>
      </c>
      <c r="P196" t="n">
        <v>0</v>
      </c>
      <c r="Q196" t="n">
        <v>0</v>
      </c>
      <c r="R196" s="2" t="inlineStr"/>
    </row>
    <row r="197" ht="15" customHeight="1">
      <c r="A197" t="inlineStr">
        <is>
          <t>A 50397-2025</t>
        </is>
      </c>
      <c r="B197" s="1" t="n">
        <v>45944.62211805556</v>
      </c>
      <c r="C197" s="1" t="n">
        <v>45984</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50732-2025</t>
        </is>
      </c>
      <c r="B198" s="1" t="n">
        <v>45946.36519675926</v>
      </c>
      <c r="C198" s="1" t="n">
        <v>45984</v>
      </c>
      <c r="D198" t="inlineStr">
        <is>
          <t>NORRBOTTENS LÄN</t>
        </is>
      </c>
      <c r="E198" t="inlineStr">
        <is>
          <t>JOKKMOKK</t>
        </is>
      </c>
      <c r="F198" t="inlineStr">
        <is>
          <t>SCA</t>
        </is>
      </c>
      <c r="G198" t="n">
        <v>45.9</v>
      </c>
      <c r="H198" t="n">
        <v>0</v>
      </c>
      <c r="I198" t="n">
        <v>0</v>
      </c>
      <c r="J198" t="n">
        <v>0</v>
      </c>
      <c r="K198" t="n">
        <v>0</v>
      </c>
      <c r="L198" t="n">
        <v>0</v>
      </c>
      <c r="M198" t="n">
        <v>0</v>
      </c>
      <c r="N198" t="n">
        <v>0</v>
      </c>
      <c r="O198" t="n">
        <v>0</v>
      </c>
      <c r="P198" t="n">
        <v>0</v>
      </c>
      <c r="Q198" t="n">
        <v>0</v>
      </c>
      <c r="R198" s="2" t="inlineStr"/>
    </row>
    <row r="199" ht="15" customHeight="1">
      <c r="A199" t="inlineStr">
        <is>
          <t>A 61640-2024</t>
        </is>
      </c>
      <c r="B199" s="1" t="n">
        <v>45646.68362268519</v>
      </c>
      <c r="C199" s="1" t="n">
        <v>45984</v>
      </c>
      <c r="D199" t="inlineStr">
        <is>
          <t>NORRBOTTENS LÄN</t>
        </is>
      </c>
      <c r="E199" t="inlineStr">
        <is>
          <t>JOKKMOKK</t>
        </is>
      </c>
      <c r="G199" t="n">
        <v>10.6</v>
      </c>
      <c r="H199" t="n">
        <v>0</v>
      </c>
      <c r="I199" t="n">
        <v>0</v>
      </c>
      <c r="J199" t="n">
        <v>0</v>
      </c>
      <c r="K199" t="n">
        <v>0</v>
      </c>
      <c r="L199" t="n">
        <v>0</v>
      </c>
      <c r="M199" t="n">
        <v>0</v>
      </c>
      <c r="N199" t="n">
        <v>0</v>
      </c>
      <c r="O199" t="n">
        <v>0</v>
      </c>
      <c r="P199" t="n">
        <v>0</v>
      </c>
      <c r="Q199" t="n">
        <v>0</v>
      </c>
      <c r="R199" s="2" t="inlineStr"/>
    </row>
    <row r="200" ht="15" customHeight="1">
      <c r="A200" t="inlineStr">
        <is>
          <t>A 61641-2024</t>
        </is>
      </c>
      <c r="B200" s="1" t="n">
        <v>45646</v>
      </c>
      <c r="C200" s="1" t="n">
        <v>45984</v>
      </c>
      <c r="D200" t="inlineStr">
        <is>
          <t>NORRBOTTENS LÄN</t>
        </is>
      </c>
      <c r="E200" t="inlineStr">
        <is>
          <t>JOKKMOKK</t>
        </is>
      </c>
      <c r="G200" t="n">
        <v>3.2</v>
      </c>
      <c r="H200" t="n">
        <v>0</v>
      </c>
      <c r="I200" t="n">
        <v>0</v>
      </c>
      <c r="J200" t="n">
        <v>0</v>
      </c>
      <c r="K200" t="n">
        <v>0</v>
      </c>
      <c r="L200" t="n">
        <v>0</v>
      </c>
      <c r="M200" t="n">
        <v>0</v>
      </c>
      <c r="N200" t="n">
        <v>0</v>
      </c>
      <c r="O200" t="n">
        <v>0</v>
      </c>
      <c r="P200" t="n">
        <v>0</v>
      </c>
      <c r="Q200" t="n">
        <v>0</v>
      </c>
      <c r="R200" s="2" t="inlineStr"/>
    </row>
    <row r="201" ht="15" customHeight="1">
      <c r="A201" t="inlineStr">
        <is>
          <t>A 27685-2025</t>
        </is>
      </c>
      <c r="B201" s="1" t="n">
        <v>45813.65023148148</v>
      </c>
      <c r="C201" s="1" t="n">
        <v>45984</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50731-2025</t>
        </is>
      </c>
      <c r="B202" s="1" t="n">
        <v>45946.36513888889</v>
      </c>
      <c r="C202" s="1" t="n">
        <v>45984</v>
      </c>
      <c r="D202" t="inlineStr">
        <is>
          <t>NORRBOTTENS LÄN</t>
        </is>
      </c>
      <c r="E202" t="inlineStr">
        <is>
          <t>JOKKMOKK</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50986-2025</t>
        </is>
      </c>
      <c r="B203" s="1" t="n">
        <v>45947.3453125</v>
      </c>
      <c r="C203" s="1" t="n">
        <v>45984</v>
      </c>
      <c r="D203" t="inlineStr">
        <is>
          <t>NORRBOTTENS LÄN</t>
        </is>
      </c>
      <c r="E203" t="inlineStr">
        <is>
          <t>JOKKMOKK</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42575-2025</t>
        </is>
      </c>
      <c r="B204" s="1" t="n">
        <v>45905.61263888889</v>
      </c>
      <c r="C204" s="1" t="n">
        <v>45984</v>
      </c>
      <c r="D204" t="inlineStr">
        <is>
          <t>NORRBOTTENS LÄN</t>
        </is>
      </c>
      <c r="E204" t="inlineStr">
        <is>
          <t>JOKKMOKK</t>
        </is>
      </c>
      <c r="F204" t="inlineStr">
        <is>
          <t>Sveaskog</t>
        </is>
      </c>
      <c r="G204" t="n">
        <v>17.4</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45984</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40658-2024</t>
        </is>
      </c>
      <c r="B206" s="1" t="n">
        <v>45558</v>
      </c>
      <c r="C206" s="1" t="n">
        <v>45984</v>
      </c>
      <c r="D206" t="inlineStr">
        <is>
          <t>NORRBOTTENS LÄN</t>
        </is>
      </c>
      <c r="E206" t="inlineStr">
        <is>
          <t>JOKKMOKK</t>
        </is>
      </c>
      <c r="F206" t="inlineStr">
        <is>
          <t>SCA</t>
        </is>
      </c>
      <c r="G206" t="n">
        <v>3.7</v>
      </c>
      <c r="H206" t="n">
        <v>0</v>
      </c>
      <c r="I206" t="n">
        <v>0</v>
      </c>
      <c r="J206" t="n">
        <v>0</v>
      </c>
      <c r="K206" t="n">
        <v>0</v>
      </c>
      <c r="L206" t="n">
        <v>0</v>
      </c>
      <c r="M206" t="n">
        <v>0</v>
      </c>
      <c r="N206" t="n">
        <v>0</v>
      </c>
      <c r="O206" t="n">
        <v>0</v>
      </c>
      <c r="P206" t="n">
        <v>0</v>
      </c>
      <c r="Q206" t="n">
        <v>0</v>
      </c>
      <c r="R206" s="2" t="inlineStr"/>
    </row>
    <row r="207" ht="15" customHeight="1">
      <c r="A207" t="inlineStr">
        <is>
          <t>A 34598-2024</t>
        </is>
      </c>
      <c r="B207" s="1" t="n">
        <v>45526.39714120371</v>
      </c>
      <c r="C207" s="1" t="n">
        <v>45984</v>
      </c>
      <c r="D207" t="inlineStr">
        <is>
          <t>NORRBOTTENS LÄN</t>
        </is>
      </c>
      <c r="E207" t="inlineStr">
        <is>
          <t>JOKKMOKK</t>
        </is>
      </c>
      <c r="G207" t="n">
        <v>2.5</v>
      </c>
      <c r="H207" t="n">
        <v>0</v>
      </c>
      <c r="I207" t="n">
        <v>0</v>
      </c>
      <c r="J207" t="n">
        <v>0</v>
      </c>
      <c r="K207" t="n">
        <v>0</v>
      </c>
      <c r="L207" t="n">
        <v>0</v>
      </c>
      <c r="M207" t="n">
        <v>0</v>
      </c>
      <c r="N207" t="n">
        <v>0</v>
      </c>
      <c r="O207" t="n">
        <v>0</v>
      </c>
      <c r="P207" t="n">
        <v>0</v>
      </c>
      <c r="Q207" t="n">
        <v>0</v>
      </c>
      <c r="R207" s="2" t="inlineStr"/>
    </row>
    <row r="208" ht="15" customHeight="1">
      <c r="A208" t="inlineStr">
        <is>
          <t>A 48339-2024</t>
        </is>
      </c>
      <c r="B208" s="1" t="n">
        <v>45590</v>
      </c>
      <c r="C208" s="1" t="n">
        <v>45984</v>
      </c>
      <c r="D208" t="inlineStr">
        <is>
          <t>NORRBOTTENS LÄN</t>
        </is>
      </c>
      <c r="E208" t="inlineStr">
        <is>
          <t>JOKKMOKK</t>
        </is>
      </c>
      <c r="F208" t="inlineStr">
        <is>
          <t>Allmännings- och besparingsskogar</t>
        </is>
      </c>
      <c r="G208" t="n">
        <v>24.9</v>
      </c>
      <c r="H208" t="n">
        <v>0</v>
      </c>
      <c r="I208" t="n">
        <v>0</v>
      </c>
      <c r="J208" t="n">
        <v>0</v>
      </c>
      <c r="K208" t="n">
        <v>0</v>
      </c>
      <c r="L208" t="n">
        <v>0</v>
      </c>
      <c r="M208" t="n">
        <v>0</v>
      </c>
      <c r="N208" t="n">
        <v>0</v>
      </c>
      <c r="O208" t="n">
        <v>0</v>
      </c>
      <c r="P208" t="n">
        <v>0</v>
      </c>
      <c r="Q208" t="n">
        <v>0</v>
      </c>
      <c r="R208" s="2" t="inlineStr"/>
    </row>
    <row r="209" ht="15" customHeight="1">
      <c r="A209" t="inlineStr">
        <is>
          <t>A 13863-2025</t>
        </is>
      </c>
      <c r="B209" s="1" t="n">
        <v>45737.57435185185</v>
      </c>
      <c r="C209" s="1" t="n">
        <v>45984</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45942.61506944444</v>
      </c>
      <c r="C210" s="1" t="n">
        <v>45984</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13864-2025</t>
        </is>
      </c>
      <c r="B211" s="1" t="n">
        <v>45737.57438657407</v>
      </c>
      <c r="C211" s="1" t="n">
        <v>45984</v>
      </c>
      <c r="D211" t="inlineStr">
        <is>
          <t>NORRBOTTENS LÄN</t>
        </is>
      </c>
      <c r="E211" t="inlineStr">
        <is>
          <t>JOKKMOKK</t>
        </is>
      </c>
      <c r="G211" t="n">
        <v>1.7</v>
      </c>
      <c r="H211" t="n">
        <v>0</v>
      </c>
      <c r="I211" t="n">
        <v>0</v>
      </c>
      <c r="J211" t="n">
        <v>0</v>
      </c>
      <c r="K211" t="n">
        <v>0</v>
      </c>
      <c r="L211" t="n">
        <v>0</v>
      </c>
      <c r="M211" t="n">
        <v>0</v>
      </c>
      <c r="N211" t="n">
        <v>0</v>
      </c>
      <c r="O211" t="n">
        <v>0</v>
      </c>
      <c r="P211" t="n">
        <v>0</v>
      </c>
      <c r="Q211" t="n">
        <v>0</v>
      </c>
      <c r="R211" s="2" t="inlineStr"/>
    </row>
    <row r="212" ht="15" customHeight="1">
      <c r="A212" t="inlineStr">
        <is>
          <t>A 51717-2025</t>
        </is>
      </c>
      <c r="B212" s="1" t="n">
        <v>45951.57743055555</v>
      </c>
      <c r="C212" s="1" t="n">
        <v>45984</v>
      </c>
      <c r="D212" t="inlineStr">
        <is>
          <t>NORRBOTTENS LÄN</t>
        </is>
      </c>
      <c r="E212" t="inlineStr">
        <is>
          <t>JOKKMOKK</t>
        </is>
      </c>
      <c r="F212" t="inlineStr">
        <is>
          <t>Övriga statliga verk och myndigheter</t>
        </is>
      </c>
      <c r="G212" t="n">
        <v>3.4</v>
      </c>
      <c r="H212" t="n">
        <v>0</v>
      </c>
      <c r="I212" t="n">
        <v>0</v>
      </c>
      <c r="J212" t="n">
        <v>0</v>
      </c>
      <c r="K212" t="n">
        <v>0</v>
      </c>
      <c r="L212" t="n">
        <v>0</v>
      </c>
      <c r="M212" t="n">
        <v>0</v>
      </c>
      <c r="N212" t="n">
        <v>0</v>
      </c>
      <c r="O212" t="n">
        <v>0</v>
      </c>
      <c r="P212" t="n">
        <v>0</v>
      </c>
      <c r="Q212" t="n">
        <v>0</v>
      </c>
      <c r="R212" s="2" t="inlineStr"/>
    </row>
    <row r="213" ht="15" customHeight="1">
      <c r="A213" t="inlineStr">
        <is>
          <t>A 51718-2025</t>
        </is>
      </c>
      <c r="B213" s="1" t="n">
        <v>45951.57791666667</v>
      </c>
      <c r="C213" s="1" t="n">
        <v>45984</v>
      </c>
      <c r="D213" t="inlineStr">
        <is>
          <t>NORRBOTTENS LÄN</t>
        </is>
      </c>
      <c r="E213" t="inlineStr">
        <is>
          <t>JOKKMOKK</t>
        </is>
      </c>
      <c r="F213" t="inlineStr">
        <is>
          <t>Övriga statliga verk och myndigheter</t>
        </is>
      </c>
      <c r="G213" t="n">
        <v>31.9</v>
      </c>
      <c r="H213" t="n">
        <v>0</v>
      </c>
      <c r="I213" t="n">
        <v>0</v>
      </c>
      <c r="J213" t="n">
        <v>0</v>
      </c>
      <c r="K213" t="n">
        <v>0</v>
      </c>
      <c r="L213" t="n">
        <v>0</v>
      </c>
      <c r="M213" t="n">
        <v>0</v>
      </c>
      <c r="N213" t="n">
        <v>0</v>
      </c>
      <c r="O213" t="n">
        <v>0</v>
      </c>
      <c r="P213" t="n">
        <v>0</v>
      </c>
      <c r="Q213" t="n">
        <v>0</v>
      </c>
      <c r="R213" s="2" t="inlineStr"/>
    </row>
    <row r="214" ht="15" customHeight="1">
      <c r="A214" t="inlineStr">
        <is>
          <t>A 425-2025</t>
        </is>
      </c>
      <c r="B214" s="1" t="n">
        <v>45664.34549768519</v>
      </c>
      <c r="C214" s="1" t="n">
        <v>45984</v>
      </c>
      <c r="D214" t="inlineStr">
        <is>
          <t>NORRBOTTENS LÄN</t>
        </is>
      </c>
      <c r="E214" t="inlineStr">
        <is>
          <t>JOKKMOKK</t>
        </is>
      </c>
      <c r="F214" t="inlineStr">
        <is>
          <t>Övriga statliga verk och myndigheter</t>
        </is>
      </c>
      <c r="G214" t="n">
        <v>36.5</v>
      </c>
      <c r="H214" t="n">
        <v>0</v>
      </c>
      <c r="I214" t="n">
        <v>0</v>
      </c>
      <c r="J214" t="n">
        <v>0</v>
      </c>
      <c r="K214" t="n">
        <v>0</v>
      </c>
      <c r="L214" t="n">
        <v>0</v>
      </c>
      <c r="M214" t="n">
        <v>0</v>
      </c>
      <c r="N214" t="n">
        <v>0</v>
      </c>
      <c r="O214" t="n">
        <v>0</v>
      </c>
      <c r="P214" t="n">
        <v>0</v>
      </c>
      <c r="Q214" t="n">
        <v>0</v>
      </c>
      <c r="R214" s="2" t="inlineStr"/>
    </row>
    <row r="215" ht="15" customHeight="1">
      <c r="A215" t="inlineStr">
        <is>
          <t>A 457-2025</t>
        </is>
      </c>
      <c r="B215" s="1" t="n">
        <v>45664</v>
      </c>
      <c r="C215" s="1" t="n">
        <v>45984</v>
      </c>
      <c r="D215" t="inlineStr">
        <is>
          <t>NORRBOTTENS LÄN</t>
        </is>
      </c>
      <c r="E215" t="inlineStr">
        <is>
          <t>JOKKMOKK</t>
        </is>
      </c>
      <c r="F215" t="inlineStr">
        <is>
          <t>Övriga statliga verk och myndigheter</t>
        </is>
      </c>
      <c r="G215" t="n">
        <v>8</v>
      </c>
      <c r="H215" t="n">
        <v>0</v>
      </c>
      <c r="I215" t="n">
        <v>0</v>
      </c>
      <c r="J215" t="n">
        <v>0</v>
      </c>
      <c r="K215" t="n">
        <v>0</v>
      </c>
      <c r="L215" t="n">
        <v>0</v>
      </c>
      <c r="M215" t="n">
        <v>0</v>
      </c>
      <c r="N215" t="n">
        <v>0</v>
      </c>
      <c r="O215" t="n">
        <v>0</v>
      </c>
      <c r="P215" t="n">
        <v>0</v>
      </c>
      <c r="Q215" t="n">
        <v>0</v>
      </c>
      <c r="R215" s="2" t="inlineStr"/>
    </row>
    <row r="216" ht="15" customHeight="1">
      <c r="A216" t="inlineStr">
        <is>
          <t>A 458-2025</t>
        </is>
      </c>
      <c r="B216" s="1" t="n">
        <v>45664</v>
      </c>
      <c r="C216" s="1" t="n">
        <v>45984</v>
      </c>
      <c r="D216" t="inlineStr">
        <is>
          <t>NORRBOTTENS LÄN</t>
        </is>
      </c>
      <c r="E216" t="inlineStr">
        <is>
          <t>JOKKMOKK</t>
        </is>
      </c>
      <c r="F216" t="inlineStr">
        <is>
          <t>Övriga statliga verk och myndigheter</t>
        </is>
      </c>
      <c r="G216" t="n">
        <v>10.3</v>
      </c>
      <c r="H216" t="n">
        <v>0</v>
      </c>
      <c r="I216" t="n">
        <v>0</v>
      </c>
      <c r="J216" t="n">
        <v>0</v>
      </c>
      <c r="K216" t="n">
        <v>0</v>
      </c>
      <c r="L216" t="n">
        <v>0</v>
      </c>
      <c r="M216" t="n">
        <v>0</v>
      </c>
      <c r="N216" t="n">
        <v>0</v>
      </c>
      <c r="O216" t="n">
        <v>0</v>
      </c>
      <c r="P216" t="n">
        <v>0</v>
      </c>
      <c r="Q216" t="n">
        <v>0</v>
      </c>
      <c r="R216" s="2" t="inlineStr"/>
    </row>
    <row r="217" ht="15" customHeight="1">
      <c r="A217" t="inlineStr">
        <is>
          <t>A 30401-2024</t>
        </is>
      </c>
      <c r="B217" s="1" t="n">
        <v>45491</v>
      </c>
      <c r="C217" s="1" t="n">
        <v>45984</v>
      </c>
      <c r="D217" t="inlineStr">
        <is>
          <t>NORRBOTTENS LÄN</t>
        </is>
      </c>
      <c r="E217" t="inlineStr">
        <is>
          <t>JOKKMOKK</t>
        </is>
      </c>
      <c r="G217" t="n">
        <v>1</v>
      </c>
      <c r="H217" t="n">
        <v>0</v>
      </c>
      <c r="I217" t="n">
        <v>0</v>
      </c>
      <c r="J217" t="n">
        <v>0</v>
      </c>
      <c r="K217" t="n">
        <v>0</v>
      </c>
      <c r="L217" t="n">
        <v>0</v>
      </c>
      <c r="M217" t="n">
        <v>0</v>
      </c>
      <c r="N217" t="n">
        <v>0</v>
      </c>
      <c r="O217" t="n">
        <v>0</v>
      </c>
      <c r="P217" t="n">
        <v>0</v>
      </c>
      <c r="Q217" t="n">
        <v>0</v>
      </c>
      <c r="R217" s="2" t="inlineStr"/>
    </row>
    <row r="218" ht="15" customHeight="1">
      <c r="A218" t="inlineStr">
        <is>
          <t>A 28591-2025</t>
        </is>
      </c>
      <c r="B218" s="1" t="n">
        <v>45819.59027777778</v>
      </c>
      <c r="C218" s="1" t="n">
        <v>45984</v>
      </c>
      <c r="D218" t="inlineStr">
        <is>
          <t>NORRBOTTENS LÄN</t>
        </is>
      </c>
      <c r="E218" t="inlineStr">
        <is>
          <t>JOKKMOKK</t>
        </is>
      </c>
      <c r="F218" t="inlineStr">
        <is>
          <t>Sveaskog</t>
        </is>
      </c>
      <c r="G218" t="n">
        <v>11.9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45984</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45984</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51679-2025</t>
        </is>
      </c>
      <c r="B221" s="1" t="n">
        <v>45951.51141203703</v>
      </c>
      <c r="C221" s="1" t="n">
        <v>45984</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51721-2025</t>
        </is>
      </c>
      <c r="B222" s="1" t="n">
        <v>45951.58004629629</v>
      </c>
      <c r="C222" s="1" t="n">
        <v>45984</v>
      </c>
      <c r="D222" t="inlineStr">
        <is>
          <t>NORRBOTTENS LÄN</t>
        </is>
      </c>
      <c r="E222" t="inlineStr">
        <is>
          <t>JOKKMOKK</t>
        </is>
      </c>
      <c r="F222" t="inlineStr">
        <is>
          <t>Övriga statliga verk och myndigheter</t>
        </is>
      </c>
      <c r="G222" t="n">
        <v>16.3</v>
      </c>
      <c r="H222" t="n">
        <v>0</v>
      </c>
      <c r="I222" t="n">
        <v>0</v>
      </c>
      <c r="J222" t="n">
        <v>0</v>
      </c>
      <c r="K222" t="n">
        <v>0</v>
      </c>
      <c r="L222" t="n">
        <v>0</v>
      </c>
      <c r="M222" t="n">
        <v>0</v>
      </c>
      <c r="N222" t="n">
        <v>0</v>
      </c>
      <c r="O222" t="n">
        <v>0</v>
      </c>
      <c r="P222" t="n">
        <v>0</v>
      </c>
      <c r="Q222" t="n">
        <v>0</v>
      </c>
      <c r="R222" s="2" t="inlineStr"/>
    </row>
    <row r="223" ht="15" customHeight="1">
      <c r="A223" t="inlineStr">
        <is>
          <t>A 51699-2025</t>
        </is>
      </c>
      <c r="B223" s="1" t="n">
        <v>45951.55253472222</v>
      </c>
      <c r="C223" s="1" t="n">
        <v>45984</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51707-2025</t>
        </is>
      </c>
      <c r="B224" s="1" t="n">
        <v>45951.56545138889</v>
      </c>
      <c r="C224" s="1" t="n">
        <v>45984</v>
      </c>
      <c r="D224" t="inlineStr">
        <is>
          <t>NORRBOTTENS LÄN</t>
        </is>
      </c>
      <c r="E224" t="inlineStr">
        <is>
          <t>JOKKMOKK</t>
        </is>
      </c>
      <c r="F224" t="inlineStr">
        <is>
          <t>Övriga statliga verk och myndigheter</t>
        </is>
      </c>
      <c r="G224" t="n">
        <v>7.2</v>
      </c>
      <c r="H224" t="n">
        <v>0</v>
      </c>
      <c r="I224" t="n">
        <v>0</v>
      </c>
      <c r="J224" t="n">
        <v>0</v>
      </c>
      <c r="K224" t="n">
        <v>0</v>
      </c>
      <c r="L224" t="n">
        <v>0</v>
      </c>
      <c r="M224" t="n">
        <v>0</v>
      </c>
      <c r="N224" t="n">
        <v>0</v>
      </c>
      <c r="O224" t="n">
        <v>0</v>
      </c>
      <c r="P224" t="n">
        <v>0</v>
      </c>
      <c r="Q224" t="n">
        <v>0</v>
      </c>
      <c r="R224" s="2" t="inlineStr"/>
    </row>
    <row r="225" ht="15" customHeight="1">
      <c r="A225" t="inlineStr">
        <is>
          <t>A 51715-2025</t>
        </is>
      </c>
      <c r="B225" s="1" t="n">
        <v>45951.57585648148</v>
      </c>
      <c r="C225" s="1" t="n">
        <v>45984</v>
      </c>
      <c r="D225" t="inlineStr">
        <is>
          <t>NORRBOTTENS LÄN</t>
        </is>
      </c>
      <c r="E225" t="inlineStr">
        <is>
          <t>JOKKMOKK</t>
        </is>
      </c>
      <c r="F225" t="inlineStr">
        <is>
          <t>Övriga statliga verk och myndigheter</t>
        </is>
      </c>
      <c r="G225" t="n">
        <v>4.1</v>
      </c>
      <c r="H225" t="n">
        <v>0</v>
      </c>
      <c r="I225" t="n">
        <v>0</v>
      </c>
      <c r="J225" t="n">
        <v>0</v>
      </c>
      <c r="K225" t="n">
        <v>0</v>
      </c>
      <c r="L225" t="n">
        <v>0</v>
      </c>
      <c r="M225" t="n">
        <v>0</v>
      </c>
      <c r="N225" t="n">
        <v>0</v>
      </c>
      <c r="O225" t="n">
        <v>0</v>
      </c>
      <c r="P225" t="n">
        <v>0</v>
      </c>
      <c r="Q225" t="n">
        <v>0</v>
      </c>
      <c r="R225" s="2" t="inlineStr"/>
    </row>
    <row r="226" ht="15" customHeight="1">
      <c r="A226" t="inlineStr">
        <is>
          <t>A 29446-2025</t>
        </is>
      </c>
      <c r="B226" s="1" t="n">
        <v>45824</v>
      </c>
      <c r="C226" s="1" t="n">
        <v>45984</v>
      </c>
      <c r="D226" t="inlineStr">
        <is>
          <t>NORRBOTTENS LÄN</t>
        </is>
      </c>
      <c r="E226" t="inlineStr">
        <is>
          <t>JOKKMOKK</t>
        </is>
      </c>
      <c r="G226" t="n">
        <v>68.5</v>
      </c>
      <c r="H226" t="n">
        <v>0</v>
      </c>
      <c r="I226" t="n">
        <v>0</v>
      </c>
      <c r="J226" t="n">
        <v>0</v>
      </c>
      <c r="K226" t="n">
        <v>0</v>
      </c>
      <c r="L226" t="n">
        <v>0</v>
      </c>
      <c r="M226" t="n">
        <v>0</v>
      </c>
      <c r="N226" t="n">
        <v>0</v>
      </c>
      <c r="O226" t="n">
        <v>0</v>
      </c>
      <c r="P226" t="n">
        <v>0</v>
      </c>
      <c r="Q226" t="n">
        <v>0</v>
      </c>
      <c r="R226" s="2" t="inlineStr"/>
    </row>
    <row r="227" ht="15" customHeight="1">
      <c r="A227" t="inlineStr">
        <is>
          <t>A 42959-2025</t>
        </is>
      </c>
      <c r="B227" s="1" t="n">
        <v>45909</v>
      </c>
      <c r="C227" s="1" t="n">
        <v>45984</v>
      </c>
      <c r="D227" t="inlineStr">
        <is>
          <t>NORRBOTTENS LÄN</t>
        </is>
      </c>
      <c r="E227" t="inlineStr">
        <is>
          <t>JOKKMOKK</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52112-2025</t>
        </is>
      </c>
      <c r="B228" s="1" t="n">
        <v>45952.69846064815</v>
      </c>
      <c r="C228" s="1" t="n">
        <v>45984</v>
      </c>
      <c r="D228" t="inlineStr">
        <is>
          <t>NORRBOTTENS LÄN</t>
        </is>
      </c>
      <c r="E228" t="inlineStr">
        <is>
          <t>JOKKMOKK</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45984</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29333-2025</t>
        </is>
      </c>
      <c r="B230" s="1" t="n">
        <v>45824</v>
      </c>
      <c r="C230" s="1" t="n">
        <v>45984</v>
      </c>
      <c r="D230" t="inlineStr">
        <is>
          <t>NORRBOTTENS LÄN</t>
        </is>
      </c>
      <c r="E230" t="inlineStr">
        <is>
          <t>JOKKMOKK</t>
        </is>
      </c>
      <c r="G230" t="n">
        <v>17.3</v>
      </c>
      <c r="H230" t="n">
        <v>0</v>
      </c>
      <c r="I230" t="n">
        <v>0</v>
      </c>
      <c r="J230" t="n">
        <v>0</v>
      </c>
      <c r="K230" t="n">
        <v>0</v>
      </c>
      <c r="L230" t="n">
        <v>0</v>
      </c>
      <c r="M230" t="n">
        <v>0</v>
      </c>
      <c r="N230" t="n">
        <v>0</v>
      </c>
      <c r="O230" t="n">
        <v>0</v>
      </c>
      <c r="P230" t="n">
        <v>0</v>
      </c>
      <c r="Q230" t="n">
        <v>0</v>
      </c>
      <c r="R230" s="2" t="inlineStr"/>
    </row>
    <row r="231" ht="15" customHeight="1">
      <c r="A231" t="inlineStr">
        <is>
          <t>A 29418-2025</t>
        </is>
      </c>
      <c r="B231" s="1" t="n">
        <v>45824.63607638889</v>
      </c>
      <c r="C231" s="1" t="n">
        <v>45984</v>
      </c>
      <c r="D231" t="inlineStr">
        <is>
          <t>NORRBOTTENS LÄN</t>
        </is>
      </c>
      <c r="E231" t="inlineStr">
        <is>
          <t>JOKKMOKK</t>
        </is>
      </c>
      <c r="G231" t="n">
        <v>17.8</v>
      </c>
      <c r="H231" t="n">
        <v>0</v>
      </c>
      <c r="I231" t="n">
        <v>0</v>
      </c>
      <c r="J231" t="n">
        <v>0</v>
      </c>
      <c r="K231" t="n">
        <v>0</v>
      </c>
      <c r="L231" t="n">
        <v>0</v>
      </c>
      <c r="M231" t="n">
        <v>0</v>
      </c>
      <c r="N231" t="n">
        <v>0</v>
      </c>
      <c r="O231" t="n">
        <v>0</v>
      </c>
      <c r="P231" t="n">
        <v>0</v>
      </c>
      <c r="Q231" t="n">
        <v>0</v>
      </c>
      <c r="R231" s="2" t="inlineStr"/>
    </row>
    <row r="232" ht="15" customHeight="1">
      <c r="A232" t="inlineStr">
        <is>
          <t>A 51700-2025</t>
        </is>
      </c>
      <c r="B232" s="1" t="n">
        <v>45951.55287037037</v>
      </c>
      <c r="C232" s="1" t="n">
        <v>45984</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42944-2025</t>
        </is>
      </c>
      <c r="B233" s="1" t="n">
        <v>45909.34434027778</v>
      </c>
      <c r="C233" s="1" t="n">
        <v>45984</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45984</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45984</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45984</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52294-2025</t>
        </is>
      </c>
      <c r="B237" s="1" t="n">
        <v>45953.59979166667</v>
      </c>
      <c r="C237" s="1" t="n">
        <v>45984</v>
      </c>
      <c r="D237" t="inlineStr">
        <is>
          <t>NORRBOTTENS LÄN</t>
        </is>
      </c>
      <c r="E237" t="inlineStr">
        <is>
          <t>JOKKMOKK</t>
        </is>
      </c>
      <c r="F237" t="inlineStr">
        <is>
          <t>Övriga statliga verk och myndigheter</t>
        </is>
      </c>
      <c r="G237" t="n">
        <v>22</v>
      </c>
      <c r="H237" t="n">
        <v>0</v>
      </c>
      <c r="I237" t="n">
        <v>0</v>
      </c>
      <c r="J237" t="n">
        <v>0</v>
      </c>
      <c r="K237" t="n">
        <v>0</v>
      </c>
      <c r="L237" t="n">
        <v>0</v>
      </c>
      <c r="M237" t="n">
        <v>0</v>
      </c>
      <c r="N237" t="n">
        <v>0</v>
      </c>
      <c r="O237" t="n">
        <v>0</v>
      </c>
      <c r="P237" t="n">
        <v>0</v>
      </c>
      <c r="Q237" t="n">
        <v>0</v>
      </c>
      <c r="R237" s="2" t="inlineStr"/>
    </row>
    <row r="238" ht="15" customHeight="1">
      <c r="A238" t="inlineStr">
        <is>
          <t>A 52291-2025</t>
        </is>
      </c>
      <c r="B238" s="1" t="n">
        <v>45953.59836805556</v>
      </c>
      <c r="C238" s="1" t="n">
        <v>45984</v>
      </c>
      <c r="D238" t="inlineStr">
        <is>
          <t>NORRBOTTENS LÄN</t>
        </is>
      </c>
      <c r="E238" t="inlineStr">
        <is>
          <t>JOKKMOKK</t>
        </is>
      </c>
      <c r="F238" t="inlineStr">
        <is>
          <t>Övriga statliga verk och myndigheter</t>
        </is>
      </c>
      <c r="G238" t="n">
        <v>41.2</v>
      </c>
      <c r="H238" t="n">
        <v>0</v>
      </c>
      <c r="I238" t="n">
        <v>0</v>
      </c>
      <c r="J238" t="n">
        <v>0</v>
      </c>
      <c r="K238" t="n">
        <v>0</v>
      </c>
      <c r="L238" t="n">
        <v>0</v>
      </c>
      <c r="M238" t="n">
        <v>0</v>
      </c>
      <c r="N238" t="n">
        <v>0</v>
      </c>
      <c r="O238" t="n">
        <v>0</v>
      </c>
      <c r="P238" t="n">
        <v>0</v>
      </c>
      <c r="Q238" t="n">
        <v>0</v>
      </c>
      <c r="R238" s="2" t="inlineStr"/>
    </row>
    <row r="239" ht="15" customHeight="1">
      <c r="A239" t="inlineStr">
        <is>
          <t>A 52278-2025</t>
        </is>
      </c>
      <c r="B239" s="1" t="n">
        <v>45953.56256944445</v>
      </c>
      <c r="C239" s="1" t="n">
        <v>45984</v>
      </c>
      <c r="D239" t="inlineStr">
        <is>
          <t>NORRBOTTENS LÄN</t>
        </is>
      </c>
      <c r="E239" t="inlineStr">
        <is>
          <t>JOKKMOKK</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29856-2025</t>
        </is>
      </c>
      <c r="B240" s="1" t="n">
        <v>45826.345</v>
      </c>
      <c r="C240" s="1" t="n">
        <v>45984</v>
      </c>
      <c r="D240" t="inlineStr">
        <is>
          <t>NORRBOTTENS LÄN</t>
        </is>
      </c>
      <c r="E240" t="inlineStr">
        <is>
          <t>JOKKMOKK</t>
        </is>
      </c>
      <c r="F240" t="inlineStr">
        <is>
          <t>SCA</t>
        </is>
      </c>
      <c r="G240" t="n">
        <v>7.1</v>
      </c>
      <c r="H240" t="n">
        <v>0</v>
      </c>
      <c r="I240" t="n">
        <v>0</v>
      </c>
      <c r="J240" t="n">
        <v>0</v>
      </c>
      <c r="K240" t="n">
        <v>0</v>
      </c>
      <c r="L240" t="n">
        <v>0</v>
      </c>
      <c r="M240" t="n">
        <v>0</v>
      </c>
      <c r="N240" t="n">
        <v>0</v>
      </c>
      <c r="O240" t="n">
        <v>0</v>
      </c>
      <c r="P240" t="n">
        <v>0</v>
      </c>
      <c r="Q240" t="n">
        <v>0</v>
      </c>
      <c r="R240" s="2" t="inlineStr"/>
    </row>
    <row r="241" ht="15" customHeight="1">
      <c r="A241" t="inlineStr">
        <is>
          <t>A 29858-2025</t>
        </is>
      </c>
      <c r="B241" s="1" t="n">
        <v>45826.34565972222</v>
      </c>
      <c r="C241" s="1" t="n">
        <v>45984</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52288-2025</t>
        </is>
      </c>
      <c r="B242" s="1" t="n">
        <v>45953.59483796296</v>
      </c>
      <c r="C242" s="1" t="n">
        <v>45984</v>
      </c>
      <c r="D242" t="inlineStr">
        <is>
          <t>NORRBOTTENS LÄN</t>
        </is>
      </c>
      <c r="E242" t="inlineStr">
        <is>
          <t>JOKKMOKK</t>
        </is>
      </c>
      <c r="F242" t="inlineStr">
        <is>
          <t>Övriga statliga verk och myndigheter</t>
        </is>
      </c>
      <c r="G242" t="n">
        <v>11.4</v>
      </c>
      <c r="H242" t="n">
        <v>0</v>
      </c>
      <c r="I242" t="n">
        <v>0</v>
      </c>
      <c r="J242" t="n">
        <v>0</v>
      </c>
      <c r="K242" t="n">
        <v>0</v>
      </c>
      <c r="L242" t="n">
        <v>0</v>
      </c>
      <c r="M242" t="n">
        <v>0</v>
      </c>
      <c r="N242" t="n">
        <v>0</v>
      </c>
      <c r="O242" t="n">
        <v>0</v>
      </c>
      <c r="P242" t="n">
        <v>0</v>
      </c>
      <c r="Q242" t="n">
        <v>0</v>
      </c>
      <c r="R242" s="2" t="inlineStr"/>
    </row>
    <row r="243" ht="15" customHeight="1">
      <c r="A243" t="inlineStr">
        <is>
          <t>A 43658-2025</t>
        </is>
      </c>
      <c r="B243" s="1" t="n">
        <v>45912.34276620371</v>
      </c>
      <c r="C243" s="1" t="n">
        <v>45984</v>
      </c>
      <c r="D243" t="inlineStr">
        <is>
          <t>NORRBOTTENS LÄN</t>
        </is>
      </c>
      <c r="E243" t="inlineStr">
        <is>
          <t>JOKKMOKK</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52240-2025</t>
        </is>
      </c>
      <c r="B244" s="1" t="n">
        <v>45953.46320601852</v>
      </c>
      <c r="C244" s="1" t="n">
        <v>45984</v>
      </c>
      <c r="D244" t="inlineStr">
        <is>
          <t>NORRBOTTENS LÄN</t>
        </is>
      </c>
      <c r="E244" t="inlineStr">
        <is>
          <t>JOKKMOKK</t>
        </is>
      </c>
      <c r="F244" t="inlineStr">
        <is>
          <t>Övriga statliga verk och myndigheter</t>
        </is>
      </c>
      <c r="G244" t="n">
        <v>17.6</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45984</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30178-2025</t>
        </is>
      </c>
      <c r="B246" s="1" t="n">
        <v>45827.34571759259</v>
      </c>
      <c r="C246" s="1" t="n">
        <v>45984</v>
      </c>
      <c r="D246" t="inlineStr">
        <is>
          <t>NORRBOTTENS LÄN</t>
        </is>
      </c>
      <c r="E246" t="inlineStr">
        <is>
          <t>JOKKMOKK</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30181-2025</t>
        </is>
      </c>
      <c r="B247" s="1" t="n">
        <v>45827.34607638889</v>
      </c>
      <c r="C247" s="1" t="n">
        <v>45984</v>
      </c>
      <c r="D247" t="inlineStr">
        <is>
          <t>NORRBOTTENS LÄN</t>
        </is>
      </c>
      <c r="E247" t="inlineStr">
        <is>
          <t>JOKKMOKK</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30182-2025</t>
        </is>
      </c>
      <c r="B248" s="1" t="n">
        <v>45827.34640046296</v>
      </c>
      <c r="C248" s="1" t="n">
        <v>45984</v>
      </c>
      <c r="D248" t="inlineStr">
        <is>
          <t>NORRBOTTENS LÄN</t>
        </is>
      </c>
      <c r="E248" t="inlineStr">
        <is>
          <t>JOKKMOKK</t>
        </is>
      </c>
      <c r="F248" t="inlineStr">
        <is>
          <t>SCA</t>
        </is>
      </c>
      <c r="G248" t="n">
        <v>9.9</v>
      </c>
      <c r="H248" t="n">
        <v>0</v>
      </c>
      <c r="I248" t="n">
        <v>0</v>
      </c>
      <c r="J248" t="n">
        <v>0</v>
      </c>
      <c r="K248" t="n">
        <v>0</v>
      </c>
      <c r="L248" t="n">
        <v>0</v>
      </c>
      <c r="M248" t="n">
        <v>0</v>
      </c>
      <c r="N248" t="n">
        <v>0</v>
      </c>
      <c r="O248" t="n">
        <v>0</v>
      </c>
      <c r="P248" t="n">
        <v>0</v>
      </c>
      <c r="Q248" t="n">
        <v>0</v>
      </c>
      <c r="R248" s="2" t="inlineStr"/>
    </row>
    <row r="249" ht="15" customHeight="1">
      <c r="A249" t="inlineStr">
        <is>
          <t>A 52293-2025</t>
        </is>
      </c>
      <c r="B249" s="1" t="n">
        <v>45953.59943287037</v>
      </c>
      <c r="C249" s="1" t="n">
        <v>45984</v>
      </c>
      <c r="D249" t="inlineStr">
        <is>
          <t>NORRBOTTENS LÄN</t>
        </is>
      </c>
      <c r="E249" t="inlineStr">
        <is>
          <t>JOKKMOKK</t>
        </is>
      </c>
      <c r="F249" t="inlineStr">
        <is>
          <t>Övriga statliga verk och myndigheter</t>
        </is>
      </c>
      <c r="G249" t="n">
        <v>65.09999999999999</v>
      </c>
      <c r="H249" t="n">
        <v>0</v>
      </c>
      <c r="I249" t="n">
        <v>0</v>
      </c>
      <c r="J249" t="n">
        <v>0</v>
      </c>
      <c r="K249" t="n">
        <v>0</v>
      </c>
      <c r="L249" t="n">
        <v>0</v>
      </c>
      <c r="M249" t="n">
        <v>0</v>
      </c>
      <c r="N249" t="n">
        <v>0</v>
      </c>
      <c r="O249" t="n">
        <v>0</v>
      </c>
      <c r="P249" t="n">
        <v>0</v>
      </c>
      <c r="Q249" t="n">
        <v>0</v>
      </c>
      <c r="R249" s="2" t="inlineStr"/>
    </row>
    <row r="250" ht="15" customHeight="1">
      <c r="A250" t="inlineStr">
        <is>
          <t>A 9859-2023</t>
        </is>
      </c>
      <c r="B250" s="1" t="n">
        <v>44984.93940972222</v>
      </c>
      <c r="C250" s="1" t="n">
        <v>45984</v>
      </c>
      <c r="D250" t="inlineStr">
        <is>
          <t>NORRBOTTENS LÄN</t>
        </is>
      </c>
      <c r="E250" t="inlineStr">
        <is>
          <t>JOKKMOKK</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9864-2023</t>
        </is>
      </c>
      <c r="B251" s="1" t="n">
        <v>44984</v>
      </c>
      <c r="C251" s="1" t="n">
        <v>45984</v>
      </c>
      <c r="D251" t="inlineStr">
        <is>
          <t>NORRBOTTENS LÄN</t>
        </is>
      </c>
      <c r="E251" t="inlineStr">
        <is>
          <t>JOKKMOKK</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30184-2025</t>
        </is>
      </c>
      <c r="B252" s="1" t="n">
        <v>45827.34695601852</v>
      </c>
      <c r="C252" s="1" t="n">
        <v>45984</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30177-2025</t>
        </is>
      </c>
      <c r="B253" s="1" t="n">
        <v>45827.34537037037</v>
      </c>
      <c r="C253" s="1" t="n">
        <v>45984</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30185-2025</t>
        </is>
      </c>
      <c r="B254" s="1" t="n">
        <v>45827.34717592593</v>
      </c>
      <c r="C254" s="1" t="n">
        <v>45984</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43803-2025</t>
        </is>
      </c>
      <c r="B255" s="1" t="n">
        <v>45912</v>
      </c>
      <c r="C255" s="1" t="n">
        <v>45984</v>
      </c>
      <c r="D255" t="inlineStr">
        <is>
          <t>NORRBOTTENS LÄN</t>
        </is>
      </c>
      <c r="E255" t="inlineStr">
        <is>
          <t>JOKKMOKK</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43997-2025</t>
        </is>
      </c>
      <c r="B256" s="1" t="n">
        <v>45915.44868055556</v>
      </c>
      <c r="C256" s="1" t="n">
        <v>45984</v>
      </c>
      <c r="D256" t="inlineStr">
        <is>
          <t>NORRBOTTENS LÄN</t>
        </is>
      </c>
      <c r="E256" t="inlineStr">
        <is>
          <t>JOKKMOKK</t>
        </is>
      </c>
      <c r="G256" t="n">
        <v>4.5</v>
      </c>
      <c r="H256" t="n">
        <v>0</v>
      </c>
      <c r="I256" t="n">
        <v>0</v>
      </c>
      <c r="J256" t="n">
        <v>0</v>
      </c>
      <c r="K256" t="n">
        <v>0</v>
      </c>
      <c r="L256" t="n">
        <v>0</v>
      </c>
      <c r="M256" t="n">
        <v>0</v>
      </c>
      <c r="N256" t="n">
        <v>0</v>
      </c>
      <c r="O256" t="n">
        <v>0</v>
      </c>
      <c r="P256" t="n">
        <v>0</v>
      </c>
      <c r="Q256" t="n">
        <v>0</v>
      </c>
      <c r="R256" s="2" t="inlineStr"/>
    </row>
    <row r="257" ht="15" customHeight="1">
      <c r="A257" t="inlineStr">
        <is>
          <t>A 49477-2024</t>
        </is>
      </c>
      <c r="B257" s="1" t="n">
        <v>45596.34576388889</v>
      </c>
      <c r="C257" s="1" t="n">
        <v>45984</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9874-2023</t>
        </is>
      </c>
      <c r="B258" s="1" t="n">
        <v>44984.94069444444</v>
      </c>
      <c r="C258" s="1" t="n">
        <v>45984</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9875-2023</t>
        </is>
      </c>
      <c r="B259" s="1" t="n">
        <v>44984.94076388889</v>
      </c>
      <c r="C259" s="1" t="n">
        <v>45984</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34639-2024</t>
        </is>
      </c>
      <c r="B260" s="1" t="n">
        <v>45526.47293981481</v>
      </c>
      <c r="C260" s="1" t="n">
        <v>45984</v>
      </c>
      <c r="D260" t="inlineStr">
        <is>
          <t>NORRBOTTENS LÄN</t>
        </is>
      </c>
      <c r="E260" t="inlineStr">
        <is>
          <t>JOKKMOKK</t>
        </is>
      </c>
      <c r="G260" t="n">
        <v>7.7</v>
      </c>
      <c r="H260" t="n">
        <v>0</v>
      </c>
      <c r="I260" t="n">
        <v>0</v>
      </c>
      <c r="J260" t="n">
        <v>0</v>
      </c>
      <c r="K260" t="n">
        <v>0</v>
      </c>
      <c r="L260" t="n">
        <v>0</v>
      </c>
      <c r="M260" t="n">
        <v>0</v>
      </c>
      <c r="N260" t="n">
        <v>0</v>
      </c>
      <c r="O260" t="n">
        <v>0</v>
      </c>
      <c r="P260" t="n">
        <v>0</v>
      </c>
      <c r="Q260" t="n">
        <v>0</v>
      </c>
      <c r="R260" s="2" t="inlineStr"/>
    </row>
    <row r="261" ht="15" customHeight="1">
      <c r="A261" t="inlineStr">
        <is>
          <t>A 47157-2024</t>
        </is>
      </c>
      <c r="B261" s="1" t="n">
        <v>45586</v>
      </c>
      <c r="C261" s="1" t="n">
        <v>45984</v>
      </c>
      <c r="D261" t="inlineStr">
        <is>
          <t>NORRBOTTENS LÄN</t>
        </is>
      </c>
      <c r="E261" t="inlineStr">
        <is>
          <t>JOKKMOKK</t>
        </is>
      </c>
      <c r="G261" t="n">
        <v>0.6</v>
      </c>
      <c r="H261" t="n">
        <v>0</v>
      </c>
      <c r="I261" t="n">
        <v>0</v>
      </c>
      <c r="J261" t="n">
        <v>0</v>
      </c>
      <c r="K261" t="n">
        <v>0</v>
      </c>
      <c r="L261" t="n">
        <v>0</v>
      </c>
      <c r="M261" t="n">
        <v>0</v>
      </c>
      <c r="N261" t="n">
        <v>0</v>
      </c>
      <c r="O261" t="n">
        <v>0</v>
      </c>
      <c r="P261" t="n">
        <v>0</v>
      </c>
      <c r="Q261" t="n">
        <v>0</v>
      </c>
      <c r="R261" s="2" t="inlineStr"/>
    </row>
    <row r="262" ht="15" customHeight="1">
      <c r="A262" t="inlineStr">
        <is>
          <t>A 53237-2025</t>
        </is>
      </c>
      <c r="B262" s="1" t="n">
        <v>45957</v>
      </c>
      <c r="C262" s="1" t="n">
        <v>45984</v>
      </c>
      <c r="D262" t="inlineStr">
        <is>
          <t>NORRBOTTENS LÄN</t>
        </is>
      </c>
      <c r="E262" t="inlineStr">
        <is>
          <t>JOKKMOKK</t>
        </is>
      </c>
      <c r="F262" t="inlineStr">
        <is>
          <t>Övriga Aktiebolag</t>
        </is>
      </c>
      <c r="G262" t="n">
        <v>28.1</v>
      </c>
      <c r="H262" t="n">
        <v>0</v>
      </c>
      <c r="I262" t="n">
        <v>0</v>
      </c>
      <c r="J262" t="n">
        <v>0</v>
      </c>
      <c r="K262" t="n">
        <v>0</v>
      </c>
      <c r="L262" t="n">
        <v>0</v>
      </c>
      <c r="M262" t="n">
        <v>0</v>
      </c>
      <c r="N262" t="n">
        <v>0</v>
      </c>
      <c r="O262" t="n">
        <v>0</v>
      </c>
      <c r="P262" t="n">
        <v>0</v>
      </c>
      <c r="Q262" t="n">
        <v>0</v>
      </c>
      <c r="R262" s="2" t="inlineStr"/>
    </row>
    <row r="263" ht="15" customHeight="1">
      <c r="A263" t="inlineStr">
        <is>
          <t>A 31918-2025</t>
        </is>
      </c>
      <c r="B263" s="1" t="n">
        <v>45834</v>
      </c>
      <c r="C263" s="1" t="n">
        <v>45984</v>
      </c>
      <c r="D263" t="inlineStr">
        <is>
          <t>NORRBOTTENS LÄN</t>
        </is>
      </c>
      <c r="E263" t="inlineStr">
        <is>
          <t>JOKKMOKK</t>
        </is>
      </c>
      <c r="G263" t="n">
        <v>15.2</v>
      </c>
      <c r="H263" t="n">
        <v>0</v>
      </c>
      <c r="I263" t="n">
        <v>0</v>
      </c>
      <c r="J263" t="n">
        <v>0</v>
      </c>
      <c r="K263" t="n">
        <v>0</v>
      </c>
      <c r="L263" t="n">
        <v>0</v>
      </c>
      <c r="M263" t="n">
        <v>0</v>
      </c>
      <c r="N263" t="n">
        <v>0</v>
      </c>
      <c r="O263" t="n">
        <v>0</v>
      </c>
      <c r="P263" t="n">
        <v>0</v>
      </c>
      <c r="Q263" t="n">
        <v>0</v>
      </c>
      <c r="R263" s="2" t="inlineStr"/>
    </row>
    <row r="264" ht="15" customHeight="1">
      <c r="A264" t="inlineStr">
        <is>
          <t>A 44842-2025</t>
        </is>
      </c>
      <c r="B264" s="1" t="n">
        <v>45918.42957175926</v>
      </c>
      <c r="C264" s="1" t="n">
        <v>45984</v>
      </c>
      <c r="D264" t="inlineStr">
        <is>
          <t>NORRBOTTENS LÄN</t>
        </is>
      </c>
      <c r="E264" t="inlineStr">
        <is>
          <t>JOKKMOKK</t>
        </is>
      </c>
      <c r="G264" t="n">
        <v>7.7</v>
      </c>
      <c r="H264" t="n">
        <v>0</v>
      </c>
      <c r="I264" t="n">
        <v>0</v>
      </c>
      <c r="J264" t="n">
        <v>0</v>
      </c>
      <c r="K264" t="n">
        <v>0</v>
      </c>
      <c r="L264" t="n">
        <v>0</v>
      </c>
      <c r="M264" t="n">
        <v>0</v>
      </c>
      <c r="N264" t="n">
        <v>0</v>
      </c>
      <c r="O264" t="n">
        <v>0</v>
      </c>
      <c r="P264" t="n">
        <v>0</v>
      </c>
      <c r="Q264" t="n">
        <v>0</v>
      </c>
      <c r="R264" s="2" t="inlineStr"/>
    </row>
    <row r="265" ht="15" customHeight="1">
      <c r="A265" t="inlineStr">
        <is>
          <t>A 51577-2025</t>
        </is>
      </c>
      <c r="B265" s="1" t="n">
        <v>45951</v>
      </c>
      <c r="C265" s="1" t="n">
        <v>45984</v>
      </c>
      <c r="D265" t="inlineStr">
        <is>
          <t>NORRBOTTENS LÄN</t>
        </is>
      </c>
      <c r="E265" t="inlineStr">
        <is>
          <t>JOKKMOKK</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44691-2025</t>
        </is>
      </c>
      <c r="B266" s="1" t="n">
        <v>45917.59425925926</v>
      </c>
      <c r="C266" s="1" t="n">
        <v>45984</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41923-2021</t>
        </is>
      </c>
      <c r="B267" s="1" t="n">
        <v>44425</v>
      </c>
      <c r="C267" s="1" t="n">
        <v>45984</v>
      </c>
      <c r="D267" t="inlineStr">
        <is>
          <t>NORRBOTTENS LÄN</t>
        </is>
      </c>
      <c r="E267" t="inlineStr">
        <is>
          <t>JOKKMOKK</t>
        </is>
      </c>
      <c r="F267" t="inlineStr">
        <is>
          <t>Övriga statliga verk och myndigheter</t>
        </is>
      </c>
      <c r="G267" t="n">
        <v>22</v>
      </c>
      <c r="H267" t="n">
        <v>0</v>
      </c>
      <c r="I267" t="n">
        <v>0</v>
      </c>
      <c r="J267" t="n">
        <v>0</v>
      </c>
      <c r="K267" t="n">
        <v>0</v>
      </c>
      <c r="L267" t="n">
        <v>0</v>
      </c>
      <c r="M267" t="n">
        <v>0</v>
      </c>
      <c r="N267" t="n">
        <v>0</v>
      </c>
      <c r="O267" t="n">
        <v>0</v>
      </c>
      <c r="P267" t="n">
        <v>0</v>
      </c>
      <c r="Q267" t="n">
        <v>0</v>
      </c>
      <c r="R267" s="2" t="inlineStr"/>
    </row>
    <row r="268" ht="15" customHeight="1">
      <c r="A268" t="inlineStr">
        <is>
          <t>A 44606-2025</t>
        </is>
      </c>
      <c r="B268" s="1" t="n">
        <v>45917.4485300926</v>
      </c>
      <c r="C268" s="1" t="n">
        <v>45984</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44958-2025</t>
        </is>
      </c>
      <c r="B269" s="1" t="n">
        <v>45918.61519675926</v>
      </c>
      <c r="C269" s="1" t="n">
        <v>45984</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49483-2021</t>
        </is>
      </c>
      <c r="B270" s="1" t="n">
        <v>44454</v>
      </c>
      <c r="C270" s="1" t="n">
        <v>45984</v>
      </c>
      <c r="D270" t="inlineStr">
        <is>
          <t>NORRBOTTENS LÄN</t>
        </is>
      </c>
      <c r="E270" t="inlineStr">
        <is>
          <t>JOKKMOKK</t>
        </is>
      </c>
      <c r="F270" t="inlineStr">
        <is>
          <t>SCA</t>
        </is>
      </c>
      <c r="G270" t="n">
        <v>24.2</v>
      </c>
      <c r="H270" t="n">
        <v>0</v>
      </c>
      <c r="I270" t="n">
        <v>0</v>
      </c>
      <c r="J270" t="n">
        <v>0</v>
      </c>
      <c r="K270" t="n">
        <v>0</v>
      </c>
      <c r="L270" t="n">
        <v>0</v>
      </c>
      <c r="M270" t="n">
        <v>0</v>
      </c>
      <c r="N270" t="n">
        <v>0</v>
      </c>
      <c r="O270" t="n">
        <v>0</v>
      </c>
      <c r="P270" t="n">
        <v>0</v>
      </c>
      <c r="Q270" t="n">
        <v>0</v>
      </c>
      <c r="R270" s="2" t="inlineStr"/>
    </row>
    <row r="271" ht="15" customHeight="1">
      <c r="A271" t="inlineStr">
        <is>
          <t>A 32670-2025</t>
        </is>
      </c>
      <c r="B271" s="1" t="n">
        <v>45838.70071759259</v>
      </c>
      <c r="C271" s="1" t="n">
        <v>45984</v>
      </c>
      <c r="D271" t="inlineStr">
        <is>
          <t>NORRBOTTENS LÄN</t>
        </is>
      </c>
      <c r="E271" t="inlineStr">
        <is>
          <t>JOKKMOKK</t>
        </is>
      </c>
      <c r="F271" t="inlineStr">
        <is>
          <t>Sveaskog</t>
        </is>
      </c>
      <c r="G271" t="n">
        <v>6.8</v>
      </c>
      <c r="H271" t="n">
        <v>0</v>
      </c>
      <c r="I271" t="n">
        <v>0</v>
      </c>
      <c r="J271" t="n">
        <v>0</v>
      </c>
      <c r="K271" t="n">
        <v>0</v>
      </c>
      <c r="L271" t="n">
        <v>0</v>
      </c>
      <c r="M271" t="n">
        <v>0</v>
      </c>
      <c r="N271" t="n">
        <v>0</v>
      </c>
      <c r="O271" t="n">
        <v>0</v>
      </c>
      <c r="P271" t="n">
        <v>0</v>
      </c>
      <c r="Q271" t="n">
        <v>0</v>
      </c>
      <c r="R271" s="2" t="inlineStr"/>
    </row>
    <row r="272" ht="15" customHeight="1">
      <c r="A272" t="inlineStr">
        <is>
          <t>A 48210-2024</t>
        </is>
      </c>
      <c r="B272" s="1" t="n">
        <v>45590</v>
      </c>
      <c r="C272" s="1" t="n">
        <v>45984</v>
      </c>
      <c r="D272" t="inlineStr">
        <is>
          <t>NORRBOTTENS LÄN</t>
        </is>
      </c>
      <c r="E272" t="inlineStr">
        <is>
          <t>JOKKMOKK</t>
        </is>
      </c>
      <c r="F272" t="inlineStr">
        <is>
          <t>SCA</t>
        </is>
      </c>
      <c r="G272" t="n">
        <v>6.5</v>
      </c>
      <c r="H272" t="n">
        <v>0</v>
      </c>
      <c r="I272" t="n">
        <v>0</v>
      </c>
      <c r="J272" t="n">
        <v>0</v>
      </c>
      <c r="K272" t="n">
        <v>0</v>
      </c>
      <c r="L272" t="n">
        <v>0</v>
      </c>
      <c r="M272" t="n">
        <v>0</v>
      </c>
      <c r="N272" t="n">
        <v>0</v>
      </c>
      <c r="O272" t="n">
        <v>0</v>
      </c>
      <c r="P272" t="n">
        <v>0</v>
      </c>
      <c r="Q272" t="n">
        <v>0</v>
      </c>
      <c r="R272" s="2" t="inlineStr"/>
    </row>
    <row r="273" ht="15" customHeight="1">
      <c r="A273" t="inlineStr">
        <is>
          <t>A 33551-2025</t>
        </is>
      </c>
      <c r="B273" s="1" t="n">
        <v>45841.57357638889</v>
      </c>
      <c r="C273" s="1" t="n">
        <v>45984</v>
      </c>
      <c r="D273" t="inlineStr">
        <is>
          <t>NORRBOTTENS LÄN</t>
        </is>
      </c>
      <c r="E273" t="inlineStr">
        <is>
          <t>JOKKMOKK</t>
        </is>
      </c>
      <c r="F273" t="inlineStr">
        <is>
          <t>SCA</t>
        </is>
      </c>
      <c r="G273" t="n">
        <v>7.9</v>
      </c>
      <c r="H273" t="n">
        <v>0</v>
      </c>
      <c r="I273" t="n">
        <v>0</v>
      </c>
      <c r="J273" t="n">
        <v>0</v>
      </c>
      <c r="K273" t="n">
        <v>0</v>
      </c>
      <c r="L273" t="n">
        <v>0</v>
      </c>
      <c r="M273" t="n">
        <v>0</v>
      </c>
      <c r="N273" t="n">
        <v>0</v>
      </c>
      <c r="O273" t="n">
        <v>0</v>
      </c>
      <c r="P273" t="n">
        <v>0</v>
      </c>
      <c r="Q273" t="n">
        <v>0</v>
      </c>
      <c r="R273" s="2" t="inlineStr"/>
    </row>
    <row r="274" ht="15" customHeight="1">
      <c r="A274" t="inlineStr">
        <is>
          <t>A 49478-2024</t>
        </is>
      </c>
      <c r="B274" s="1" t="n">
        <v>45596.34599537037</v>
      </c>
      <c r="C274" s="1" t="n">
        <v>45984</v>
      </c>
      <c r="D274" t="inlineStr">
        <is>
          <t>NORRBOTTENS LÄN</t>
        </is>
      </c>
      <c r="E274" t="inlineStr">
        <is>
          <t>JOKKMOKK</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51499-2025</t>
        </is>
      </c>
      <c r="B275" s="1" t="n">
        <v>45950.63737268518</v>
      </c>
      <c r="C275" s="1" t="n">
        <v>45984</v>
      </c>
      <c r="D275" t="inlineStr">
        <is>
          <t>NORRBOTTENS LÄN</t>
        </is>
      </c>
      <c r="E275" t="inlineStr">
        <is>
          <t>JOKKMOKK</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33349-2025</t>
        </is>
      </c>
      <c r="B276" s="1" t="n">
        <v>45841.3704050926</v>
      </c>
      <c r="C276" s="1" t="n">
        <v>45984</v>
      </c>
      <c r="D276" t="inlineStr">
        <is>
          <t>NORRBOTTENS LÄN</t>
        </is>
      </c>
      <c r="E276" t="inlineStr">
        <is>
          <t>JOKKMOKK</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44150-2024</t>
        </is>
      </c>
      <c r="B277" s="1" t="n">
        <v>45572.67520833333</v>
      </c>
      <c r="C277" s="1" t="n">
        <v>45984</v>
      </c>
      <c r="D277" t="inlineStr">
        <is>
          <t>NORRBOTTENS LÄN</t>
        </is>
      </c>
      <c r="E277" t="inlineStr">
        <is>
          <t>JOKKMOKK</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33523-2025</t>
        </is>
      </c>
      <c r="B278" s="1" t="n">
        <v>45841.54601851852</v>
      </c>
      <c r="C278" s="1" t="n">
        <v>45984</v>
      </c>
      <c r="D278" t="inlineStr">
        <is>
          <t>NORRBOTTENS LÄN</t>
        </is>
      </c>
      <c r="E278" t="inlineStr">
        <is>
          <t>JOKKMOKK</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45065-2025</t>
        </is>
      </c>
      <c r="B279" s="1" t="n">
        <v>45919.34540509259</v>
      </c>
      <c r="C279" s="1" t="n">
        <v>45984</v>
      </c>
      <c r="D279" t="inlineStr">
        <is>
          <t>NORRBOTTENS LÄN</t>
        </is>
      </c>
      <c r="E279" t="inlineStr">
        <is>
          <t>JOKKMOKK</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53513-2025</t>
        </is>
      </c>
      <c r="B280" s="1" t="n">
        <v>45960</v>
      </c>
      <c r="C280" s="1" t="n">
        <v>45984</v>
      </c>
      <c r="D280" t="inlineStr">
        <is>
          <t>NORRBOTTENS LÄN</t>
        </is>
      </c>
      <c r="E280" t="inlineStr">
        <is>
          <t>JOKKMOKK</t>
        </is>
      </c>
      <c r="G280" t="n">
        <v>3.7</v>
      </c>
      <c r="H280" t="n">
        <v>0</v>
      </c>
      <c r="I280" t="n">
        <v>0</v>
      </c>
      <c r="J280" t="n">
        <v>0</v>
      </c>
      <c r="K280" t="n">
        <v>0</v>
      </c>
      <c r="L280" t="n">
        <v>0</v>
      </c>
      <c r="M280" t="n">
        <v>0</v>
      </c>
      <c r="N280" t="n">
        <v>0</v>
      </c>
      <c r="O280" t="n">
        <v>0</v>
      </c>
      <c r="P280" t="n">
        <v>0</v>
      </c>
      <c r="Q280" t="n">
        <v>0</v>
      </c>
      <c r="R280" s="2" t="inlineStr"/>
    </row>
    <row r="281" ht="15" customHeight="1">
      <c r="A281" t="inlineStr">
        <is>
          <t>A 33515-2025</t>
        </is>
      </c>
      <c r="B281" s="1" t="n">
        <v>45841.53164351852</v>
      </c>
      <c r="C281" s="1" t="n">
        <v>45984</v>
      </c>
      <c r="D281" t="inlineStr">
        <is>
          <t>NORRBOTTENS LÄN</t>
        </is>
      </c>
      <c r="E281" t="inlineStr">
        <is>
          <t>JOKKMOKK</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45984</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45951.34469907408</v>
      </c>
      <c r="C283" s="1" t="n">
        <v>45984</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33554-2025</t>
        </is>
      </c>
      <c r="B284" s="1" t="n">
        <v>45841.57400462963</v>
      </c>
      <c r="C284" s="1" t="n">
        <v>45984</v>
      </c>
      <c r="D284" t="inlineStr">
        <is>
          <t>NORRBOTTENS LÄN</t>
        </is>
      </c>
      <c r="E284" t="inlineStr">
        <is>
          <t>JOKKMOKK</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45984</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52770-2025</t>
        </is>
      </c>
      <c r="B286" s="1" t="n">
        <v>45957</v>
      </c>
      <c r="C286" s="1" t="n">
        <v>45984</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65648-2020</t>
        </is>
      </c>
      <c r="B287" s="1" t="n">
        <v>44172</v>
      </c>
      <c r="C287" s="1" t="n">
        <v>45984</v>
      </c>
      <c r="D287" t="inlineStr">
        <is>
          <t>NORRBOTTENS LÄN</t>
        </is>
      </c>
      <c r="E287" t="inlineStr">
        <is>
          <t>JOKKMOKK</t>
        </is>
      </c>
      <c r="G287" t="n">
        <v>1.8</v>
      </c>
      <c r="H287" t="n">
        <v>0</v>
      </c>
      <c r="I287" t="n">
        <v>0</v>
      </c>
      <c r="J287" t="n">
        <v>0</v>
      </c>
      <c r="K287" t="n">
        <v>0</v>
      </c>
      <c r="L287" t="n">
        <v>0</v>
      </c>
      <c r="M287" t="n">
        <v>0</v>
      </c>
      <c r="N287" t="n">
        <v>0</v>
      </c>
      <c r="O287" t="n">
        <v>0</v>
      </c>
      <c r="P287" t="n">
        <v>0</v>
      </c>
      <c r="Q287" t="n">
        <v>0</v>
      </c>
      <c r="R287" s="2" t="inlineStr"/>
    </row>
    <row r="288" ht="15" customHeight="1">
      <c r="A288" t="inlineStr">
        <is>
          <t>A 50436-2024</t>
        </is>
      </c>
      <c r="B288" s="1" t="n">
        <v>45601.4096875</v>
      </c>
      <c r="C288" s="1" t="n">
        <v>45984</v>
      </c>
      <c r="D288" t="inlineStr">
        <is>
          <t>NORRBOTTENS LÄN</t>
        </is>
      </c>
      <c r="E288" t="inlineStr">
        <is>
          <t>JOKKMOKK</t>
        </is>
      </c>
      <c r="F288" t="inlineStr">
        <is>
          <t>Allmännings- och besparingsskogar</t>
        </is>
      </c>
      <c r="G288" t="n">
        <v>6.5</v>
      </c>
      <c r="H288" t="n">
        <v>0</v>
      </c>
      <c r="I288" t="n">
        <v>0</v>
      </c>
      <c r="J288" t="n">
        <v>0</v>
      </c>
      <c r="K288" t="n">
        <v>0</v>
      </c>
      <c r="L288" t="n">
        <v>0</v>
      </c>
      <c r="M288" t="n">
        <v>0</v>
      </c>
      <c r="N288" t="n">
        <v>0</v>
      </c>
      <c r="O288" t="n">
        <v>0</v>
      </c>
      <c r="P288" t="n">
        <v>0</v>
      </c>
      <c r="Q288" t="n">
        <v>0</v>
      </c>
      <c r="R288" s="2" t="inlineStr"/>
    </row>
    <row r="289" ht="15" customHeight="1">
      <c r="A289" t="inlineStr">
        <is>
          <t>A 45064-2025</t>
        </is>
      </c>
      <c r="B289" s="1" t="n">
        <v>45919.34533564815</v>
      </c>
      <c r="C289" s="1" t="n">
        <v>45984</v>
      </c>
      <c r="D289" t="inlineStr">
        <is>
          <t>NORRBOTTENS LÄN</t>
        </is>
      </c>
      <c r="E289" t="inlineStr">
        <is>
          <t>JOKKMOKK</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45709-2025</t>
        </is>
      </c>
      <c r="B290" s="1" t="n">
        <v>45923</v>
      </c>
      <c r="C290" s="1" t="n">
        <v>45984</v>
      </c>
      <c r="D290" t="inlineStr">
        <is>
          <t>NORRBOTTENS LÄN</t>
        </is>
      </c>
      <c r="E290" t="inlineStr">
        <is>
          <t>JOKKMOKK</t>
        </is>
      </c>
      <c r="G290" t="n">
        <v>11.7</v>
      </c>
      <c r="H290" t="n">
        <v>0</v>
      </c>
      <c r="I290" t="n">
        <v>0</v>
      </c>
      <c r="J290" t="n">
        <v>0</v>
      </c>
      <c r="K290" t="n">
        <v>0</v>
      </c>
      <c r="L290" t="n">
        <v>0</v>
      </c>
      <c r="M290" t="n">
        <v>0</v>
      </c>
      <c r="N290" t="n">
        <v>0</v>
      </c>
      <c r="O290" t="n">
        <v>0</v>
      </c>
      <c r="P290" t="n">
        <v>0</v>
      </c>
      <c r="Q290" t="n">
        <v>0</v>
      </c>
      <c r="R290" s="2" t="inlineStr"/>
    </row>
    <row r="291" ht="15" customHeight="1">
      <c r="A291" t="inlineStr">
        <is>
          <t>A 54585-2025</t>
        </is>
      </c>
      <c r="B291" s="1" t="n">
        <v>45965.72071759259</v>
      </c>
      <c r="C291" s="1" t="n">
        <v>45984</v>
      </c>
      <c r="D291" t="inlineStr">
        <is>
          <t>NORRBOTTENS LÄN</t>
        </is>
      </c>
      <c r="E291" t="inlineStr">
        <is>
          <t>JOKKMOKK</t>
        </is>
      </c>
      <c r="F291" t="inlineStr">
        <is>
          <t>Allmännings- och besparingsskogar</t>
        </is>
      </c>
      <c r="G291" t="n">
        <v>10.2</v>
      </c>
      <c r="H291" t="n">
        <v>0</v>
      </c>
      <c r="I291" t="n">
        <v>0</v>
      </c>
      <c r="J291" t="n">
        <v>0</v>
      </c>
      <c r="K291" t="n">
        <v>0</v>
      </c>
      <c r="L291" t="n">
        <v>0</v>
      </c>
      <c r="M291" t="n">
        <v>0</v>
      </c>
      <c r="N291" t="n">
        <v>0</v>
      </c>
      <c r="O291" t="n">
        <v>0</v>
      </c>
      <c r="P291" t="n">
        <v>0</v>
      </c>
      <c r="Q291" t="n">
        <v>0</v>
      </c>
      <c r="R291" s="2" t="inlineStr"/>
    </row>
    <row r="292" ht="15" customHeight="1">
      <c r="A292" t="inlineStr">
        <is>
          <t>A 33740-2025</t>
        </is>
      </c>
      <c r="B292" s="1" t="n">
        <v>45842.34456018519</v>
      </c>
      <c r="C292" s="1" t="n">
        <v>45984</v>
      </c>
      <c r="D292" t="inlineStr">
        <is>
          <t>NORRBOTTENS LÄN</t>
        </is>
      </c>
      <c r="E292" t="inlineStr">
        <is>
          <t>JOKKMOKK</t>
        </is>
      </c>
      <c r="F292" t="inlineStr">
        <is>
          <t>SCA</t>
        </is>
      </c>
      <c r="G292" t="n">
        <v>23.3</v>
      </c>
      <c r="H292" t="n">
        <v>0</v>
      </c>
      <c r="I292" t="n">
        <v>0</v>
      </c>
      <c r="J292" t="n">
        <v>0</v>
      </c>
      <c r="K292" t="n">
        <v>0</v>
      </c>
      <c r="L292" t="n">
        <v>0</v>
      </c>
      <c r="M292" t="n">
        <v>0</v>
      </c>
      <c r="N292" t="n">
        <v>0</v>
      </c>
      <c r="O292" t="n">
        <v>0</v>
      </c>
      <c r="P292" t="n">
        <v>0</v>
      </c>
      <c r="Q292" t="n">
        <v>0</v>
      </c>
      <c r="R292" s="2" t="inlineStr"/>
    </row>
    <row r="293" ht="15" customHeight="1">
      <c r="A293" t="inlineStr">
        <is>
          <t>A 35040-2025</t>
        </is>
      </c>
      <c r="B293" s="1" t="n">
        <v>45852.34420138889</v>
      </c>
      <c r="C293" s="1" t="n">
        <v>45984</v>
      </c>
      <c r="D293" t="inlineStr">
        <is>
          <t>NORRBOTTENS LÄN</t>
        </is>
      </c>
      <c r="E293" t="inlineStr">
        <is>
          <t>JOKKMOKK</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28090-2023</t>
        </is>
      </c>
      <c r="B294" s="1" t="n">
        <v>45099</v>
      </c>
      <c r="C294" s="1" t="n">
        <v>45984</v>
      </c>
      <c r="D294" t="inlineStr">
        <is>
          <t>NORRBOTTENS LÄN</t>
        </is>
      </c>
      <c r="E294" t="inlineStr">
        <is>
          <t>JOKKMOKK</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46458-2025</t>
        </is>
      </c>
      <c r="B295" s="1" t="n">
        <v>45925.66335648148</v>
      </c>
      <c r="C295" s="1" t="n">
        <v>45984</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35511-2025</t>
        </is>
      </c>
      <c r="B296" s="1" t="n">
        <v>45856.36497685185</v>
      </c>
      <c r="C296" s="1" t="n">
        <v>45984</v>
      </c>
      <c r="D296" t="inlineStr">
        <is>
          <t>NORRBOTTENS LÄN</t>
        </is>
      </c>
      <c r="E296" t="inlineStr">
        <is>
          <t>JOKKMOKK</t>
        </is>
      </c>
      <c r="F296" t="inlineStr">
        <is>
          <t>SCA</t>
        </is>
      </c>
      <c r="G296" t="n">
        <v>7</v>
      </c>
      <c r="H296" t="n">
        <v>0</v>
      </c>
      <c r="I296" t="n">
        <v>0</v>
      </c>
      <c r="J296" t="n">
        <v>0</v>
      </c>
      <c r="K296" t="n">
        <v>0</v>
      </c>
      <c r="L296" t="n">
        <v>0</v>
      </c>
      <c r="M296" t="n">
        <v>0</v>
      </c>
      <c r="N296" t="n">
        <v>0</v>
      </c>
      <c r="O296" t="n">
        <v>0</v>
      </c>
      <c r="P296" t="n">
        <v>0</v>
      </c>
      <c r="Q296" t="n">
        <v>0</v>
      </c>
      <c r="R296" s="2" t="inlineStr"/>
    </row>
    <row r="297" ht="15" customHeight="1">
      <c r="A297" t="inlineStr">
        <is>
          <t>A 42481-2024</t>
        </is>
      </c>
      <c r="B297" s="1" t="n">
        <v>45565.49210648148</v>
      </c>
      <c r="C297" s="1" t="n">
        <v>45984</v>
      </c>
      <c r="D297" t="inlineStr">
        <is>
          <t>NORRBOTTENS LÄN</t>
        </is>
      </c>
      <c r="E297" t="inlineStr">
        <is>
          <t>JOKKMOKK</t>
        </is>
      </c>
      <c r="F297" t="inlineStr">
        <is>
          <t>SCA</t>
        </is>
      </c>
      <c r="G297" t="n">
        <v>25.2</v>
      </c>
      <c r="H297" t="n">
        <v>0</v>
      </c>
      <c r="I297" t="n">
        <v>0</v>
      </c>
      <c r="J297" t="n">
        <v>0</v>
      </c>
      <c r="K297" t="n">
        <v>0</v>
      </c>
      <c r="L297" t="n">
        <v>0</v>
      </c>
      <c r="M297" t="n">
        <v>0</v>
      </c>
      <c r="N297" t="n">
        <v>0</v>
      </c>
      <c r="O297" t="n">
        <v>0</v>
      </c>
      <c r="P297" t="n">
        <v>0</v>
      </c>
      <c r="Q297" t="n">
        <v>0</v>
      </c>
      <c r="R297" s="2" t="inlineStr"/>
    </row>
    <row r="298" ht="15" customHeight="1">
      <c r="A298" t="inlineStr">
        <is>
          <t>A 53232-2024</t>
        </is>
      </c>
      <c r="B298" s="1" t="n">
        <v>45613.67967592592</v>
      </c>
      <c r="C298" s="1" t="n">
        <v>45984</v>
      </c>
      <c r="D298" t="inlineStr">
        <is>
          <t>NORRBOTTENS LÄN</t>
        </is>
      </c>
      <c r="E298" t="inlineStr">
        <is>
          <t>JOKKMOKK</t>
        </is>
      </c>
      <c r="G298" t="n">
        <v>1.9</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45984</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46465-2025</t>
        </is>
      </c>
      <c r="B300" s="1" t="n">
        <v>45925.67710648148</v>
      </c>
      <c r="C300" s="1" t="n">
        <v>45984</v>
      </c>
      <c r="D300" t="inlineStr">
        <is>
          <t>NORRBOTTENS LÄN</t>
        </is>
      </c>
      <c r="E300" t="inlineStr">
        <is>
          <t>JOKKMOKK</t>
        </is>
      </c>
      <c r="G300" t="n">
        <v>3.6</v>
      </c>
      <c r="H300" t="n">
        <v>0</v>
      </c>
      <c r="I300" t="n">
        <v>0</v>
      </c>
      <c r="J300" t="n">
        <v>0</v>
      </c>
      <c r="K300" t="n">
        <v>0</v>
      </c>
      <c r="L300" t="n">
        <v>0</v>
      </c>
      <c r="M300" t="n">
        <v>0</v>
      </c>
      <c r="N300" t="n">
        <v>0</v>
      </c>
      <c r="O300" t="n">
        <v>0</v>
      </c>
      <c r="P300" t="n">
        <v>0</v>
      </c>
      <c r="Q300" t="n">
        <v>0</v>
      </c>
      <c r="R300" s="2" t="inlineStr"/>
    </row>
    <row r="301" ht="15" customHeight="1">
      <c r="A301" t="inlineStr">
        <is>
          <t>A 35749-2025</t>
        </is>
      </c>
      <c r="B301" s="1" t="n">
        <v>45860</v>
      </c>
      <c r="C301" s="1" t="n">
        <v>45984</v>
      </c>
      <c r="D301" t="inlineStr">
        <is>
          <t>NORRBOTTENS LÄN</t>
        </is>
      </c>
      <c r="E301" t="inlineStr">
        <is>
          <t>JOKKMOKK</t>
        </is>
      </c>
      <c r="G301" t="n">
        <v>4.2</v>
      </c>
      <c r="H301" t="n">
        <v>0</v>
      </c>
      <c r="I301" t="n">
        <v>0</v>
      </c>
      <c r="J301" t="n">
        <v>0</v>
      </c>
      <c r="K301" t="n">
        <v>0</v>
      </c>
      <c r="L301" t="n">
        <v>0</v>
      </c>
      <c r="M301" t="n">
        <v>0</v>
      </c>
      <c r="N301" t="n">
        <v>0</v>
      </c>
      <c r="O301" t="n">
        <v>0</v>
      </c>
      <c r="P301" t="n">
        <v>0</v>
      </c>
      <c r="Q301" t="n">
        <v>0</v>
      </c>
      <c r="R301" s="2" t="inlineStr"/>
    </row>
    <row r="302" ht="15" customHeight="1">
      <c r="A302" t="inlineStr">
        <is>
          <t>A 35805-2025</t>
        </is>
      </c>
      <c r="B302" s="1" t="n">
        <v>45861.4019212963</v>
      </c>
      <c r="C302" s="1" t="n">
        <v>45984</v>
      </c>
      <c r="D302" t="inlineStr">
        <is>
          <t>NORRBOTTENS LÄN</t>
        </is>
      </c>
      <c r="E302" t="inlineStr">
        <is>
          <t>JOKKMOKK</t>
        </is>
      </c>
      <c r="G302" t="n">
        <v>7</v>
      </c>
      <c r="H302" t="n">
        <v>0</v>
      </c>
      <c r="I302" t="n">
        <v>0</v>
      </c>
      <c r="J302" t="n">
        <v>0</v>
      </c>
      <c r="K302" t="n">
        <v>0</v>
      </c>
      <c r="L302" t="n">
        <v>0</v>
      </c>
      <c r="M302" t="n">
        <v>0</v>
      </c>
      <c r="N302" t="n">
        <v>0</v>
      </c>
      <c r="O302" t="n">
        <v>0</v>
      </c>
      <c r="P302" t="n">
        <v>0</v>
      </c>
      <c r="Q302" t="n">
        <v>0</v>
      </c>
      <c r="R302" s="2" t="inlineStr"/>
    </row>
    <row r="303" ht="15" customHeight="1">
      <c r="A303" t="inlineStr">
        <is>
          <t>A 453-2025</t>
        </is>
      </c>
      <c r="B303" s="1" t="n">
        <v>45664.4005787037</v>
      </c>
      <c r="C303" s="1" t="n">
        <v>45984</v>
      </c>
      <c r="D303" t="inlineStr">
        <is>
          <t>NORRBOTTENS LÄN</t>
        </is>
      </c>
      <c r="E303" t="inlineStr">
        <is>
          <t>JOKKMOKK</t>
        </is>
      </c>
      <c r="F303" t="inlineStr">
        <is>
          <t>Övriga statliga verk och myndigheter</t>
        </is>
      </c>
      <c r="G303" t="n">
        <v>5</v>
      </c>
      <c r="H303" t="n">
        <v>0</v>
      </c>
      <c r="I303" t="n">
        <v>0</v>
      </c>
      <c r="J303" t="n">
        <v>0</v>
      </c>
      <c r="K303" t="n">
        <v>0</v>
      </c>
      <c r="L303" t="n">
        <v>0</v>
      </c>
      <c r="M303" t="n">
        <v>0</v>
      </c>
      <c r="N303" t="n">
        <v>0</v>
      </c>
      <c r="O303" t="n">
        <v>0</v>
      </c>
      <c r="P303" t="n">
        <v>0</v>
      </c>
      <c r="Q303" t="n">
        <v>0</v>
      </c>
      <c r="R303" s="2" t="inlineStr"/>
    </row>
    <row r="304" ht="15" customHeight="1">
      <c r="A304" t="inlineStr">
        <is>
          <t>A 56523-2021</t>
        </is>
      </c>
      <c r="B304" s="1" t="n">
        <v>44477</v>
      </c>
      <c r="C304" s="1" t="n">
        <v>45984</v>
      </c>
      <c r="D304" t="inlineStr">
        <is>
          <t>NORRBOTTENS LÄN</t>
        </is>
      </c>
      <c r="E304" t="inlineStr">
        <is>
          <t>JOKKMOKK</t>
        </is>
      </c>
      <c r="G304" t="n">
        <v>6.6</v>
      </c>
      <c r="H304" t="n">
        <v>0</v>
      </c>
      <c r="I304" t="n">
        <v>0</v>
      </c>
      <c r="J304" t="n">
        <v>0</v>
      </c>
      <c r="K304" t="n">
        <v>0</v>
      </c>
      <c r="L304" t="n">
        <v>0</v>
      </c>
      <c r="M304" t="n">
        <v>0</v>
      </c>
      <c r="N304" t="n">
        <v>0</v>
      </c>
      <c r="O304" t="n">
        <v>0</v>
      </c>
      <c r="P304" t="n">
        <v>0</v>
      </c>
      <c r="Q304" t="n">
        <v>0</v>
      </c>
      <c r="R304" s="2" t="inlineStr"/>
    </row>
    <row r="305" ht="15" customHeight="1">
      <c r="A305" t="inlineStr">
        <is>
          <t>A 46460-2025</t>
        </is>
      </c>
      <c r="B305" s="1" t="n">
        <v>45925.66606481482</v>
      </c>
      <c r="C305" s="1" t="n">
        <v>45984</v>
      </c>
      <c r="D305" t="inlineStr">
        <is>
          <t>NORRBOTTENS LÄN</t>
        </is>
      </c>
      <c r="E305" t="inlineStr">
        <is>
          <t>JOKKMOKK</t>
        </is>
      </c>
      <c r="G305" t="n">
        <v>1.2</v>
      </c>
      <c r="H305" t="n">
        <v>0</v>
      </c>
      <c r="I305" t="n">
        <v>0</v>
      </c>
      <c r="J305" t="n">
        <v>0</v>
      </c>
      <c r="K305" t="n">
        <v>0</v>
      </c>
      <c r="L305" t="n">
        <v>0</v>
      </c>
      <c r="M305" t="n">
        <v>0</v>
      </c>
      <c r="N305" t="n">
        <v>0</v>
      </c>
      <c r="O305" t="n">
        <v>0</v>
      </c>
      <c r="P305" t="n">
        <v>0</v>
      </c>
      <c r="Q305" t="n">
        <v>0</v>
      </c>
      <c r="R305" s="2" t="inlineStr"/>
    </row>
    <row r="306" ht="15" customHeight="1">
      <c r="A306" t="inlineStr">
        <is>
          <t>A 55195-2025</t>
        </is>
      </c>
      <c r="B306" s="1" t="n">
        <v>45968.5525</v>
      </c>
      <c r="C306" s="1" t="n">
        <v>45984</v>
      </c>
      <c r="D306" t="inlineStr">
        <is>
          <t>NORRBOTTENS LÄN</t>
        </is>
      </c>
      <c r="E306" t="inlineStr">
        <is>
          <t>JOKKMOKK</t>
        </is>
      </c>
      <c r="G306" t="n">
        <v>5.3</v>
      </c>
      <c r="H306" t="n">
        <v>0</v>
      </c>
      <c r="I306" t="n">
        <v>0</v>
      </c>
      <c r="J306" t="n">
        <v>0</v>
      </c>
      <c r="K306" t="n">
        <v>0</v>
      </c>
      <c r="L306" t="n">
        <v>0</v>
      </c>
      <c r="M306" t="n">
        <v>0</v>
      </c>
      <c r="N306" t="n">
        <v>0</v>
      </c>
      <c r="O306" t="n">
        <v>0</v>
      </c>
      <c r="P306" t="n">
        <v>0</v>
      </c>
      <c r="Q306" t="n">
        <v>0</v>
      </c>
      <c r="R306" s="2" t="inlineStr"/>
    </row>
    <row r="307" ht="15" customHeight="1">
      <c r="A307" t="inlineStr">
        <is>
          <t>A 46837-2025</t>
        </is>
      </c>
      <c r="B307" s="1" t="n">
        <v>45928.34450231482</v>
      </c>
      <c r="C307" s="1" t="n">
        <v>45984</v>
      </c>
      <c r="D307" t="inlineStr">
        <is>
          <t>NORRBOTTENS LÄN</t>
        </is>
      </c>
      <c r="E307" t="inlineStr">
        <is>
          <t>JOKKMOKK</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54546-2025</t>
        </is>
      </c>
      <c r="B308" s="1" t="n">
        <v>45965.65212962963</v>
      </c>
      <c r="C308" s="1" t="n">
        <v>45984</v>
      </c>
      <c r="D308" t="inlineStr">
        <is>
          <t>NORRBOTTENS LÄN</t>
        </is>
      </c>
      <c r="E308" t="inlineStr">
        <is>
          <t>JOKKMOKK</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30511-2023</t>
        </is>
      </c>
      <c r="B309" s="1" t="n">
        <v>45111</v>
      </c>
      <c r="C309" s="1" t="n">
        <v>45984</v>
      </c>
      <c r="D309" t="inlineStr">
        <is>
          <t>NORRBOTTENS LÄN</t>
        </is>
      </c>
      <c r="E309" t="inlineStr">
        <is>
          <t>JOKKMOKK</t>
        </is>
      </c>
      <c r="G309" t="n">
        <v>0.9</v>
      </c>
      <c r="H309" t="n">
        <v>0</v>
      </c>
      <c r="I309" t="n">
        <v>0</v>
      </c>
      <c r="J309" t="n">
        <v>0</v>
      </c>
      <c r="K309" t="n">
        <v>0</v>
      </c>
      <c r="L309" t="n">
        <v>0</v>
      </c>
      <c r="M309" t="n">
        <v>0</v>
      </c>
      <c r="N309" t="n">
        <v>0</v>
      </c>
      <c r="O309" t="n">
        <v>0</v>
      </c>
      <c r="P309" t="n">
        <v>0</v>
      </c>
      <c r="Q309" t="n">
        <v>0</v>
      </c>
      <c r="R309" s="2" t="inlineStr"/>
    </row>
    <row r="310" ht="15" customHeight="1">
      <c r="A310" t="inlineStr">
        <is>
          <t>A 43997-2024</t>
        </is>
      </c>
      <c r="B310" s="1" t="n">
        <v>45572.54165509259</v>
      </c>
      <c r="C310" s="1" t="n">
        <v>45984</v>
      </c>
      <c r="D310" t="inlineStr">
        <is>
          <t>NORRBOTTENS LÄN</t>
        </is>
      </c>
      <c r="E310" t="inlineStr">
        <is>
          <t>JOKKMOKK</t>
        </is>
      </c>
      <c r="F310" t="inlineStr">
        <is>
          <t>Sveaskog</t>
        </is>
      </c>
      <c r="G310" t="n">
        <v>17.4</v>
      </c>
      <c r="H310" t="n">
        <v>0</v>
      </c>
      <c r="I310" t="n">
        <v>0</v>
      </c>
      <c r="J310" t="n">
        <v>0</v>
      </c>
      <c r="K310" t="n">
        <v>0</v>
      </c>
      <c r="L310" t="n">
        <v>0</v>
      </c>
      <c r="M310" t="n">
        <v>0</v>
      </c>
      <c r="N310" t="n">
        <v>0</v>
      </c>
      <c r="O310" t="n">
        <v>0</v>
      </c>
      <c r="P310" t="n">
        <v>0</v>
      </c>
      <c r="Q310" t="n">
        <v>0</v>
      </c>
      <c r="R310" s="2" t="inlineStr"/>
    </row>
    <row r="311" ht="15" customHeight="1">
      <c r="A311" t="inlineStr">
        <is>
          <t>A 26552-2025</t>
        </is>
      </c>
      <c r="B311" s="1" t="n">
        <v>45807</v>
      </c>
      <c r="C311" s="1" t="n">
        <v>45984</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36325-2025</t>
        </is>
      </c>
      <c r="B312" s="1" t="n">
        <v>45868.40723379629</v>
      </c>
      <c r="C312" s="1" t="n">
        <v>45984</v>
      </c>
      <c r="D312" t="inlineStr">
        <is>
          <t>NORRBOTTENS LÄN</t>
        </is>
      </c>
      <c r="E312" t="inlineStr">
        <is>
          <t>JOKKMOKK</t>
        </is>
      </c>
      <c r="F312" t="inlineStr">
        <is>
          <t>SCA</t>
        </is>
      </c>
      <c r="G312" t="n">
        <v>14.4</v>
      </c>
      <c r="H312" t="n">
        <v>0</v>
      </c>
      <c r="I312" t="n">
        <v>0</v>
      </c>
      <c r="J312" t="n">
        <v>0</v>
      </c>
      <c r="K312" t="n">
        <v>0</v>
      </c>
      <c r="L312" t="n">
        <v>0</v>
      </c>
      <c r="M312" t="n">
        <v>0</v>
      </c>
      <c r="N312" t="n">
        <v>0</v>
      </c>
      <c r="O312" t="n">
        <v>0</v>
      </c>
      <c r="P312" t="n">
        <v>0</v>
      </c>
      <c r="Q312" t="n">
        <v>0</v>
      </c>
      <c r="R312" s="2" t="inlineStr"/>
    </row>
    <row r="313" ht="15" customHeight="1">
      <c r="A313" t="inlineStr">
        <is>
          <t>A 54270-2025</t>
        </is>
      </c>
      <c r="B313" s="1" t="n">
        <v>45964.67798611111</v>
      </c>
      <c r="C313" s="1" t="n">
        <v>45984</v>
      </c>
      <c r="D313" t="inlineStr">
        <is>
          <t>NORRBOTTENS LÄN</t>
        </is>
      </c>
      <c r="E313" t="inlineStr">
        <is>
          <t>JOKKMOKK</t>
        </is>
      </c>
      <c r="F313" t="inlineStr">
        <is>
          <t>Allmännings- och besparingsskogar</t>
        </is>
      </c>
      <c r="G313" t="n">
        <v>5.3</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45984</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36357-2025</t>
        </is>
      </c>
      <c r="B315" s="1" t="n">
        <v>45868.5107175926</v>
      </c>
      <c r="C315" s="1" t="n">
        <v>45984</v>
      </c>
      <c r="D315" t="inlineStr">
        <is>
          <t>NORRBOTTENS LÄN</t>
        </is>
      </c>
      <c r="E315" t="inlineStr">
        <is>
          <t>JOKKMOKK</t>
        </is>
      </c>
      <c r="G315" t="n">
        <v>0.5</v>
      </c>
      <c r="H315" t="n">
        <v>0</v>
      </c>
      <c r="I315" t="n">
        <v>0</v>
      </c>
      <c r="J315" t="n">
        <v>0</v>
      </c>
      <c r="K315" t="n">
        <v>0</v>
      </c>
      <c r="L315" t="n">
        <v>0</v>
      </c>
      <c r="M315" t="n">
        <v>0</v>
      </c>
      <c r="N315" t="n">
        <v>0</v>
      </c>
      <c r="O315" t="n">
        <v>0</v>
      </c>
      <c r="P315" t="n">
        <v>0</v>
      </c>
      <c r="Q315" t="n">
        <v>0</v>
      </c>
      <c r="R315" s="2" t="inlineStr"/>
    </row>
    <row r="316" ht="15" customHeight="1">
      <c r="A316" t="inlineStr">
        <is>
          <t>A 47472-2025</t>
        </is>
      </c>
      <c r="B316" s="1" t="n">
        <v>45930.67752314815</v>
      </c>
      <c r="C316" s="1" t="n">
        <v>45984</v>
      </c>
      <c r="D316" t="inlineStr">
        <is>
          <t>NORRBOTTENS LÄN</t>
        </is>
      </c>
      <c r="E316" t="inlineStr">
        <is>
          <t>JOKKMOKK</t>
        </is>
      </c>
      <c r="F316" t="inlineStr">
        <is>
          <t>SCA</t>
        </is>
      </c>
      <c r="G316" t="n">
        <v>4.1</v>
      </c>
      <c r="H316" t="n">
        <v>0</v>
      </c>
      <c r="I316" t="n">
        <v>0</v>
      </c>
      <c r="J316" t="n">
        <v>0</v>
      </c>
      <c r="K316" t="n">
        <v>0</v>
      </c>
      <c r="L316" t="n">
        <v>0</v>
      </c>
      <c r="M316" t="n">
        <v>0</v>
      </c>
      <c r="N316" t="n">
        <v>0</v>
      </c>
      <c r="O316" t="n">
        <v>0</v>
      </c>
      <c r="P316" t="n">
        <v>0</v>
      </c>
      <c r="Q316" t="n">
        <v>0</v>
      </c>
      <c r="R316" s="2" t="inlineStr"/>
    </row>
    <row r="317" ht="15" customHeight="1">
      <c r="A317" t="inlineStr">
        <is>
          <t>A 55673-2025</t>
        </is>
      </c>
      <c r="B317" s="1" t="n">
        <v>45972.40754629629</v>
      </c>
      <c r="C317" s="1" t="n">
        <v>45984</v>
      </c>
      <c r="D317" t="inlineStr">
        <is>
          <t>NORRBOTTENS LÄN</t>
        </is>
      </c>
      <c r="E317" t="inlineStr">
        <is>
          <t>JOKKMOKK</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52733-2024</t>
        </is>
      </c>
      <c r="B318" s="1" t="n">
        <v>45610</v>
      </c>
      <c r="C318" s="1" t="n">
        <v>45984</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52855-2024</t>
        </is>
      </c>
      <c r="B319" s="1" t="n">
        <v>45610</v>
      </c>
      <c r="C319" s="1" t="n">
        <v>45984</v>
      </c>
      <c r="D319" t="inlineStr">
        <is>
          <t>NORRBOTTENS LÄN</t>
        </is>
      </c>
      <c r="E319" t="inlineStr">
        <is>
          <t>JOKKMOKK</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36168-2025</t>
        </is>
      </c>
      <c r="B320" s="1" t="n">
        <v>45867.38582175926</v>
      </c>
      <c r="C320" s="1" t="n">
        <v>45984</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44151-2024</t>
        </is>
      </c>
      <c r="B321" s="1" t="n">
        <v>45572.67773148148</v>
      </c>
      <c r="C321" s="1" t="n">
        <v>45984</v>
      </c>
      <c r="D321" t="inlineStr">
        <is>
          <t>NORRBOTTENS LÄN</t>
        </is>
      </c>
      <c r="E321" t="inlineStr">
        <is>
          <t>JOKKMOKK</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50496-2024</t>
        </is>
      </c>
      <c r="B322" s="1" t="n">
        <v>45601.51266203704</v>
      </c>
      <c r="C322" s="1" t="n">
        <v>45984</v>
      </c>
      <c r="D322" t="inlineStr">
        <is>
          <t>NORRBOTTENS LÄN</t>
        </is>
      </c>
      <c r="E322" t="inlineStr">
        <is>
          <t>JOKKMOKK</t>
        </is>
      </c>
      <c r="F322" t="inlineStr">
        <is>
          <t>Allmännings- och besparingsskogar</t>
        </is>
      </c>
      <c r="G322" t="n">
        <v>2.1</v>
      </c>
      <c r="H322" t="n">
        <v>0</v>
      </c>
      <c r="I322" t="n">
        <v>0</v>
      </c>
      <c r="J322" t="n">
        <v>0</v>
      </c>
      <c r="K322" t="n">
        <v>0</v>
      </c>
      <c r="L322" t="n">
        <v>0</v>
      </c>
      <c r="M322" t="n">
        <v>0</v>
      </c>
      <c r="N322" t="n">
        <v>0</v>
      </c>
      <c r="O322" t="n">
        <v>0</v>
      </c>
      <c r="P322" t="n">
        <v>0</v>
      </c>
      <c r="Q322" t="n">
        <v>0</v>
      </c>
      <c r="R322" s="2" t="inlineStr"/>
    </row>
    <row r="323" ht="15" customHeight="1">
      <c r="A323" t="inlineStr">
        <is>
          <t>A 38928-2025</t>
        </is>
      </c>
      <c r="B323" s="1" t="n">
        <v>45887</v>
      </c>
      <c r="C323" s="1" t="n">
        <v>45984</v>
      </c>
      <c r="D323" t="inlineStr">
        <is>
          <t>NORRBOTTENS LÄN</t>
        </is>
      </c>
      <c r="E323" t="inlineStr">
        <is>
          <t>JOKKMOKK</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61500-2024</t>
        </is>
      </c>
      <c r="B324" s="1" t="n">
        <v>45645</v>
      </c>
      <c r="C324" s="1" t="n">
        <v>45984</v>
      </c>
      <c r="D324" t="inlineStr">
        <is>
          <t>NORRBOTTENS LÄN</t>
        </is>
      </c>
      <c r="E324" t="inlineStr">
        <is>
          <t>JOKKMOKK</t>
        </is>
      </c>
      <c r="G324" t="n">
        <v>39.8</v>
      </c>
      <c r="H324" t="n">
        <v>0</v>
      </c>
      <c r="I324" t="n">
        <v>0</v>
      </c>
      <c r="J324" t="n">
        <v>0</v>
      </c>
      <c r="K324" t="n">
        <v>0</v>
      </c>
      <c r="L324" t="n">
        <v>0</v>
      </c>
      <c r="M324" t="n">
        <v>0</v>
      </c>
      <c r="N324" t="n">
        <v>0</v>
      </c>
      <c r="O324" t="n">
        <v>0</v>
      </c>
      <c r="P324" t="n">
        <v>0</v>
      </c>
      <c r="Q324" t="n">
        <v>0</v>
      </c>
      <c r="R324" s="2" t="inlineStr"/>
    </row>
    <row r="325" ht="15" customHeight="1">
      <c r="A325" t="inlineStr">
        <is>
          <t>A 55577-2025</t>
        </is>
      </c>
      <c r="B325" s="1" t="n">
        <v>45971.6684837963</v>
      </c>
      <c r="C325" s="1" t="n">
        <v>45984</v>
      </c>
      <c r="D325" t="inlineStr">
        <is>
          <t>NORRBOTTENS LÄN</t>
        </is>
      </c>
      <c r="E325" t="inlineStr">
        <is>
          <t>JOKKMOKK</t>
        </is>
      </c>
      <c r="F325" t="inlineStr">
        <is>
          <t>Allmännings- och besparingsskogar</t>
        </is>
      </c>
      <c r="G325" t="n">
        <v>7.8</v>
      </c>
      <c r="H325" t="n">
        <v>0</v>
      </c>
      <c r="I325" t="n">
        <v>0</v>
      </c>
      <c r="J325" t="n">
        <v>0</v>
      </c>
      <c r="K325" t="n">
        <v>0</v>
      </c>
      <c r="L325" t="n">
        <v>0</v>
      </c>
      <c r="M325" t="n">
        <v>0</v>
      </c>
      <c r="N325" t="n">
        <v>0</v>
      </c>
      <c r="O325" t="n">
        <v>0</v>
      </c>
      <c r="P325" t="n">
        <v>0</v>
      </c>
      <c r="Q325" t="n">
        <v>0</v>
      </c>
      <c r="R325" s="2" t="inlineStr"/>
    </row>
    <row r="326" ht="15" customHeight="1">
      <c r="A326" t="inlineStr">
        <is>
          <t>A 56192-2025</t>
        </is>
      </c>
      <c r="B326" s="1" t="n">
        <v>45974.44472222222</v>
      </c>
      <c r="C326" s="1" t="n">
        <v>45984</v>
      </c>
      <c r="D326" t="inlineStr">
        <is>
          <t>NORRBOTTENS LÄN</t>
        </is>
      </c>
      <c r="E326" t="inlineStr">
        <is>
          <t>JOKKMOKK</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56193-2025</t>
        </is>
      </c>
      <c r="B327" s="1" t="n">
        <v>45974.44701388889</v>
      </c>
      <c r="C327" s="1" t="n">
        <v>45984</v>
      </c>
      <c r="D327" t="inlineStr">
        <is>
          <t>NORRBOTTENS LÄN</t>
        </is>
      </c>
      <c r="E327" t="inlineStr">
        <is>
          <t>JOKKMOKK</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55990-2025</t>
        </is>
      </c>
      <c r="B328" s="1" t="n">
        <v>45973.55615740741</v>
      </c>
      <c r="C328" s="1" t="n">
        <v>45984</v>
      </c>
      <c r="D328" t="inlineStr">
        <is>
          <t>NORRBOTTENS LÄN</t>
        </is>
      </c>
      <c r="E328" t="inlineStr">
        <is>
          <t>JOKKMOKK</t>
        </is>
      </c>
      <c r="F328" t="inlineStr">
        <is>
          <t>Naturvårdsverket</t>
        </is>
      </c>
      <c r="G328" t="n">
        <v>6.2</v>
      </c>
      <c r="H328" t="n">
        <v>0</v>
      </c>
      <c r="I328" t="n">
        <v>0</v>
      </c>
      <c r="J328" t="n">
        <v>0</v>
      </c>
      <c r="K328" t="n">
        <v>0</v>
      </c>
      <c r="L328" t="n">
        <v>0</v>
      </c>
      <c r="M328" t="n">
        <v>0</v>
      </c>
      <c r="N328" t="n">
        <v>0</v>
      </c>
      <c r="O328" t="n">
        <v>0</v>
      </c>
      <c r="P328" t="n">
        <v>0</v>
      </c>
      <c r="Q328" t="n">
        <v>0</v>
      </c>
      <c r="R328" s="2" t="inlineStr"/>
    </row>
    <row r="329" ht="15" customHeight="1">
      <c r="A329" t="inlineStr">
        <is>
          <t>A 56317-2025</t>
        </is>
      </c>
      <c r="B329" s="1" t="n">
        <v>45974.63099537037</v>
      </c>
      <c r="C329" s="1" t="n">
        <v>45984</v>
      </c>
      <c r="D329" t="inlineStr">
        <is>
          <t>NORRBOTTENS LÄN</t>
        </is>
      </c>
      <c r="E329" t="inlineStr">
        <is>
          <t>JOKKMOKK</t>
        </is>
      </c>
      <c r="F329" t="inlineStr">
        <is>
          <t>Övriga statliga verk och myndigheter</t>
        </is>
      </c>
      <c r="G329" t="n">
        <v>14.5</v>
      </c>
      <c r="H329" t="n">
        <v>0</v>
      </c>
      <c r="I329" t="n">
        <v>0</v>
      </c>
      <c r="J329" t="n">
        <v>0</v>
      </c>
      <c r="K329" t="n">
        <v>0</v>
      </c>
      <c r="L329" t="n">
        <v>0</v>
      </c>
      <c r="M329" t="n">
        <v>0</v>
      </c>
      <c r="N329" t="n">
        <v>0</v>
      </c>
      <c r="O329" t="n">
        <v>0</v>
      </c>
      <c r="P329" t="n">
        <v>0</v>
      </c>
      <c r="Q329" t="n">
        <v>0</v>
      </c>
      <c r="R329" s="2" t="inlineStr"/>
    </row>
    <row r="330" ht="15" customHeight="1">
      <c r="A330" t="inlineStr">
        <is>
          <t>A 56322-2025</t>
        </is>
      </c>
      <c r="B330" s="1" t="n">
        <v>45974.63550925926</v>
      </c>
      <c r="C330" s="1" t="n">
        <v>45984</v>
      </c>
      <c r="D330" t="inlineStr">
        <is>
          <t>NORRBOTTENS LÄN</t>
        </is>
      </c>
      <c r="E330" t="inlineStr">
        <is>
          <t>JOKKMOKK</t>
        </is>
      </c>
      <c r="F330" t="inlineStr">
        <is>
          <t>Övriga statliga verk och myndigheter</t>
        </is>
      </c>
      <c r="G330" t="n">
        <v>6.2</v>
      </c>
      <c r="H330" t="n">
        <v>0</v>
      </c>
      <c r="I330" t="n">
        <v>0</v>
      </c>
      <c r="J330" t="n">
        <v>0</v>
      </c>
      <c r="K330" t="n">
        <v>0</v>
      </c>
      <c r="L330" t="n">
        <v>0</v>
      </c>
      <c r="M330" t="n">
        <v>0</v>
      </c>
      <c r="N330" t="n">
        <v>0</v>
      </c>
      <c r="O330" t="n">
        <v>0</v>
      </c>
      <c r="P330" t="n">
        <v>0</v>
      </c>
      <c r="Q330" t="n">
        <v>0</v>
      </c>
      <c r="R330" s="2" t="inlineStr"/>
    </row>
    <row r="331" ht="15" customHeight="1">
      <c r="A331" t="inlineStr">
        <is>
          <t>A 35876-2022</t>
        </is>
      </c>
      <c r="B331" s="1" t="n">
        <v>44802</v>
      </c>
      <c r="C331" s="1" t="n">
        <v>45984</v>
      </c>
      <c r="D331" t="inlineStr">
        <is>
          <t>NORRBOTTENS LÄN</t>
        </is>
      </c>
      <c r="E331" t="inlineStr">
        <is>
          <t>JOKKMOKK</t>
        </is>
      </c>
      <c r="G331" t="n">
        <v>9.5</v>
      </c>
      <c r="H331" t="n">
        <v>0</v>
      </c>
      <c r="I331" t="n">
        <v>0</v>
      </c>
      <c r="J331" t="n">
        <v>0</v>
      </c>
      <c r="K331" t="n">
        <v>0</v>
      </c>
      <c r="L331" t="n">
        <v>0</v>
      </c>
      <c r="M331" t="n">
        <v>0</v>
      </c>
      <c r="N331" t="n">
        <v>0</v>
      </c>
      <c r="O331" t="n">
        <v>0</v>
      </c>
      <c r="P331" t="n">
        <v>0</v>
      </c>
      <c r="Q331" t="n">
        <v>0</v>
      </c>
      <c r="R331" s="2" t="inlineStr"/>
    </row>
    <row r="332" ht="15" customHeight="1">
      <c r="A332" t="inlineStr">
        <is>
          <t>A 56012-2025</t>
        </is>
      </c>
      <c r="B332" s="1" t="n">
        <v>45973.58731481482</v>
      </c>
      <c r="C332" s="1" t="n">
        <v>45984</v>
      </c>
      <c r="D332" t="inlineStr">
        <is>
          <t>NORRBOTTENS LÄN</t>
        </is>
      </c>
      <c r="E332" t="inlineStr">
        <is>
          <t>JOKKMOKK</t>
        </is>
      </c>
      <c r="F332" t="inlineStr">
        <is>
          <t>Naturvårdsverket</t>
        </is>
      </c>
      <c r="G332" t="n">
        <v>1.5</v>
      </c>
      <c r="H332" t="n">
        <v>0</v>
      </c>
      <c r="I332" t="n">
        <v>0</v>
      </c>
      <c r="J332" t="n">
        <v>0</v>
      </c>
      <c r="K332" t="n">
        <v>0</v>
      </c>
      <c r="L332" t="n">
        <v>0</v>
      </c>
      <c r="M332" t="n">
        <v>0</v>
      </c>
      <c r="N332" t="n">
        <v>0</v>
      </c>
      <c r="O332" t="n">
        <v>0</v>
      </c>
      <c r="P332" t="n">
        <v>0</v>
      </c>
      <c r="Q332" t="n">
        <v>0</v>
      </c>
      <c r="R332" s="2" t="inlineStr"/>
    </row>
    <row r="333" ht="15" customHeight="1">
      <c r="A333" t="inlineStr">
        <is>
          <t>A 47530-2025</t>
        </is>
      </c>
      <c r="B333" s="1" t="n">
        <v>45931</v>
      </c>
      <c r="C333" s="1" t="n">
        <v>45984</v>
      </c>
      <c r="D333" t="inlineStr">
        <is>
          <t>NORRBOTTENS LÄN</t>
        </is>
      </c>
      <c r="E333" t="inlineStr">
        <is>
          <t>JOKKMOKK</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56372-2025</t>
        </is>
      </c>
      <c r="B334" s="1" t="n">
        <v>45974.68207175926</v>
      </c>
      <c r="C334" s="1" t="n">
        <v>45984</v>
      </c>
      <c r="D334" t="inlineStr">
        <is>
          <t>NORRBOTTENS LÄN</t>
        </is>
      </c>
      <c r="E334" t="inlineStr">
        <is>
          <t>JOKKMOKK</t>
        </is>
      </c>
      <c r="F334" t="inlineStr">
        <is>
          <t>Sveaskog</t>
        </is>
      </c>
      <c r="G334" t="n">
        <v>26.4</v>
      </c>
      <c r="H334" t="n">
        <v>0</v>
      </c>
      <c r="I334" t="n">
        <v>0</v>
      </c>
      <c r="J334" t="n">
        <v>0</v>
      </c>
      <c r="K334" t="n">
        <v>0</v>
      </c>
      <c r="L334" t="n">
        <v>0</v>
      </c>
      <c r="M334" t="n">
        <v>0</v>
      </c>
      <c r="N334" t="n">
        <v>0</v>
      </c>
      <c r="O334" t="n">
        <v>0</v>
      </c>
      <c r="P334" t="n">
        <v>0</v>
      </c>
      <c r="Q334" t="n">
        <v>0</v>
      </c>
      <c r="R334" s="2" t="inlineStr"/>
    </row>
    <row r="335" ht="15" customHeight="1">
      <c r="A335" t="inlineStr">
        <is>
          <t>A 10596-2025</t>
        </is>
      </c>
      <c r="B335" s="1" t="n">
        <v>45721</v>
      </c>
      <c r="C335" s="1" t="n">
        <v>45984</v>
      </c>
      <c r="D335" t="inlineStr">
        <is>
          <t>NORRBOTTENS LÄN</t>
        </is>
      </c>
      <c r="E335" t="inlineStr">
        <is>
          <t>JOKKMOKK</t>
        </is>
      </c>
      <c r="G335" t="n">
        <v>17.7</v>
      </c>
      <c r="H335" t="n">
        <v>0</v>
      </c>
      <c r="I335" t="n">
        <v>0</v>
      </c>
      <c r="J335" t="n">
        <v>0</v>
      </c>
      <c r="K335" t="n">
        <v>0</v>
      </c>
      <c r="L335" t="n">
        <v>0</v>
      </c>
      <c r="M335" t="n">
        <v>0</v>
      </c>
      <c r="N335" t="n">
        <v>0</v>
      </c>
      <c r="O335" t="n">
        <v>0</v>
      </c>
      <c r="P335" t="n">
        <v>0</v>
      </c>
      <c r="Q335" t="n">
        <v>0</v>
      </c>
      <c r="R335" s="2" t="inlineStr"/>
    </row>
    <row r="336" ht="15" customHeight="1">
      <c r="A336" t="inlineStr">
        <is>
          <t>A 42095-2025</t>
        </is>
      </c>
      <c r="B336" s="1" t="n">
        <v>45903</v>
      </c>
      <c r="C336" s="1" t="n">
        <v>45984</v>
      </c>
      <c r="D336" t="inlineStr">
        <is>
          <t>NORRBOTTENS LÄN</t>
        </is>
      </c>
      <c r="E336" t="inlineStr">
        <is>
          <t>JOKKMOKK</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37120-2025</t>
        </is>
      </c>
      <c r="B337" s="1" t="n">
        <v>45875.51827546296</v>
      </c>
      <c r="C337" s="1" t="n">
        <v>45984</v>
      </c>
      <c r="D337" t="inlineStr">
        <is>
          <t>NORRBOTTENS LÄN</t>
        </is>
      </c>
      <c r="E337" t="inlineStr">
        <is>
          <t>JOKKMOKK</t>
        </is>
      </c>
      <c r="G337" t="n">
        <v>17.6</v>
      </c>
      <c r="H337" t="n">
        <v>0</v>
      </c>
      <c r="I337" t="n">
        <v>0</v>
      </c>
      <c r="J337" t="n">
        <v>0</v>
      </c>
      <c r="K337" t="n">
        <v>0</v>
      </c>
      <c r="L337" t="n">
        <v>0</v>
      </c>
      <c r="M337" t="n">
        <v>0</v>
      </c>
      <c r="N337" t="n">
        <v>0</v>
      </c>
      <c r="O337" t="n">
        <v>0</v>
      </c>
      <c r="P337" t="n">
        <v>0</v>
      </c>
      <c r="Q337" t="n">
        <v>0</v>
      </c>
      <c r="R337" s="2" t="inlineStr"/>
    </row>
    <row r="338" ht="15" customHeight="1">
      <c r="A338" t="inlineStr">
        <is>
          <t>A 56286-2025</t>
        </is>
      </c>
      <c r="B338" s="1" t="n">
        <v>45974.59608796296</v>
      </c>
      <c r="C338" s="1" t="n">
        <v>45984</v>
      </c>
      <c r="D338" t="inlineStr">
        <is>
          <t>NORRBOTTENS LÄN</t>
        </is>
      </c>
      <c r="E338" t="inlineStr">
        <is>
          <t>JOKKMOKK</t>
        </is>
      </c>
      <c r="F338" t="inlineStr">
        <is>
          <t>Sveaskog</t>
        </is>
      </c>
      <c r="G338" t="n">
        <v>22.8</v>
      </c>
      <c r="H338" t="n">
        <v>0</v>
      </c>
      <c r="I338" t="n">
        <v>0</v>
      </c>
      <c r="J338" t="n">
        <v>0</v>
      </c>
      <c r="K338" t="n">
        <v>0</v>
      </c>
      <c r="L338" t="n">
        <v>0</v>
      </c>
      <c r="M338" t="n">
        <v>0</v>
      </c>
      <c r="N338" t="n">
        <v>0</v>
      </c>
      <c r="O338" t="n">
        <v>0</v>
      </c>
      <c r="P338" t="n">
        <v>0</v>
      </c>
      <c r="Q338" t="n">
        <v>0</v>
      </c>
      <c r="R338" s="2" t="inlineStr"/>
    </row>
    <row r="339" ht="15" customHeight="1">
      <c r="A339" t="inlineStr">
        <is>
          <t>A 56321-2025</t>
        </is>
      </c>
      <c r="B339" s="1" t="n">
        <v>45974.63530092593</v>
      </c>
      <c r="C339" s="1" t="n">
        <v>45984</v>
      </c>
      <c r="D339" t="inlineStr">
        <is>
          <t>NORRBOTTENS LÄN</t>
        </is>
      </c>
      <c r="E339" t="inlineStr">
        <is>
          <t>JOKKMOKK</t>
        </is>
      </c>
      <c r="F339" t="inlineStr">
        <is>
          <t>Övriga statliga verk och myndigheter</t>
        </is>
      </c>
      <c r="G339" t="n">
        <v>14.6</v>
      </c>
      <c r="H339" t="n">
        <v>0</v>
      </c>
      <c r="I339" t="n">
        <v>0</v>
      </c>
      <c r="J339" t="n">
        <v>0</v>
      </c>
      <c r="K339" t="n">
        <v>0</v>
      </c>
      <c r="L339" t="n">
        <v>0</v>
      </c>
      <c r="M339" t="n">
        <v>0</v>
      </c>
      <c r="N339" t="n">
        <v>0</v>
      </c>
      <c r="O339" t="n">
        <v>0</v>
      </c>
      <c r="P339" t="n">
        <v>0</v>
      </c>
      <c r="Q339" t="n">
        <v>0</v>
      </c>
      <c r="R339" s="2" t="inlineStr"/>
    </row>
    <row r="340" ht="15" customHeight="1">
      <c r="A340" t="inlineStr">
        <is>
          <t>A 56323-2025</t>
        </is>
      </c>
      <c r="B340" s="1" t="n">
        <v>45974.63583333333</v>
      </c>
      <c r="C340" s="1" t="n">
        <v>45984</v>
      </c>
      <c r="D340" t="inlineStr">
        <is>
          <t>NORRBOTTENS LÄN</t>
        </is>
      </c>
      <c r="E340" t="inlineStr">
        <is>
          <t>JOKKMOKK</t>
        </is>
      </c>
      <c r="F340" t="inlineStr">
        <is>
          <t>Övriga statliga verk och myndigheter</t>
        </is>
      </c>
      <c r="G340" t="n">
        <v>5.5</v>
      </c>
      <c r="H340" t="n">
        <v>0</v>
      </c>
      <c r="I340" t="n">
        <v>0</v>
      </c>
      <c r="J340" t="n">
        <v>0</v>
      </c>
      <c r="K340" t="n">
        <v>0</v>
      </c>
      <c r="L340" t="n">
        <v>0</v>
      </c>
      <c r="M340" t="n">
        <v>0</v>
      </c>
      <c r="N340" t="n">
        <v>0</v>
      </c>
      <c r="O340" t="n">
        <v>0</v>
      </c>
      <c r="P340" t="n">
        <v>0</v>
      </c>
      <c r="Q340" t="n">
        <v>0</v>
      </c>
      <c r="R340" s="2" t="inlineStr"/>
    </row>
    <row r="341" ht="15" customHeight="1">
      <c r="A341" t="inlineStr">
        <is>
          <t>A 56343-2025</t>
        </is>
      </c>
      <c r="B341" s="1" t="n">
        <v>45974.64890046296</v>
      </c>
      <c r="C341" s="1" t="n">
        <v>45984</v>
      </c>
      <c r="D341" t="inlineStr">
        <is>
          <t>NORRBOTTENS LÄN</t>
        </is>
      </c>
      <c r="E341" t="inlineStr">
        <is>
          <t>JOKKMOKK</t>
        </is>
      </c>
      <c r="F341" t="inlineStr">
        <is>
          <t>Övriga statliga verk och myndigheter</t>
        </is>
      </c>
      <c r="G341" t="n">
        <v>14.8</v>
      </c>
      <c r="H341" t="n">
        <v>0</v>
      </c>
      <c r="I341" t="n">
        <v>0</v>
      </c>
      <c r="J341" t="n">
        <v>0</v>
      </c>
      <c r="K341" t="n">
        <v>0</v>
      </c>
      <c r="L341" t="n">
        <v>0</v>
      </c>
      <c r="M341" t="n">
        <v>0</v>
      </c>
      <c r="N341" t="n">
        <v>0</v>
      </c>
      <c r="O341" t="n">
        <v>0</v>
      </c>
      <c r="P341" t="n">
        <v>0</v>
      </c>
      <c r="Q341" t="n">
        <v>0</v>
      </c>
      <c r="R341" s="2" t="inlineStr"/>
    </row>
    <row r="342" ht="15" customHeight="1">
      <c r="A342" t="inlineStr">
        <is>
          <t>A 47529-2025</t>
        </is>
      </c>
      <c r="B342" s="1" t="n">
        <v>45931</v>
      </c>
      <c r="C342" s="1" t="n">
        <v>45984</v>
      </c>
      <c r="D342" t="inlineStr">
        <is>
          <t>NORRBOTTENS LÄN</t>
        </is>
      </c>
      <c r="E342" t="inlineStr">
        <is>
          <t>JOKKMOKK</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45984</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56387-2025</t>
        </is>
      </c>
      <c r="B344" s="1" t="n">
        <v>45974.72184027778</v>
      </c>
      <c r="C344" s="1" t="n">
        <v>45984</v>
      </c>
      <c r="D344" t="inlineStr">
        <is>
          <t>NORRBOTTENS LÄN</t>
        </is>
      </c>
      <c r="E344" t="inlineStr">
        <is>
          <t>JOKKMOKK</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37694-2025</t>
        </is>
      </c>
      <c r="B345" s="1" t="n">
        <v>45880.57349537037</v>
      </c>
      <c r="C345" s="1" t="n">
        <v>45984</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68636-2020</t>
        </is>
      </c>
      <c r="B346" s="1" t="n">
        <v>44186</v>
      </c>
      <c r="C346" s="1" t="n">
        <v>45984</v>
      </c>
      <c r="D346" t="inlineStr">
        <is>
          <t>NORRBOTTENS LÄN</t>
        </is>
      </c>
      <c r="E346" t="inlineStr">
        <is>
          <t>JOKKMOKK</t>
        </is>
      </c>
      <c r="F346" t="inlineStr">
        <is>
          <t>SCA</t>
        </is>
      </c>
      <c r="G346" t="n">
        <v>42.3</v>
      </c>
      <c r="H346" t="n">
        <v>0</v>
      </c>
      <c r="I346" t="n">
        <v>0</v>
      </c>
      <c r="J346" t="n">
        <v>0</v>
      </c>
      <c r="K346" t="n">
        <v>0</v>
      </c>
      <c r="L346" t="n">
        <v>0</v>
      </c>
      <c r="M346" t="n">
        <v>0</v>
      </c>
      <c r="N346" t="n">
        <v>0</v>
      </c>
      <c r="O346" t="n">
        <v>0</v>
      </c>
      <c r="P346" t="n">
        <v>0</v>
      </c>
      <c r="Q346" t="n">
        <v>0</v>
      </c>
      <c r="R346" s="2" t="inlineStr"/>
    </row>
    <row r="347" ht="15" customHeight="1">
      <c r="A347" t="inlineStr">
        <is>
          <t>A 37917-2025</t>
        </is>
      </c>
      <c r="B347" s="1" t="n">
        <v>45881.57443287037</v>
      </c>
      <c r="C347" s="1" t="n">
        <v>45984</v>
      </c>
      <c r="D347" t="inlineStr">
        <is>
          <t>NORRBOTTENS LÄN</t>
        </is>
      </c>
      <c r="E347" t="inlineStr">
        <is>
          <t>JOKKMOKK</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61760-2024</t>
        </is>
      </c>
      <c r="B348" s="1" t="n">
        <v>45649</v>
      </c>
      <c r="C348" s="1" t="n">
        <v>45984</v>
      </c>
      <c r="D348" t="inlineStr">
        <is>
          <t>NORRBOTTENS LÄN</t>
        </is>
      </c>
      <c r="E348" t="inlineStr">
        <is>
          <t>JOKKMOKK</t>
        </is>
      </c>
      <c r="F348" t="inlineStr">
        <is>
          <t>Övriga statliga verk och myndigheter</t>
        </is>
      </c>
      <c r="G348" t="n">
        <v>19.3</v>
      </c>
      <c r="H348" t="n">
        <v>0</v>
      </c>
      <c r="I348" t="n">
        <v>0</v>
      </c>
      <c r="J348" t="n">
        <v>0</v>
      </c>
      <c r="K348" t="n">
        <v>0</v>
      </c>
      <c r="L348" t="n">
        <v>0</v>
      </c>
      <c r="M348" t="n">
        <v>0</v>
      </c>
      <c r="N348" t="n">
        <v>0</v>
      </c>
      <c r="O348" t="n">
        <v>0</v>
      </c>
      <c r="P348" t="n">
        <v>0</v>
      </c>
      <c r="Q348" t="n">
        <v>0</v>
      </c>
      <c r="R348" s="2" t="inlineStr"/>
    </row>
    <row r="349" ht="15" customHeight="1">
      <c r="A349" t="inlineStr">
        <is>
          <t>A 5670-2025</t>
        </is>
      </c>
      <c r="B349" s="1" t="n">
        <v>45693</v>
      </c>
      <c r="C349" s="1" t="n">
        <v>45984</v>
      </c>
      <c r="D349" t="inlineStr">
        <is>
          <t>NORRBOTTENS LÄN</t>
        </is>
      </c>
      <c r="E349" t="inlineStr">
        <is>
          <t>JOKKMOKK</t>
        </is>
      </c>
      <c r="G349" t="n">
        <v>2.1</v>
      </c>
      <c r="H349" t="n">
        <v>0</v>
      </c>
      <c r="I349" t="n">
        <v>0</v>
      </c>
      <c r="J349" t="n">
        <v>0</v>
      </c>
      <c r="K349" t="n">
        <v>0</v>
      </c>
      <c r="L349" t="n">
        <v>0</v>
      </c>
      <c r="M349" t="n">
        <v>0</v>
      </c>
      <c r="N349" t="n">
        <v>0</v>
      </c>
      <c r="O349" t="n">
        <v>0</v>
      </c>
      <c r="P349" t="n">
        <v>0</v>
      </c>
      <c r="Q349" t="n">
        <v>0</v>
      </c>
      <c r="R349" s="2" t="inlineStr"/>
    </row>
    <row r="350" ht="15" customHeight="1">
      <c r="A350" t="inlineStr">
        <is>
          <t>A 48166-2025</t>
        </is>
      </c>
      <c r="B350" s="1" t="n">
        <v>45933</v>
      </c>
      <c r="C350" s="1" t="n">
        <v>45984</v>
      </c>
      <c r="D350" t="inlineStr">
        <is>
          <t>NORRBOTTENS LÄN</t>
        </is>
      </c>
      <c r="E350" t="inlineStr">
        <is>
          <t>JOKKMOKK</t>
        </is>
      </c>
      <c r="G350" t="n">
        <v>41.8</v>
      </c>
      <c r="H350" t="n">
        <v>0</v>
      </c>
      <c r="I350" t="n">
        <v>0</v>
      </c>
      <c r="J350" t="n">
        <v>0</v>
      </c>
      <c r="K350" t="n">
        <v>0</v>
      </c>
      <c r="L350" t="n">
        <v>0</v>
      </c>
      <c r="M350" t="n">
        <v>0</v>
      </c>
      <c r="N350" t="n">
        <v>0</v>
      </c>
      <c r="O350" t="n">
        <v>0</v>
      </c>
      <c r="P350" t="n">
        <v>0</v>
      </c>
      <c r="Q350" t="n">
        <v>0</v>
      </c>
      <c r="R350" s="2" t="inlineStr"/>
    </row>
    <row r="351" ht="15" customHeight="1">
      <c r="A351" t="inlineStr">
        <is>
          <t>A 48167-2025</t>
        </is>
      </c>
      <c r="B351" s="1" t="n">
        <v>45933</v>
      </c>
      <c r="C351" s="1" t="n">
        <v>45984</v>
      </c>
      <c r="D351" t="inlineStr">
        <is>
          <t>NORRBOTTENS LÄN</t>
        </is>
      </c>
      <c r="E351" t="inlineStr">
        <is>
          <t>JOKKMOKK</t>
        </is>
      </c>
      <c r="G351" t="n">
        <v>3.4</v>
      </c>
      <c r="H351" t="n">
        <v>0</v>
      </c>
      <c r="I351" t="n">
        <v>0</v>
      </c>
      <c r="J351" t="n">
        <v>0</v>
      </c>
      <c r="K351" t="n">
        <v>0</v>
      </c>
      <c r="L351" t="n">
        <v>0</v>
      </c>
      <c r="M351" t="n">
        <v>0</v>
      </c>
      <c r="N351" t="n">
        <v>0</v>
      </c>
      <c r="O351" t="n">
        <v>0</v>
      </c>
      <c r="P351" t="n">
        <v>0</v>
      </c>
      <c r="Q351" t="n">
        <v>0</v>
      </c>
      <c r="R351" s="2" t="inlineStr"/>
    </row>
    <row r="352" ht="15" customHeight="1">
      <c r="A352" t="inlineStr">
        <is>
          <t>A 48141-2025</t>
        </is>
      </c>
      <c r="B352" s="1" t="n">
        <v>45933</v>
      </c>
      <c r="C352" s="1" t="n">
        <v>45984</v>
      </c>
      <c r="D352" t="inlineStr">
        <is>
          <t>NORRBOTTENS LÄN</t>
        </is>
      </c>
      <c r="E352" t="inlineStr">
        <is>
          <t>JOKKMOKK</t>
        </is>
      </c>
      <c r="G352" t="n">
        <v>17.7</v>
      </c>
      <c r="H352" t="n">
        <v>0</v>
      </c>
      <c r="I352" t="n">
        <v>0</v>
      </c>
      <c r="J352" t="n">
        <v>0</v>
      </c>
      <c r="K352" t="n">
        <v>0</v>
      </c>
      <c r="L352" t="n">
        <v>0</v>
      </c>
      <c r="M352" t="n">
        <v>0</v>
      </c>
      <c r="N352" t="n">
        <v>0</v>
      </c>
      <c r="O352" t="n">
        <v>0</v>
      </c>
      <c r="P352" t="n">
        <v>0</v>
      </c>
      <c r="Q352" t="n">
        <v>0</v>
      </c>
      <c r="R352" s="2" t="inlineStr"/>
    </row>
    <row r="353" ht="15" customHeight="1">
      <c r="A353" t="inlineStr">
        <is>
          <t>A 56445-2025</t>
        </is>
      </c>
      <c r="B353" s="1" t="n">
        <v>45975.34825231481</v>
      </c>
      <c r="C353" s="1" t="n">
        <v>45984</v>
      </c>
      <c r="D353" t="inlineStr">
        <is>
          <t>NORRBOTTENS LÄN</t>
        </is>
      </c>
      <c r="E353" t="inlineStr">
        <is>
          <t>JOKKMOKK</t>
        </is>
      </c>
      <c r="G353" t="n">
        <v>35.7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45984</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30041-2024</t>
        </is>
      </c>
      <c r="B355" s="1" t="n">
        <v>45488</v>
      </c>
      <c r="C355" s="1" t="n">
        <v>45984</v>
      </c>
      <c r="D355" t="inlineStr">
        <is>
          <t>NORRBOTTENS LÄN</t>
        </is>
      </c>
      <c r="E355" t="inlineStr">
        <is>
          <t>JOKKMOKK</t>
        </is>
      </c>
      <c r="G355" t="n">
        <v>19.9</v>
      </c>
      <c r="H355" t="n">
        <v>0</v>
      </c>
      <c r="I355" t="n">
        <v>0</v>
      </c>
      <c r="J355" t="n">
        <v>0</v>
      </c>
      <c r="K355" t="n">
        <v>0</v>
      </c>
      <c r="L355" t="n">
        <v>0</v>
      </c>
      <c r="M355" t="n">
        <v>0</v>
      </c>
      <c r="N355" t="n">
        <v>0</v>
      </c>
      <c r="O355" t="n">
        <v>0</v>
      </c>
      <c r="P355" t="n">
        <v>0</v>
      </c>
      <c r="Q355" t="n">
        <v>0</v>
      </c>
      <c r="R355" s="2" t="inlineStr"/>
    </row>
    <row r="356" ht="15" customHeight="1">
      <c r="A356" t="inlineStr">
        <is>
          <t>A 38595-2025</t>
        </is>
      </c>
      <c r="B356" s="1" t="n">
        <v>45884.49027777778</v>
      </c>
      <c r="C356" s="1" t="n">
        <v>45984</v>
      </c>
      <c r="D356" t="inlineStr">
        <is>
          <t>NORRBOTTENS LÄN</t>
        </is>
      </c>
      <c r="E356" t="inlineStr">
        <is>
          <t>JOKKMOKK</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57167-2025</t>
        </is>
      </c>
      <c r="B357" s="1" t="n">
        <v>45979.54135416666</v>
      </c>
      <c r="C357" s="1" t="n">
        <v>45984</v>
      </c>
      <c r="D357" t="inlineStr">
        <is>
          <t>NORRBOTTENS LÄN</t>
        </is>
      </c>
      <c r="E357" t="inlineStr">
        <is>
          <t>JOKKMOKK</t>
        </is>
      </c>
      <c r="F357" t="inlineStr">
        <is>
          <t>Allmännings- och besparingsskogar</t>
        </is>
      </c>
      <c r="G357" t="n">
        <v>12.8</v>
      </c>
      <c r="H357" t="n">
        <v>0</v>
      </c>
      <c r="I357" t="n">
        <v>0</v>
      </c>
      <c r="J357" t="n">
        <v>0</v>
      </c>
      <c r="K357" t="n">
        <v>0</v>
      </c>
      <c r="L357" t="n">
        <v>0</v>
      </c>
      <c r="M357" t="n">
        <v>0</v>
      </c>
      <c r="N357" t="n">
        <v>0</v>
      </c>
      <c r="O357" t="n">
        <v>0</v>
      </c>
      <c r="P357" t="n">
        <v>0</v>
      </c>
      <c r="Q357" t="n">
        <v>0</v>
      </c>
      <c r="R357" s="2" t="inlineStr"/>
    </row>
    <row r="358" ht="15" customHeight="1">
      <c r="A358" t="inlineStr">
        <is>
          <t>A 38226-2025</t>
        </is>
      </c>
      <c r="B358" s="1" t="n">
        <v>45883.34521990741</v>
      </c>
      <c r="C358" s="1" t="n">
        <v>45984</v>
      </c>
      <c r="D358" t="inlineStr">
        <is>
          <t>NORRBOTTENS LÄN</t>
        </is>
      </c>
      <c r="E358" t="inlineStr">
        <is>
          <t>JOKKMOKK</t>
        </is>
      </c>
      <c r="F358" t="inlineStr">
        <is>
          <t>SCA</t>
        </is>
      </c>
      <c r="G358" t="n">
        <v>14.5</v>
      </c>
      <c r="H358" t="n">
        <v>0</v>
      </c>
      <c r="I358" t="n">
        <v>0</v>
      </c>
      <c r="J358" t="n">
        <v>0</v>
      </c>
      <c r="K358" t="n">
        <v>0</v>
      </c>
      <c r="L358" t="n">
        <v>0</v>
      </c>
      <c r="M358" t="n">
        <v>0</v>
      </c>
      <c r="N358" t="n">
        <v>0</v>
      </c>
      <c r="O358" t="n">
        <v>0</v>
      </c>
      <c r="P358" t="n">
        <v>0</v>
      </c>
      <c r="Q358" t="n">
        <v>0</v>
      </c>
      <c r="R358" s="2" t="inlineStr"/>
    </row>
    <row r="359" ht="15" customHeight="1">
      <c r="A359" t="inlineStr">
        <is>
          <t>A 56507-2025</t>
        </is>
      </c>
      <c r="B359" s="1" t="n">
        <v>45975</v>
      </c>
      <c r="C359" s="1" t="n">
        <v>45984</v>
      </c>
      <c r="D359" t="inlineStr">
        <is>
          <t>NORRBOTTENS LÄN</t>
        </is>
      </c>
      <c r="E359" t="inlineStr">
        <is>
          <t>JOKKMOKK</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37827-2024</t>
        </is>
      </c>
      <c r="B360" s="1" t="n">
        <v>45544</v>
      </c>
      <c r="C360" s="1" t="n">
        <v>45984</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16864-2023</t>
        </is>
      </c>
      <c r="B361" s="1" t="n">
        <v>45028</v>
      </c>
      <c r="C361" s="1" t="n">
        <v>45984</v>
      </c>
      <c r="D361" t="inlineStr">
        <is>
          <t>NORRBOTTENS LÄN</t>
        </is>
      </c>
      <c r="E361" t="inlineStr">
        <is>
          <t>JOKKMOKK</t>
        </is>
      </c>
      <c r="G361" t="n">
        <v>4</v>
      </c>
      <c r="H361" t="n">
        <v>0</v>
      </c>
      <c r="I361" t="n">
        <v>0</v>
      </c>
      <c r="J361" t="n">
        <v>0</v>
      </c>
      <c r="K361" t="n">
        <v>0</v>
      </c>
      <c r="L361" t="n">
        <v>0</v>
      </c>
      <c r="M361" t="n">
        <v>0</v>
      </c>
      <c r="N361" t="n">
        <v>0</v>
      </c>
      <c r="O361" t="n">
        <v>0</v>
      </c>
      <c r="P361" t="n">
        <v>0</v>
      </c>
      <c r="Q361" t="n">
        <v>0</v>
      </c>
      <c r="R361" s="2" t="inlineStr"/>
    </row>
    <row r="362" ht="15" customHeight="1">
      <c r="A362" t="inlineStr">
        <is>
          <t>A 48946-2025</t>
        </is>
      </c>
      <c r="B362" s="1" t="n">
        <v>45937.53831018518</v>
      </c>
      <c r="C362" s="1" t="n">
        <v>45984</v>
      </c>
      <c r="D362" t="inlineStr">
        <is>
          <t>NORRBOTTENS LÄN</t>
        </is>
      </c>
      <c r="E362" t="inlineStr">
        <is>
          <t>JOKKMOKK</t>
        </is>
      </c>
      <c r="G362" t="n">
        <v>57.3</v>
      </c>
      <c r="H362" t="n">
        <v>0</v>
      </c>
      <c r="I362" t="n">
        <v>0</v>
      </c>
      <c r="J362" t="n">
        <v>0</v>
      </c>
      <c r="K362" t="n">
        <v>0</v>
      </c>
      <c r="L362" t="n">
        <v>0</v>
      </c>
      <c r="M362" t="n">
        <v>0</v>
      </c>
      <c r="N362" t="n">
        <v>0</v>
      </c>
      <c r="O362" t="n">
        <v>0</v>
      </c>
      <c r="P362" t="n">
        <v>0</v>
      </c>
      <c r="Q362" t="n">
        <v>0</v>
      </c>
      <c r="R362" s="2" t="inlineStr"/>
    </row>
    <row r="363" ht="15" customHeight="1">
      <c r="A363" t="inlineStr">
        <is>
          <t>A 45468-2022</t>
        </is>
      </c>
      <c r="B363" s="1" t="n">
        <v>44841</v>
      </c>
      <c r="C363" s="1" t="n">
        <v>45984</v>
      </c>
      <c r="D363" t="inlineStr">
        <is>
          <t>NORRBOTTENS LÄN</t>
        </is>
      </c>
      <c r="E363" t="inlineStr">
        <is>
          <t>JOKKMOKK</t>
        </is>
      </c>
      <c r="F363" t="inlineStr">
        <is>
          <t>Övriga Aktiebolag</t>
        </is>
      </c>
      <c r="G363" t="n">
        <v>2.1</v>
      </c>
      <c r="H363" t="n">
        <v>0</v>
      </c>
      <c r="I363" t="n">
        <v>0</v>
      </c>
      <c r="J363" t="n">
        <v>0</v>
      </c>
      <c r="K363" t="n">
        <v>0</v>
      </c>
      <c r="L363" t="n">
        <v>0</v>
      </c>
      <c r="M363" t="n">
        <v>0</v>
      </c>
      <c r="N363" t="n">
        <v>0</v>
      </c>
      <c r="O363" t="n">
        <v>0</v>
      </c>
      <c r="P363" t="n">
        <v>0</v>
      </c>
      <c r="Q363" t="n">
        <v>0</v>
      </c>
      <c r="R363" s="2" t="inlineStr"/>
    </row>
    <row r="364" ht="15" customHeight="1">
      <c r="A364" t="inlineStr">
        <is>
          <t>A 43886-2025</t>
        </is>
      </c>
      <c r="B364" s="1" t="n">
        <v>45912</v>
      </c>
      <c r="C364" s="1" t="n">
        <v>45984</v>
      </c>
      <c r="D364" t="inlineStr">
        <is>
          <t>NORRBOTTENS LÄN</t>
        </is>
      </c>
      <c r="E364" t="inlineStr">
        <is>
          <t>JOKKMOKK</t>
        </is>
      </c>
      <c r="G364" t="n">
        <v>38.1</v>
      </c>
      <c r="H364" t="n">
        <v>0</v>
      </c>
      <c r="I364" t="n">
        <v>0</v>
      </c>
      <c r="J364" t="n">
        <v>0</v>
      </c>
      <c r="K364" t="n">
        <v>0</v>
      </c>
      <c r="L364" t="n">
        <v>0</v>
      </c>
      <c r="M364" t="n">
        <v>0</v>
      </c>
      <c r="N364" t="n">
        <v>0</v>
      </c>
      <c r="O364" t="n">
        <v>0</v>
      </c>
      <c r="P364" t="n">
        <v>0</v>
      </c>
      <c r="Q364" t="n">
        <v>0</v>
      </c>
      <c r="R364" s="2" t="inlineStr"/>
    </row>
    <row r="365" ht="15" customHeight="1">
      <c r="A365" t="inlineStr">
        <is>
          <t>A 36607-2021</t>
        </is>
      </c>
      <c r="B365" s="1" t="n">
        <v>44391</v>
      </c>
      <c r="C365" s="1" t="n">
        <v>45984</v>
      </c>
      <c r="D365" t="inlineStr">
        <is>
          <t>NORRBOTTENS LÄN</t>
        </is>
      </c>
      <c r="E365" t="inlineStr">
        <is>
          <t>JOKKMOKK</t>
        </is>
      </c>
      <c r="F365" t="inlineStr">
        <is>
          <t>Allmännings- och besparingsskogar</t>
        </is>
      </c>
      <c r="G365" t="n">
        <v>9.5</v>
      </c>
      <c r="H365" t="n">
        <v>0</v>
      </c>
      <c r="I365" t="n">
        <v>0</v>
      </c>
      <c r="J365" t="n">
        <v>0</v>
      </c>
      <c r="K365" t="n">
        <v>0</v>
      </c>
      <c r="L365" t="n">
        <v>0</v>
      </c>
      <c r="M365" t="n">
        <v>0</v>
      </c>
      <c r="N365" t="n">
        <v>0</v>
      </c>
      <c r="O365" t="n">
        <v>0</v>
      </c>
      <c r="P365" t="n">
        <v>0</v>
      </c>
      <c r="Q365" t="n">
        <v>0</v>
      </c>
      <c r="R365" s="2" t="inlineStr"/>
    </row>
    <row r="366" ht="15" customHeight="1">
      <c r="A366" t="inlineStr">
        <is>
          <t>A 57256-2025</t>
        </is>
      </c>
      <c r="B366" s="1" t="n">
        <v>45979.65127314815</v>
      </c>
      <c r="C366" s="1" t="n">
        <v>45984</v>
      </c>
      <c r="D366" t="inlineStr">
        <is>
          <t>NORRBOTTENS LÄN</t>
        </is>
      </c>
      <c r="E366" t="inlineStr">
        <is>
          <t>JOKKMOKK</t>
        </is>
      </c>
      <c r="F366" t="inlineStr">
        <is>
          <t>Allmännings- och besparingsskogar</t>
        </is>
      </c>
      <c r="G366" t="n">
        <v>12.3</v>
      </c>
      <c r="H366" t="n">
        <v>0</v>
      </c>
      <c r="I366" t="n">
        <v>0</v>
      </c>
      <c r="J366" t="n">
        <v>0</v>
      </c>
      <c r="K366" t="n">
        <v>0</v>
      </c>
      <c r="L366" t="n">
        <v>0</v>
      </c>
      <c r="M366" t="n">
        <v>0</v>
      </c>
      <c r="N366" t="n">
        <v>0</v>
      </c>
      <c r="O366" t="n">
        <v>0</v>
      </c>
      <c r="P366" t="n">
        <v>0</v>
      </c>
      <c r="Q366" t="n">
        <v>0</v>
      </c>
      <c r="R366" s="2" t="inlineStr"/>
    </row>
    <row r="367" ht="15" customHeight="1">
      <c r="A367" t="inlineStr">
        <is>
          <t>A 49896-2025</t>
        </is>
      </c>
      <c r="B367" s="1" t="n">
        <v>45940.58270833334</v>
      </c>
      <c r="C367" s="1" t="n">
        <v>45984</v>
      </c>
      <c r="D367" t="inlineStr">
        <is>
          <t>NORRBOTTENS LÄN</t>
        </is>
      </c>
      <c r="E367" t="inlineStr">
        <is>
          <t>JOKKMOKK</t>
        </is>
      </c>
      <c r="F367" t="inlineStr">
        <is>
          <t>Sveaskog</t>
        </is>
      </c>
      <c r="G367" t="n">
        <v>7.6</v>
      </c>
      <c r="H367" t="n">
        <v>0</v>
      </c>
      <c r="I367" t="n">
        <v>0</v>
      </c>
      <c r="J367" t="n">
        <v>0</v>
      </c>
      <c r="K367" t="n">
        <v>0</v>
      </c>
      <c r="L367" t="n">
        <v>0</v>
      </c>
      <c r="M367" t="n">
        <v>0</v>
      </c>
      <c r="N367" t="n">
        <v>0</v>
      </c>
      <c r="O367" t="n">
        <v>0</v>
      </c>
      <c r="P367" t="n">
        <v>0</v>
      </c>
      <c r="Q367" t="n">
        <v>0</v>
      </c>
      <c r="R367" s="2" t="inlineStr"/>
    </row>
    <row r="368" ht="15" customHeight="1">
      <c r="A368" t="inlineStr">
        <is>
          <t>A 30291-2023</t>
        </is>
      </c>
      <c r="B368" s="1" t="n">
        <v>45110.92523148148</v>
      </c>
      <c r="C368" s="1" t="n">
        <v>45984</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49477-2025</t>
        </is>
      </c>
      <c r="B369" s="1" t="n">
        <v>45939.34547453704</v>
      </c>
      <c r="C369" s="1" t="n">
        <v>45984</v>
      </c>
      <c r="D369" t="inlineStr">
        <is>
          <t>NORRBOTTENS LÄN</t>
        </is>
      </c>
      <c r="E369" t="inlineStr">
        <is>
          <t>JOKKMOKK</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49475-2025</t>
        </is>
      </c>
      <c r="B370" s="1" t="n">
        <v>45939.34488425926</v>
      </c>
      <c r="C370" s="1" t="n">
        <v>45984</v>
      </c>
      <c r="D370" t="inlineStr">
        <is>
          <t>NORRBOTTENS LÄN</t>
        </is>
      </c>
      <c r="E370" t="inlineStr">
        <is>
          <t>JOKKMOKK</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58133-2025</t>
        </is>
      </c>
      <c r="B371" s="1" t="n">
        <v>45982.61763888889</v>
      </c>
      <c r="C371" s="1" t="n">
        <v>45984</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49856-2025</t>
        </is>
      </c>
      <c r="B372" s="1" t="n">
        <v>45940.50591435185</v>
      </c>
      <c r="C372" s="1" t="n">
        <v>45984</v>
      </c>
      <c r="D372" t="inlineStr">
        <is>
          <t>NORRBOTTENS LÄN</t>
        </is>
      </c>
      <c r="E372" t="inlineStr">
        <is>
          <t>JOKKMOKK</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27651-2024</t>
        </is>
      </c>
      <c r="B373" s="1" t="n">
        <v>45474</v>
      </c>
      <c r="C373" s="1" t="n">
        <v>45984</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10630-2025</t>
        </is>
      </c>
      <c r="B374" s="1" t="n">
        <v>45721.63606481482</v>
      </c>
      <c r="C374" s="1" t="n">
        <v>45984</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32915-2024</t>
        </is>
      </c>
      <c r="B375" s="1" t="n">
        <v>45516</v>
      </c>
      <c r="C375" s="1" t="n">
        <v>45984</v>
      </c>
      <c r="D375" t="inlineStr">
        <is>
          <t>NORRBOTTENS LÄN</t>
        </is>
      </c>
      <c r="E375" t="inlineStr">
        <is>
          <t>JOKKMOKK</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45984</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61761-2024</t>
        </is>
      </c>
      <c r="B377" s="1" t="n">
        <v>45649</v>
      </c>
      <c r="C377" s="1" t="n">
        <v>45984</v>
      </c>
      <c r="D377" t="inlineStr">
        <is>
          <t>NORRBOTTENS LÄN</t>
        </is>
      </c>
      <c r="E377" t="inlineStr">
        <is>
          <t>JOKKMOKK</t>
        </is>
      </c>
      <c r="F377" t="inlineStr">
        <is>
          <t>Övriga statliga verk och myndigheter</t>
        </is>
      </c>
      <c r="G377" t="n">
        <v>3.7</v>
      </c>
      <c r="H377" t="n">
        <v>0</v>
      </c>
      <c r="I377" t="n">
        <v>0</v>
      </c>
      <c r="J377" t="n">
        <v>0</v>
      </c>
      <c r="K377" t="n">
        <v>0</v>
      </c>
      <c r="L377" t="n">
        <v>0</v>
      </c>
      <c r="M377" t="n">
        <v>0</v>
      </c>
      <c r="N377" t="n">
        <v>0</v>
      </c>
      <c r="O377" t="n">
        <v>0</v>
      </c>
      <c r="P377" t="n">
        <v>0</v>
      </c>
      <c r="Q377" t="n">
        <v>0</v>
      </c>
      <c r="R377" s="2" t="inlineStr"/>
    </row>
    <row r="378" ht="15" customHeight="1">
      <c r="A378" t="inlineStr">
        <is>
          <t>A 27650-2024</t>
        </is>
      </c>
      <c r="B378" s="1" t="n">
        <v>45474.94802083333</v>
      </c>
      <c r="C378" s="1" t="n">
        <v>45984</v>
      </c>
      <c r="D378" t="inlineStr">
        <is>
          <t>NORRBOTTENS LÄN</t>
        </is>
      </c>
      <c r="E378" t="inlineStr">
        <is>
          <t>JOKKMOKK</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24052-2023</t>
        </is>
      </c>
      <c r="B379" s="1" t="n">
        <v>45078</v>
      </c>
      <c r="C379" s="1" t="n">
        <v>45984</v>
      </c>
      <c r="D379" t="inlineStr">
        <is>
          <t>NORRBOTTENS LÄN</t>
        </is>
      </c>
      <c r="E379" t="inlineStr">
        <is>
          <t>JOKKMOKK</t>
        </is>
      </c>
      <c r="F379" t="inlineStr">
        <is>
          <t>Naturvårdsverket</t>
        </is>
      </c>
      <c r="G379" t="n">
        <v>58.1</v>
      </c>
      <c r="H379" t="n">
        <v>0</v>
      </c>
      <c r="I379" t="n">
        <v>0</v>
      </c>
      <c r="J379" t="n">
        <v>0</v>
      </c>
      <c r="K379" t="n">
        <v>0</v>
      </c>
      <c r="L379" t="n">
        <v>0</v>
      </c>
      <c r="M379" t="n">
        <v>0</v>
      </c>
      <c r="N379" t="n">
        <v>0</v>
      </c>
      <c r="O379" t="n">
        <v>0</v>
      </c>
      <c r="P379" t="n">
        <v>0</v>
      </c>
      <c r="Q379" t="n">
        <v>0</v>
      </c>
      <c r="R379" s="2" t="inlineStr"/>
    </row>
    <row r="380" ht="15" customHeight="1">
      <c r="A380" t="inlineStr">
        <is>
          <t>A 52280-2021</t>
        </is>
      </c>
      <c r="B380" s="1" t="n">
        <v>44462</v>
      </c>
      <c r="C380" s="1" t="n">
        <v>45984</v>
      </c>
      <c r="D380" t="inlineStr">
        <is>
          <t>NORRBOTTENS LÄN</t>
        </is>
      </c>
      <c r="E380" t="inlineStr">
        <is>
          <t>JOKKMOKK</t>
        </is>
      </c>
      <c r="F380" t="inlineStr">
        <is>
          <t>Övriga statliga verk och myndigheter</t>
        </is>
      </c>
      <c r="G380" t="n">
        <v>25.9</v>
      </c>
      <c r="H380" t="n">
        <v>0</v>
      </c>
      <c r="I380" t="n">
        <v>0</v>
      </c>
      <c r="J380" t="n">
        <v>0</v>
      </c>
      <c r="K380" t="n">
        <v>0</v>
      </c>
      <c r="L380" t="n">
        <v>0</v>
      </c>
      <c r="M380" t="n">
        <v>0</v>
      </c>
      <c r="N380" t="n">
        <v>0</v>
      </c>
      <c r="O380" t="n">
        <v>0</v>
      </c>
      <c r="P380" t="n">
        <v>0</v>
      </c>
      <c r="Q380" t="n">
        <v>0</v>
      </c>
      <c r="R380" s="2" t="inlineStr"/>
    </row>
    <row r="381" ht="15" customHeight="1">
      <c r="A381" t="inlineStr">
        <is>
          <t>A 59849-2021</t>
        </is>
      </c>
      <c r="B381" s="1" t="n">
        <v>44493</v>
      </c>
      <c r="C381" s="1" t="n">
        <v>45984</v>
      </c>
      <c r="D381" t="inlineStr">
        <is>
          <t>NORRBOTTENS LÄN</t>
        </is>
      </c>
      <c r="E381" t="inlineStr">
        <is>
          <t>JOKKMOKK</t>
        </is>
      </c>
      <c r="F381" t="inlineStr">
        <is>
          <t>Övriga Aktiebolag</t>
        </is>
      </c>
      <c r="G381" t="n">
        <v>11.7</v>
      </c>
      <c r="H381" t="n">
        <v>0</v>
      </c>
      <c r="I381" t="n">
        <v>0</v>
      </c>
      <c r="J381" t="n">
        <v>0</v>
      </c>
      <c r="K381" t="n">
        <v>0</v>
      </c>
      <c r="L381" t="n">
        <v>0</v>
      </c>
      <c r="M381" t="n">
        <v>0</v>
      </c>
      <c r="N381" t="n">
        <v>0</v>
      </c>
      <c r="O381" t="n">
        <v>0</v>
      </c>
      <c r="P381" t="n">
        <v>0</v>
      </c>
      <c r="Q381" t="n">
        <v>0</v>
      </c>
      <c r="R381" s="2" t="inlineStr"/>
    </row>
    <row r="382" ht="15" customHeight="1">
      <c r="A382" t="inlineStr">
        <is>
          <t>A 32900-2023</t>
        </is>
      </c>
      <c r="B382" s="1" t="n">
        <v>45124</v>
      </c>
      <c r="C382" s="1" t="n">
        <v>45984</v>
      </c>
      <c r="D382" t="inlineStr">
        <is>
          <t>NORRBOTTENS LÄN</t>
        </is>
      </c>
      <c r="E382" t="inlineStr">
        <is>
          <t>JOKKMOKK</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51269-2024</t>
        </is>
      </c>
      <c r="B383" s="1" t="n">
        <v>45603.71284722222</v>
      </c>
      <c r="C383" s="1" t="n">
        <v>45984</v>
      </c>
      <c r="D383" t="inlineStr">
        <is>
          <t>NORRBOTTENS LÄN</t>
        </is>
      </c>
      <c r="E383" t="inlineStr">
        <is>
          <t>JOKKMOKK</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52812-2024</t>
        </is>
      </c>
      <c r="B384" s="1" t="n">
        <v>45610.58070601852</v>
      </c>
      <c r="C384" s="1" t="n">
        <v>45984</v>
      </c>
      <c r="D384" t="inlineStr">
        <is>
          <t>NORRBOTTENS LÄN</t>
        </is>
      </c>
      <c r="E384" t="inlineStr">
        <is>
          <t>JOKKMOKK</t>
        </is>
      </c>
      <c r="G384" t="n">
        <v>84</v>
      </c>
      <c r="H384" t="n">
        <v>0</v>
      </c>
      <c r="I384" t="n">
        <v>0</v>
      </c>
      <c r="J384" t="n">
        <v>0</v>
      </c>
      <c r="K384" t="n">
        <v>0</v>
      </c>
      <c r="L384" t="n">
        <v>0</v>
      </c>
      <c r="M384" t="n">
        <v>0</v>
      </c>
      <c r="N384" t="n">
        <v>0</v>
      </c>
      <c r="O384" t="n">
        <v>0</v>
      </c>
      <c r="P384" t="n">
        <v>0</v>
      </c>
      <c r="Q384" t="n">
        <v>0</v>
      </c>
      <c r="R384" s="2" t="inlineStr"/>
    </row>
    <row r="385" ht="15" customHeight="1">
      <c r="A385" t="inlineStr">
        <is>
          <t>A 71369-2021</t>
        </is>
      </c>
      <c r="B385" s="1" t="n">
        <v>44539.94476851852</v>
      </c>
      <c r="C385" s="1" t="n">
        <v>45984</v>
      </c>
      <c r="D385" t="inlineStr">
        <is>
          <t>NORRBOTTENS LÄN</t>
        </is>
      </c>
      <c r="E385" t="inlineStr">
        <is>
          <t>JOKKMOKK</t>
        </is>
      </c>
      <c r="F385" t="inlineStr">
        <is>
          <t>SCA</t>
        </is>
      </c>
      <c r="G385" t="n">
        <v>15.7</v>
      </c>
      <c r="H385" t="n">
        <v>0</v>
      </c>
      <c r="I385" t="n">
        <v>0</v>
      </c>
      <c r="J385" t="n">
        <v>0</v>
      </c>
      <c r="K385" t="n">
        <v>0</v>
      </c>
      <c r="L385" t="n">
        <v>0</v>
      </c>
      <c r="M385" t="n">
        <v>0</v>
      </c>
      <c r="N385" t="n">
        <v>0</v>
      </c>
      <c r="O385" t="n">
        <v>0</v>
      </c>
      <c r="P385" t="n">
        <v>0</v>
      </c>
      <c r="Q385" t="n">
        <v>0</v>
      </c>
      <c r="R385" s="2" t="inlineStr"/>
    </row>
    <row r="386" ht="15" customHeight="1">
      <c r="A386" t="inlineStr">
        <is>
          <t>A 59793-2024</t>
        </is>
      </c>
      <c r="B386" s="1" t="n">
        <v>45639.58967592593</v>
      </c>
      <c r="C386" s="1" t="n">
        <v>45984</v>
      </c>
      <c r="D386" t="inlineStr">
        <is>
          <t>NORRBOTTENS LÄN</t>
        </is>
      </c>
      <c r="E386" t="inlineStr">
        <is>
          <t>JOKKMOKK</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45984</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9860-2023</t>
        </is>
      </c>
      <c r="B388" s="1" t="n">
        <v>44984</v>
      </c>
      <c r="C388" s="1" t="n">
        <v>45984</v>
      </c>
      <c r="D388" t="inlineStr">
        <is>
          <t>NORRBOTTENS LÄN</t>
        </is>
      </c>
      <c r="E388" t="inlineStr">
        <is>
          <t>JOKKMOKK</t>
        </is>
      </c>
      <c r="F388" t="inlineStr">
        <is>
          <t>SCA</t>
        </is>
      </c>
      <c r="G388" t="n">
        <v>8</v>
      </c>
      <c r="H388" t="n">
        <v>0</v>
      </c>
      <c r="I388" t="n">
        <v>0</v>
      </c>
      <c r="J388" t="n">
        <v>0</v>
      </c>
      <c r="K388" t="n">
        <v>0</v>
      </c>
      <c r="L388" t="n">
        <v>0</v>
      </c>
      <c r="M388" t="n">
        <v>0</v>
      </c>
      <c r="N388" t="n">
        <v>0</v>
      </c>
      <c r="O388" t="n">
        <v>0</v>
      </c>
      <c r="P388" t="n">
        <v>0</v>
      </c>
      <c r="Q388" t="n">
        <v>0</v>
      </c>
      <c r="R388" s="2" t="inlineStr"/>
    </row>
    <row r="389" ht="15" customHeight="1">
      <c r="A389" t="inlineStr">
        <is>
          <t>A 9863-2023</t>
        </is>
      </c>
      <c r="B389" s="1" t="n">
        <v>44984</v>
      </c>
      <c r="C389" s="1" t="n">
        <v>45984</v>
      </c>
      <c r="D389" t="inlineStr">
        <is>
          <t>NORRBOTTENS LÄN</t>
        </is>
      </c>
      <c r="E389" t="inlineStr">
        <is>
          <t>JOKKMOKK</t>
        </is>
      </c>
      <c r="F389" t="inlineStr">
        <is>
          <t>SCA</t>
        </is>
      </c>
      <c r="G389" t="n">
        <v>14.4</v>
      </c>
      <c r="H389" t="n">
        <v>0</v>
      </c>
      <c r="I389" t="n">
        <v>0</v>
      </c>
      <c r="J389" t="n">
        <v>0</v>
      </c>
      <c r="K389" t="n">
        <v>0</v>
      </c>
      <c r="L389" t="n">
        <v>0</v>
      </c>
      <c r="M389" t="n">
        <v>0</v>
      </c>
      <c r="N389" t="n">
        <v>0</v>
      </c>
      <c r="O389" t="n">
        <v>0</v>
      </c>
      <c r="P389" t="n">
        <v>0</v>
      </c>
      <c r="Q389" t="n">
        <v>0</v>
      </c>
      <c r="R389" s="2" t="inlineStr"/>
    </row>
    <row r="390" ht="15" customHeight="1">
      <c r="A390" t="inlineStr">
        <is>
          <t>A 9872-2023</t>
        </is>
      </c>
      <c r="B390" s="1" t="n">
        <v>44984</v>
      </c>
      <c r="C390" s="1" t="n">
        <v>45984</v>
      </c>
      <c r="D390" t="inlineStr">
        <is>
          <t>NORRBOTTENS LÄN</t>
        </is>
      </c>
      <c r="E390" t="inlineStr">
        <is>
          <t>JOKKMOKK</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9873-2023</t>
        </is>
      </c>
      <c r="B391" s="1" t="n">
        <v>44984</v>
      </c>
      <c r="C391" s="1" t="n">
        <v>45984</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9877-2023</t>
        </is>
      </c>
      <c r="B392" s="1" t="n">
        <v>44984.94033564815</v>
      </c>
      <c r="C392" s="1" t="n">
        <v>45984</v>
      </c>
      <c r="D392" t="inlineStr">
        <is>
          <t>NORRBOTTENS LÄN</t>
        </is>
      </c>
      <c r="E392" t="inlineStr">
        <is>
          <t>JOKKMOKK</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17784-2025</t>
        </is>
      </c>
      <c r="B393" s="1" t="n">
        <v>45758</v>
      </c>
      <c r="C393" s="1" t="n">
        <v>45984</v>
      </c>
      <c r="D393" t="inlineStr">
        <is>
          <t>NORRBOTTENS LÄN</t>
        </is>
      </c>
      <c r="E393" t="inlineStr">
        <is>
          <t>JOKKMOKK</t>
        </is>
      </c>
      <c r="F393" t="inlineStr">
        <is>
          <t>SCA</t>
        </is>
      </c>
      <c r="G393" t="n">
        <v>11.2</v>
      </c>
      <c r="H393" t="n">
        <v>0</v>
      </c>
      <c r="I393" t="n">
        <v>0</v>
      </c>
      <c r="J393" t="n">
        <v>0</v>
      </c>
      <c r="K393" t="n">
        <v>0</v>
      </c>
      <c r="L393" t="n">
        <v>0</v>
      </c>
      <c r="M393" t="n">
        <v>0</v>
      </c>
      <c r="N393" t="n">
        <v>0</v>
      </c>
      <c r="O393" t="n">
        <v>0</v>
      </c>
      <c r="P393" t="n">
        <v>0</v>
      </c>
      <c r="Q393" t="n">
        <v>0</v>
      </c>
      <c r="R393" s="2" t="inlineStr"/>
    </row>
    <row r="394" ht="15" customHeight="1">
      <c r="A394" t="inlineStr">
        <is>
          <t>A 16018-2024</t>
        </is>
      </c>
      <c r="B394" s="1" t="n">
        <v>45405.67028935185</v>
      </c>
      <c r="C394" s="1" t="n">
        <v>45984</v>
      </c>
      <c r="D394" t="inlineStr">
        <is>
          <t>NORRBOTTENS LÄN</t>
        </is>
      </c>
      <c r="E394" t="inlineStr">
        <is>
          <t>JOKKMOKK</t>
        </is>
      </c>
      <c r="G394" t="n">
        <v>1.8</v>
      </c>
      <c r="H394" t="n">
        <v>0</v>
      </c>
      <c r="I394" t="n">
        <v>0</v>
      </c>
      <c r="J394" t="n">
        <v>0</v>
      </c>
      <c r="K394" t="n">
        <v>0</v>
      </c>
      <c r="L394" t="n">
        <v>0</v>
      </c>
      <c r="M394" t="n">
        <v>0</v>
      </c>
      <c r="N394" t="n">
        <v>0</v>
      </c>
      <c r="O394" t="n">
        <v>0</v>
      </c>
      <c r="P394" t="n">
        <v>0</v>
      </c>
      <c r="Q394" t="n">
        <v>0</v>
      </c>
      <c r="R394" s="2" t="inlineStr"/>
    </row>
    <row r="395" ht="15" customHeight="1">
      <c r="A395" t="inlineStr">
        <is>
          <t>A 32899-2023</t>
        </is>
      </c>
      <c r="B395" s="1" t="n">
        <v>45124</v>
      </c>
      <c r="C395" s="1" t="n">
        <v>45984</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3055-2025</t>
        </is>
      </c>
      <c r="B396" s="1" t="n">
        <v>45678.61530092593</v>
      </c>
      <c r="C396" s="1" t="n">
        <v>45984</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42639-2024</t>
        </is>
      </c>
      <c r="B397" s="1" t="n">
        <v>45565.91135416667</v>
      </c>
      <c r="C397" s="1" t="n">
        <v>45984</v>
      </c>
      <c r="D397" t="inlineStr">
        <is>
          <t>NORRBOTTENS LÄN</t>
        </is>
      </c>
      <c r="E397" t="inlineStr">
        <is>
          <t>JOKKMOKK</t>
        </is>
      </c>
      <c r="G397" t="n">
        <v>34.5</v>
      </c>
      <c r="H397" t="n">
        <v>0</v>
      </c>
      <c r="I397" t="n">
        <v>0</v>
      </c>
      <c r="J397" t="n">
        <v>0</v>
      </c>
      <c r="K397" t="n">
        <v>0</v>
      </c>
      <c r="L397" t="n">
        <v>0</v>
      </c>
      <c r="M397" t="n">
        <v>0</v>
      </c>
      <c r="N397" t="n">
        <v>0</v>
      </c>
      <c r="O397" t="n">
        <v>0</v>
      </c>
      <c r="P397" t="n">
        <v>0</v>
      </c>
      <c r="Q397" t="n">
        <v>0</v>
      </c>
      <c r="R397" s="2" t="inlineStr"/>
    </row>
    <row r="398" ht="15" customHeight="1">
      <c r="A398" t="inlineStr">
        <is>
          <t>A 52181-2023</t>
        </is>
      </c>
      <c r="B398" s="1" t="n">
        <v>45224</v>
      </c>
      <c r="C398" s="1" t="n">
        <v>45984</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50651-2024</t>
        </is>
      </c>
      <c r="B399" s="1" t="n">
        <v>45601.70364583333</v>
      </c>
      <c r="C399" s="1" t="n">
        <v>45984</v>
      </c>
      <c r="D399" t="inlineStr">
        <is>
          <t>NORRBOTTENS LÄN</t>
        </is>
      </c>
      <c r="E399" t="inlineStr">
        <is>
          <t>JOKKMOKK</t>
        </is>
      </c>
      <c r="F399" t="inlineStr">
        <is>
          <t>Allmännings- och besparingsskogar</t>
        </is>
      </c>
      <c r="G399" t="n">
        <v>6.1</v>
      </c>
      <c r="H399" t="n">
        <v>0</v>
      </c>
      <c r="I399" t="n">
        <v>0</v>
      </c>
      <c r="J399" t="n">
        <v>0</v>
      </c>
      <c r="K399" t="n">
        <v>0</v>
      </c>
      <c r="L399" t="n">
        <v>0</v>
      </c>
      <c r="M399" t="n">
        <v>0</v>
      </c>
      <c r="N399" t="n">
        <v>0</v>
      </c>
      <c r="O399" t="n">
        <v>0</v>
      </c>
      <c r="P399" t="n">
        <v>0</v>
      </c>
      <c r="Q399" t="n">
        <v>0</v>
      </c>
      <c r="R399" s="2" t="inlineStr"/>
    </row>
    <row r="400" ht="15" customHeight="1">
      <c r="A400" t="inlineStr">
        <is>
          <t>A 40432-2024</t>
        </is>
      </c>
      <c r="B400" s="1" t="n">
        <v>45555.47401620371</v>
      </c>
      <c r="C400" s="1" t="n">
        <v>45984</v>
      </c>
      <c r="D400" t="inlineStr">
        <is>
          <t>NORRBOTTENS LÄN</t>
        </is>
      </c>
      <c r="E400" t="inlineStr">
        <is>
          <t>JOKKMOKK</t>
        </is>
      </c>
      <c r="G400" t="n">
        <v>0.5</v>
      </c>
      <c r="H400" t="n">
        <v>0</v>
      </c>
      <c r="I400" t="n">
        <v>0</v>
      </c>
      <c r="J400" t="n">
        <v>0</v>
      </c>
      <c r="K400" t="n">
        <v>0</v>
      </c>
      <c r="L400" t="n">
        <v>0</v>
      </c>
      <c r="M400" t="n">
        <v>0</v>
      </c>
      <c r="N400" t="n">
        <v>0</v>
      </c>
      <c r="O400" t="n">
        <v>0</v>
      </c>
      <c r="P400" t="n">
        <v>0</v>
      </c>
      <c r="Q400" t="n">
        <v>0</v>
      </c>
      <c r="R400" s="2" t="inlineStr"/>
    </row>
    <row r="401" ht="15" customHeight="1">
      <c r="A401" t="inlineStr">
        <is>
          <t>A 7845-2024</t>
        </is>
      </c>
      <c r="B401" s="1" t="n">
        <v>45349</v>
      </c>
      <c r="C401" s="1" t="n">
        <v>45984</v>
      </c>
      <c r="D401" t="inlineStr">
        <is>
          <t>NORRBOTTENS LÄN</t>
        </is>
      </c>
      <c r="E401" t="inlineStr">
        <is>
          <t>JOKKMOKK</t>
        </is>
      </c>
      <c r="G401" t="n">
        <v>3</v>
      </c>
      <c r="H401" t="n">
        <v>0</v>
      </c>
      <c r="I401" t="n">
        <v>0</v>
      </c>
      <c r="J401" t="n">
        <v>0</v>
      </c>
      <c r="K401" t="n">
        <v>0</v>
      </c>
      <c r="L401" t="n">
        <v>0</v>
      </c>
      <c r="M401" t="n">
        <v>0</v>
      </c>
      <c r="N401" t="n">
        <v>0</v>
      </c>
      <c r="O401" t="n">
        <v>0</v>
      </c>
      <c r="P401" t="n">
        <v>0</v>
      </c>
      <c r="Q401" t="n">
        <v>0</v>
      </c>
      <c r="R401" s="2" t="inlineStr"/>
    </row>
    <row r="402" ht="15" customHeight="1">
      <c r="A402" t="inlineStr">
        <is>
          <t>A 11657-2024</t>
        </is>
      </c>
      <c r="B402" s="1" t="n">
        <v>45373</v>
      </c>
      <c r="C402" s="1" t="n">
        <v>45984</v>
      </c>
      <c r="D402" t="inlineStr">
        <is>
          <t>NORRBOTTENS LÄN</t>
        </is>
      </c>
      <c r="E402" t="inlineStr">
        <is>
          <t>JOKKMOKK</t>
        </is>
      </c>
      <c r="G402" t="n">
        <v>14.3</v>
      </c>
      <c r="H402" t="n">
        <v>0</v>
      </c>
      <c r="I402" t="n">
        <v>0</v>
      </c>
      <c r="J402" t="n">
        <v>0</v>
      </c>
      <c r="K402" t="n">
        <v>0</v>
      </c>
      <c r="L402" t="n">
        <v>0</v>
      </c>
      <c r="M402" t="n">
        <v>0</v>
      </c>
      <c r="N402" t="n">
        <v>0</v>
      </c>
      <c r="O402" t="n">
        <v>0</v>
      </c>
      <c r="P402" t="n">
        <v>0</v>
      </c>
      <c r="Q402" t="n">
        <v>0</v>
      </c>
      <c r="R402" s="2" t="inlineStr"/>
    </row>
    <row r="403" ht="15" customHeight="1">
      <c r="A403" t="inlineStr">
        <is>
          <t>A 30292-2023</t>
        </is>
      </c>
      <c r="B403" s="1" t="n">
        <v>45110</v>
      </c>
      <c r="C403" s="1" t="n">
        <v>45984</v>
      </c>
      <c r="D403" t="inlineStr">
        <is>
          <t>NORRBOTTENS LÄN</t>
        </is>
      </c>
      <c r="E403" t="inlineStr">
        <is>
          <t>JOKKMOKK</t>
        </is>
      </c>
      <c r="G403" t="n">
        <v>1.4</v>
      </c>
      <c r="H403" t="n">
        <v>0</v>
      </c>
      <c r="I403" t="n">
        <v>0</v>
      </c>
      <c r="J403" t="n">
        <v>0</v>
      </c>
      <c r="K403" t="n">
        <v>0</v>
      </c>
      <c r="L403" t="n">
        <v>0</v>
      </c>
      <c r="M403" t="n">
        <v>0</v>
      </c>
      <c r="N403" t="n">
        <v>0</v>
      </c>
      <c r="O403" t="n">
        <v>0</v>
      </c>
      <c r="P403" t="n">
        <v>0</v>
      </c>
      <c r="Q403" t="n">
        <v>0</v>
      </c>
      <c r="R403" s="2" t="inlineStr"/>
    </row>
    <row r="404" ht="15" customHeight="1">
      <c r="A404" t="inlineStr">
        <is>
          <t>A 51617-2024</t>
        </is>
      </c>
      <c r="B404" s="1" t="n">
        <v>45604.71908564815</v>
      </c>
      <c r="C404" s="1" t="n">
        <v>45984</v>
      </c>
      <c r="D404" t="inlineStr">
        <is>
          <t>NORRBOTTENS LÄN</t>
        </is>
      </c>
      <c r="E404" t="inlineStr">
        <is>
          <t>JOKKMOKK</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46418-2023</t>
        </is>
      </c>
      <c r="B405" s="1" t="n">
        <v>45197</v>
      </c>
      <c r="C405" s="1" t="n">
        <v>45984</v>
      </c>
      <c r="D405" t="inlineStr">
        <is>
          <t>NORRBOTTENS LÄN</t>
        </is>
      </c>
      <c r="E405" t="inlineStr">
        <is>
          <t>JOKKMOKK</t>
        </is>
      </c>
      <c r="G405" t="n">
        <v>7.4</v>
      </c>
      <c r="H405" t="n">
        <v>0</v>
      </c>
      <c r="I405" t="n">
        <v>0</v>
      </c>
      <c r="J405" t="n">
        <v>0</v>
      </c>
      <c r="K405" t="n">
        <v>0</v>
      </c>
      <c r="L405" t="n">
        <v>0</v>
      </c>
      <c r="M405" t="n">
        <v>0</v>
      </c>
      <c r="N405" t="n">
        <v>0</v>
      </c>
      <c r="O405" t="n">
        <v>0</v>
      </c>
      <c r="P405" t="n">
        <v>0</v>
      </c>
      <c r="Q405" t="n">
        <v>0</v>
      </c>
      <c r="R405" s="2" t="inlineStr"/>
    </row>
    <row r="406" ht="15" customHeight="1">
      <c r="A406" t="inlineStr">
        <is>
          <t>A 60275-2023</t>
        </is>
      </c>
      <c r="B406" s="1" t="n">
        <v>45258.67847222222</v>
      </c>
      <c r="C406" s="1" t="n">
        <v>45984</v>
      </c>
      <c r="D406" t="inlineStr">
        <is>
          <t>NORRBOTTENS LÄN</t>
        </is>
      </c>
      <c r="E406" t="inlineStr">
        <is>
          <t>JOKKMOKK</t>
        </is>
      </c>
      <c r="G406" t="n">
        <v>3.2</v>
      </c>
      <c r="H406" t="n">
        <v>0</v>
      </c>
      <c r="I406" t="n">
        <v>0</v>
      </c>
      <c r="J406" t="n">
        <v>0</v>
      </c>
      <c r="K406" t="n">
        <v>0</v>
      </c>
      <c r="L406" t="n">
        <v>0</v>
      </c>
      <c r="M406" t="n">
        <v>0</v>
      </c>
      <c r="N406" t="n">
        <v>0</v>
      </c>
      <c r="O406" t="n">
        <v>0</v>
      </c>
      <c r="P406" t="n">
        <v>0</v>
      </c>
      <c r="Q406" t="n">
        <v>0</v>
      </c>
      <c r="R406" s="2" t="inlineStr"/>
    </row>
    <row r="407" ht="15" customHeight="1">
      <c r="A407" t="inlineStr">
        <is>
          <t>A 40771-2023</t>
        </is>
      </c>
      <c r="B407" s="1" t="n">
        <v>45170.95657407407</v>
      </c>
      <c r="C407" s="1" t="n">
        <v>45984</v>
      </c>
      <c r="D407" t="inlineStr">
        <is>
          <t>NORRBOTTENS LÄN</t>
        </is>
      </c>
      <c r="E407" t="inlineStr">
        <is>
          <t>JOKKMOKK</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47208-2022</t>
        </is>
      </c>
      <c r="B408" s="1" t="n">
        <v>44851</v>
      </c>
      <c r="C408" s="1" t="n">
        <v>45984</v>
      </c>
      <c r="D408" t="inlineStr">
        <is>
          <t>NORRBOTTENS LÄN</t>
        </is>
      </c>
      <c r="E408" t="inlineStr">
        <is>
          <t>JOKKMOKK</t>
        </is>
      </c>
      <c r="G408" t="n">
        <v>1.2</v>
      </c>
      <c r="H408" t="n">
        <v>0</v>
      </c>
      <c r="I408" t="n">
        <v>0</v>
      </c>
      <c r="J408" t="n">
        <v>0</v>
      </c>
      <c r="K408" t="n">
        <v>0</v>
      </c>
      <c r="L408" t="n">
        <v>0</v>
      </c>
      <c r="M408" t="n">
        <v>0</v>
      </c>
      <c r="N408" t="n">
        <v>0</v>
      </c>
      <c r="O408" t="n">
        <v>0</v>
      </c>
      <c r="P408" t="n">
        <v>0</v>
      </c>
      <c r="Q408" t="n">
        <v>0</v>
      </c>
      <c r="R408" s="2" t="inlineStr"/>
    </row>
    <row r="409" ht="15" customHeight="1">
      <c r="A409" t="inlineStr">
        <is>
          <t>A 1615-2024</t>
        </is>
      </c>
      <c r="B409" s="1" t="n">
        <v>45306</v>
      </c>
      <c r="C409" s="1" t="n">
        <v>45984</v>
      </c>
      <c r="D409" t="inlineStr">
        <is>
          <t>NORRBOTTENS LÄN</t>
        </is>
      </c>
      <c r="E409" t="inlineStr">
        <is>
          <t>JOKKMOKK</t>
        </is>
      </c>
      <c r="G409" t="n">
        <v>10.8</v>
      </c>
      <c r="H409" t="n">
        <v>0</v>
      </c>
      <c r="I409" t="n">
        <v>0</v>
      </c>
      <c r="J409" t="n">
        <v>0</v>
      </c>
      <c r="K409" t="n">
        <v>0</v>
      </c>
      <c r="L409" t="n">
        <v>0</v>
      </c>
      <c r="M409" t="n">
        <v>0</v>
      </c>
      <c r="N409" t="n">
        <v>0</v>
      </c>
      <c r="O409" t="n">
        <v>0</v>
      </c>
      <c r="P409" t="n">
        <v>0</v>
      </c>
      <c r="Q409" t="n">
        <v>0</v>
      </c>
      <c r="R409" s="2" t="inlineStr"/>
    </row>
    <row r="410" ht="15" customHeight="1">
      <c r="A410" t="inlineStr">
        <is>
          <t>A 59849-2023</t>
        </is>
      </c>
      <c r="B410" s="1" t="n">
        <v>45257</v>
      </c>
      <c r="C410" s="1" t="n">
        <v>45984</v>
      </c>
      <c r="D410" t="inlineStr">
        <is>
          <t>NORRBOTTENS LÄN</t>
        </is>
      </c>
      <c r="E410" t="inlineStr">
        <is>
          <t>JOKKMOKK</t>
        </is>
      </c>
      <c r="F410" t="inlineStr">
        <is>
          <t>Allmännings- och besparingsskogar</t>
        </is>
      </c>
      <c r="G410" t="n">
        <v>12.7</v>
      </c>
      <c r="H410" t="n">
        <v>0</v>
      </c>
      <c r="I410" t="n">
        <v>0</v>
      </c>
      <c r="J410" t="n">
        <v>0</v>
      </c>
      <c r="K410" t="n">
        <v>0</v>
      </c>
      <c r="L410" t="n">
        <v>0</v>
      </c>
      <c r="M410" t="n">
        <v>0</v>
      </c>
      <c r="N410" t="n">
        <v>0</v>
      </c>
      <c r="O410" t="n">
        <v>0</v>
      </c>
      <c r="P410" t="n">
        <v>0</v>
      </c>
      <c r="Q410" t="n">
        <v>0</v>
      </c>
      <c r="R410" s="2" t="inlineStr"/>
    </row>
    <row r="411" ht="15" customHeight="1">
      <c r="A411" t="inlineStr">
        <is>
          <t>A 27652-2024</t>
        </is>
      </c>
      <c r="B411" s="1" t="n">
        <v>45474.94982638889</v>
      </c>
      <c r="C411" s="1" t="n">
        <v>45984</v>
      </c>
      <c r="D411" t="inlineStr">
        <is>
          <t>NORRBOTTENS LÄN</t>
        </is>
      </c>
      <c r="E411" t="inlineStr">
        <is>
          <t>JOKKMOKK</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18493-2025</t>
        </is>
      </c>
      <c r="B412" s="1" t="n">
        <v>45763.34474537037</v>
      </c>
      <c r="C412" s="1" t="n">
        <v>45984</v>
      </c>
      <c r="D412" t="inlineStr">
        <is>
          <t>NORRBOTTENS LÄN</t>
        </is>
      </c>
      <c r="E412" t="inlineStr">
        <is>
          <t>JOKKMOKK</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2040-2025</t>
        </is>
      </c>
      <c r="B413" s="1" t="n">
        <v>45671</v>
      </c>
      <c r="C413" s="1" t="n">
        <v>45984</v>
      </c>
      <c r="D413" t="inlineStr">
        <is>
          <t>NORRBOTTENS LÄN</t>
        </is>
      </c>
      <c r="E413" t="inlineStr">
        <is>
          <t>JOKKMOKK</t>
        </is>
      </c>
      <c r="G413" t="n">
        <v>5.1</v>
      </c>
      <c r="H413" t="n">
        <v>0</v>
      </c>
      <c r="I413" t="n">
        <v>0</v>
      </c>
      <c r="J413" t="n">
        <v>0</v>
      </c>
      <c r="K413" t="n">
        <v>0</v>
      </c>
      <c r="L413" t="n">
        <v>0</v>
      </c>
      <c r="M413" t="n">
        <v>0</v>
      </c>
      <c r="N413" t="n">
        <v>0</v>
      </c>
      <c r="O413" t="n">
        <v>0</v>
      </c>
      <c r="P413" t="n">
        <v>0</v>
      </c>
      <c r="Q413" t="n">
        <v>0</v>
      </c>
      <c r="R413" s="2" t="inlineStr"/>
    </row>
    <row r="414" ht="15" customHeight="1">
      <c r="A414" t="inlineStr">
        <is>
          <t>A 18772-2023</t>
        </is>
      </c>
      <c r="B414" s="1" t="n">
        <v>45043</v>
      </c>
      <c r="C414" s="1" t="n">
        <v>45984</v>
      </c>
      <c r="D414" t="inlineStr">
        <is>
          <t>NORRBOTTENS LÄN</t>
        </is>
      </c>
      <c r="E414" t="inlineStr">
        <is>
          <t>JOKKMOKK</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9854-2023</t>
        </is>
      </c>
      <c r="B415" s="1" t="n">
        <v>44984</v>
      </c>
      <c r="C415" s="1" t="n">
        <v>45984</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56168-2022</t>
        </is>
      </c>
      <c r="B416" s="1" t="n">
        <v>44889</v>
      </c>
      <c r="C416" s="1" t="n">
        <v>45984</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9865-2023</t>
        </is>
      </c>
      <c r="B417" s="1" t="n">
        <v>44984</v>
      </c>
      <c r="C417" s="1" t="n">
        <v>45984</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36361-2024</t>
        </is>
      </c>
      <c r="B418" s="1" t="n">
        <v>45534.64626157407</v>
      </c>
      <c r="C418" s="1" t="n">
        <v>45984</v>
      </c>
      <c r="D418" t="inlineStr">
        <is>
          <t>NORRBOTTENS LÄN</t>
        </is>
      </c>
      <c r="E418" t="inlineStr">
        <is>
          <t>JOKKMOKK</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45469-2022</t>
        </is>
      </c>
      <c r="B419" s="1" t="n">
        <v>44841</v>
      </c>
      <c r="C419" s="1" t="n">
        <v>45984</v>
      </c>
      <c r="D419" t="inlineStr">
        <is>
          <t>NORRBOTTENS LÄN</t>
        </is>
      </c>
      <c r="E419" t="inlineStr">
        <is>
          <t>JOKKMOKK</t>
        </is>
      </c>
      <c r="F419" t="inlineStr">
        <is>
          <t>Övriga Aktiebolag</t>
        </is>
      </c>
      <c r="G419" t="n">
        <v>3.4</v>
      </c>
      <c r="H419" t="n">
        <v>0</v>
      </c>
      <c r="I419" t="n">
        <v>0</v>
      </c>
      <c r="J419" t="n">
        <v>0</v>
      </c>
      <c r="K419" t="n">
        <v>0</v>
      </c>
      <c r="L419" t="n">
        <v>0</v>
      </c>
      <c r="M419" t="n">
        <v>0</v>
      </c>
      <c r="N419" t="n">
        <v>0</v>
      </c>
      <c r="O419" t="n">
        <v>0</v>
      </c>
      <c r="P419" t="n">
        <v>0</v>
      </c>
      <c r="Q419" t="n">
        <v>0</v>
      </c>
      <c r="R419" s="2" t="inlineStr"/>
    </row>
    <row r="420" ht="15" customHeight="1">
      <c r="A420" t="inlineStr">
        <is>
          <t>A 32957-2024</t>
        </is>
      </c>
      <c r="B420" s="1" t="n">
        <v>45517.3762037037</v>
      </c>
      <c r="C420" s="1" t="n">
        <v>45984</v>
      </c>
      <c r="D420" t="inlineStr">
        <is>
          <t>NORRBOTTENS LÄN</t>
        </is>
      </c>
      <c r="E420" t="inlineStr">
        <is>
          <t>JOKKMOKK</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31902-2021</t>
        </is>
      </c>
      <c r="B421" s="1" t="n">
        <v>44370</v>
      </c>
      <c r="C421" s="1" t="n">
        <v>45984</v>
      </c>
      <c r="D421" t="inlineStr">
        <is>
          <t>NORRBOTTENS LÄN</t>
        </is>
      </c>
      <c r="E421" t="inlineStr">
        <is>
          <t>JOKKMOKK</t>
        </is>
      </c>
      <c r="G421" t="n">
        <v>20</v>
      </c>
      <c r="H421" t="n">
        <v>0</v>
      </c>
      <c r="I421" t="n">
        <v>0</v>
      </c>
      <c r="J421" t="n">
        <v>0</v>
      </c>
      <c r="K421" t="n">
        <v>0</v>
      </c>
      <c r="L421" t="n">
        <v>0</v>
      </c>
      <c r="M421" t="n">
        <v>0</v>
      </c>
      <c r="N421" t="n">
        <v>0</v>
      </c>
      <c r="O421" t="n">
        <v>0</v>
      </c>
      <c r="P421" t="n">
        <v>0</v>
      </c>
      <c r="Q421" t="n">
        <v>0</v>
      </c>
      <c r="R421" s="2" t="inlineStr"/>
    </row>
    <row r="422" ht="15" customHeight="1">
      <c r="A422" t="inlineStr">
        <is>
          <t>A 45333-2024</t>
        </is>
      </c>
      <c r="B422" s="1" t="n">
        <v>45576</v>
      </c>
      <c r="C422" s="1" t="n">
        <v>45984</v>
      </c>
      <c r="D422" t="inlineStr">
        <is>
          <t>NORRBOTTENS LÄN</t>
        </is>
      </c>
      <c r="E422" t="inlineStr">
        <is>
          <t>JOKKMOKK</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6778-2023</t>
        </is>
      </c>
      <c r="B423" s="1" t="n">
        <v>44966</v>
      </c>
      <c r="C423" s="1" t="n">
        <v>45984</v>
      </c>
      <c r="D423" t="inlineStr">
        <is>
          <t>NORRBOTTENS LÄN</t>
        </is>
      </c>
      <c r="E423" t="inlineStr">
        <is>
          <t>JOKKMOKK</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45113.95096064815</v>
      </c>
      <c r="C424" s="1" t="n">
        <v>45984</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23019-2023</t>
        </is>
      </c>
      <c r="B425" s="1" t="n">
        <v>45073</v>
      </c>
      <c r="C425" s="1" t="n">
        <v>45984</v>
      </c>
      <c r="D425" t="inlineStr">
        <is>
          <t>NORRBOTTENS LÄN</t>
        </is>
      </c>
      <c r="E425" t="inlineStr">
        <is>
          <t>JOKKMOKK</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34062-2021</t>
        </is>
      </c>
      <c r="B426" s="1" t="n">
        <v>44378</v>
      </c>
      <c r="C426" s="1" t="n">
        <v>45984</v>
      </c>
      <c r="D426" t="inlineStr">
        <is>
          <t>NORRBOTTENS LÄN</t>
        </is>
      </c>
      <c r="E426" t="inlineStr">
        <is>
          <t>JOKKMOKK</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4136-2024</t>
        </is>
      </c>
      <c r="B427" s="1" t="n">
        <v>45323</v>
      </c>
      <c r="C427" s="1" t="n">
        <v>45984</v>
      </c>
      <c r="D427" t="inlineStr">
        <is>
          <t>NORRBOTTENS LÄN</t>
        </is>
      </c>
      <c r="E427" t="inlineStr">
        <is>
          <t>JOKKMOKK</t>
        </is>
      </c>
      <c r="G427" t="n">
        <v>27.3</v>
      </c>
      <c r="H427" t="n">
        <v>0</v>
      </c>
      <c r="I427" t="n">
        <v>0</v>
      </c>
      <c r="J427" t="n">
        <v>0</v>
      </c>
      <c r="K427" t="n">
        <v>0</v>
      </c>
      <c r="L427" t="n">
        <v>0</v>
      </c>
      <c r="M427" t="n">
        <v>0</v>
      </c>
      <c r="N427" t="n">
        <v>0</v>
      </c>
      <c r="O427" t="n">
        <v>0</v>
      </c>
      <c r="P427" t="n">
        <v>0</v>
      </c>
      <c r="Q427" t="n">
        <v>0</v>
      </c>
      <c r="R427" s="2" t="inlineStr"/>
    </row>
    <row r="428" ht="15" customHeight="1">
      <c r="A428" t="inlineStr">
        <is>
          <t>A 18537-2023</t>
        </is>
      </c>
      <c r="B428" s="1" t="n">
        <v>45028</v>
      </c>
      <c r="C428" s="1" t="n">
        <v>45984</v>
      </c>
      <c r="D428" t="inlineStr">
        <is>
          <t>NORRBOTTENS LÄN</t>
        </is>
      </c>
      <c r="E428" t="inlineStr">
        <is>
          <t>JOKKMOKK</t>
        </is>
      </c>
      <c r="G428" t="n">
        <v>1</v>
      </c>
      <c r="H428" t="n">
        <v>0</v>
      </c>
      <c r="I428" t="n">
        <v>0</v>
      </c>
      <c r="J428" t="n">
        <v>0</v>
      </c>
      <c r="K428" t="n">
        <v>0</v>
      </c>
      <c r="L428" t="n">
        <v>0</v>
      </c>
      <c r="M428" t="n">
        <v>0</v>
      </c>
      <c r="N428" t="n">
        <v>0</v>
      </c>
      <c r="O428" t="n">
        <v>0</v>
      </c>
      <c r="P428" t="n">
        <v>0</v>
      </c>
      <c r="Q428" t="n">
        <v>0</v>
      </c>
      <c r="R428" s="2" t="inlineStr"/>
    </row>
    <row r="429" ht="15" customHeight="1">
      <c r="A429" t="inlineStr">
        <is>
          <t>A 49474-2024</t>
        </is>
      </c>
      <c r="B429" s="1" t="n">
        <v>45596.34523148148</v>
      </c>
      <c r="C429" s="1" t="n">
        <v>45984</v>
      </c>
      <c r="D429" t="inlineStr">
        <is>
          <t>NORRBOTTENS LÄN</t>
        </is>
      </c>
      <c r="E429" t="inlineStr">
        <is>
          <t>JOKKMOKK</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49679-2024</t>
        </is>
      </c>
      <c r="B430" s="1" t="n">
        <v>45596.6649537037</v>
      </c>
      <c r="C430" s="1" t="n">
        <v>45984</v>
      </c>
      <c r="D430" t="inlineStr">
        <is>
          <t>NORRBOTTENS LÄN</t>
        </is>
      </c>
      <c r="E430" t="inlineStr">
        <is>
          <t>JOKKMOKK</t>
        </is>
      </c>
      <c r="F430" t="inlineStr">
        <is>
          <t>Allmännings- och besparingsskogar</t>
        </is>
      </c>
      <c r="G430" t="n">
        <v>14.1</v>
      </c>
      <c r="H430" t="n">
        <v>0</v>
      </c>
      <c r="I430" t="n">
        <v>0</v>
      </c>
      <c r="J430" t="n">
        <v>0</v>
      </c>
      <c r="K430" t="n">
        <v>0</v>
      </c>
      <c r="L430" t="n">
        <v>0</v>
      </c>
      <c r="M430" t="n">
        <v>0</v>
      </c>
      <c r="N430" t="n">
        <v>0</v>
      </c>
      <c r="O430" t="n">
        <v>0</v>
      </c>
      <c r="P430" t="n">
        <v>0</v>
      </c>
      <c r="Q430" t="n">
        <v>0</v>
      </c>
      <c r="R430" s="2" t="inlineStr"/>
    </row>
    <row r="431" ht="15" customHeight="1">
      <c r="A431" t="inlineStr">
        <is>
          <t>A 18903-2025</t>
        </is>
      </c>
      <c r="B431" s="1" t="n">
        <v>45764.46019675926</v>
      </c>
      <c r="C431" s="1" t="n">
        <v>45984</v>
      </c>
      <c r="D431" t="inlineStr">
        <is>
          <t>NORRBOTTENS LÄN</t>
        </is>
      </c>
      <c r="E431" t="inlineStr">
        <is>
          <t>JOKKMOKK</t>
        </is>
      </c>
      <c r="G431" t="n">
        <v>9.1</v>
      </c>
      <c r="H431" t="n">
        <v>0</v>
      </c>
      <c r="I431" t="n">
        <v>0</v>
      </c>
      <c r="J431" t="n">
        <v>0</v>
      </c>
      <c r="K431" t="n">
        <v>0</v>
      </c>
      <c r="L431" t="n">
        <v>0</v>
      </c>
      <c r="M431" t="n">
        <v>0</v>
      </c>
      <c r="N431" t="n">
        <v>0</v>
      </c>
      <c r="O431" t="n">
        <v>0</v>
      </c>
      <c r="P431" t="n">
        <v>0</v>
      </c>
      <c r="Q431" t="n">
        <v>0</v>
      </c>
      <c r="R431" s="2" t="inlineStr"/>
    </row>
    <row r="432" ht="15" customHeight="1">
      <c r="A432" t="inlineStr">
        <is>
          <t>A 20593-2023</t>
        </is>
      </c>
      <c r="B432" s="1" t="n">
        <v>45057</v>
      </c>
      <c r="C432" s="1" t="n">
        <v>45984</v>
      </c>
      <c r="D432" t="inlineStr">
        <is>
          <t>NORRBOTTENS LÄN</t>
        </is>
      </c>
      <c r="E432" t="inlineStr">
        <is>
          <t>JOKKMOKK</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33014-2023</t>
        </is>
      </c>
      <c r="B433" s="1" t="n">
        <v>45113</v>
      </c>
      <c r="C433" s="1" t="n">
        <v>45984</v>
      </c>
      <c r="D433" t="inlineStr">
        <is>
          <t>NORRBOTTENS LÄN</t>
        </is>
      </c>
      <c r="E433" t="inlineStr">
        <is>
          <t>JOKKMOKK</t>
        </is>
      </c>
      <c r="F433" t="inlineStr">
        <is>
          <t>Övriga statliga verk och myndigheter</t>
        </is>
      </c>
      <c r="G433" t="n">
        <v>7.2</v>
      </c>
      <c r="H433" t="n">
        <v>0</v>
      </c>
      <c r="I433" t="n">
        <v>0</v>
      </c>
      <c r="J433" t="n">
        <v>0</v>
      </c>
      <c r="K433" t="n">
        <v>0</v>
      </c>
      <c r="L433" t="n">
        <v>0</v>
      </c>
      <c r="M433" t="n">
        <v>0</v>
      </c>
      <c r="N433" t="n">
        <v>0</v>
      </c>
      <c r="O433" t="n">
        <v>0</v>
      </c>
      <c r="P433" t="n">
        <v>0</v>
      </c>
      <c r="Q433" t="n">
        <v>0</v>
      </c>
      <c r="R433" s="2" t="inlineStr"/>
    </row>
    <row r="434" ht="15" customHeight="1">
      <c r="A434" t="inlineStr">
        <is>
          <t>A 6437-2025</t>
        </is>
      </c>
      <c r="B434" s="1" t="n">
        <v>45699</v>
      </c>
      <c r="C434" s="1" t="n">
        <v>45984</v>
      </c>
      <c r="D434" t="inlineStr">
        <is>
          <t>NORRBOTTENS LÄN</t>
        </is>
      </c>
      <c r="E434" t="inlineStr">
        <is>
          <t>JOKKMOKK</t>
        </is>
      </c>
      <c r="G434" t="n">
        <v>3.4</v>
      </c>
      <c r="H434" t="n">
        <v>0</v>
      </c>
      <c r="I434" t="n">
        <v>0</v>
      </c>
      <c r="J434" t="n">
        <v>0</v>
      </c>
      <c r="K434" t="n">
        <v>0</v>
      </c>
      <c r="L434" t="n">
        <v>0</v>
      </c>
      <c r="M434" t="n">
        <v>0</v>
      </c>
      <c r="N434" t="n">
        <v>0</v>
      </c>
      <c r="O434" t="n">
        <v>0</v>
      </c>
      <c r="P434" t="n">
        <v>0</v>
      </c>
      <c r="Q434" t="n">
        <v>0</v>
      </c>
      <c r="R434" s="2" t="inlineStr"/>
    </row>
    <row r="435" ht="15" customHeight="1">
      <c r="A435" t="inlineStr">
        <is>
          <t>A 28319-2021</t>
        </is>
      </c>
      <c r="B435" s="1" t="n">
        <v>44355</v>
      </c>
      <c r="C435" s="1" t="n">
        <v>45984</v>
      </c>
      <c r="D435" t="inlineStr">
        <is>
          <t>NORRBOTTENS LÄN</t>
        </is>
      </c>
      <c r="E435" t="inlineStr">
        <is>
          <t>JOKKMOKK</t>
        </is>
      </c>
      <c r="F435" t="inlineStr">
        <is>
          <t>Övriga statliga verk och myndigheter</t>
        </is>
      </c>
      <c r="G435" t="n">
        <v>40</v>
      </c>
      <c r="H435" t="n">
        <v>0</v>
      </c>
      <c r="I435" t="n">
        <v>0</v>
      </c>
      <c r="J435" t="n">
        <v>0</v>
      </c>
      <c r="K435" t="n">
        <v>0</v>
      </c>
      <c r="L435" t="n">
        <v>0</v>
      </c>
      <c r="M435" t="n">
        <v>0</v>
      </c>
      <c r="N435" t="n">
        <v>0</v>
      </c>
      <c r="O435" t="n">
        <v>0</v>
      </c>
      <c r="P435" t="n">
        <v>0</v>
      </c>
      <c r="Q435" t="n">
        <v>0</v>
      </c>
      <c r="R435" s="2" t="inlineStr"/>
    </row>
    <row r="436" ht="15" customHeight="1">
      <c r="A436" t="inlineStr">
        <is>
          <t>A 56199-2021</t>
        </is>
      </c>
      <c r="B436" s="1" t="n">
        <v>44477</v>
      </c>
      <c r="C436" s="1" t="n">
        <v>45984</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50820-2024</t>
        </is>
      </c>
      <c r="B437" s="1" t="n">
        <v>45602</v>
      </c>
      <c r="C437" s="1" t="n">
        <v>45984</v>
      </c>
      <c r="D437" t="inlineStr">
        <is>
          <t>NORRBOTTENS LÄN</t>
        </is>
      </c>
      <c r="E437" t="inlineStr">
        <is>
          <t>JOKKMOKK</t>
        </is>
      </c>
      <c r="F437" t="inlineStr">
        <is>
          <t>Allmännings- och besparingsskogar</t>
        </is>
      </c>
      <c r="G437" t="n">
        <v>4</v>
      </c>
      <c r="H437" t="n">
        <v>0</v>
      </c>
      <c r="I437" t="n">
        <v>0</v>
      </c>
      <c r="J437" t="n">
        <v>0</v>
      </c>
      <c r="K437" t="n">
        <v>0</v>
      </c>
      <c r="L437" t="n">
        <v>0</v>
      </c>
      <c r="M437" t="n">
        <v>0</v>
      </c>
      <c r="N437" t="n">
        <v>0</v>
      </c>
      <c r="O437" t="n">
        <v>0</v>
      </c>
      <c r="P437" t="n">
        <v>0</v>
      </c>
      <c r="Q437" t="n">
        <v>0</v>
      </c>
      <c r="R437" s="2" t="inlineStr"/>
    </row>
    <row r="438" ht="15" customHeight="1">
      <c r="A438" t="inlineStr">
        <is>
          <t>A 2826-2025</t>
        </is>
      </c>
      <c r="B438" s="1" t="n">
        <v>45677.61483796296</v>
      </c>
      <c r="C438" s="1" t="n">
        <v>45984</v>
      </c>
      <c r="D438" t="inlineStr">
        <is>
          <t>NORRBOTTENS LÄN</t>
        </is>
      </c>
      <c r="E438" t="inlineStr">
        <is>
          <t>JOKKMOKK</t>
        </is>
      </c>
      <c r="F438" t="inlineStr">
        <is>
          <t>Övriga statliga verk och myndigheter</t>
        </is>
      </c>
      <c r="G438" t="n">
        <v>10.5</v>
      </c>
      <c r="H438" t="n">
        <v>0</v>
      </c>
      <c r="I438" t="n">
        <v>0</v>
      </c>
      <c r="J438" t="n">
        <v>0</v>
      </c>
      <c r="K438" t="n">
        <v>0</v>
      </c>
      <c r="L438" t="n">
        <v>0</v>
      </c>
      <c r="M438" t="n">
        <v>0</v>
      </c>
      <c r="N438" t="n">
        <v>0</v>
      </c>
      <c r="O438" t="n">
        <v>0</v>
      </c>
      <c r="P438" t="n">
        <v>0</v>
      </c>
      <c r="Q438" t="n">
        <v>0</v>
      </c>
      <c r="R438" s="2" t="inlineStr"/>
    </row>
    <row r="439" ht="15" customHeight="1">
      <c r="A439" t="inlineStr">
        <is>
          <t>A 55491-2024</t>
        </is>
      </c>
      <c r="B439" s="1" t="n">
        <v>45622</v>
      </c>
      <c r="C439" s="1" t="n">
        <v>45984</v>
      </c>
      <c r="D439" t="inlineStr">
        <is>
          <t>NORRBOTTENS LÄN</t>
        </is>
      </c>
      <c r="E439" t="inlineStr">
        <is>
          <t>JOKKMOKK</t>
        </is>
      </c>
      <c r="F439" t="inlineStr">
        <is>
          <t>Allmännings- och besparingsskogar</t>
        </is>
      </c>
      <c r="G439" t="n">
        <v>25.2</v>
      </c>
      <c r="H439" t="n">
        <v>0</v>
      </c>
      <c r="I439" t="n">
        <v>0</v>
      </c>
      <c r="J439" t="n">
        <v>0</v>
      </c>
      <c r="K439" t="n">
        <v>0</v>
      </c>
      <c r="L439" t="n">
        <v>0</v>
      </c>
      <c r="M439" t="n">
        <v>0</v>
      </c>
      <c r="N439" t="n">
        <v>0</v>
      </c>
      <c r="O439" t="n">
        <v>0</v>
      </c>
      <c r="P439" t="n">
        <v>0</v>
      </c>
      <c r="Q439" t="n">
        <v>0</v>
      </c>
      <c r="R439" s="2" t="inlineStr"/>
    </row>
    <row r="440" ht="15" customHeight="1">
      <c r="A440" t="inlineStr">
        <is>
          <t>A 40106-2023</t>
        </is>
      </c>
      <c r="B440" s="1" t="n">
        <v>45168.93785879629</v>
      </c>
      <c r="C440" s="1" t="n">
        <v>45984</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23204-2024</t>
        </is>
      </c>
      <c r="B441" s="1" t="n">
        <v>45451</v>
      </c>
      <c r="C441" s="1" t="n">
        <v>45984</v>
      </c>
      <c r="D441" t="inlineStr">
        <is>
          <t>NORRBOTTENS LÄN</t>
        </is>
      </c>
      <c r="E441" t="inlineStr">
        <is>
          <t>JOKKMOKK</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52289-2024</t>
        </is>
      </c>
      <c r="B442" s="1" t="n">
        <v>45608.69555555555</v>
      </c>
      <c r="C442" s="1" t="n">
        <v>45984</v>
      </c>
      <c r="D442" t="inlineStr">
        <is>
          <t>NORRBOTTENS LÄN</t>
        </is>
      </c>
      <c r="E442" t="inlineStr">
        <is>
          <t>JOKKMOKK</t>
        </is>
      </c>
      <c r="F442" t="inlineStr">
        <is>
          <t>Allmännings- och besparingsskogar</t>
        </is>
      </c>
      <c r="G442" t="n">
        <v>11.6</v>
      </c>
      <c r="H442" t="n">
        <v>0</v>
      </c>
      <c r="I442" t="n">
        <v>0</v>
      </c>
      <c r="J442" t="n">
        <v>0</v>
      </c>
      <c r="K442" t="n">
        <v>0</v>
      </c>
      <c r="L442" t="n">
        <v>0</v>
      </c>
      <c r="M442" t="n">
        <v>0</v>
      </c>
      <c r="N442" t="n">
        <v>0</v>
      </c>
      <c r="O442" t="n">
        <v>0</v>
      </c>
      <c r="P442" t="n">
        <v>0</v>
      </c>
      <c r="Q442" t="n">
        <v>0</v>
      </c>
      <c r="R442" s="2" t="inlineStr"/>
    </row>
    <row r="443" ht="15" customHeight="1">
      <c r="A443" t="inlineStr">
        <is>
          <t>A 25720-2023</t>
        </is>
      </c>
      <c r="B443" s="1" t="n">
        <v>45090</v>
      </c>
      <c r="C443" s="1" t="n">
        <v>45984</v>
      </c>
      <c r="D443" t="inlineStr">
        <is>
          <t>NORRBOTTENS LÄN</t>
        </is>
      </c>
      <c r="E443" t="inlineStr">
        <is>
          <t>JOKKMOKK</t>
        </is>
      </c>
      <c r="G443" t="n">
        <v>2.1</v>
      </c>
      <c r="H443" t="n">
        <v>0</v>
      </c>
      <c r="I443" t="n">
        <v>0</v>
      </c>
      <c r="J443" t="n">
        <v>0</v>
      </c>
      <c r="K443" t="n">
        <v>0</v>
      </c>
      <c r="L443" t="n">
        <v>0</v>
      </c>
      <c r="M443" t="n">
        <v>0</v>
      </c>
      <c r="N443" t="n">
        <v>0</v>
      </c>
      <c r="O443" t="n">
        <v>0</v>
      </c>
      <c r="P443" t="n">
        <v>0</v>
      </c>
      <c r="Q443" t="n">
        <v>0</v>
      </c>
      <c r="R443" s="2" t="inlineStr"/>
    </row>
    <row r="444" ht="15" customHeight="1">
      <c r="A444" t="inlineStr">
        <is>
          <t>A 29212-2024</t>
        </is>
      </c>
      <c r="B444" s="1" t="n">
        <v>45482</v>
      </c>
      <c r="C444" s="1" t="n">
        <v>45984</v>
      </c>
      <c r="D444" t="inlineStr">
        <is>
          <t>NORRBOTTENS LÄN</t>
        </is>
      </c>
      <c r="E444" t="inlineStr">
        <is>
          <t>JOKKMOKK</t>
        </is>
      </c>
      <c r="G444" t="n">
        <v>8.5</v>
      </c>
      <c r="H444" t="n">
        <v>0</v>
      </c>
      <c r="I444" t="n">
        <v>0</v>
      </c>
      <c r="J444" t="n">
        <v>0</v>
      </c>
      <c r="K444" t="n">
        <v>0</v>
      </c>
      <c r="L444" t="n">
        <v>0</v>
      </c>
      <c r="M444" t="n">
        <v>0</v>
      </c>
      <c r="N444" t="n">
        <v>0</v>
      </c>
      <c r="O444" t="n">
        <v>0</v>
      </c>
      <c r="P444" t="n">
        <v>0</v>
      </c>
      <c r="Q444" t="n">
        <v>0</v>
      </c>
      <c r="R444" s="2" t="inlineStr"/>
    </row>
    <row r="445" ht="15" customHeight="1">
      <c r="A445" t="inlineStr">
        <is>
          <t>A 32853-2024</t>
        </is>
      </c>
      <c r="B445" s="1" t="n">
        <v>45516.63964120371</v>
      </c>
      <c r="C445" s="1" t="n">
        <v>45984</v>
      </c>
      <c r="D445" t="inlineStr">
        <is>
          <t>NORRBOTTENS LÄN</t>
        </is>
      </c>
      <c r="E445" t="inlineStr">
        <is>
          <t>JOKKMOKK</t>
        </is>
      </c>
      <c r="F445" t="inlineStr">
        <is>
          <t>Sveaskog</t>
        </is>
      </c>
      <c r="G445" t="n">
        <v>40.4</v>
      </c>
      <c r="H445" t="n">
        <v>0</v>
      </c>
      <c r="I445" t="n">
        <v>0</v>
      </c>
      <c r="J445" t="n">
        <v>0</v>
      </c>
      <c r="K445" t="n">
        <v>0</v>
      </c>
      <c r="L445" t="n">
        <v>0</v>
      </c>
      <c r="M445" t="n">
        <v>0</v>
      </c>
      <c r="N445" t="n">
        <v>0</v>
      </c>
      <c r="O445" t="n">
        <v>0</v>
      </c>
      <c r="P445" t="n">
        <v>0</v>
      </c>
      <c r="Q445" t="n">
        <v>0</v>
      </c>
      <c r="R445" s="2" t="inlineStr"/>
    </row>
    <row r="446" ht="15" customHeight="1">
      <c r="A446" t="inlineStr">
        <is>
          <t>A 3206-2025</t>
        </is>
      </c>
      <c r="B446" s="1" t="n">
        <v>45679</v>
      </c>
      <c r="C446" s="1" t="n">
        <v>45984</v>
      </c>
      <c r="D446" t="inlineStr">
        <is>
          <t>NORRBOTTENS LÄN</t>
        </is>
      </c>
      <c r="E446" t="inlineStr">
        <is>
          <t>JOKKMOKK</t>
        </is>
      </c>
      <c r="F446" t="inlineStr">
        <is>
          <t>SCA</t>
        </is>
      </c>
      <c r="G446" t="n">
        <v>9.1</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45984</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33827-2024</t>
        </is>
      </c>
      <c r="B448" s="1" t="n">
        <v>45520</v>
      </c>
      <c r="C448" s="1" t="n">
        <v>45984</v>
      </c>
      <c r="D448" t="inlineStr">
        <is>
          <t>NORRBOTTENS LÄN</t>
        </is>
      </c>
      <c r="E448" t="inlineStr">
        <is>
          <t>JOKKMOKK</t>
        </is>
      </c>
      <c r="F448" t="inlineStr">
        <is>
          <t>SCA</t>
        </is>
      </c>
      <c r="G448" t="n">
        <v>12.8</v>
      </c>
      <c r="H448" t="n">
        <v>0</v>
      </c>
      <c r="I448" t="n">
        <v>0</v>
      </c>
      <c r="J448" t="n">
        <v>0</v>
      </c>
      <c r="K448" t="n">
        <v>0</v>
      </c>
      <c r="L448" t="n">
        <v>0</v>
      </c>
      <c r="M448" t="n">
        <v>0</v>
      </c>
      <c r="N448" t="n">
        <v>0</v>
      </c>
      <c r="O448" t="n">
        <v>0</v>
      </c>
      <c r="P448" t="n">
        <v>0</v>
      </c>
      <c r="Q448" t="n">
        <v>0</v>
      </c>
      <c r="R448" s="2" t="inlineStr"/>
    </row>
    <row r="449" ht="15" customHeight="1">
      <c r="A449" t="inlineStr">
        <is>
          <t>A 20270-2025</t>
        </is>
      </c>
      <c r="B449" s="1" t="n">
        <v>45773.71444444444</v>
      </c>
      <c r="C449" s="1" t="n">
        <v>45984</v>
      </c>
      <c r="D449" t="inlineStr">
        <is>
          <t>NORRBOTTENS LÄN</t>
        </is>
      </c>
      <c r="E449" t="inlineStr">
        <is>
          <t>JOKKMOKK</t>
        </is>
      </c>
      <c r="G449" t="n">
        <v>90.09999999999999</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45197.59248842593</v>
      </c>
      <c r="C450" s="1" t="n">
        <v>45984</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52564-2024</t>
        </is>
      </c>
      <c r="B451" s="1" t="n">
        <v>45609</v>
      </c>
      <c r="C451" s="1" t="n">
        <v>45984</v>
      </c>
      <c r="D451" t="inlineStr">
        <is>
          <t>NORRBOTTENS LÄN</t>
        </is>
      </c>
      <c r="E451" t="inlineStr">
        <is>
          <t>JOKKMOKK</t>
        </is>
      </c>
      <c r="F451" t="inlineStr">
        <is>
          <t>Allmännings- och besparingsskogar</t>
        </is>
      </c>
      <c r="G451" t="n">
        <v>16.5</v>
      </c>
      <c r="H451" t="n">
        <v>0</v>
      </c>
      <c r="I451" t="n">
        <v>0</v>
      </c>
      <c r="J451" t="n">
        <v>0</v>
      </c>
      <c r="K451" t="n">
        <v>0</v>
      </c>
      <c r="L451" t="n">
        <v>0</v>
      </c>
      <c r="M451" t="n">
        <v>0</v>
      </c>
      <c r="N451" t="n">
        <v>0</v>
      </c>
      <c r="O451" t="n">
        <v>0</v>
      </c>
      <c r="P451" t="n">
        <v>0</v>
      </c>
      <c r="Q451" t="n">
        <v>0</v>
      </c>
      <c r="R451" s="2" t="inlineStr"/>
    </row>
    <row r="452" ht="15" customHeight="1">
      <c r="A452" t="inlineStr">
        <is>
          <t>A 45505-2022</t>
        </is>
      </c>
      <c r="B452" s="1" t="n">
        <v>44841</v>
      </c>
      <c r="C452" s="1" t="n">
        <v>45984</v>
      </c>
      <c r="D452" t="inlineStr">
        <is>
          <t>NORRBOTTENS LÄN</t>
        </is>
      </c>
      <c r="E452" t="inlineStr">
        <is>
          <t>JOKKMOKK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16972-2025</t>
        </is>
      </c>
      <c r="B453" s="1" t="n">
        <v>45755.46942129629</v>
      </c>
      <c r="C453" s="1" t="n">
        <v>45984</v>
      </c>
      <c r="D453" t="inlineStr">
        <is>
          <t>NORRBOTTENS LÄN</t>
        </is>
      </c>
      <c r="E453" t="inlineStr">
        <is>
          <t>JOKKMOKK</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14815-2024</t>
        </is>
      </c>
      <c r="B454" s="1" t="n">
        <v>45397.95770833334</v>
      </c>
      <c r="C454" s="1" t="n">
        <v>45984</v>
      </c>
      <c r="D454" t="inlineStr">
        <is>
          <t>NORRBOTTENS LÄN</t>
        </is>
      </c>
      <c r="E454" t="inlineStr">
        <is>
          <t>JOKKMOKK</t>
        </is>
      </c>
      <c r="F454" t="inlineStr">
        <is>
          <t>SCA</t>
        </is>
      </c>
      <c r="G454" t="n">
        <v>54.1</v>
      </c>
      <c r="H454" t="n">
        <v>0</v>
      </c>
      <c r="I454" t="n">
        <v>0</v>
      </c>
      <c r="J454" t="n">
        <v>0</v>
      </c>
      <c r="K454" t="n">
        <v>0</v>
      </c>
      <c r="L454" t="n">
        <v>0</v>
      </c>
      <c r="M454" t="n">
        <v>0</v>
      </c>
      <c r="N454" t="n">
        <v>0</v>
      </c>
      <c r="O454" t="n">
        <v>0</v>
      </c>
      <c r="P454" t="n">
        <v>0</v>
      </c>
      <c r="Q454" t="n">
        <v>0</v>
      </c>
      <c r="R454" s="2" t="inlineStr"/>
    </row>
    <row r="455" ht="15" customHeight="1">
      <c r="A455" t="inlineStr">
        <is>
          <t>A 4661-2022</t>
        </is>
      </c>
      <c r="B455" s="1" t="n">
        <v>44589</v>
      </c>
      <c r="C455" s="1" t="n">
        <v>45984</v>
      </c>
      <c r="D455" t="inlineStr">
        <is>
          <t>NORRBOTTENS LÄN</t>
        </is>
      </c>
      <c r="E455" t="inlineStr">
        <is>
          <t>JOKKMOKK</t>
        </is>
      </c>
      <c r="G455" t="n">
        <v>39.5</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45984</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40345-2024</t>
        </is>
      </c>
      <c r="B457" s="1" t="n">
        <v>45555.344375</v>
      </c>
      <c r="C457" s="1" t="n">
        <v>45984</v>
      </c>
      <c r="D457" t="inlineStr">
        <is>
          <t>NORRBOTTENS LÄN</t>
        </is>
      </c>
      <c r="E457" t="inlineStr">
        <is>
          <t>JOKKMOKK</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60390-2023</t>
        </is>
      </c>
      <c r="B458" s="1" t="n">
        <v>45259.43483796297</v>
      </c>
      <c r="C458" s="1" t="n">
        <v>45984</v>
      </c>
      <c r="D458" t="inlineStr">
        <is>
          <t>NORRBOTTENS LÄN</t>
        </is>
      </c>
      <c r="E458" t="inlineStr">
        <is>
          <t>JOKKMOKK</t>
        </is>
      </c>
      <c r="F458" t="inlineStr">
        <is>
          <t>Sveaskog</t>
        </is>
      </c>
      <c r="G458" t="n">
        <v>10.9</v>
      </c>
      <c r="H458" t="n">
        <v>0</v>
      </c>
      <c r="I458" t="n">
        <v>0</v>
      </c>
      <c r="J458" t="n">
        <v>0</v>
      </c>
      <c r="K458" t="n">
        <v>0</v>
      </c>
      <c r="L458" t="n">
        <v>0</v>
      </c>
      <c r="M458" t="n">
        <v>0</v>
      </c>
      <c r="N458" t="n">
        <v>0</v>
      </c>
      <c r="O458" t="n">
        <v>0</v>
      </c>
      <c r="P458" t="n">
        <v>0</v>
      </c>
      <c r="Q458" t="n">
        <v>0</v>
      </c>
      <c r="R458" s="2" t="inlineStr"/>
    </row>
    <row r="459" ht="15" customHeight="1">
      <c r="A459" t="inlineStr">
        <is>
          <t>A 30313-2024</t>
        </is>
      </c>
      <c r="B459" s="1" t="n">
        <v>45490</v>
      </c>
      <c r="C459" s="1" t="n">
        <v>45984</v>
      </c>
      <c r="D459" t="inlineStr">
        <is>
          <t>NORRBOTTENS LÄN</t>
        </is>
      </c>
      <c r="E459" t="inlineStr">
        <is>
          <t>JOKKMOKK</t>
        </is>
      </c>
      <c r="G459" t="n">
        <v>3.4</v>
      </c>
      <c r="H459" t="n">
        <v>0</v>
      </c>
      <c r="I459" t="n">
        <v>0</v>
      </c>
      <c r="J459" t="n">
        <v>0</v>
      </c>
      <c r="K459" t="n">
        <v>0</v>
      </c>
      <c r="L459" t="n">
        <v>0</v>
      </c>
      <c r="M459" t="n">
        <v>0</v>
      </c>
      <c r="N459" t="n">
        <v>0</v>
      </c>
      <c r="O459" t="n">
        <v>0</v>
      </c>
      <c r="P459" t="n">
        <v>0</v>
      </c>
      <c r="Q459" t="n">
        <v>0</v>
      </c>
      <c r="R459" s="2" t="inlineStr"/>
    </row>
    <row r="460" ht="15" customHeight="1">
      <c r="A460" t="inlineStr">
        <is>
          <t>A 52882-2023</t>
        </is>
      </c>
      <c r="B460" s="1" t="n">
        <v>45222</v>
      </c>
      <c r="C460" s="1" t="n">
        <v>45984</v>
      </c>
      <c r="D460" t="inlineStr">
        <is>
          <t>NORRBOTTENS LÄN</t>
        </is>
      </c>
      <c r="E460" t="inlineStr">
        <is>
          <t>JOKKMOKK</t>
        </is>
      </c>
      <c r="G460" t="n">
        <v>56.1</v>
      </c>
      <c r="H460" t="n">
        <v>0</v>
      </c>
      <c r="I460" t="n">
        <v>0</v>
      </c>
      <c r="J460" t="n">
        <v>0</v>
      </c>
      <c r="K460" t="n">
        <v>0</v>
      </c>
      <c r="L460" t="n">
        <v>0</v>
      </c>
      <c r="M460" t="n">
        <v>0</v>
      </c>
      <c r="N460" t="n">
        <v>0</v>
      </c>
      <c r="O460" t="n">
        <v>0</v>
      </c>
      <c r="P460" t="n">
        <v>0</v>
      </c>
      <c r="Q460" t="n">
        <v>0</v>
      </c>
      <c r="R460" s="2" t="inlineStr"/>
    </row>
    <row r="461" ht="15" customHeight="1">
      <c r="A461" t="inlineStr">
        <is>
          <t>A 51261-2024</t>
        </is>
      </c>
      <c r="B461" s="1" t="n">
        <v>45603.69465277778</v>
      </c>
      <c r="C461" s="1" t="n">
        <v>45984</v>
      </c>
      <c r="D461" t="inlineStr">
        <is>
          <t>NORRBOTTENS LÄN</t>
        </is>
      </c>
      <c r="E461" t="inlineStr">
        <is>
          <t>JOKKMOKK</t>
        </is>
      </c>
      <c r="F461" t="inlineStr">
        <is>
          <t>Allmännings- och besparingsskogar</t>
        </is>
      </c>
      <c r="G461" t="n">
        <v>11</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45984</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14869-2025</t>
        </is>
      </c>
      <c r="B463" s="1" t="n">
        <v>45743.44828703703</v>
      </c>
      <c r="C463" s="1" t="n">
        <v>45984</v>
      </c>
      <c r="D463" t="inlineStr">
        <is>
          <t>NORRBOTTENS LÄN</t>
        </is>
      </c>
      <c r="E463" t="inlineStr">
        <is>
          <t>JOKKMOKK</t>
        </is>
      </c>
      <c r="G463" t="n">
        <v>4.9</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45984</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45984</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45984</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45984</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45984</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45984</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45984</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45984</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c r="A472" t="inlineStr">
        <is>
          <t>A 21829-2025</t>
        </is>
      </c>
      <c r="B472" s="1" t="n">
        <v>45783.96920138889</v>
      </c>
      <c r="C472" s="1" t="n">
        <v>45984</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2025-11-23T10:17:06Z</dcterms:created>
  <dcterms:modified xmlns:dcterms="http://purl.org/dc/terms/" xmlns:xsi="http://www.w3.org/2001/XMLSchema-instance" xsi:type="dcterms:W3CDTF">2025-11-23T10:17:06Z</dcterms:modified>
</cp:coreProperties>
</file>