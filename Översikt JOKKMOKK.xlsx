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45926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45926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45926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45926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45926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45926</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45926</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45926</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45926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45926</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45926</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45926</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45926</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45926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45926</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45926</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45926</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45926</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45926</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45926</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45926</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45926</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45926</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45926</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45926</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45926</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45926</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45926</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45926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45926</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45926</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45926</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45926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45926</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45926</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45926</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33994-2023</t>
        </is>
      </c>
      <c r="B38" s="1" t="n">
        <v>45134</v>
      </c>
      <c r="C38" s="1" t="n">
        <v>45926</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22747-2025</t>
        </is>
      </c>
      <c r="B39" s="1" t="n">
        <v>45789.60505787037</v>
      </c>
      <c r="C39" s="1" t="n">
        <v>45926</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45926</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26837-2025</t>
        </is>
      </c>
      <c r="B41" s="1" t="n">
        <v>45810</v>
      </c>
      <c r="C41" s="1" t="n">
        <v>45926</v>
      </c>
      <c r="D41" t="inlineStr">
        <is>
          <t>NORRBOTTENS LÄN</t>
        </is>
      </c>
      <c r="E41" t="inlineStr">
        <is>
          <t>JOKKMOKK</t>
        </is>
      </c>
      <c r="G41" t="n">
        <v>23.1</v>
      </c>
      <c r="H41" t="n">
        <v>0</v>
      </c>
      <c r="I41" t="n">
        <v>0</v>
      </c>
      <c r="J41" t="n">
        <v>2</v>
      </c>
      <c r="K41" t="n">
        <v>1</v>
      </c>
      <c r="L41" t="n">
        <v>0</v>
      </c>
      <c r="M41" t="n">
        <v>0</v>
      </c>
      <c r="N41" t="n">
        <v>0</v>
      </c>
      <c r="O41" t="n">
        <v>3</v>
      </c>
      <c r="P41" t="n">
        <v>1</v>
      </c>
      <c r="Q41" t="n">
        <v>3</v>
      </c>
      <c r="R41" s="2" t="inlineStr">
        <is>
          <t>Gräddporing
Dvärgbägarlav
Nordtagging</t>
        </is>
      </c>
      <c r="S41">
        <f>HYPERLINK("https://klasma.github.io/Logging_2510/artfynd/A 26837-2025 artfynd.xlsx", "A 26837-2025")</f>
        <v/>
      </c>
      <c r="T41">
        <f>HYPERLINK("https://klasma.github.io/Logging_2510/kartor/A 26837-2025 karta.png", "A 26837-2025")</f>
        <v/>
      </c>
      <c r="V41">
        <f>HYPERLINK("https://klasma.github.io/Logging_2510/klagomål/A 26837-2025 FSC-klagomål.docx", "A 26837-2025")</f>
        <v/>
      </c>
      <c r="W41">
        <f>HYPERLINK("https://klasma.github.io/Logging_2510/klagomålsmail/A 26837-2025 FSC-klagomål mail.docx", "A 26837-2025")</f>
        <v/>
      </c>
      <c r="X41">
        <f>HYPERLINK("https://klasma.github.io/Logging_2510/tillsyn/A 26837-2025 tillsynsbegäran.docx", "A 26837-2025")</f>
        <v/>
      </c>
      <c r="Y41">
        <f>HYPERLINK("https://klasma.github.io/Logging_2510/tillsynsmail/A 26837-2025 tillsynsbegäran mail.docx", "A 26837-2025")</f>
        <v/>
      </c>
    </row>
    <row r="42" ht="15" customHeight="1">
      <c r="A42" t="inlineStr">
        <is>
          <t>A 33139-2023</t>
        </is>
      </c>
      <c r="B42" s="1" t="n">
        <v>45114</v>
      </c>
      <c r="C42" s="1" t="n">
        <v>45926</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72477-2021</t>
        </is>
      </c>
      <c r="B43" s="1" t="n">
        <v>44545</v>
      </c>
      <c r="C43" s="1" t="n">
        <v>45926</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45926</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45926</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24408-2022</t>
        </is>
      </c>
      <c r="B46" s="1" t="n">
        <v>44726</v>
      </c>
      <c r="C46" s="1" t="n">
        <v>45926</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29679-2024</t>
        </is>
      </c>
      <c r="B47" s="1" t="n">
        <v>45484</v>
      </c>
      <c r="C47" s="1" t="n">
        <v>45926</v>
      </c>
      <c r="D47" t="inlineStr">
        <is>
          <t>NORRBOTTENS LÄN</t>
        </is>
      </c>
      <c r="E47" t="inlineStr">
        <is>
          <t>JOKKMOKK</t>
        </is>
      </c>
      <c r="F47" t="inlineStr">
        <is>
          <t>SCA</t>
        </is>
      </c>
      <c r="G47" t="n">
        <v>16.1</v>
      </c>
      <c r="H47" t="n">
        <v>0</v>
      </c>
      <c r="I47" t="n">
        <v>1</v>
      </c>
      <c r="J47" t="n">
        <v>1</v>
      </c>
      <c r="K47" t="n">
        <v>0</v>
      </c>
      <c r="L47" t="n">
        <v>0</v>
      </c>
      <c r="M47" t="n">
        <v>0</v>
      </c>
      <c r="N47" t="n">
        <v>0</v>
      </c>
      <c r="O47" t="n">
        <v>1</v>
      </c>
      <c r="P47" t="n">
        <v>0</v>
      </c>
      <c r="Q47" t="n">
        <v>2</v>
      </c>
      <c r="R47" s="2" t="inlineStr">
        <is>
          <t>Kolflarnlav
Gytterlav</t>
        </is>
      </c>
      <c r="S47">
        <f>HYPERLINK("https://klasma.github.io/Logging_2510/artfynd/A 29679-2024 artfynd.xlsx", "A 29679-2024")</f>
        <v/>
      </c>
      <c r="T47">
        <f>HYPERLINK("https://klasma.github.io/Logging_2510/kartor/A 29679-2024 karta.png", "A 29679-2024")</f>
        <v/>
      </c>
      <c r="V47">
        <f>HYPERLINK("https://klasma.github.io/Logging_2510/klagomål/A 29679-2024 FSC-klagomål.docx", "A 29679-2024")</f>
        <v/>
      </c>
      <c r="W47">
        <f>HYPERLINK("https://klasma.github.io/Logging_2510/klagomålsmail/A 29679-2024 FSC-klagomål mail.docx", "A 29679-2024")</f>
        <v/>
      </c>
      <c r="X47">
        <f>HYPERLINK("https://klasma.github.io/Logging_2510/tillsyn/A 29679-2024 tillsynsbegäran.docx", "A 29679-2024")</f>
        <v/>
      </c>
      <c r="Y47">
        <f>HYPERLINK("https://klasma.github.io/Logging_2510/tillsynsmail/A 29679-2024 tillsynsbegäran mail.docx", "A 29679-2024")</f>
        <v/>
      </c>
    </row>
    <row r="48" ht="15" customHeight="1">
      <c r="A48" t="inlineStr">
        <is>
          <t>A 15827-2025</t>
        </is>
      </c>
      <c r="B48" s="1" t="n">
        <v>45748</v>
      </c>
      <c r="C48" s="1" t="n">
        <v>45926</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50237-2022</t>
        </is>
      </c>
      <c r="B49" s="1" t="n">
        <v>44865</v>
      </c>
      <c r="C49" s="1" t="n">
        <v>45926</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32982-2023</t>
        </is>
      </c>
      <c r="B50" s="1" t="n">
        <v>45113</v>
      </c>
      <c r="C50" s="1" t="n">
        <v>45926</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38607-2025</t>
        </is>
      </c>
      <c r="B51" s="1" t="n">
        <v>45884.53171296296</v>
      </c>
      <c r="C51" s="1" t="n">
        <v>45926</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36594-2021</t>
        </is>
      </c>
      <c r="B52" s="1" t="n">
        <v>44391</v>
      </c>
      <c r="C52" s="1" t="n">
        <v>45926</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43023-2024</t>
        </is>
      </c>
      <c r="B53" s="1" t="n">
        <v>45567</v>
      </c>
      <c r="C53" s="1" t="n">
        <v>45926</v>
      </c>
      <c r="D53" t="inlineStr">
        <is>
          <t>NORRBOTTENS LÄN</t>
        </is>
      </c>
      <c r="E53" t="inlineStr">
        <is>
          <t>JOKKMOKK</t>
        </is>
      </c>
      <c r="F53" t="inlineStr">
        <is>
          <t>Sveaskog</t>
        </is>
      </c>
      <c r="G53" t="n">
        <v>11.1</v>
      </c>
      <c r="H53" t="n">
        <v>0</v>
      </c>
      <c r="I53" t="n">
        <v>1</v>
      </c>
      <c r="J53" t="n">
        <v>0</v>
      </c>
      <c r="K53" t="n">
        <v>0</v>
      </c>
      <c r="L53" t="n">
        <v>0</v>
      </c>
      <c r="M53" t="n">
        <v>0</v>
      </c>
      <c r="N53" t="n">
        <v>0</v>
      </c>
      <c r="O53" t="n">
        <v>0</v>
      </c>
      <c r="P53" t="n">
        <v>0</v>
      </c>
      <c r="Q53" t="n">
        <v>1</v>
      </c>
      <c r="R53" s="2" t="inlineStr">
        <is>
          <t>Skarp dropptaggsvamp</t>
        </is>
      </c>
      <c r="S53">
        <f>HYPERLINK("https://klasma.github.io/Logging_2510/artfynd/A 43023-2024 artfynd.xlsx", "A 43023-2024")</f>
        <v/>
      </c>
      <c r="T53">
        <f>HYPERLINK("https://klasma.github.io/Logging_2510/kartor/A 43023-2024 karta.png", "A 43023-2024")</f>
        <v/>
      </c>
      <c r="V53">
        <f>HYPERLINK("https://klasma.github.io/Logging_2510/klagomål/A 43023-2024 FSC-klagomål.docx", "A 43023-2024")</f>
        <v/>
      </c>
      <c r="W53">
        <f>HYPERLINK("https://klasma.github.io/Logging_2510/klagomålsmail/A 43023-2024 FSC-klagomål mail.docx", "A 43023-2024")</f>
        <v/>
      </c>
      <c r="X53">
        <f>HYPERLINK("https://klasma.github.io/Logging_2510/tillsyn/A 43023-2024 tillsynsbegäran.docx", "A 43023-2024")</f>
        <v/>
      </c>
      <c r="Y53">
        <f>HYPERLINK("https://klasma.github.io/Logging_2510/tillsynsmail/A 43023-2024 tillsynsbegäran mail.docx", "A 43023-2024")</f>
        <v/>
      </c>
    </row>
    <row r="54" ht="15" customHeight="1">
      <c r="A54" t="inlineStr">
        <is>
          <t>A 52260-2024</t>
        </is>
      </c>
      <c r="B54" s="1" t="n">
        <v>45608</v>
      </c>
      <c r="C54" s="1" t="n">
        <v>45926</v>
      </c>
      <c r="D54" t="inlineStr">
        <is>
          <t>NORRBOTTENS LÄN</t>
        </is>
      </c>
      <c r="E54" t="inlineStr">
        <is>
          <t>JOKKMOKK</t>
        </is>
      </c>
      <c r="F54" t="inlineStr">
        <is>
          <t>Allmännings- och besparingsskogar</t>
        </is>
      </c>
      <c r="G54" t="n">
        <v>11.6</v>
      </c>
      <c r="H54" t="n">
        <v>0</v>
      </c>
      <c r="I54" t="n">
        <v>0</v>
      </c>
      <c r="J54" t="n">
        <v>1</v>
      </c>
      <c r="K54" t="n">
        <v>0</v>
      </c>
      <c r="L54" t="n">
        <v>0</v>
      </c>
      <c r="M54" t="n">
        <v>0</v>
      </c>
      <c r="N54" t="n">
        <v>0</v>
      </c>
      <c r="O54" t="n">
        <v>1</v>
      </c>
      <c r="P54" t="n">
        <v>0</v>
      </c>
      <c r="Q54" t="n">
        <v>1</v>
      </c>
      <c r="R54" s="2" t="inlineStr">
        <is>
          <t>Tallticka</t>
        </is>
      </c>
      <c r="S54">
        <f>HYPERLINK("https://klasma.github.io/Logging_2510/artfynd/A 52260-2024 artfynd.xlsx", "A 52260-2024")</f>
        <v/>
      </c>
      <c r="T54">
        <f>HYPERLINK("https://klasma.github.io/Logging_2510/kartor/A 52260-2024 karta.png", "A 52260-2024")</f>
        <v/>
      </c>
      <c r="V54">
        <f>HYPERLINK("https://klasma.github.io/Logging_2510/klagomål/A 52260-2024 FSC-klagomål.docx", "A 52260-2024")</f>
        <v/>
      </c>
      <c r="W54">
        <f>HYPERLINK("https://klasma.github.io/Logging_2510/klagomålsmail/A 52260-2024 FSC-klagomål mail.docx", "A 52260-2024")</f>
        <v/>
      </c>
      <c r="X54">
        <f>HYPERLINK("https://klasma.github.io/Logging_2510/tillsyn/A 52260-2024 tillsynsbegäran.docx", "A 52260-2024")</f>
        <v/>
      </c>
      <c r="Y54">
        <f>HYPERLINK("https://klasma.github.io/Logging_2510/tillsynsmail/A 52260-2024 tillsynsbegäran mail.docx", "A 52260-2024")</f>
        <v/>
      </c>
    </row>
    <row r="55" ht="15" customHeight="1">
      <c r="A55" t="inlineStr">
        <is>
          <t>A 51875-2020</t>
        </is>
      </c>
      <c r="B55" s="1" t="n">
        <v>44109</v>
      </c>
      <c r="C55" s="1" t="n">
        <v>45926</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43039-2024</t>
        </is>
      </c>
      <c r="B56" s="1" t="n">
        <v>45567</v>
      </c>
      <c r="C56" s="1" t="n">
        <v>45926</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44147-2024</t>
        </is>
      </c>
      <c r="B57" s="1" t="n">
        <v>45572.67306712963</v>
      </c>
      <c r="C57" s="1" t="n">
        <v>45926</v>
      </c>
      <c r="D57" t="inlineStr">
        <is>
          <t>NORRBOTTENS LÄN</t>
        </is>
      </c>
      <c r="E57" t="inlineStr">
        <is>
          <t>JOKKMOKK</t>
        </is>
      </c>
      <c r="F57" t="inlineStr">
        <is>
          <t>Sveaskog</t>
        </is>
      </c>
      <c r="G57" t="n">
        <v>6.2</v>
      </c>
      <c r="H57" t="n">
        <v>1</v>
      </c>
      <c r="I57" t="n">
        <v>1</v>
      </c>
      <c r="J57" t="n">
        <v>0</v>
      </c>
      <c r="K57" t="n">
        <v>0</v>
      </c>
      <c r="L57" t="n">
        <v>0</v>
      </c>
      <c r="M57" t="n">
        <v>0</v>
      </c>
      <c r="N57" t="n">
        <v>0</v>
      </c>
      <c r="O57" t="n">
        <v>0</v>
      </c>
      <c r="P57" t="n">
        <v>0</v>
      </c>
      <c r="Q57" t="n">
        <v>1</v>
      </c>
      <c r="R57" s="2" t="inlineStr">
        <is>
          <t>Plattlummer</t>
        </is>
      </c>
      <c r="S57">
        <f>HYPERLINK("https://klasma.github.io/Logging_2510/artfynd/A 44147-2024 artfynd.xlsx", "A 44147-2024")</f>
        <v/>
      </c>
      <c r="T57">
        <f>HYPERLINK("https://klasma.github.io/Logging_2510/kartor/A 44147-2024 karta.png", "A 44147-2024")</f>
        <v/>
      </c>
      <c r="V57">
        <f>HYPERLINK("https://klasma.github.io/Logging_2510/klagomål/A 44147-2024 FSC-klagomål.docx", "A 44147-2024")</f>
        <v/>
      </c>
      <c r="W57">
        <f>HYPERLINK("https://klasma.github.io/Logging_2510/klagomålsmail/A 44147-2024 FSC-klagomål mail.docx", "A 44147-2024")</f>
        <v/>
      </c>
      <c r="X57">
        <f>HYPERLINK("https://klasma.github.io/Logging_2510/tillsyn/A 44147-2024 tillsynsbegäran.docx", "A 44147-2024")</f>
        <v/>
      </c>
      <c r="Y57">
        <f>HYPERLINK("https://klasma.github.io/Logging_2510/tillsynsmail/A 44147-2024 tillsynsbegäran mail.docx", "A 44147-2024")</f>
        <v/>
      </c>
    </row>
    <row r="58" ht="15" customHeight="1">
      <c r="A58" t="inlineStr">
        <is>
          <t>A 50121-2024</t>
        </is>
      </c>
      <c r="B58" s="1" t="n">
        <v>45600.42096064815</v>
      </c>
      <c r="C58" s="1" t="n">
        <v>45926</v>
      </c>
      <c r="D58" t="inlineStr">
        <is>
          <t>NORRBOTTENS LÄN</t>
        </is>
      </c>
      <c r="E58" t="inlineStr">
        <is>
          <t>JOKKMOKK</t>
        </is>
      </c>
      <c r="G58" t="n">
        <v>2.3</v>
      </c>
      <c r="H58" t="n">
        <v>1</v>
      </c>
      <c r="I58" t="n">
        <v>0</v>
      </c>
      <c r="J58" t="n">
        <v>1</v>
      </c>
      <c r="K58" t="n">
        <v>0</v>
      </c>
      <c r="L58" t="n">
        <v>0</v>
      </c>
      <c r="M58" t="n">
        <v>0</v>
      </c>
      <c r="N58" t="n">
        <v>0</v>
      </c>
      <c r="O58" t="n">
        <v>1</v>
      </c>
      <c r="P58" t="n">
        <v>0</v>
      </c>
      <c r="Q58" t="n">
        <v>1</v>
      </c>
      <c r="R58" s="2" t="inlineStr">
        <is>
          <t>Buskskvätta</t>
        </is>
      </c>
      <c r="S58">
        <f>HYPERLINK("https://klasma.github.io/Logging_2510/artfynd/A 50121-2024 artfynd.xlsx", "A 50121-2024")</f>
        <v/>
      </c>
      <c r="T58">
        <f>HYPERLINK("https://klasma.github.io/Logging_2510/kartor/A 50121-2024 karta.png", "A 50121-2024")</f>
        <v/>
      </c>
      <c r="V58">
        <f>HYPERLINK("https://klasma.github.io/Logging_2510/klagomål/A 50121-2024 FSC-klagomål.docx", "A 50121-2024")</f>
        <v/>
      </c>
      <c r="W58">
        <f>HYPERLINK("https://klasma.github.io/Logging_2510/klagomålsmail/A 50121-2024 FSC-klagomål mail.docx", "A 50121-2024")</f>
        <v/>
      </c>
      <c r="X58">
        <f>HYPERLINK("https://klasma.github.io/Logging_2510/tillsyn/A 50121-2024 tillsynsbegäran.docx", "A 50121-2024")</f>
        <v/>
      </c>
      <c r="Y58">
        <f>HYPERLINK("https://klasma.github.io/Logging_2510/tillsynsmail/A 50121-2024 tillsynsbegäran mail.docx", "A 50121-2024")</f>
        <v/>
      </c>
      <c r="Z58">
        <f>HYPERLINK("https://klasma.github.io/Logging_2510/fåglar/A 50121-2024 prioriterade fågelarter.docx", "A 50121-2024")</f>
        <v/>
      </c>
    </row>
    <row r="59" ht="15" customHeight="1">
      <c r="A59" t="inlineStr">
        <is>
          <t>A 72480-2021</t>
        </is>
      </c>
      <c r="B59" s="1" t="n">
        <v>44545</v>
      </c>
      <c r="C59" s="1" t="n">
        <v>45926</v>
      </c>
      <c r="D59" t="inlineStr">
        <is>
          <t>NORRBOTTENS LÄN</t>
        </is>
      </c>
      <c r="E59" t="inlineStr">
        <is>
          <t>JOKKMOKK</t>
        </is>
      </c>
      <c r="G59" t="n">
        <v>8.800000000000001</v>
      </c>
      <c r="H59" t="n">
        <v>0</v>
      </c>
      <c r="I59" t="n">
        <v>0</v>
      </c>
      <c r="J59" t="n">
        <v>1</v>
      </c>
      <c r="K59" t="n">
        <v>0</v>
      </c>
      <c r="L59" t="n">
        <v>0</v>
      </c>
      <c r="M59" t="n">
        <v>0</v>
      </c>
      <c r="N59" t="n">
        <v>0</v>
      </c>
      <c r="O59" t="n">
        <v>1</v>
      </c>
      <c r="P59" t="n">
        <v>0</v>
      </c>
      <c r="Q59" t="n">
        <v>1</v>
      </c>
      <c r="R59" s="2" t="inlineStr">
        <is>
          <t>Dvärgbägarlav</t>
        </is>
      </c>
      <c r="S59">
        <f>HYPERLINK("https://klasma.github.io/Logging_2510/artfynd/A 72480-2021 artfynd.xlsx", "A 72480-2021")</f>
        <v/>
      </c>
      <c r="T59">
        <f>HYPERLINK("https://klasma.github.io/Logging_2510/kartor/A 72480-2021 karta.png", "A 72480-2021")</f>
        <v/>
      </c>
      <c r="V59">
        <f>HYPERLINK("https://klasma.github.io/Logging_2510/klagomål/A 72480-2021 FSC-klagomål.docx", "A 72480-2021")</f>
        <v/>
      </c>
      <c r="W59">
        <f>HYPERLINK("https://klasma.github.io/Logging_2510/klagomålsmail/A 72480-2021 FSC-klagomål mail.docx", "A 72480-2021")</f>
        <v/>
      </c>
      <c r="X59">
        <f>HYPERLINK("https://klasma.github.io/Logging_2510/tillsyn/A 72480-2021 tillsynsbegäran.docx", "A 72480-2021")</f>
        <v/>
      </c>
      <c r="Y59">
        <f>HYPERLINK("https://klasma.github.io/Logging_2510/tillsynsmail/A 72480-2021 tillsynsbegäran mail.docx", "A 72480-2021")</f>
        <v/>
      </c>
    </row>
    <row r="60" ht="15" customHeight="1">
      <c r="A60" t="inlineStr">
        <is>
          <t>A 40466-2023</t>
        </is>
      </c>
      <c r="B60" s="1" t="n">
        <v>45170</v>
      </c>
      <c r="C60" s="1" t="n">
        <v>45926</v>
      </c>
      <c r="D60" t="inlineStr">
        <is>
          <t>NORRBOTTENS LÄN</t>
        </is>
      </c>
      <c r="E60" t="inlineStr">
        <is>
          <t>JOKKMOKK</t>
        </is>
      </c>
      <c r="F60" t="inlineStr">
        <is>
          <t>Sveaskog</t>
        </is>
      </c>
      <c r="G60" t="n">
        <v>1.5</v>
      </c>
      <c r="H60" t="n">
        <v>0</v>
      </c>
      <c r="I60" t="n">
        <v>0</v>
      </c>
      <c r="J60" t="n">
        <v>1</v>
      </c>
      <c r="K60" t="n">
        <v>0</v>
      </c>
      <c r="L60" t="n">
        <v>0</v>
      </c>
      <c r="M60" t="n">
        <v>0</v>
      </c>
      <c r="N60" t="n">
        <v>0</v>
      </c>
      <c r="O60" t="n">
        <v>1</v>
      </c>
      <c r="P60" t="n">
        <v>0</v>
      </c>
      <c r="Q60" t="n">
        <v>1</v>
      </c>
      <c r="R60" s="2" t="inlineStr">
        <is>
          <t>Motaggsvamp</t>
        </is>
      </c>
      <c r="S60">
        <f>HYPERLINK("https://klasma.github.io/Logging_2510/artfynd/A 40466-2023 artfynd.xlsx", "A 40466-2023")</f>
        <v/>
      </c>
      <c r="T60">
        <f>HYPERLINK("https://klasma.github.io/Logging_2510/kartor/A 40466-2023 karta.png", "A 40466-2023")</f>
        <v/>
      </c>
      <c r="V60">
        <f>HYPERLINK("https://klasma.github.io/Logging_2510/klagomål/A 40466-2023 FSC-klagomål.docx", "A 40466-2023")</f>
        <v/>
      </c>
      <c r="W60">
        <f>HYPERLINK("https://klasma.github.io/Logging_2510/klagomålsmail/A 40466-2023 FSC-klagomål mail.docx", "A 40466-2023")</f>
        <v/>
      </c>
      <c r="X60">
        <f>HYPERLINK("https://klasma.github.io/Logging_2510/tillsyn/A 40466-2023 tillsynsbegäran.docx", "A 40466-2023")</f>
        <v/>
      </c>
      <c r="Y60">
        <f>HYPERLINK("https://klasma.github.io/Logging_2510/tillsynsmail/A 40466-2023 tillsynsbegäran mail.docx", "A 40466-2023")</f>
        <v/>
      </c>
    </row>
    <row r="61" ht="15" customHeight="1">
      <c r="A61" t="inlineStr">
        <is>
          <t>A 52994-2024</t>
        </is>
      </c>
      <c r="B61" s="1" t="n">
        <v>45611.37796296296</v>
      </c>
      <c r="C61" s="1" t="n">
        <v>45926</v>
      </c>
      <c r="D61" t="inlineStr">
        <is>
          <t>NORRBOTTENS LÄN</t>
        </is>
      </c>
      <c r="E61" t="inlineStr">
        <is>
          <t>JOKKMOKK</t>
        </is>
      </c>
      <c r="F61" t="inlineStr">
        <is>
          <t>Sveaskog</t>
        </is>
      </c>
      <c r="G61" t="n">
        <v>17.1</v>
      </c>
      <c r="H61" t="n">
        <v>0</v>
      </c>
      <c r="I61" t="n">
        <v>0</v>
      </c>
      <c r="J61" t="n">
        <v>1</v>
      </c>
      <c r="K61" t="n">
        <v>0</v>
      </c>
      <c r="L61" t="n">
        <v>0</v>
      </c>
      <c r="M61" t="n">
        <v>0</v>
      </c>
      <c r="N61" t="n">
        <v>0</v>
      </c>
      <c r="O61" t="n">
        <v>1</v>
      </c>
      <c r="P61" t="n">
        <v>0</v>
      </c>
      <c r="Q61" t="n">
        <v>1</v>
      </c>
      <c r="R61" s="2" t="inlineStr">
        <is>
          <t>Blå taggsvamp</t>
        </is>
      </c>
      <c r="S61">
        <f>HYPERLINK("https://klasma.github.io/Logging_2510/artfynd/A 52994-2024 artfynd.xlsx", "A 52994-2024")</f>
        <v/>
      </c>
      <c r="T61">
        <f>HYPERLINK("https://klasma.github.io/Logging_2510/kartor/A 52994-2024 karta.png", "A 52994-2024")</f>
        <v/>
      </c>
      <c r="V61">
        <f>HYPERLINK("https://klasma.github.io/Logging_2510/klagomål/A 52994-2024 FSC-klagomål.docx", "A 52994-2024")</f>
        <v/>
      </c>
      <c r="W61">
        <f>HYPERLINK("https://klasma.github.io/Logging_2510/klagomålsmail/A 52994-2024 FSC-klagomål mail.docx", "A 52994-2024")</f>
        <v/>
      </c>
      <c r="X61">
        <f>HYPERLINK("https://klasma.github.io/Logging_2510/tillsyn/A 52994-2024 tillsynsbegäran.docx", "A 52994-2024")</f>
        <v/>
      </c>
      <c r="Y61">
        <f>HYPERLINK("https://klasma.github.io/Logging_2510/tillsynsmail/A 52994-2024 tillsynsbegäran mail.docx", "A 52994-2024")</f>
        <v/>
      </c>
    </row>
    <row r="62" ht="15" customHeight="1">
      <c r="A62" t="inlineStr">
        <is>
          <t>A 29859-2025</t>
        </is>
      </c>
      <c r="B62" s="1" t="n">
        <v>45826.34621527778</v>
      </c>
      <c r="C62" s="1" t="n">
        <v>45926</v>
      </c>
      <c r="D62" t="inlineStr">
        <is>
          <t>NORRBOTTENS LÄN</t>
        </is>
      </c>
      <c r="E62" t="inlineStr">
        <is>
          <t>JOKKMOKK</t>
        </is>
      </c>
      <c r="F62" t="inlineStr">
        <is>
          <t>SCA</t>
        </is>
      </c>
      <c r="G62" t="n">
        <v>2.9</v>
      </c>
      <c r="H62" t="n">
        <v>0</v>
      </c>
      <c r="I62" t="n">
        <v>0</v>
      </c>
      <c r="J62" t="n">
        <v>0</v>
      </c>
      <c r="K62" t="n">
        <v>1</v>
      </c>
      <c r="L62" t="n">
        <v>0</v>
      </c>
      <c r="M62" t="n">
        <v>0</v>
      </c>
      <c r="N62" t="n">
        <v>0</v>
      </c>
      <c r="O62" t="n">
        <v>1</v>
      </c>
      <c r="P62" t="n">
        <v>1</v>
      </c>
      <c r="Q62" t="n">
        <v>1</v>
      </c>
      <c r="R62" s="2" t="inlineStr">
        <is>
          <t>Tallgråticka</t>
        </is>
      </c>
      <c r="S62">
        <f>HYPERLINK("https://klasma.github.io/Logging_2510/artfynd/A 29859-2025 artfynd.xlsx", "A 29859-2025")</f>
        <v/>
      </c>
      <c r="T62">
        <f>HYPERLINK("https://klasma.github.io/Logging_2510/kartor/A 29859-2025 karta.png", "A 29859-2025")</f>
        <v/>
      </c>
      <c r="V62">
        <f>HYPERLINK("https://klasma.github.io/Logging_2510/klagomål/A 29859-2025 FSC-klagomål.docx", "A 29859-2025")</f>
        <v/>
      </c>
      <c r="W62">
        <f>HYPERLINK("https://klasma.github.io/Logging_2510/klagomålsmail/A 29859-2025 FSC-klagomål mail.docx", "A 29859-2025")</f>
        <v/>
      </c>
      <c r="X62">
        <f>HYPERLINK("https://klasma.github.io/Logging_2510/tillsyn/A 29859-2025 tillsynsbegäran.docx", "A 29859-2025")</f>
        <v/>
      </c>
      <c r="Y62">
        <f>HYPERLINK("https://klasma.github.io/Logging_2510/tillsynsmail/A 29859-2025 tillsynsbegäran mail.docx", "A 29859-2025")</f>
        <v/>
      </c>
    </row>
    <row r="63" ht="15" customHeight="1">
      <c r="A63" t="inlineStr">
        <is>
          <t>A 49525-2024</t>
        </is>
      </c>
      <c r="B63" s="1" t="n">
        <v>45596</v>
      </c>
      <c r="C63" s="1" t="n">
        <v>45926</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32669-2025</t>
        </is>
      </c>
      <c r="B64" s="1" t="n">
        <v>45838.69793981482</v>
      </c>
      <c r="C64" s="1" t="n">
        <v>45926</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34135-2025</t>
        </is>
      </c>
      <c r="B65" s="1" t="n">
        <v>45845.5409375</v>
      </c>
      <c r="C65" s="1" t="n">
        <v>45926</v>
      </c>
      <c r="D65" t="inlineStr">
        <is>
          <t>NORRBOTTENS LÄN</t>
        </is>
      </c>
      <c r="E65" t="inlineStr">
        <is>
          <t>JOKKMOKK</t>
        </is>
      </c>
      <c r="G65" t="n">
        <v>4.8</v>
      </c>
      <c r="H65" t="n">
        <v>0</v>
      </c>
      <c r="I65" t="n">
        <v>0</v>
      </c>
      <c r="J65" t="n">
        <v>1</v>
      </c>
      <c r="K65" t="n">
        <v>0</v>
      </c>
      <c r="L65" t="n">
        <v>0</v>
      </c>
      <c r="M65" t="n">
        <v>0</v>
      </c>
      <c r="N65" t="n">
        <v>0</v>
      </c>
      <c r="O65" t="n">
        <v>1</v>
      </c>
      <c r="P65" t="n">
        <v>0</v>
      </c>
      <c r="Q65" t="n">
        <v>1</v>
      </c>
      <c r="R65" s="2" t="inlineStr">
        <is>
          <t>Svart taggsvamp</t>
        </is>
      </c>
      <c r="S65">
        <f>HYPERLINK("https://klasma.github.io/Logging_2510/artfynd/A 34135-2025 artfynd.xlsx", "A 34135-2025")</f>
        <v/>
      </c>
      <c r="T65">
        <f>HYPERLINK("https://klasma.github.io/Logging_2510/kartor/A 34135-2025 karta.png", "A 34135-2025")</f>
        <v/>
      </c>
      <c r="V65">
        <f>HYPERLINK("https://klasma.github.io/Logging_2510/klagomål/A 34135-2025 FSC-klagomål.docx", "A 34135-2025")</f>
        <v/>
      </c>
      <c r="W65">
        <f>HYPERLINK("https://klasma.github.io/Logging_2510/klagomålsmail/A 34135-2025 FSC-klagomål mail.docx", "A 34135-2025")</f>
        <v/>
      </c>
      <c r="X65">
        <f>HYPERLINK("https://klasma.github.io/Logging_2510/tillsyn/A 34135-2025 tillsynsbegäran.docx", "A 34135-2025")</f>
        <v/>
      </c>
      <c r="Y65">
        <f>HYPERLINK("https://klasma.github.io/Logging_2510/tillsynsmail/A 34135-2025 tillsynsbegäran mail.docx", "A 34135-2025")</f>
        <v/>
      </c>
    </row>
    <row r="66" ht="15" customHeight="1">
      <c r="A66" t="inlineStr">
        <is>
          <t>A 39850-2025</t>
        </is>
      </c>
      <c r="B66" s="1" t="n">
        <v>45891.58591435185</v>
      </c>
      <c r="C66" s="1" t="n">
        <v>45926</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42834-2025</t>
        </is>
      </c>
      <c r="B67" s="1" t="n">
        <v>45908.57949074074</v>
      </c>
      <c r="C67" s="1" t="n">
        <v>45926</v>
      </c>
      <c r="D67" t="inlineStr">
        <is>
          <t>NORRBOTTENS LÄN</t>
        </is>
      </c>
      <c r="E67" t="inlineStr">
        <is>
          <t>JOKKMOKK</t>
        </is>
      </c>
      <c r="F67" t="inlineStr">
        <is>
          <t>Sveaskog</t>
        </is>
      </c>
      <c r="G67" t="n">
        <v>11.2</v>
      </c>
      <c r="H67" t="n">
        <v>1</v>
      </c>
      <c r="I67" t="n">
        <v>0</v>
      </c>
      <c r="J67" t="n">
        <v>0</v>
      </c>
      <c r="K67" t="n">
        <v>1</v>
      </c>
      <c r="L67" t="n">
        <v>0</v>
      </c>
      <c r="M67" t="n">
        <v>0</v>
      </c>
      <c r="N67" t="n">
        <v>0</v>
      </c>
      <c r="O67" t="n">
        <v>1</v>
      </c>
      <c r="P67" t="n">
        <v>1</v>
      </c>
      <c r="Q67" t="n">
        <v>1</v>
      </c>
      <c r="R67" s="2" t="inlineStr">
        <is>
          <t>Knärot</t>
        </is>
      </c>
      <c r="S67">
        <f>HYPERLINK("https://klasma.github.io/Logging_2510/artfynd/A 42834-2025 artfynd.xlsx", "A 42834-2025")</f>
        <v/>
      </c>
      <c r="T67">
        <f>HYPERLINK("https://klasma.github.io/Logging_2510/kartor/A 42834-2025 karta.png", "A 42834-2025")</f>
        <v/>
      </c>
      <c r="U67">
        <f>HYPERLINK("https://klasma.github.io/Logging_2510/knärot/A 42834-2025 karta knärot.png", "A 42834-2025")</f>
        <v/>
      </c>
      <c r="V67">
        <f>HYPERLINK("https://klasma.github.io/Logging_2510/klagomål/A 42834-2025 FSC-klagomål.docx", "A 42834-2025")</f>
        <v/>
      </c>
      <c r="W67">
        <f>HYPERLINK("https://klasma.github.io/Logging_2510/klagomålsmail/A 42834-2025 FSC-klagomål mail.docx", "A 42834-2025")</f>
        <v/>
      </c>
      <c r="X67">
        <f>HYPERLINK("https://klasma.github.io/Logging_2510/tillsyn/A 42834-2025 tillsynsbegäran.docx", "A 42834-2025")</f>
        <v/>
      </c>
      <c r="Y67">
        <f>HYPERLINK("https://klasma.github.io/Logging_2510/tillsynsmail/A 42834-2025 tillsynsbegäran mail.docx", "A 42834-2025")</f>
        <v/>
      </c>
    </row>
    <row r="68" ht="15" customHeight="1">
      <c r="A68" t="inlineStr">
        <is>
          <t>A 52537-2023</t>
        </is>
      </c>
      <c r="B68" s="1" t="n">
        <v>45225</v>
      </c>
      <c r="C68" s="1" t="n">
        <v>45926</v>
      </c>
      <c r="D68" t="inlineStr">
        <is>
          <t>NORRBOTTENS LÄN</t>
        </is>
      </c>
      <c r="E68" t="inlineStr">
        <is>
          <t>JOKKMOKK</t>
        </is>
      </c>
      <c r="F68" t="inlineStr">
        <is>
          <t>Övriga statliga verk och myndigheter</t>
        </is>
      </c>
      <c r="G68" t="n">
        <v>15.3</v>
      </c>
      <c r="H68" t="n">
        <v>0</v>
      </c>
      <c r="I68" t="n">
        <v>0</v>
      </c>
      <c r="J68" t="n">
        <v>1</v>
      </c>
      <c r="K68" t="n">
        <v>0</v>
      </c>
      <c r="L68" t="n">
        <v>0</v>
      </c>
      <c r="M68" t="n">
        <v>0</v>
      </c>
      <c r="N68" t="n">
        <v>0</v>
      </c>
      <c r="O68" t="n">
        <v>1</v>
      </c>
      <c r="P68" t="n">
        <v>0</v>
      </c>
      <c r="Q68" t="n">
        <v>1</v>
      </c>
      <c r="R68" s="2" t="inlineStr">
        <is>
          <t>Reliktbock</t>
        </is>
      </c>
      <c r="S68">
        <f>HYPERLINK("https://klasma.github.io/Logging_2510/artfynd/A 52537-2023 artfynd.xlsx", "A 52537-2023")</f>
        <v/>
      </c>
      <c r="T68">
        <f>HYPERLINK("https://klasma.github.io/Logging_2510/kartor/A 52537-2023 karta.png", "A 52537-2023")</f>
        <v/>
      </c>
      <c r="V68">
        <f>HYPERLINK("https://klasma.github.io/Logging_2510/klagomål/A 52537-2023 FSC-klagomål.docx", "A 52537-2023")</f>
        <v/>
      </c>
      <c r="W68">
        <f>HYPERLINK("https://klasma.github.io/Logging_2510/klagomålsmail/A 52537-2023 FSC-klagomål mail.docx", "A 52537-2023")</f>
        <v/>
      </c>
      <c r="X68">
        <f>HYPERLINK("https://klasma.github.io/Logging_2510/tillsyn/A 52537-2023 tillsynsbegäran.docx", "A 52537-2023")</f>
        <v/>
      </c>
      <c r="Y68">
        <f>HYPERLINK("https://klasma.github.io/Logging_2510/tillsynsmail/A 52537-2023 tillsynsbegäran mail.docx", "A 52537-2023")</f>
        <v/>
      </c>
    </row>
    <row r="69" ht="15" customHeight="1">
      <c r="A69" t="inlineStr">
        <is>
          <t>A 44203-2025</t>
        </is>
      </c>
      <c r="B69" s="1" t="n">
        <v>45915.62523148148</v>
      </c>
      <c r="C69" s="1" t="n">
        <v>45926</v>
      </c>
      <c r="D69" t="inlineStr">
        <is>
          <t>NORRBOTTENS LÄN</t>
        </is>
      </c>
      <c r="E69" t="inlineStr">
        <is>
          <t>JOKKMOKK</t>
        </is>
      </c>
      <c r="F69" t="inlineStr">
        <is>
          <t>Sveaskog</t>
        </is>
      </c>
      <c r="G69" t="n">
        <v>5.7</v>
      </c>
      <c r="H69" t="n">
        <v>0</v>
      </c>
      <c r="I69" t="n">
        <v>1</v>
      </c>
      <c r="J69" t="n">
        <v>0</v>
      </c>
      <c r="K69" t="n">
        <v>0</v>
      </c>
      <c r="L69" t="n">
        <v>0</v>
      </c>
      <c r="M69" t="n">
        <v>0</v>
      </c>
      <c r="N69" t="n">
        <v>0</v>
      </c>
      <c r="O69" t="n">
        <v>0</v>
      </c>
      <c r="P69" t="n">
        <v>0</v>
      </c>
      <c r="Q69" t="n">
        <v>1</v>
      </c>
      <c r="R69" s="2" t="inlineStr">
        <is>
          <t>Skarp dropptaggsvamp</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44234-2025</t>
        </is>
      </c>
      <c r="B70" s="1" t="n">
        <v>45915.65525462963</v>
      </c>
      <c r="C70" s="1" t="n">
        <v>45926</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37252-2025</t>
        </is>
      </c>
      <c r="B71" s="1" t="n">
        <v>45876.4228125</v>
      </c>
      <c r="C71" s="1" t="n">
        <v>45926</v>
      </c>
      <c r="D71" t="inlineStr">
        <is>
          <t>NORRBOTTENS LÄN</t>
        </is>
      </c>
      <c r="E71" t="inlineStr">
        <is>
          <t>JOKKMOKK</t>
        </is>
      </c>
      <c r="F71" t="inlineStr">
        <is>
          <t>Sveaskog</t>
        </is>
      </c>
      <c r="G71" t="n">
        <v>4.5</v>
      </c>
      <c r="H71" t="n">
        <v>1</v>
      </c>
      <c r="I71" t="n">
        <v>1</v>
      </c>
      <c r="J71" t="n">
        <v>0</v>
      </c>
      <c r="K71" t="n">
        <v>0</v>
      </c>
      <c r="L71" t="n">
        <v>0</v>
      </c>
      <c r="M71" t="n">
        <v>0</v>
      </c>
      <c r="N71" t="n">
        <v>0</v>
      </c>
      <c r="O71" t="n">
        <v>0</v>
      </c>
      <c r="P71" t="n">
        <v>0</v>
      </c>
      <c r="Q71" t="n">
        <v>1</v>
      </c>
      <c r="R71" s="2" t="inlineStr">
        <is>
          <t>Spindelblomster</t>
        </is>
      </c>
      <c r="S71">
        <f>HYPERLINK("https://klasma.github.io/Logging_2510/artfynd/A 37252-2025 artfynd.xlsx", "A 37252-2025")</f>
        <v/>
      </c>
      <c r="T71">
        <f>HYPERLINK("https://klasma.github.io/Logging_2510/kartor/A 37252-2025 karta.png", "A 37252-2025")</f>
        <v/>
      </c>
      <c r="V71">
        <f>HYPERLINK("https://klasma.github.io/Logging_2510/klagomål/A 37252-2025 FSC-klagomål.docx", "A 37252-2025")</f>
        <v/>
      </c>
      <c r="W71">
        <f>HYPERLINK("https://klasma.github.io/Logging_2510/klagomålsmail/A 37252-2025 FSC-klagomål mail.docx", "A 37252-2025")</f>
        <v/>
      </c>
      <c r="X71">
        <f>HYPERLINK("https://klasma.github.io/Logging_2510/tillsyn/A 37252-2025 tillsynsbegäran.docx", "A 37252-2025")</f>
        <v/>
      </c>
      <c r="Y71">
        <f>HYPERLINK("https://klasma.github.io/Logging_2510/tillsynsmail/A 37252-2025 tillsynsbegäran mail.docx", "A 37252-2025")</f>
        <v/>
      </c>
    </row>
    <row r="72" ht="15" customHeight="1">
      <c r="A72" t="inlineStr">
        <is>
          <t>A 44828-2025</t>
        </is>
      </c>
      <c r="B72" s="1" t="n">
        <v>45918.38981481481</v>
      </c>
      <c r="C72" s="1" t="n">
        <v>45926</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38039-2021</t>
        </is>
      </c>
      <c r="B73" s="1" t="n">
        <v>44404</v>
      </c>
      <c r="C73" s="1" t="n">
        <v>45926</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45926</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45926</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45926</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45926</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45926</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45926</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45926</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71950-2021</t>
        </is>
      </c>
      <c r="B81" s="1" t="n">
        <v>44543</v>
      </c>
      <c r="C81" s="1" t="n">
        <v>45926</v>
      </c>
      <c r="D81" t="inlineStr">
        <is>
          <t>NORRBOTTENS LÄN</t>
        </is>
      </c>
      <c r="E81" t="inlineStr">
        <is>
          <t>JOKKMOKK</t>
        </is>
      </c>
      <c r="F81" t="inlineStr">
        <is>
          <t>Naturvårdsverket</t>
        </is>
      </c>
      <c r="G81" t="n">
        <v>13.3</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45926</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45926</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45926</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45926</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45926</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45926</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45926</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45926</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45926</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45926</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45926</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45926</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45926</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45926</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45926</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45926</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45926</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45926</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45926</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45926</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45926</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45926</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45926</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45926</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39784-2021</t>
        </is>
      </c>
      <c r="B106" s="1" t="n">
        <v>44417</v>
      </c>
      <c r="C106" s="1" t="n">
        <v>45926</v>
      </c>
      <c r="D106" t="inlineStr">
        <is>
          <t>NORRBOTTENS LÄN</t>
        </is>
      </c>
      <c r="E106" t="inlineStr">
        <is>
          <t>JOKKMOKK</t>
        </is>
      </c>
      <c r="F106" t="inlineStr">
        <is>
          <t>Naturvårdsverket</t>
        </is>
      </c>
      <c r="G106" t="n">
        <v>1.2</v>
      </c>
      <c r="H106" t="n">
        <v>0</v>
      </c>
      <c r="I106" t="n">
        <v>0</v>
      </c>
      <c r="J106" t="n">
        <v>0</v>
      </c>
      <c r="K106" t="n">
        <v>0</v>
      </c>
      <c r="L106" t="n">
        <v>0</v>
      </c>
      <c r="M106" t="n">
        <v>0</v>
      </c>
      <c r="N106" t="n">
        <v>0</v>
      </c>
      <c r="O106" t="n">
        <v>0</v>
      </c>
      <c r="P106" t="n">
        <v>0</v>
      </c>
      <c r="Q106" t="n">
        <v>0</v>
      </c>
      <c r="R106" s="2" t="inlineStr"/>
    </row>
    <row r="107" ht="15" customHeight="1">
      <c r="A107" t="inlineStr">
        <is>
          <t>A 62757-2020</t>
        </is>
      </c>
      <c r="B107" s="1" t="n">
        <v>44161</v>
      </c>
      <c r="C107" s="1" t="n">
        <v>45926</v>
      </c>
      <c r="D107" t="inlineStr">
        <is>
          <t>NORRBOTTENS LÄN</t>
        </is>
      </c>
      <c r="E107" t="inlineStr">
        <is>
          <t>JOKKMOKK</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45926</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71927-2021</t>
        </is>
      </c>
      <c r="B109" s="1" t="n">
        <v>44543.94331018518</v>
      </c>
      <c r="C109" s="1" t="n">
        <v>45926</v>
      </c>
      <c r="D109" t="inlineStr">
        <is>
          <t>NORRBOTTENS LÄN</t>
        </is>
      </c>
      <c r="E109" t="inlineStr">
        <is>
          <t>JOKKMOKK</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71937-2021</t>
        </is>
      </c>
      <c r="B110" s="1" t="n">
        <v>44543.94414351852</v>
      </c>
      <c r="C110" s="1" t="n">
        <v>45926</v>
      </c>
      <c r="D110" t="inlineStr">
        <is>
          <t>NORRBOTTENS LÄN</t>
        </is>
      </c>
      <c r="E110" t="inlineStr">
        <is>
          <t>JOKKMOKK</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45926</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45926</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45926</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45926</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52043-2020</t>
        </is>
      </c>
      <c r="B115" s="1" t="n">
        <v>44116</v>
      </c>
      <c r="C115" s="1" t="n">
        <v>45926</v>
      </c>
      <c r="D115" t="inlineStr">
        <is>
          <t>NORRBOTTENS LÄN</t>
        </is>
      </c>
      <c r="E115" t="inlineStr">
        <is>
          <t>JOKKMOKK</t>
        </is>
      </c>
      <c r="F115" t="inlineStr">
        <is>
          <t>SCA</t>
        </is>
      </c>
      <c r="G115" t="n">
        <v>2.1</v>
      </c>
      <c r="H115" t="n">
        <v>0</v>
      </c>
      <c r="I115" t="n">
        <v>0</v>
      </c>
      <c r="J115" t="n">
        <v>0</v>
      </c>
      <c r="K115" t="n">
        <v>0</v>
      </c>
      <c r="L115" t="n">
        <v>0</v>
      </c>
      <c r="M115" t="n">
        <v>0</v>
      </c>
      <c r="N115" t="n">
        <v>0</v>
      </c>
      <c r="O115" t="n">
        <v>0</v>
      </c>
      <c r="P115" t="n">
        <v>0</v>
      </c>
      <c r="Q115" t="n">
        <v>0</v>
      </c>
      <c r="R115" s="2" t="inlineStr"/>
    </row>
    <row r="116" ht="15" customHeight="1">
      <c r="A116" t="inlineStr">
        <is>
          <t>A 62759-2020</t>
        </is>
      </c>
      <c r="B116" s="1" t="n">
        <v>44161</v>
      </c>
      <c r="C116" s="1" t="n">
        <v>45926</v>
      </c>
      <c r="D116" t="inlineStr">
        <is>
          <t>NORRBOTTENS LÄN</t>
        </is>
      </c>
      <c r="E116" t="inlineStr">
        <is>
          <t>JOKKMOKK</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27781-2022</t>
        </is>
      </c>
      <c r="B117" s="1" t="n">
        <v>44743</v>
      </c>
      <c r="C117" s="1" t="n">
        <v>45926</v>
      </c>
      <c r="D117" t="inlineStr">
        <is>
          <t>NORRBOTTENS LÄN</t>
        </is>
      </c>
      <c r="E117" t="inlineStr">
        <is>
          <t>JOKKMOKK</t>
        </is>
      </c>
      <c r="F117" t="inlineStr">
        <is>
          <t>Sveaskog</t>
        </is>
      </c>
      <c r="G117" t="n">
        <v>0.1</v>
      </c>
      <c r="H117" t="n">
        <v>0</v>
      </c>
      <c r="I117" t="n">
        <v>0</v>
      </c>
      <c r="J117" t="n">
        <v>0</v>
      </c>
      <c r="K117" t="n">
        <v>0</v>
      </c>
      <c r="L117" t="n">
        <v>0</v>
      </c>
      <c r="M117" t="n">
        <v>0</v>
      </c>
      <c r="N117" t="n">
        <v>0</v>
      </c>
      <c r="O117" t="n">
        <v>0</v>
      </c>
      <c r="P117" t="n">
        <v>0</v>
      </c>
      <c r="Q117" t="n">
        <v>0</v>
      </c>
      <c r="R117" s="2" t="inlineStr"/>
    </row>
    <row r="118" ht="15" customHeight="1">
      <c r="A118" t="inlineStr">
        <is>
          <t>A 29073-2021</t>
        </is>
      </c>
      <c r="B118" s="1" t="n">
        <v>44358</v>
      </c>
      <c r="C118" s="1" t="n">
        <v>45926</v>
      </c>
      <c r="D118" t="inlineStr">
        <is>
          <t>NORRBOTTENS LÄN</t>
        </is>
      </c>
      <c r="E118" t="inlineStr">
        <is>
          <t>JOKKMOKK</t>
        </is>
      </c>
      <c r="F118" t="inlineStr">
        <is>
          <t>Sveaskog</t>
        </is>
      </c>
      <c r="G118" t="n">
        <v>9.6</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45926</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65652-2020</t>
        </is>
      </c>
      <c r="B120" s="1" t="n">
        <v>44172</v>
      </c>
      <c r="C120" s="1" t="n">
        <v>45926</v>
      </c>
      <c r="D120" t="inlineStr">
        <is>
          <t>NORRBOTTENS LÄN</t>
        </is>
      </c>
      <c r="E120" t="inlineStr">
        <is>
          <t>JOKKMOKK</t>
        </is>
      </c>
      <c r="G120" t="n">
        <v>6.2</v>
      </c>
      <c r="H120" t="n">
        <v>0</v>
      </c>
      <c r="I120" t="n">
        <v>0</v>
      </c>
      <c r="J120" t="n">
        <v>0</v>
      </c>
      <c r="K120" t="n">
        <v>0</v>
      </c>
      <c r="L120" t="n">
        <v>0</v>
      </c>
      <c r="M120" t="n">
        <v>0</v>
      </c>
      <c r="N120" t="n">
        <v>0</v>
      </c>
      <c r="O120" t="n">
        <v>0</v>
      </c>
      <c r="P120" t="n">
        <v>0</v>
      </c>
      <c r="Q120" t="n">
        <v>0</v>
      </c>
      <c r="R120" s="2" t="inlineStr"/>
    </row>
    <row r="121" ht="15" customHeight="1">
      <c r="A121" t="inlineStr">
        <is>
          <t>A 71370-2021</t>
        </is>
      </c>
      <c r="B121" s="1" t="n">
        <v>44539</v>
      </c>
      <c r="C121" s="1" t="n">
        <v>45926</v>
      </c>
      <c r="D121" t="inlineStr">
        <is>
          <t>NORRBOTTENS LÄN</t>
        </is>
      </c>
      <c r="E121" t="inlineStr">
        <is>
          <t>JOKKMOKK</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40129-2022</t>
        </is>
      </c>
      <c r="B122" s="1" t="n">
        <v>44820</v>
      </c>
      <c r="C122" s="1" t="n">
        <v>45926</v>
      </c>
      <c r="D122" t="inlineStr">
        <is>
          <t>NORRBOTTENS LÄN</t>
        </is>
      </c>
      <c r="E122" t="inlineStr">
        <is>
          <t>JOKKMOKK</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18537-2023</t>
        </is>
      </c>
      <c r="B123" s="1" t="n">
        <v>45028</v>
      </c>
      <c r="C123" s="1" t="n">
        <v>45926</v>
      </c>
      <c r="D123" t="inlineStr">
        <is>
          <t>NORRBOTTENS LÄN</t>
        </is>
      </c>
      <c r="E123" t="inlineStr">
        <is>
          <t>JOKKMOKK</t>
        </is>
      </c>
      <c r="G123" t="n">
        <v>1</v>
      </c>
      <c r="H123" t="n">
        <v>0</v>
      </c>
      <c r="I123" t="n">
        <v>0</v>
      </c>
      <c r="J123" t="n">
        <v>0</v>
      </c>
      <c r="K123" t="n">
        <v>0</v>
      </c>
      <c r="L123" t="n">
        <v>0</v>
      </c>
      <c r="M123" t="n">
        <v>0</v>
      </c>
      <c r="N123" t="n">
        <v>0</v>
      </c>
      <c r="O123" t="n">
        <v>0</v>
      </c>
      <c r="P123" t="n">
        <v>0</v>
      </c>
      <c r="Q123" t="n">
        <v>0</v>
      </c>
      <c r="R123" s="2" t="inlineStr"/>
    </row>
    <row r="124" ht="15" customHeight="1">
      <c r="A124" t="inlineStr">
        <is>
          <t>A 23204-2024</t>
        </is>
      </c>
      <c r="B124" s="1" t="n">
        <v>45451</v>
      </c>
      <c r="C124" s="1" t="n">
        <v>45926</v>
      </c>
      <c r="D124" t="inlineStr">
        <is>
          <t>NORRBOTTENS LÄN</t>
        </is>
      </c>
      <c r="E124" t="inlineStr">
        <is>
          <t>JOKKMOKK</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45926</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45926</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50628-2024</t>
        </is>
      </c>
      <c r="B127" s="1" t="n">
        <v>45601.66423611111</v>
      </c>
      <c r="C127" s="1" t="n">
        <v>45926</v>
      </c>
      <c r="D127" t="inlineStr">
        <is>
          <t>NORRBOTTENS LÄN</t>
        </is>
      </c>
      <c r="E127" t="inlineStr">
        <is>
          <t>JOKKMOKK</t>
        </is>
      </c>
      <c r="F127" t="inlineStr">
        <is>
          <t>Allmännings- och besparingsskogar</t>
        </is>
      </c>
      <c r="G127" t="n">
        <v>2.4</v>
      </c>
      <c r="H127" t="n">
        <v>0</v>
      </c>
      <c r="I127" t="n">
        <v>0</v>
      </c>
      <c r="J127" t="n">
        <v>0</v>
      </c>
      <c r="K127" t="n">
        <v>0</v>
      </c>
      <c r="L127" t="n">
        <v>0</v>
      </c>
      <c r="M127" t="n">
        <v>0</v>
      </c>
      <c r="N127" t="n">
        <v>0</v>
      </c>
      <c r="O127" t="n">
        <v>0</v>
      </c>
      <c r="P127" t="n">
        <v>0</v>
      </c>
      <c r="Q127" t="n">
        <v>0</v>
      </c>
      <c r="R127" s="2" t="inlineStr"/>
    </row>
    <row r="128" ht="15" customHeight="1">
      <c r="A128" t="inlineStr">
        <is>
          <t>A 9349-2023</t>
        </is>
      </c>
      <c r="B128" s="1" t="n">
        <v>44980</v>
      </c>
      <c r="C128" s="1" t="n">
        <v>45926</v>
      </c>
      <c r="D128" t="inlineStr">
        <is>
          <t>NORRBOTTENS LÄN</t>
        </is>
      </c>
      <c r="E128" t="inlineStr">
        <is>
          <t>JOKKMOKK</t>
        </is>
      </c>
      <c r="F128" t="inlineStr">
        <is>
          <t>SCA</t>
        </is>
      </c>
      <c r="G128" t="n">
        <v>5.2</v>
      </c>
      <c r="H128" t="n">
        <v>0</v>
      </c>
      <c r="I128" t="n">
        <v>0</v>
      </c>
      <c r="J128" t="n">
        <v>0</v>
      </c>
      <c r="K128" t="n">
        <v>0</v>
      </c>
      <c r="L128" t="n">
        <v>0</v>
      </c>
      <c r="M128" t="n">
        <v>0</v>
      </c>
      <c r="N128" t="n">
        <v>0</v>
      </c>
      <c r="O128" t="n">
        <v>0</v>
      </c>
      <c r="P128" t="n">
        <v>0</v>
      </c>
      <c r="Q128" t="n">
        <v>0</v>
      </c>
      <c r="R128" s="2" t="inlineStr"/>
    </row>
    <row r="129" ht="15" customHeight="1">
      <c r="A129" t="inlineStr">
        <is>
          <t>A 9351-2023</t>
        </is>
      </c>
      <c r="B129" s="1" t="n">
        <v>44980</v>
      </c>
      <c r="C129" s="1" t="n">
        <v>45926</v>
      </c>
      <c r="D129" t="inlineStr">
        <is>
          <t>NORRBOTTENS LÄN</t>
        </is>
      </c>
      <c r="E129" t="inlineStr">
        <is>
          <t>JOKKMOKK</t>
        </is>
      </c>
      <c r="F129" t="inlineStr">
        <is>
          <t>SCA</t>
        </is>
      </c>
      <c r="G129" t="n">
        <v>2.3</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45926</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51336-2024</t>
        </is>
      </c>
      <c r="B131" s="1" t="n">
        <v>45604.34443287037</v>
      </c>
      <c r="C131" s="1" t="n">
        <v>45926</v>
      </c>
      <c r="D131" t="inlineStr">
        <is>
          <t>NORRBOTTENS LÄN</t>
        </is>
      </c>
      <c r="E131" t="inlineStr">
        <is>
          <t>JOKKMOKK</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21710-2025</t>
        </is>
      </c>
      <c r="B132" s="1" t="n">
        <v>45783.53160879629</v>
      </c>
      <c r="C132" s="1" t="n">
        <v>45926</v>
      </c>
      <c r="D132" t="inlineStr">
        <is>
          <t>NORRBOTTENS LÄN</t>
        </is>
      </c>
      <c r="E132" t="inlineStr">
        <is>
          <t>JOKKMOKK</t>
        </is>
      </c>
      <c r="F132" t="inlineStr">
        <is>
          <t>SCA</t>
        </is>
      </c>
      <c r="G132" t="n">
        <v>4.3</v>
      </c>
      <c r="H132" t="n">
        <v>0</v>
      </c>
      <c r="I132" t="n">
        <v>0</v>
      </c>
      <c r="J132" t="n">
        <v>0</v>
      </c>
      <c r="K132" t="n">
        <v>0</v>
      </c>
      <c r="L132" t="n">
        <v>0</v>
      </c>
      <c r="M132" t="n">
        <v>0</v>
      </c>
      <c r="N132" t="n">
        <v>0</v>
      </c>
      <c r="O132" t="n">
        <v>0</v>
      </c>
      <c r="P132" t="n">
        <v>0</v>
      </c>
      <c r="Q132" t="n">
        <v>0</v>
      </c>
      <c r="R132" s="2" t="inlineStr"/>
    </row>
    <row r="133" ht="15" customHeight="1">
      <c r="A133" t="inlineStr">
        <is>
          <t>A 21829-2025</t>
        </is>
      </c>
      <c r="B133" s="1" t="n">
        <v>45783.96920138889</v>
      </c>
      <c r="C133" s="1" t="n">
        <v>45926</v>
      </c>
      <c r="D133" t="inlineStr">
        <is>
          <t>NORRBOTTENS LÄN</t>
        </is>
      </c>
      <c r="E133" t="inlineStr">
        <is>
          <t>JOKKMOKK</t>
        </is>
      </c>
      <c r="G133" t="n">
        <v>7.1</v>
      </c>
      <c r="H133" t="n">
        <v>0</v>
      </c>
      <c r="I133" t="n">
        <v>0</v>
      </c>
      <c r="J133" t="n">
        <v>0</v>
      </c>
      <c r="K133" t="n">
        <v>0</v>
      </c>
      <c r="L133" t="n">
        <v>0</v>
      </c>
      <c r="M133" t="n">
        <v>0</v>
      </c>
      <c r="N133" t="n">
        <v>0</v>
      </c>
      <c r="O133" t="n">
        <v>0</v>
      </c>
      <c r="P133" t="n">
        <v>0</v>
      </c>
      <c r="Q133" t="n">
        <v>0</v>
      </c>
      <c r="R133" s="2" t="inlineStr"/>
    </row>
    <row r="134" ht="15" customHeight="1">
      <c r="A134" t="inlineStr">
        <is>
          <t>A 27657-2024</t>
        </is>
      </c>
      <c r="B134" s="1" t="n">
        <v>45474.95196759259</v>
      </c>
      <c r="C134" s="1" t="n">
        <v>45926</v>
      </c>
      <c r="D134" t="inlineStr">
        <is>
          <t>NORRBOTTENS LÄN</t>
        </is>
      </c>
      <c r="E134" t="inlineStr">
        <is>
          <t>JOKKMOKK</t>
        </is>
      </c>
      <c r="F134" t="inlineStr">
        <is>
          <t>SCA</t>
        </is>
      </c>
      <c r="G134" t="n">
        <v>2.8</v>
      </c>
      <c r="H134" t="n">
        <v>0</v>
      </c>
      <c r="I134" t="n">
        <v>0</v>
      </c>
      <c r="J134" t="n">
        <v>0</v>
      </c>
      <c r="K134" t="n">
        <v>0</v>
      </c>
      <c r="L134" t="n">
        <v>0</v>
      </c>
      <c r="M134" t="n">
        <v>0</v>
      </c>
      <c r="N134" t="n">
        <v>0</v>
      </c>
      <c r="O134" t="n">
        <v>0</v>
      </c>
      <c r="P134" t="n">
        <v>0</v>
      </c>
      <c r="Q134" t="n">
        <v>0</v>
      </c>
      <c r="R134" s="2" t="inlineStr"/>
    </row>
    <row r="135" ht="15" customHeight="1">
      <c r="A135" t="inlineStr">
        <is>
          <t>A 27658-2024</t>
        </is>
      </c>
      <c r="B135" s="1" t="n">
        <v>45474.95246527778</v>
      </c>
      <c r="C135" s="1" t="n">
        <v>45926</v>
      </c>
      <c r="D135" t="inlineStr">
        <is>
          <t>NORRBOTTENS LÄN</t>
        </is>
      </c>
      <c r="E135" t="inlineStr">
        <is>
          <t>JOKKMOKK</t>
        </is>
      </c>
      <c r="F135" t="inlineStr">
        <is>
          <t>SCA</t>
        </is>
      </c>
      <c r="G135" t="n">
        <v>1</v>
      </c>
      <c r="H135" t="n">
        <v>0</v>
      </c>
      <c r="I135" t="n">
        <v>0</v>
      </c>
      <c r="J135" t="n">
        <v>0</v>
      </c>
      <c r="K135" t="n">
        <v>0</v>
      </c>
      <c r="L135" t="n">
        <v>0</v>
      </c>
      <c r="M135" t="n">
        <v>0</v>
      </c>
      <c r="N135" t="n">
        <v>0</v>
      </c>
      <c r="O135" t="n">
        <v>0</v>
      </c>
      <c r="P135" t="n">
        <v>0</v>
      </c>
      <c r="Q135" t="n">
        <v>0</v>
      </c>
      <c r="R135" s="2" t="inlineStr"/>
    </row>
    <row r="136" ht="15" customHeight="1">
      <c r="A136" t="inlineStr">
        <is>
          <t>A 14815-2024</t>
        </is>
      </c>
      <c r="B136" s="1" t="n">
        <v>45397.95770833334</v>
      </c>
      <c r="C136" s="1" t="n">
        <v>45926</v>
      </c>
      <c r="D136" t="inlineStr">
        <is>
          <t>NORRBOTTENS LÄN</t>
        </is>
      </c>
      <c r="E136" t="inlineStr">
        <is>
          <t>JOKKMOKK</t>
        </is>
      </c>
      <c r="F136" t="inlineStr">
        <is>
          <t>SCA</t>
        </is>
      </c>
      <c r="G136" t="n">
        <v>54.1</v>
      </c>
      <c r="H136" t="n">
        <v>0</v>
      </c>
      <c r="I136" t="n">
        <v>0</v>
      </c>
      <c r="J136" t="n">
        <v>0</v>
      </c>
      <c r="K136" t="n">
        <v>0</v>
      </c>
      <c r="L136" t="n">
        <v>0</v>
      </c>
      <c r="M136" t="n">
        <v>0</v>
      </c>
      <c r="N136" t="n">
        <v>0</v>
      </c>
      <c r="O136" t="n">
        <v>0</v>
      </c>
      <c r="P136" t="n">
        <v>0</v>
      </c>
      <c r="Q136" t="n">
        <v>0</v>
      </c>
      <c r="R136" s="2" t="inlineStr"/>
    </row>
    <row r="137" ht="15" customHeight="1">
      <c r="A137" t="inlineStr">
        <is>
          <t>A 52733-2024</t>
        </is>
      </c>
      <c r="B137" s="1" t="n">
        <v>45610</v>
      </c>
      <c r="C137" s="1" t="n">
        <v>45926</v>
      </c>
      <c r="D137" t="inlineStr">
        <is>
          <t>NORRBOTTENS LÄN</t>
        </is>
      </c>
      <c r="E137" t="inlineStr">
        <is>
          <t>JOKKMOKK</t>
        </is>
      </c>
      <c r="F137" t="inlineStr">
        <is>
          <t>Allmännings- och besparingsskogar</t>
        </is>
      </c>
      <c r="G137" t="n">
        <v>6.1</v>
      </c>
      <c r="H137" t="n">
        <v>0</v>
      </c>
      <c r="I137" t="n">
        <v>0</v>
      </c>
      <c r="J137" t="n">
        <v>0</v>
      </c>
      <c r="K137" t="n">
        <v>0</v>
      </c>
      <c r="L137" t="n">
        <v>0</v>
      </c>
      <c r="M137" t="n">
        <v>0</v>
      </c>
      <c r="N137" t="n">
        <v>0</v>
      </c>
      <c r="O137" t="n">
        <v>0</v>
      </c>
      <c r="P137" t="n">
        <v>0</v>
      </c>
      <c r="Q137" t="n">
        <v>0</v>
      </c>
      <c r="R137" s="2" t="inlineStr"/>
    </row>
    <row r="138" ht="15" customHeight="1">
      <c r="A138" t="inlineStr">
        <is>
          <t>A 61760-2024</t>
        </is>
      </c>
      <c r="B138" s="1" t="n">
        <v>45649</v>
      </c>
      <c r="C138" s="1" t="n">
        <v>45926</v>
      </c>
      <c r="D138" t="inlineStr">
        <is>
          <t>NORRBOTTENS LÄN</t>
        </is>
      </c>
      <c r="E138" t="inlineStr">
        <is>
          <t>JOKKMOKK</t>
        </is>
      </c>
      <c r="F138" t="inlineStr">
        <is>
          <t>Övriga statliga verk och myndigheter</t>
        </is>
      </c>
      <c r="G138" t="n">
        <v>19.3</v>
      </c>
      <c r="H138" t="n">
        <v>0</v>
      </c>
      <c r="I138" t="n">
        <v>0</v>
      </c>
      <c r="J138" t="n">
        <v>0</v>
      </c>
      <c r="K138" t="n">
        <v>0</v>
      </c>
      <c r="L138" t="n">
        <v>0</v>
      </c>
      <c r="M138" t="n">
        <v>0</v>
      </c>
      <c r="N138" t="n">
        <v>0</v>
      </c>
      <c r="O138" t="n">
        <v>0</v>
      </c>
      <c r="P138" t="n">
        <v>0</v>
      </c>
      <c r="Q138" t="n">
        <v>0</v>
      </c>
      <c r="R138" s="2" t="inlineStr"/>
    </row>
    <row r="139" ht="15" customHeight="1">
      <c r="A139" t="inlineStr">
        <is>
          <t>A 2040-2025</t>
        </is>
      </c>
      <c r="B139" s="1" t="n">
        <v>45671</v>
      </c>
      <c r="C139" s="1" t="n">
        <v>45926</v>
      </c>
      <c r="D139" t="inlineStr">
        <is>
          <t>NORRBOTTENS LÄN</t>
        </is>
      </c>
      <c r="E139" t="inlineStr">
        <is>
          <t>JOKKMOKK</t>
        </is>
      </c>
      <c r="G139" t="n">
        <v>5.1</v>
      </c>
      <c r="H139" t="n">
        <v>0</v>
      </c>
      <c r="I139" t="n">
        <v>0</v>
      </c>
      <c r="J139" t="n">
        <v>0</v>
      </c>
      <c r="K139" t="n">
        <v>0</v>
      </c>
      <c r="L139" t="n">
        <v>0</v>
      </c>
      <c r="M139" t="n">
        <v>0</v>
      </c>
      <c r="N139" t="n">
        <v>0</v>
      </c>
      <c r="O139" t="n">
        <v>0</v>
      </c>
      <c r="P139" t="n">
        <v>0</v>
      </c>
      <c r="Q139" t="n">
        <v>0</v>
      </c>
      <c r="R139" s="2" t="inlineStr"/>
    </row>
    <row r="140" ht="15" customHeight="1">
      <c r="A140" t="inlineStr">
        <is>
          <t>A 51304-2022</t>
        </is>
      </c>
      <c r="B140" s="1" t="n">
        <v>44868</v>
      </c>
      <c r="C140" s="1" t="n">
        <v>45926</v>
      </c>
      <c r="D140" t="inlineStr">
        <is>
          <t>NORRBOTTENS LÄN</t>
        </is>
      </c>
      <c r="E140" t="inlineStr">
        <is>
          <t>JOKKMOKK</t>
        </is>
      </c>
      <c r="G140" t="n">
        <v>1.5</v>
      </c>
      <c r="H140" t="n">
        <v>0</v>
      </c>
      <c r="I140" t="n">
        <v>0</v>
      </c>
      <c r="J140" t="n">
        <v>0</v>
      </c>
      <c r="K140" t="n">
        <v>0</v>
      </c>
      <c r="L140" t="n">
        <v>0</v>
      </c>
      <c r="M140" t="n">
        <v>0</v>
      </c>
      <c r="N140" t="n">
        <v>0</v>
      </c>
      <c r="O140" t="n">
        <v>0</v>
      </c>
      <c r="P140" t="n">
        <v>0</v>
      </c>
      <c r="Q140" t="n">
        <v>0</v>
      </c>
      <c r="R140" s="2" t="inlineStr"/>
    </row>
    <row r="141" ht="15" customHeight="1">
      <c r="A141" t="inlineStr">
        <is>
          <t>A 65542-2020</t>
        </is>
      </c>
      <c r="B141" s="1" t="n">
        <v>44173</v>
      </c>
      <c r="C141" s="1" t="n">
        <v>45926</v>
      </c>
      <c r="D141" t="inlineStr">
        <is>
          <t>NORRBOTTENS LÄN</t>
        </is>
      </c>
      <c r="E141" t="inlineStr">
        <is>
          <t>JOKKMOKK</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46442-2023</t>
        </is>
      </c>
      <c r="B142" s="1" t="n">
        <v>45197.59248842593</v>
      </c>
      <c r="C142" s="1" t="n">
        <v>45926</v>
      </c>
      <c r="D142" t="inlineStr">
        <is>
          <t>NORRBOTTENS LÄN</t>
        </is>
      </c>
      <c r="E142" t="inlineStr">
        <is>
          <t>JOKKMOKK</t>
        </is>
      </c>
      <c r="G142" t="n">
        <v>6.4</v>
      </c>
      <c r="H142" t="n">
        <v>0</v>
      </c>
      <c r="I142" t="n">
        <v>0</v>
      </c>
      <c r="J142" t="n">
        <v>0</v>
      </c>
      <c r="K142" t="n">
        <v>0</v>
      </c>
      <c r="L142" t="n">
        <v>0</v>
      </c>
      <c r="M142" t="n">
        <v>0</v>
      </c>
      <c r="N142" t="n">
        <v>0</v>
      </c>
      <c r="O142" t="n">
        <v>0</v>
      </c>
      <c r="P142" t="n">
        <v>0</v>
      </c>
      <c r="Q142" t="n">
        <v>0</v>
      </c>
      <c r="R142" s="2" t="inlineStr"/>
    </row>
    <row r="143" ht="15" customHeight="1">
      <c r="A143" t="inlineStr">
        <is>
          <t>A 6437-2025</t>
        </is>
      </c>
      <c r="B143" s="1" t="n">
        <v>45699</v>
      </c>
      <c r="C143" s="1" t="n">
        <v>45926</v>
      </c>
      <c r="D143" t="inlineStr">
        <is>
          <t>NORRBOTTENS LÄN</t>
        </is>
      </c>
      <c r="E143" t="inlineStr">
        <is>
          <t>JOKKMOKK</t>
        </is>
      </c>
      <c r="G143" t="n">
        <v>3.4</v>
      </c>
      <c r="H143" t="n">
        <v>0</v>
      </c>
      <c r="I143" t="n">
        <v>0</v>
      </c>
      <c r="J143" t="n">
        <v>0</v>
      </c>
      <c r="K143" t="n">
        <v>0</v>
      </c>
      <c r="L143" t="n">
        <v>0</v>
      </c>
      <c r="M143" t="n">
        <v>0</v>
      </c>
      <c r="N143" t="n">
        <v>0</v>
      </c>
      <c r="O143" t="n">
        <v>0</v>
      </c>
      <c r="P143" t="n">
        <v>0</v>
      </c>
      <c r="Q143" t="n">
        <v>0</v>
      </c>
      <c r="R143" s="2" t="inlineStr"/>
    </row>
    <row r="144" ht="15" customHeight="1">
      <c r="A144" t="inlineStr">
        <is>
          <t>A 23203-2024</t>
        </is>
      </c>
      <c r="B144" s="1" t="n">
        <v>45451</v>
      </c>
      <c r="C144" s="1" t="n">
        <v>45926</v>
      </c>
      <c r="D144" t="inlineStr">
        <is>
          <t>NORRBOTTENS LÄN</t>
        </is>
      </c>
      <c r="E144" t="inlineStr">
        <is>
          <t>JOKKMOKK</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45510-2022</t>
        </is>
      </c>
      <c r="B145" s="1" t="n">
        <v>44841</v>
      </c>
      <c r="C145" s="1" t="n">
        <v>45926</v>
      </c>
      <c r="D145" t="inlineStr">
        <is>
          <t>NORRBOTTENS LÄN</t>
        </is>
      </c>
      <c r="E145" t="inlineStr">
        <is>
          <t>JOKKMOKK</t>
        </is>
      </c>
      <c r="F145" t="inlineStr">
        <is>
          <t>Övriga Aktiebolag</t>
        </is>
      </c>
      <c r="G145" t="n">
        <v>2.1</v>
      </c>
      <c r="H145" t="n">
        <v>0</v>
      </c>
      <c r="I145" t="n">
        <v>0</v>
      </c>
      <c r="J145" t="n">
        <v>0</v>
      </c>
      <c r="K145" t="n">
        <v>0</v>
      </c>
      <c r="L145" t="n">
        <v>0</v>
      </c>
      <c r="M145" t="n">
        <v>0</v>
      </c>
      <c r="N145" t="n">
        <v>0</v>
      </c>
      <c r="O145" t="n">
        <v>0</v>
      </c>
      <c r="P145" t="n">
        <v>0</v>
      </c>
      <c r="Q145" t="n">
        <v>0</v>
      </c>
      <c r="R145" s="2" t="inlineStr"/>
    </row>
    <row r="146" ht="15" customHeight="1">
      <c r="A146" t="inlineStr">
        <is>
          <t>A 56523-2021</t>
        </is>
      </c>
      <c r="B146" s="1" t="n">
        <v>44477</v>
      </c>
      <c r="C146" s="1" t="n">
        <v>45926</v>
      </c>
      <c r="D146" t="inlineStr">
        <is>
          <t>NORRBOTTENS LÄN</t>
        </is>
      </c>
      <c r="E146" t="inlineStr">
        <is>
          <t>JOKKMOKK</t>
        </is>
      </c>
      <c r="G146" t="n">
        <v>6.6</v>
      </c>
      <c r="H146" t="n">
        <v>0</v>
      </c>
      <c r="I146" t="n">
        <v>0</v>
      </c>
      <c r="J146" t="n">
        <v>0</v>
      </c>
      <c r="K146" t="n">
        <v>0</v>
      </c>
      <c r="L146" t="n">
        <v>0</v>
      </c>
      <c r="M146" t="n">
        <v>0</v>
      </c>
      <c r="N146" t="n">
        <v>0</v>
      </c>
      <c r="O146" t="n">
        <v>0</v>
      </c>
      <c r="P146" t="n">
        <v>0</v>
      </c>
      <c r="Q146" t="n">
        <v>0</v>
      </c>
      <c r="R146" s="2" t="inlineStr"/>
    </row>
    <row r="147" ht="15" customHeight="1">
      <c r="A147" t="inlineStr">
        <is>
          <t>A 33827-2024</t>
        </is>
      </c>
      <c r="B147" s="1" t="n">
        <v>45520</v>
      </c>
      <c r="C147" s="1" t="n">
        <v>45926</v>
      </c>
      <c r="D147" t="inlineStr">
        <is>
          <t>NORRBOTTENS LÄN</t>
        </is>
      </c>
      <c r="E147" t="inlineStr">
        <is>
          <t>JOKKMOKK</t>
        </is>
      </c>
      <c r="F147" t="inlineStr">
        <is>
          <t>SCA</t>
        </is>
      </c>
      <c r="G147" t="n">
        <v>12.8</v>
      </c>
      <c r="H147" t="n">
        <v>0</v>
      </c>
      <c r="I147" t="n">
        <v>0</v>
      </c>
      <c r="J147" t="n">
        <v>0</v>
      </c>
      <c r="K147" t="n">
        <v>0</v>
      </c>
      <c r="L147" t="n">
        <v>0</v>
      </c>
      <c r="M147" t="n">
        <v>0</v>
      </c>
      <c r="N147" t="n">
        <v>0</v>
      </c>
      <c r="O147" t="n">
        <v>0</v>
      </c>
      <c r="P147" t="n">
        <v>0</v>
      </c>
      <c r="Q147" t="n">
        <v>0</v>
      </c>
      <c r="R147" s="2" t="inlineStr"/>
    </row>
    <row r="148" ht="15" customHeight="1">
      <c r="A148" t="inlineStr">
        <is>
          <t>A 71369-2021</t>
        </is>
      </c>
      <c r="B148" s="1" t="n">
        <v>44539.94476851852</v>
      </c>
      <c r="C148" s="1" t="n">
        <v>45926</v>
      </c>
      <c r="D148" t="inlineStr">
        <is>
          <t>NORRBOTTENS LÄN</t>
        </is>
      </c>
      <c r="E148" t="inlineStr">
        <is>
          <t>JOKKMOKK</t>
        </is>
      </c>
      <c r="F148" t="inlineStr">
        <is>
          <t>SCA</t>
        </is>
      </c>
      <c r="G148" t="n">
        <v>15.7</v>
      </c>
      <c r="H148" t="n">
        <v>0</v>
      </c>
      <c r="I148" t="n">
        <v>0</v>
      </c>
      <c r="J148" t="n">
        <v>0</v>
      </c>
      <c r="K148" t="n">
        <v>0</v>
      </c>
      <c r="L148" t="n">
        <v>0</v>
      </c>
      <c r="M148" t="n">
        <v>0</v>
      </c>
      <c r="N148" t="n">
        <v>0</v>
      </c>
      <c r="O148" t="n">
        <v>0</v>
      </c>
      <c r="P148" t="n">
        <v>0</v>
      </c>
      <c r="Q148" t="n">
        <v>0</v>
      </c>
      <c r="R148" s="2" t="inlineStr"/>
    </row>
    <row r="149" ht="15" customHeight="1">
      <c r="A149" t="inlineStr">
        <is>
          <t>A 41923-2021</t>
        </is>
      </c>
      <c r="B149" s="1" t="n">
        <v>44425</v>
      </c>
      <c r="C149" s="1" t="n">
        <v>45926</v>
      </c>
      <c r="D149" t="inlineStr">
        <is>
          <t>NORRBOTTENS LÄN</t>
        </is>
      </c>
      <c r="E149" t="inlineStr">
        <is>
          <t>JOKKMOKK</t>
        </is>
      </c>
      <c r="F149" t="inlineStr">
        <is>
          <t>Övriga statliga verk och myndigheter</t>
        </is>
      </c>
      <c r="G149" t="n">
        <v>22</v>
      </c>
      <c r="H149" t="n">
        <v>0</v>
      </c>
      <c r="I149" t="n">
        <v>0</v>
      </c>
      <c r="J149" t="n">
        <v>0</v>
      </c>
      <c r="K149" t="n">
        <v>0</v>
      </c>
      <c r="L149" t="n">
        <v>0</v>
      </c>
      <c r="M149" t="n">
        <v>0</v>
      </c>
      <c r="N149" t="n">
        <v>0</v>
      </c>
      <c r="O149" t="n">
        <v>0</v>
      </c>
      <c r="P149" t="n">
        <v>0</v>
      </c>
      <c r="Q149" t="n">
        <v>0</v>
      </c>
      <c r="R149" s="2" t="inlineStr"/>
    </row>
    <row r="150" ht="15" customHeight="1">
      <c r="A150" t="inlineStr">
        <is>
          <t>A 48586-2022</t>
        </is>
      </c>
      <c r="B150" s="1" t="n">
        <v>44854</v>
      </c>
      <c r="C150" s="1" t="n">
        <v>45926</v>
      </c>
      <c r="D150" t="inlineStr">
        <is>
          <t>NORRBOTTENS LÄN</t>
        </is>
      </c>
      <c r="E150" t="inlineStr">
        <is>
          <t>JOKKMOKK</t>
        </is>
      </c>
      <c r="F150" t="inlineStr">
        <is>
          <t>Övriga statliga verk och myndigheter</t>
        </is>
      </c>
      <c r="G150" t="n">
        <v>26.1</v>
      </c>
      <c r="H150" t="n">
        <v>0</v>
      </c>
      <c r="I150" t="n">
        <v>0</v>
      </c>
      <c r="J150" t="n">
        <v>0</v>
      </c>
      <c r="K150" t="n">
        <v>0</v>
      </c>
      <c r="L150" t="n">
        <v>0</v>
      </c>
      <c r="M150" t="n">
        <v>0</v>
      </c>
      <c r="N150" t="n">
        <v>0</v>
      </c>
      <c r="O150" t="n">
        <v>0</v>
      </c>
      <c r="P150" t="n">
        <v>0</v>
      </c>
      <c r="Q150" t="n">
        <v>0</v>
      </c>
      <c r="R150" s="2" t="inlineStr"/>
    </row>
    <row r="151" ht="15" customHeight="1">
      <c r="A151" t="inlineStr">
        <is>
          <t>A 34609-2024</t>
        </is>
      </c>
      <c r="B151" s="1" t="n">
        <v>45526</v>
      </c>
      <c r="C151" s="1" t="n">
        <v>45926</v>
      </c>
      <c r="D151" t="inlineStr">
        <is>
          <t>NORRBOTTENS LÄN</t>
        </is>
      </c>
      <c r="E151" t="inlineStr">
        <is>
          <t>JOKKMOKK</t>
        </is>
      </c>
      <c r="G151" t="n">
        <v>27</v>
      </c>
      <c r="H151" t="n">
        <v>0</v>
      </c>
      <c r="I151" t="n">
        <v>0</v>
      </c>
      <c r="J151" t="n">
        <v>0</v>
      </c>
      <c r="K151" t="n">
        <v>0</v>
      </c>
      <c r="L151" t="n">
        <v>0</v>
      </c>
      <c r="M151" t="n">
        <v>0</v>
      </c>
      <c r="N151" t="n">
        <v>0</v>
      </c>
      <c r="O151" t="n">
        <v>0</v>
      </c>
      <c r="P151" t="n">
        <v>0</v>
      </c>
      <c r="Q151" t="n">
        <v>0</v>
      </c>
      <c r="R151" s="2" t="inlineStr"/>
    </row>
    <row r="152" ht="15" customHeight="1">
      <c r="A152" t="inlineStr">
        <is>
          <t>A 1615-2024</t>
        </is>
      </c>
      <c r="B152" s="1" t="n">
        <v>45306</v>
      </c>
      <c r="C152" s="1" t="n">
        <v>45926</v>
      </c>
      <c r="D152" t="inlineStr">
        <is>
          <t>NORRBOTTENS LÄN</t>
        </is>
      </c>
      <c r="E152" t="inlineStr">
        <is>
          <t>JOKKMOKK</t>
        </is>
      </c>
      <c r="G152" t="n">
        <v>10.8</v>
      </c>
      <c r="H152" t="n">
        <v>0</v>
      </c>
      <c r="I152" t="n">
        <v>0</v>
      </c>
      <c r="J152" t="n">
        <v>0</v>
      </c>
      <c r="K152" t="n">
        <v>0</v>
      </c>
      <c r="L152" t="n">
        <v>0</v>
      </c>
      <c r="M152" t="n">
        <v>0</v>
      </c>
      <c r="N152" t="n">
        <v>0</v>
      </c>
      <c r="O152" t="n">
        <v>0</v>
      </c>
      <c r="P152" t="n">
        <v>0</v>
      </c>
      <c r="Q152" t="n">
        <v>0</v>
      </c>
      <c r="R152" s="2" t="inlineStr"/>
    </row>
    <row r="153" ht="15" customHeight="1">
      <c r="A153" t="inlineStr">
        <is>
          <t>A 51617-2024</t>
        </is>
      </c>
      <c r="B153" s="1" t="n">
        <v>45604.71908564815</v>
      </c>
      <c r="C153" s="1" t="n">
        <v>45926</v>
      </c>
      <c r="D153" t="inlineStr">
        <is>
          <t>NORRBOTTENS LÄN</t>
        </is>
      </c>
      <c r="E153" t="inlineStr">
        <is>
          <t>JOKKMOKK</t>
        </is>
      </c>
      <c r="F153" t="inlineStr">
        <is>
          <t>SCA</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23317-2025</t>
        </is>
      </c>
      <c r="B154" s="1" t="n">
        <v>45791.61278935185</v>
      </c>
      <c r="C154" s="1" t="n">
        <v>45926</v>
      </c>
      <c r="D154" t="inlineStr">
        <is>
          <t>NORRBOTTENS LÄN</t>
        </is>
      </c>
      <c r="E154" t="inlineStr">
        <is>
          <t>JOKKMOKK</t>
        </is>
      </c>
      <c r="F154" t="inlineStr">
        <is>
          <t>Sveaskog</t>
        </is>
      </c>
      <c r="G154" t="n">
        <v>22.4</v>
      </c>
      <c r="H154" t="n">
        <v>0</v>
      </c>
      <c r="I154" t="n">
        <v>0</v>
      </c>
      <c r="J154" t="n">
        <v>0</v>
      </c>
      <c r="K154" t="n">
        <v>0</v>
      </c>
      <c r="L154" t="n">
        <v>0</v>
      </c>
      <c r="M154" t="n">
        <v>0</v>
      </c>
      <c r="N154" t="n">
        <v>0</v>
      </c>
      <c r="O154" t="n">
        <v>0</v>
      </c>
      <c r="P154" t="n">
        <v>0</v>
      </c>
      <c r="Q154" t="n">
        <v>0</v>
      </c>
      <c r="R154" s="2" t="inlineStr"/>
    </row>
    <row r="155" ht="15" customHeight="1">
      <c r="A155" t="inlineStr">
        <is>
          <t>A 51293-2024</t>
        </is>
      </c>
      <c r="B155" s="1" t="n">
        <v>45603.92878472222</v>
      </c>
      <c r="C155" s="1" t="n">
        <v>45926</v>
      </c>
      <c r="D155" t="inlineStr">
        <is>
          <t>NORRBOTTENS LÄN</t>
        </is>
      </c>
      <c r="E155" t="inlineStr">
        <is>
          <t>JOKKMOKK</t>
        </is>
      </c>
      <c r="G155" t="n">
        <v>2.5</v>
      </c>
      <c r="H155" t="n">
        <v>0</v>
      </c>
      <c r="I155" t="n">
        <v>0</v>
      </c>
      <c r="J155" t="n">
        <v>0</v>
      </c>
      <c r="K155" t="n">
        <v>0</v>
      </c>
      <c r="L155" t="n">
        <v>0</v>
      </c>
      <c r="M155" t="n">
        <v>0</v>
      </c>
      <c r="N155" t="n">
        <v>0</v>
      </c>
      <c r="O155" t="n">
        <v>0</v>
      </c>
      <c r="P155" t="n">
        <v>0</v>
      </c>
      <c r="Q155" t="n">
        <v>0</v>
      </c>
      <c r="R155" s="2" t="inlineStr"/>
    </row>
    <row r="156" ht="15" customHeight="1">
      <c r="A156" t="inlineStr">
        <is>
          <t>A 20270-2025</t>
        </is>
      </c>
      <c r="B156" s="1" t="n">
        <v>45773.71444444444</v>
      </c>
      <c r="C156" s="1" t="n">
        <v>45926</v>
      </c>
      <c r="D156" t="inlineStr">
        <is>
          <t>NORRBOTTENS LÄN</t>
        </is>
      </c>
      <c r="E156" t="inlineStr">
        <is>
          <t>JOKKMOKK</t>
        </is>
      </c>
      <c r="G156" t="n">
        <v>90.09999999999999</v>
      </c>
      <c r="H156" t="n">
        <v>0</v>
      </c>
      <c r="I156" t="n">
        <v>0</v>
      </c>
      <c r="J156" t="n">
        <v>0</v>
      </c>
      <c r="K156" t="n">
        <v>0</v>
      </c>
      <c r="L156" t="n">
        <v>0</v>
      </c>
      <c r="M156" t="n">
        <v>0</v>
      </c>
      <c r="N156" t="n">
        <v>0</v>
      </c>
      <c r="O156" t="n">
        <v>0</v>
      </c>
      <c r="P156" t="n">
        <v>0</v>
      </c>
      <c r="Q156" t="n">
        <v>0</v>
      </c>
      <c r="R156" s="2" t="inlineStr"/>
    </row>
    <row r="157" ht="15" customHeight="1">
      <c r="A157" t="inlineStr">
        <is>
          <t>A 49477-2024</t>
        </is>
      </c>
      <c r="B157" s="1" t="n">
        <v>45596.34576388889</v>
      </c>
      <c r="C157" s="1" t="n">
        <v>45926</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49478-2024</t>
        </is>
      </c>
      <c r="B158" s="1" t="n">
        <v>45596.34599537037</v>
      </c>
      <c r="C158" s="1" t="n">
        <v>45926</v>
      </c>
      <c r="D158" t="inlineStr">
        <is>
          <t>NORRBOTTENS LÄN</t>
        </is>
      </c>
      <c r="E158" t="inlineStr">
        <is>
          <t>JOKKMOKK</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30401-2024</t>
        </is>
      </c>
      <c r="B159" s="1" t="n">
        <v>45491</v>
      </c>
      <c r="C159" s="1" t="n">
        <v>45926</v>
      </c>
      <c r="D159" t="inlineStr">
        <is>
          <t>NORRBOTTENS LÄN</t>
        </is>
      </c>
      <c r="E159" t="inlineStr">
        <is>
          <t>JOKKMOKK</t>
        </is>
      </c>
      <c r="G159" t="n">
        <v>1</v>
      </c>
      <c r="H159" t="n">
        <v>0</v>
      </c>
      <c r="I159" t="n">
        <v>0</v>
      </c>
      <c r="J159" t="n">
        <v>0</v>
      </c>
      <c r="K159" t="n">
        <v>0</v>
      </c>
      <c r="L159" t="n">
        <v>0</v>
      </c>
      <c r="M159" t="n">
        <v>0</v>
      </c>
      <c r="N159" t="n">
        <v>0</v>
      </c>
      <c r="O159" t="n">
        <v>0</v>
      </c>
      <c r="P159" t="n">
        <v>0</v>
      </c>
      <c r="Q159" t="n">
        <v>0</v>
      </c>
      <c r="R159" s="2" t="inlineStr"/>
    </row>
    <row r="160" ht="15" customHeight="1">
      <c r="A160" t="inlineStr">
        <is>
          <t>A 40836-2022</t>
        </is>
      </c>
      <c r="B160" s="1" t="n">
        <v>44824</v>
      </c>
      <c r="C160" s="1" t="n">
        <v>45926</v>
      </c>
      <c r="D160" t="inlineStr">
        <is>
          <t>NORRBOTTENS LÄN</t>
        </is>
      </c>
      <c r="E160" t="inlineStr">
        <is>
          <t>JOKKMOKK</t>
        </is>
      </c>
      <c r="F160" t="inlineStr">
        <is>
          <t>SCA</t>
        </is>
      </c>
      <c r="G160" t="n">
        <v>229.8</v>
      </c>
      <c r="H160" t="n">
        <v>0</v>
      </c>
      <c r="I160" t="n">
        <v>0</v>
      </c>
      <c r="J160" t="n">
        <v>0</v>
      </c>
      <c r="K160" t="n">
        <v>0</v>
      </c>
      <c r="L160" t="n">
        <v>0</v>
      </c>
      <c r="M160" t="n">
        <v>0</v>
      </c>
      <c r="N160" t="n">
        <v>0</v>
      </c>
      <c r="O160" t="n">
        <v>0</v>
      </c>
      <c r="P160" t="n">
        <v>0</v>
      </c>
      <c r="Q160" t="n">
        <v>0</v>
      </c>
      <c r="R160" s="2" t="inlineStr"/>
    </row>
    <row r="161" ht="15" customHeight="1">
      <c r="A161" t="inlineStr">
        <is>
          <t>A 47157-2024</t>
        </is>
      </c>
      <c r="B161" s="1" t="n">
        <v>45586</v>
      </c>
      <c r="C161" s="1" t="n">
        <v>45926</v>
      </c>
      <c r="D161" t="inlineStr">
        <is>
          <t>NORRBOTTENS LÄN</t>
        </is>
      </c>
      <c r="E161" t="inlineStr">
        <is>
          <t>JOKKMOKK</t>
        </is>
      </c>
      <c r="G161" t="n">
        <v>0.6</v>
      </c>
      <c r="H161" t="n">
        <v>0</v>
      </c>
      <c r="I161" t="n">
        <v>0</v>
      </c>
      <c r="J161" t="n">
        <v>0</v>
      </c>
      <c r="K161" t="n">
        <v>0</v>
      </c>
      <c r="L161" t="n">
        <v>0</v>
      </c>
      <c r="M161" t="n">
        <v>0</v>
      </c>
      <c r="N161" t="n">
        <v>0</v>
      </c>
      <c r="O161" t="n">
        <v>0</v>
      </c>
      <c r="P161" t="n">
        <v>0</v>
      </c>
      <c r="Q161" t="n">
        <v>0</v>
      </c>
      <c r="R161" s="2" t="inlineStr"/>
    </row>
    <row r="162" ht="15" customHeight="1">
      <c r="A162" t="inlineStr">
        <is>
          <t>A 3055-2025</t>
        </is>
      </c>
      <c r="B162" s="1" t="n">
        <v>45678.61530092593</v>
      </c>
      <c r="C162" s="1" t="n">
        <v>45926</v>
      </c>
      <c r="D162" t="inlineStr">
        <is>
          <t>NORRBOTTENS LÄN</t>
        </is>
      </c>
      <c r="E162" t="inlineStr">
        <is>
          <t>JOKKMOKK</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25720-2023</t>
        </is>
      </c>
      <c r="B163" s="1" t="n">
        <v>45090</v>
      </c>
      <c r="C163" s="1" t="n">
        <v>45926</v>
      </c>
      <c r="D163" t="inlineStr">
        <is>
          <t>NORRBOTTENS LÄN</t>
        </is>
      </c>
      <c r="E163" t="inlineStr">
        <is>
          <t>JOKKMOKK</t>
        </is>
      </c>
      <c r="G163" t="n">
        <v>2.1</v>
      </c>
      <c r="H163" t="n">
        <v>0</v>
      </c>
      <c r="I163" t="n">
        <v>0</v>
      </c>
      <c r="J163" t="n">
        <v>0</v>
      </c>
      <c r="K163" t="n">
        <v>0</v>
      </c>
      <c r="L163" t="n">
        <v>0</v>
      </c>
      <c r="M163" t="n">
        <v>0</v>
      </c>
      <c r="N163" t="n">
        <v>0</v>
      </c>
      <c r="O163" t="n">
        <v>0</v>
      </c>
      <c r="P163" t="n">
        <v>0</v>
      </c>
      <c r="Q163" t="n">
        <v>0</v>
      </c>
      <c r="R163" s="2" t="inlineStr"/>
    </row>
    <row r="164" ht="15" customHeight="1">
      <c r="A164" t="inlineStr">
        <is>
          <t>A 8360-2021</t>
        </is>
      </c>
      <c r="B164" s="1" t="n">
        <v>44244</v>
      </c>
      <c r="C164" s="1" t="n">
        <v>45926</v>
      </c>
      <c r="D164" t="inlineStr">
        <is>
          <t>NORRBOTTENS LÄN</t>
        </is>
      </c>
      <c r="E164" t="inlineStr">
        <is>
          <t>JOKKMOKK</t>
        </is>
      </c>
      <c r="F164" t="inlineStr">
        <is>
          <t>SCA</t>
        </is>
      </c>
      <c r="G164" t="n">
        <v>5</v>
      </c>
      <c r="H164" t="n">
        <v>0</v>
      </c>
      <c r="I164" t="n">
        <v>0</v>
      </c>
      <c r="J164" t="n">
        <v>0</v>
      </c>
      <c r="K164" t="n">
        <v>0</v>
      </c>
      <c r="L164" t="n">
        <v>0</v>
      </c>
      <c r="M164" t="n">
        <v>0</v>
      </c>
      <c r="N164" t="n">
        <v>0</v>
      </c>
      <c r="O164" t="n">
        <v>0</v>
      </c>
      <c r="P164" t="n">
        <v>0</v>
      </c>
      <c r="Q164" t="n">
        <v>0</v>
      </c>
      <c r="R164" s="2" t="inlineStr"/>
    </row>
    <row r="165" ht="15" customHeight="1">
      <c r="A165" t="inlineStr">
        <is>
          <t>A 69883-2021</t>
        </is>
      </c>
      <c r="B165" s="1" t="n">
        <v>44532</v>
      </c>
      <c r="C165" s="1" t="n">
        <v>45926</v>
      </c>
      <c r="D165" t="inlineStr">
        <is>
          <t>NORRBOTTENS LÄN</t>
        </is>
      </c>
      <c r="E165" t="inlineStr">
        <is>
          <t>JOKKMOKK</t>
        </is>
      </c>
      <c r="G165" t="n">
        <v>12.5</v>
      </c>
      <c r="H165" t="n">
        <v>0</v>
      </c>
      <c r="I165" t="n">
        <v>0</v>
      </c>
      <c r="J165" t="n">
        <v>0</v>
      </c>
      <c r="K165" t="n">
        <v>0</v>
      </c>
      <c r="L165" t="n">
        <v>0</v>
      </c>
      <c r="M165" t="n">
        <v>0</v>
      </c>
      <c r="N165" t="n">
        <v>0</v>
      </c>
      <c r="O165" t="n">
        <v>0</v>
      </c>
      <c r="P165" t="n">
        <v>0</v>
      </c>
      <c r="Q165" t="n">
        <v>0</v>
      </c>
      <c r="R165" s="2" t="inlineStr"/>
    </row>
    <row r="166" ht="15" customHeight="1">
      <c r="A166" t="inlineStr">
        <is>
          <t>A 27650-2024</t>
        </is>
      </c>
      <c r="B166" s="1" t="n">
        <v>45474.94802083333</v>
      </c>
      <c r="C166" s="1" t="n">
        <v>45926</v>
      </c>
      <c r="D166" t="inlineStr">
        <is>
          <t>NORRBOTTENS LÄN</t>
        </is>
      </c>
      <c r="E166" t="inlineStr">
        <is>
          <t>JOKKMOKK</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27651-2024</t>
        </is>
      </c>
      <c r="B167" s="1" t="n">
        <v>45474</v>
      </c>
      <c r="C167" s="1" t="n">
        <v>45926</v>
      </c>
      <c r="D167" t="inlineStr">
        <is>
          <t>NORRBOTTENS LÄN</t>
        </is>
      </c>
      <c r="E167" t="inlineStr">
        <is>
          <t>JOKKMOKK</t>
        </is>
      </c>
      <c r="F167" t="inlineStr">
        <is>
          <t>SCA</t>
        </is>
      </c>
      <c r="G167" t="n">
        <v>3.2</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45926</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34639-2024</t>
        </is>
      </c>
      <c r="B169" s="1" t="n">
        <v>45526.47293981481</v>
      </c>
      <c r="C169" s="1" t="n">
        <v>45926</v>
      </c>
      <c r="D169" t="inlineStr">
        <is>
          <t>NORRBOTTENS LÄN</t>
        </is>
      </c>
      <c r="E169" t="inlineStr">
        <is>
          <t>JOKKMOKK</t>
        </is>
      </c>
      <c r="G169" t="n">
        <v>7.7</v>
      </c>
      <c r="H169" t="n">
        <v>0</v>
      </c>
      <c r="I169" t="n">
        <v>0</v>
      </c>
      <c r="J169" t="n">
        <v>0</v>
      </c>
      <c r="K169" t="n">
        <v>0</v>
      </c>
      <c r="L169" t="n">
        <v>0</v>
      </c>
      <c r="M169" t="n">
        <v>0</v>
      </c>
      <c r="N169" t="n">
        <v>0</v>
      </c>
      <c r="O169" t="n">
        <v>0</v>
      </c>
      <c r="P169" t="n">
        <v>0</v>
      </c>
      <c r="Q169" t="n">
        <v>0</v>
      </c>
      <c r="R169" s="2" t="inlineStr"/>
    </row>
    <row r="170" ht="15" customHeight="1">
      <c r="A170" t="inlineStr">
        <is>
          <t>A 25722-2024</t>
        </is>
      </c>
      <c r="B170" s="1" t="n">
        <v>45463</v>
      </c>
      <c r="C170" s="1" t="n">
        <v>45926</v>
      </c>
      <c r="D170" t="inlineStr">
        <is>
          <t>NORRBOTTENS LÄN</t>
        </is>
      </c>
      <c r="E170" t="inlineStr">
        <is>
          <t>JOKKMOKK</t>
        </is>
      </c>
      <c r="F170" t="inlineStr">
        <is>
          <t>SCA</t>
        </is>
      </c>
      <c r="G170" t="n">
        <v>3.3</v>
      </c>
      <c r="H170" t="n">
        <v>0</v>
      </c>
      <c r="I170" t="n">
        <v>0</v>
      </c>
      <c r="J170" t="n">
        <v>0</v>
      </c>
      <c r="K170" t="n">
        <v>0</v>
      </c>
      <c r="L170" t="n">
        <v>0</v>
      </c>
      <c r="M170" t="n">
        <v>0</v>
      </c>
      <c r="N170" t="n">
        <v>0</v>
      </c>
      <c r="O170" t="n">
        <v>0</v>
      </c>
      <c r="P170" t="n">
        <v>0</v>
      </c>
      <c r="Q170" t="n">
        <v>0</v>
      </c>
      <c r="R170" s="2" t="inlineStr"/>
    </row>
    <row r="171" ht="15" customHeight="1">
      <c r="A171" t="inlineStr">
        <is>
          <t>A 51220-2022</t>
        </is>
      </c>
      <c r="B171" s="1" t="n">
        <v>44868</v>
      </c>
      <c r="C171" s="1" t="n">
        <v>45926</v>
      </c>
      <c r="D171" t="inlineStr">
        <is>
          <t>NORRBOTTENS LÄN</t>
        </is>
      </c>
      <c r="E171" t="inlineStr">
        <is>
          <t>JOKKMOKK</t>
        </is>
      </c>
      <c r="F171" t="inlineStr">
        <is>
          <t>Sveaskog</t>
        </is>
      </c>
      <c r="G171" t="n">
        <v>0.7</v>
      </c>
      <c r="H171" t="n">
        <v>0</v>
      </c>
      <c r="I171" t="n">
        <v>0</v>
      </c>
      <c r="J171" t="n">
        <v>0</v>
      </c>
      <c r="K171" t="n">
        <v>0</v>
      </c>
      <c r="L171" t="n">
        <v>0</v>
      </c>
      <c r="M171" t="n">
        <v>0</v>
      </c>
      <c r="N171" t="n">
        <v>0</v>
      </c>
      <c r="O171" t="n">
        <v>0</v>
      </c>
      <c r="P171" t="n">
        <v>0</v>
      </c>
      <c r="Q171" t="n">
        <v>0</v>
      </c>
      <c r="R171" s="2" t="inlineStr"/>
    </row>
    <row r="172" ht="15" customHeight="1">
      <c r="A172" t="inlineStr">
        <is>
          <t>A 35876-2022</t>
        </is>
      </c>
      <c r="B172" s="1" t="n">
        <v>44802</v>
      </c>
      <c r="C172" s="1" t="n">
        <v>45926</v>
      </c>
      <c r="D172" t="inlineStr">
        <is>
          <t>NORRBOTTENS LÄN</t>
        </is>
      </c>
      <c r="E172" t="inlineStr">
        <is>
          <t>JOKKMOKK</t>
        </is>
      </c>
      <c r="G172" t="n">
        <v>9.5</v>
      </c>
      <c r="H172" t="n">
        <v>0</v>
      </c>
      <c r="I172" t="n">
        <v>0</v>
      </c>
      <c r="J172" t="n">
        <v>0</v>
      </c>
      <c r="K172" t="n">
        <v>0</v>
      </c>
      <c r="L172" t="n">
        <v>0</v>
      </c>
      <c r="M172" t="n">
        <v>0</v>
      </c>
      <c r="N172" t="n">
        <v>0</v>
      </c>
      <c r="O172" t="n">
        <v>0</v>
      </c>
      <c r="P172" t="n">
        <v>0</v>
      </c>
      <c r="Q172" t="n">
        <v>0</v>
      </c>
      <c r="R172" s="2" t="inlineStr"/>
    </row>
    <row r="173" ht="15" customHeight="1">
      <c r="A173" t="inlineStr">
        <is>
          <t>A 47208-2022</t>
        </is>
      </c>
      <c r="B173" s="1" t="n">
        <v>44851</v>
      </c>
      <c r="C173" s="1" t="n">
        <v>45926</v>
      </c>
      <c r="D173" t="inlineStr">
        <is>
          <t>NORRBOTTENS LÄN</t>
        </is>
      </c>
      <c r="E173" t="inlineStr">
        <is>
          <t>JOKKMOKK</t>
        </is>
      </c>
      <c r="G173" t="n">
        <v>1.2</v>
      </c>
      <c r="H173" t="n">
        <v>0</v>
      </c>
      <c r="I173" t="n">
        <v>0</v>
      </c>
      <c r="J173" t="n">
        <v>0</v>
      </c>
      <c r="K173" t="n">
        <v>0</v>
      </c>
      <c r="L173" t="n">
        <v>0</v>
      </c>
      <c r="M173" t="n">
        <v>0</v>
      </c>
      <c r="N173" t="n">
        <v>0</v>
      </c>
      <c r="O173" t="n">
        <v>0</v>
      </c>
      <c r="P173" t="n">
        <v>0</v>
      </c>
      <c r="Q173" t="n">
        <v>0</v>
      </c>
      <c r="R173" s="2" t="inlineStr"/>
    </row>
    <row r="174" ht="15" customHeight="1">
      <c r="A174" t="inlineStr">
        <is>
          <t>A 29213-2024</t>
        </is>
      </c>
      <c r="B174" s="1" t="n">
        <v>45482</v>
      </c>
      <c r="C174" s="1" t="n">
        <v>45926</v>
      </c>
      <c r="D174" t="inlineStr">
        <is>
          <t>NORRBOTTENS LÄN</t>
        </is>
      </c>
      <c r="E174" t="inlineStr">
        <is>
          <t>JOKKMOKK</t>
        </is>
      </c>
      <c r="G174" t="n">
        <v>55</v>
      </c>
      <c r="H174" t="n">
        <v>0</v>
      </c>
      <c r="I174" t="n">
        <v>0</v>
      </c>
      <c r="J174" t="n">
        <v>0</v>
      </c>
      <c r="K174" t="n">
        <v>0</v>
      </c>
      <c r="L174" t="n">
        <v>0</v>
      </c>
      <c r="M174" t="n">
        <v>0</v>
      </c>
      <c r="N174" t="n">
        <v>0</v>
      </c>
      <c r="O174" t="n">
        <v>0</v>
      </c>
      <c r="P174" t="n">
        <v>0</v>
      </c>
      <c r="Q174" t="n">
        <v>0</v>
      </c>
      <c r="R174" s="2" t="inlineStr"/>
    </row>
    <row r="175" ht="15" customHeight="1">
      <c r="A175" t="inlineStr">
        <is>
          <t>A 49483-2021</t>
        </is>
      </c>
      <c r="B175" s="1" t="n">
        <v>44454</v>
      </c>
      <c r="C175" s="1" t="n">
        <v>45926</v>
      </c>
      <c r="D175" t="inlineStr">
        <is>
          <t>NORRBOTTENS LÄN</t>
        </is>
      </c>
      <c r="E175" t="inlineStr">
        <is>
          <t>JOKKMOKK</t>
        </is>
      </c>
      <c r="F175" t="inlineStr">
        <is>
          <t>SCA</t>
        </is>
      </c>
      <c r="G175" t="n">
        <v>24.2</v>
      </c>
      <c r="H175" t="n">
        <v>0</v>
      </c>
      <c r="I175" t="n">
        <v>0</v>
      </c>
      <c r="J175" t="n">
        <v>0</v>
      </c>
      <c r="K175" t="n">
        <v>0</v>
      </c>
      <c r="L175" t="n">
        <v>0</v>
      </c>
      <c r="M175" t="n">
        <v>0</v>
      </c>
      <c r="N175" t="n">
        <v>0</v>
      </c>
      <c r="O175" t="n">
        <v>0</v>
      </c>
      <c r="P175" t="n">
        <v>0</v>
      </c>
      <c r="Q175" t="n">
        <v>0</v>
      </c>
      <c r="R175" s="2" t="inlineStr"/>
    </row>
    <row r="176" ht="15" customHeight="1">
      <c r="A176" t="inlineStr">
        <is>
          <t>A 25715-2024</t>
        </is>
      </c>
      <c r="B176" s="1" t="n">
        <v>45463</v>
      </c>
      <c r="C176" s="1" t="n">
        <v>45926</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52882-2023</t>
        </is>
      </c>
      <c r="B177" s="1" t="n">
        <v>45222</v>
      </c>
      <c r="C177" s="1" t="n">
        <v>45926</v>
      </c>
      <c r="D177" t="inlineStr">
        <is>
          <t>NORRBOTTENS LÄN</t>
        </is>
      </c>
      <c r="E177" t="inlineStr">
        <is>
          <t>JOKKMOKK</t>
        </is>
      </c>
      <c r="G177" t="n">
        <v>56.1</v>
      </c>
      <c r="H177" t="n">
        <v>0</v>
      </c>
      <c r="I177" t="n">
        <v>0</v>
      </c>
      <c r="J177" t="n">
        <v>0</v>
      </c>
      <c r="K177" t="n">
        <v>0</v>
      </c>
      <c r="L177" t="n">
        <v>0</v>
      </c>
      <c r="M177" t="n">
        <v>0</v>
      </c>
      <c r="N177" t="n">
        <v>0</v>
      </c>
      <c r="O177" t="n">
        <v>0</v>
      </c>
      <c r="P177" t="n">
        <v>0</v>
      </c>
      <c r="Q177" t="n">
        <v>0</v>
      </c>
      <c r="R177" s="2" t="inlineStr"/>
    </row>
    <row r="178" ht="15" customHeight="1">
      <c r="A178" t="inlineStr">
        <is>
          <t>A 36113-2024</t>
        </is>
      </c>
      <c r="B178" s="1" t="n">
        <v>45534.30302083334</v>
      </c>
      <c r="C178" s="1" t="n">
        <v>45926</v>
      </c>
      <c r="D178" t="inlineStr">
        <is>
          <t>NORRBOTTENS LÄN</t>
        </is>
      </c>
      <c r="E178" t="inlineStr">
        <is>
          <t>JOKKMOKK</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40658-2024</t>
        </is>
      </c>
      <c r="B179" s="1" t="n">
        <v>45558</v>
      </c>
      <c r="C179" s="1" t="n">
        <v>45926</v>
      </c>
      <c r="D179" t="inlineStr">
        <is>
          <t>NORRBOTTENS LÄN</t>
        </is>
      </c>
      <c r="E179" t="inlineStr">
        <is>
          <t>JOKKMOKK</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24740-2025</t>
        </is>
      </c>
      <c r="B180" s="1" t="n">
        <v>45799.34543981482</v>
      </c>
      <c r="C180" s="1" t="n">
        <v>45926</v>
      </c>
      <c r="D180" t="inlineStr">
        <is>
          <t>NORRBOTTENS LÄN</t>
        </is>
      </c>
      <c r="E180" t="inlineStr">
        <is>
          <t>JOKKMOKK</t>
        </is>
      </c>
      <c r="F180" t="inlineStr">
        <is>
          <t>SCA</t>
        </is>
      </c>
      <c r="G180" t="n">
        <v>5.9</v>
      </c>
      <c r="H180" t="n">
        <v>0</v>
      </c>
      <c r="I180" t="n">
        <v>0</v>
      </c>
      <c r="J180" t="n">
        <v>0</v>
      </c>
      <c r="K180" t="n">
        <v>0</v>
      </c>
      <c r="L180" t="n">
        <v>0</v>
      </c>
      <c r="M180" t="n">
        <v>0</v>
      </c>
      <c r="N180" t="n">
        <v>0</v>
      </c>
      <c r="O180" t="n">
        <v>0</v>
      </c>
      <c r="P180" t="n">
        <v>0</v>
      </c>
      <c r="Q180" t="n">
        <v>0</v>
      </c>
      <c r="R180" s="2" t="inlineStr"/>
    </row>
    <row r="181" ht="15" customHeight="1">
      <c r="A181" t="inlineStr">
        <is>
          <t>A 24743-2025</t>
        </is>
      </c>
      <c r="B181" s="1" t="n">
        <v>45799.34598379629</v>
      </c>
      <c r="C181" s="1" t="n">
        <v>45926</v>
      </c>
      <c r="D181" t="inlineStr">
        <is>
          <t>NORRBOTTENS LÄN</t>
        </is>
      </c>
      <c r="E181" t="inlineStr">
        <is>
          <t>JOKKMOKK</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60193-2023</t>
        </is>
      </c>
      <c r="B182" s="1" t="n">
        <v>45258</v>
      </c>
      <c r="C182" s="1" t="n">
        <v>45926</v>
      </c>
      <c r="D182" t="inlineStr">
        <is>
          <t>NORRBOTTENS LÄN</t>
        </is>
      </c>
      <c r="E182" t="inlineStr">
        <is>
          <t>JOKKMOKK</t>
        </is>
      </c>
      <c r="F182" t="inlineStr">
        <is>
          <t>Allmännings- och besparingsskogar</t>
        </is>
      </c>
      <c r="G182" t="n">
        <v>11.1</v>
      </c>
      <c r="H182" t="n">
        <v>0</v>
      </c>
      <c r="I182" t="n">
        <v>0</v>
      </c>
      <c r="J182" t="n">
        <v>0</v>
      </c>
      <c r="K182" t="n">
        <v>0</v>
      </c>
      <c r="L182" t="n">
        <v>0</v>
      </c>
      <c r="M182" t="n">
        <v>0</v>
      </c>
      <c r="N182" t="n">
        <v>0</v>
      </c>
      <c r="O182" t="n">
        <v>0</v>
      </c>
      <c r="P182" t="n">
        <v>0</v>
      </c>
      <c r="Q182" t="n">
        <v>0</v>
      </c>
      <c r="R182" s="2" t="inlineStr"/>
    </row>
    <row r="183" ht="15" customHeight="1">
      <c r="A183" t="inlineStr">
        <is>
          <t>A 9852-2023</t>
        </is>
      </c>
      <c r="B183" s="1" t="n">
        <v>44984</v>
      </c>
      <c r="C183" s="1" t="n">
        <v>45926</v>
      </c>
      <c r="D183" t="inlineStr">
        <is>
          <t>NORRBOTTENS LÄN</t>
        </is>
      </c>
      <c r="E183" t="inlineStr">
        <is>
          <t>JOKKMOKK</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28036-2024</t>
        </is>
      </c>
      <c r="B184" s="1" t="n">
        <v>45476.49958333333</v>
      </c>
      <c r="C184" s="1" t="n">
        <v>45926</v>
      </c>
      <c r="D184" t="inlineStr">
        <is>
          <t>NORRBOTTENS LÄN</t>
        </is>
      </c>
      <c r="E184" t="inlineStr">
        <is>
          <t>JOKKMOKK</t>
        </is>
      </c>
      <c r="G184" t="n">
        <v>7.4</v>
      </c>
      <c r="H184" t="n">
        <v>0</v>
      </c>
      <c r="I184" t="n">
        <v>0</v>
      </c>
      <c r="J184" t="n">
        <v>0</v>
      </c>
      <c r="K184" t="n">
        <v>0</v>
      </c>
      <c r="L184" t="n">
        <v>0</v>
      </c>
      <c r="M184" t="n">
        <v>0</v>
      </c>
      <c r="N184" t="n">
        <v>0</v>
      </c>
      <c r="O184" t="n">
        <v>0</v>
      </c>
      <c r="P184" t="n">
        <v>0</v>
      </c>
      <c r="Q184" t="n">
        <v>0</v>
      </c>
      <c r="R184" s="2" t="inlineStr"/>
    </row>
    <row r="185" ht="15" customHeight="1">
      <c r="A185" t="inlineStr">
        <is>
          <t>A 24746-2025</t>
        </is>
      </c>
      <c r="B185" s="1" t="n">
        <v>45799.34662037037</v>
      </c>
      <c r="C185" s="1" t="n">
        <v>45926</v>
      </c>
      <c r="D185" t="inlineStr">
        <is>
          <t>NORRBOTTENS LÄN</t>
        </is>
      </c>
      <c r="E185" t="inlineStr">
        <is>
          <t>JOKKMOKK</t>
        </is>
      </c>
      <c r="F185" t="inlineStr">
        <is>
          <t>SCA</t>
        </is>
      </c>
      <c r="G185" t="n">
        <v>6.1</v>
      </c>
      <c r="H185" t="n">
        <v>0</v>
      </c>
      <c r="I185" t="n">
        <v>0</v>
      </c>
      <c r="J185" t="n">
        <v>0</v>
      </c>
      <c r="K185" t="n">
        <v>0</v>
      </c>
      <c r="L185" t="n">
        <v>0</v>
      </c>
      <c r="M185" t="n">
        <v>0</v>
      </c>
      <c r="N185" t="n">
        <v>0</v>
      </c>
      <c r="O185" t="n">
        <v>0</v>
      </c>
      <c r="P185" t="n">
        <v>0</v>
      </c>
      <c r="Q185" t="n">
        <v>0</v>
      </c>
      <c r="R185" s="2" t="inlineStr"/>
    </row>
    <row r="186" ht="15" customHeight="1">
      <c r="A186" t="inlineStr">
        <is>
          <t>A 49679-2024</t>
        </is>
      </c>
      <c r="B186" s="1" t="n">
        <v>45596.6649537037</v>
      </c>
      <c r="C186" s="1" t="n">
        <v>45926</v>
      </c>
      <c r="D186" t="inlineStr">
        <is>
          <t>NORRBOTTENS LÄN</t>
        </is>
      </c>
      <c r="E186" t="inlineStr">
        <is>
          <t>JOKKMOKK</t>
        </is>
      </c>
      <c r="F186" t="inlineStr">
        <is>
          <t>Allmännings- och besparingsskogar</t>
        </is>
      </c>
      <c r="G186" t="n">
        <v>14.1</v>
      </c>
      <c r="H186" t="n">
        <v>0</v>
      </c>
      <c r="I186" t="n">
        <v>0</v>
      </c>
      <c r="J186" t="n">
        <v>0</v>
      </c>
      <c r="K186" t="n">
        <v>0</v>
      </c>
      <c r="L186" t="n">
        <v>0</v>
      </c>
      <c r="M186" t="n">
        <v>0</v>
      </c>
      <c r="N186" t="n">
        <v>0</v>
      </c>
      <c r="O186" t="n">
        <v>0</v>
      </c>
      <c r="P186" t="n">
        <v>0</v>
      </c>
      <c r="Q186" t="n">
        <v>0</v>
      </c>
      <c r="R186" s="2" t="inlineStr"/>
    </row>
    <row r="187" ht="15" customHeight="1">
      <c r="A187" t="inlineStr">
        <is>
          <t>A 37828-2024</t>
        </is>
      </c>
      <c r="B187" s="1" t="n">
        <v>45544</v>
      </c>
      <c r="C187" s="1" t="n">
        <v>45926</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60164-2023</t>
        </is>
      </c>
      <c r="B188" s="1" t="n">
        <v>45258</v>
      </c>
      <c r="C188" s="1" t="n">
        <v>45926</v>
      </c>
      <c r="D188" t="inlineStr">
        <is>
          <t>NORRBOTTENS LÄN</t>
        </is>
      </c>
      <c r="E188" t="inlineStr">
        <is>
          <t>JOKKMOKK</t>
        </is>
      </c>
      <c r="F188" t="inlineStr">
        <is>
          <t>Allmännings- och besparingsskogar</t>
        </is>
      </c>
      <c r="G188" t="n">
        <v>14.3</v>
      </c>
      <c r="H188" t="n">
        <v>0</v>
      </c>
      <c r="I188" t="n">
        <v>0</v>
      </c>
      <c r="J188" t="n">
        <v>0</v>
      </c>
      <c r="K188" t="n">
        <v>0</v>
      </c>
      <c r="L188" t="n">
        <v>0</v>
      </c>
      <c r="M188" t="n">
        <v>0</v>
      </c>
      <c r="N188" t="n">
        <v>0</v>
      </c>
      <c r="O188" t="n">
        <v>0</v>
      </c>
      <c r="P188" t="n">
        <v>0</v>
      </c>
      <c r="Q188" t="n">
        <v>0</v>
      </c>
      <c r="R188" s="2" t="inlineStr"/>
    </row>
    <row r="189" ht="15" customHeight="1">
      <c r="A189" t="inlineStr">
        <is>
          <t>A 60418-2023</t>
        </is>
      </c>
      <c r="B189" s="1" t="n">
        <v>45259.49666666667</v>
      </c>
      <c r="C189" s="1" t="n">
        <v>45926</v>
      </c>
      <c r="D189" t="inlineStr">
        <is>
          <t>NORRBOTTENS LÄN</t>
        </is>
      </c>
      <c r="E189" t="inlineStr">
        <is>
          <t>JOKKMOKK</t>
        </is>
      </c>
      <c r="F189" t="inlineStr">
        <is>
          <t>Allmännings- och besparingsskogar</t>
        </is>
      </c>
      <c r="G189" t="n">
        <v>12.7</v>
      </c>
      <c r="H189" t="n">
        <v>0</v>
      </c>
      <c r="I189" t="n">
        <v>0</v>
      </c>
      <c r="J189" t="n">
        <v>0</v>
      </c>
      <c r="K189" t="n">
        <v>0</v>
      </c>
      <c r="L189" t="n">
        <v>0</v>
      </c>
      <c r="M189" t="n">
        <v>0</v>
      </c>
      <c r="N189" t="n">
        <v>0</v>
      </c>
      <c r="O189" t="n">
        <v>0</v>
      </c>
      <c r="P189" t="n">
        <v>0</v>
      </c>
      <c r="Q189" t="n">
        <v>0</v>
      </c>
      <c r="R189" s="2" t="inlineStr"/>
    </row>
    <row r="190" ht="15" customHeight="1">
      <c r="A190" t="inlineStr">
        <is>
          <t>A 57183-2020</t>
        </is>
      </c>
      <c r="B190" s="1" t="n">
        <v>44138</v>
      </c>
      <c r="C190" s="1" t="n">
        <v>45926</v>
      </c>
      <c r="D190" t="inlineStr">
        <is>
          <t>NORRBOTTENS LÄN</t>
        </is>
      </c>
      <c r="E190" t="inlineStr">
        <is>
          <t>JOKKMOKK</t>
        </is>
      </c>
      <c r="F190" t="inlineStr">
        <is>
          <t>Övriga Aktiebolag</t>
        </is>
      </c>
      <c r="G190" t="n">
        <v>0.9</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45926</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55635-2024</t>
        </is>
      </c>
      <c r="B192" s="1" t="n">
        <v>45622</v>
      </c>
      <c r="C192" s="1" t="n">
        <v>45926</v>
      </c>
      <c r="D192" t="inlineStr">
        <is>
          <t>NORRBOTTENS LÄN</t>
        </is>
      </c>
      <c r="E192" t="inlineStr">
        <is>
          <t>JOKKMOKK</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52130-2024</t>
        </is>
      </c>
      <c r="B193" s="1" t="n">
        <v>45608</v>
      </c>
      <c r="C193" s="1" t="n">
        <v>45926</v>
      </c>
      <c r="D193" t="inlineStr">
        <is>
          <t>NORRBOTTENS LÄN</t>
        </is>
      </c>
      <c r="E193" t="inlineStr">
        <is>
          <t>JOKKMOKK</t>
        </is>
      </c>
      <c r="G193" t="n">
        <v>84</v>
      </c>
      <c r="H193" t="n">
        <v>0</v>
      </c>
      <c r="I193" t="n">
        <v>0</v>
      </c>
      <c r="J193" t="n">
        <v>0</v>
      </c>
      <c r="K193" t="n">
        <v>0</v>
      </c>
      <c r="L193" t="n">
        <v>0</v>
      </c>
      <c r="M193" t="n">
        <v>0</v>
      </c>
      <c r="N193" t="n">
        <v>0</v>
      </c>
      <c r="O193" t="n">
        <v>0</v>
      </c>
      <c r="P193" t="n">
        <v>0</v>
      </c>
      <c r="Q193" t="n">
        <v>0</v>
      </c>
      <c r="R193" s="2" t="inlineStr"/>
    </row>
    <row r="194" ht="15" customHeight="1">
      <c r="A194" t="inlineStr">
        <is>
          <t>A 26131-2023</t>
        </is>
      </c>
      <c r="B194" s="1" t="n">
        <v>45086</v>
      </c>
      <c r="C194" s="1" t="n">
        <v>45926</v>
      </c>
      <c r="D194" t="inlineStr">
        <is>
          <t>NORRBOTTENS LÄN</t>
        </is>
      </c>
      <c r="E194" t="inlineStr">
        <is>
          <t>JOKKMOKK</t>
        </is>
      </c>
      <c r="G194" t="n">
        <v>35.6</v>
      </c>
      <c r="H194" t="n">
        <v>0</v>
      </c>
      <c r="I194" t="n">
        <v>0</v>
      </c>
      <c r="J194" t="n">
        <v>0</v>
      </c>
      <c r="K194" t="n">
        <v>0</v>
      </c>
      <c r="L194" t="n">
        <v>0</v>
      </c>
      <c r="M194" t="n">
        <v>0</v>
      </c>
      <c r="N194" t="n">
        <v>0</v>
      </c>
      <c r="O194" t="n">
        <v>0</v>
      </c>
      <c r="P194" t="n">
        <v>0</v>
      </c>
      <c r="Q194" t="n">
        <v>0</v>
      </c>
      <c r="R194" s="2" t="inlineStr"/>
    </row>
    <row r="195" ht="15" customHeight="1">
      <c r="A195" t="inlineStr">
        <is>
          <t>A 29212-2024</t>
        </is>
      </c>
      <c r="B195" s="1" t="n">
        <v>45482</v>
      </c>
      <c r="C195" s="1" t="n">
        <v>45926</v>
      </c>
      <c r="D195" t="inlineStr">
        <is>
          <t>NORRBOTTENS LÄN</t>
        </is>
      </c>
      <c r="E195" t="inlineStr">
        <is>
          <t>JOKKMOKK</t>
        </is>
      </c>
      <c r="G195" t="n">
        <v>8.5</v>
      </c>
      <c r="H195" t="n">
        <v>0</v>
      </c>
      <c r="I195" t="n">
        <v>0</v>
      </c>
      <c r="J195" t="n">
        <v>0</v>
      </c>
      <c r="K195" t="n">
        <v>0</v>
      </c>
      <c r="L195" t="n">
        <v>0</v>
      </c>
      <c r="M195" t="n">
        <v>0</v>
      </c>
      <c r="N195" t="n">
        <v>0</v>
      </c>
      <c r="O195" t="n">
        <v>0</v>
      </c>
      <c r="P195" t="n">
        <v>0</v>
      </c>
      <c r="Q195" t="n">
        <v>0</v>
      </c>
      <c r="R195" s="2" t="inlineStr"/>
    </row>
    <row r="196" ht="15" customHeight="1">
      <c r="A196" t="inlineStr">
        <is>
          <t>A 453-2025</t>
        </is>
      </c>
      <c r="B196" s="1" t="n">
        <v>45664.4005787037</v>
      </c>
      <c r="C196" s="1" t="n">
        <v>45926</v>
      </c>
      <c r="D196" t="inlineStr">
        <is>
          <t>NORRBOTTENS LÄN</t>
        </is>
      </c>
      <c r="E196" t="inlineStr">
        <is>
          <t>JOKKMOKK</t>
        </is>
      </c>
      <c r="F196" t="inlineStr">
        <is>
          <t>Övriga statliga verk och myndigheter</t>
        </is>
      </c>
      <c r="G196" t="n">
        <v>5</v>
      </c>
      <c r="H196" t="n">
        <v>0</v>
      </c>
      <c r="I196" t="n">
        <v>0</v>
      </c>
      <c r="J196" t="n">
        <v>0</v>
      </c>
      <c r="K196" t="n">
        <v>0</v>
      </c>
      <c r="L196" t="n">
        <v>0</v>
      </c>
      <c r="M196" t="n">
        <v>0</v>
      </c>
      <c r="N196" t="n">
        <v>0</v>
      </c>
      <c r="O196" t="n">
        <v>0</v>
      </c>
      <c r="P196" t="n">
        <v>0</v>
      </c>
      <c r="Q196" t="n">
        <v>0</v>
      </c>
      <c r="R196" s="2" t="inlineStr"/>
    </row>
    <row r="197" ht="15" customHeight="1">
      <c r="A197" t="inlineStr">
        <is>
          <t>A 2826-2025</t>
        </is>
      </c>
      <c r="B197" s="1" t="n">
        <v>45677.61483796296</v>
      </c>
      <c r="C197" s="1" t="n">
        <v>45926</v>
      </c>
      <c r="D197" t="inlineStr">
        <is>
          <t>NORRBOTTENS LÄN</t>
        </is>
      </c>
      <c r="E197" t="inlineStr">
        <is>
          <t>JOKKMOKK</t>
        </is>
      </c>
      <c r="F197" t="inlineStr">
        <is>
          <t>Övriga statliga verk och myndigheter</t>
        </is>
      </c>
      <c r="G197" t="n">
        <v>10.5</v>
      </c>
      <c r="H197" t="n">
        <v>0</v>
      </c>
      <c r="I197" t="n">
        <v>0</v>
      </c>
      <c r="J197" t="n">
        <v>0</v>
      </c>
      <c r="K197" t="n">
        <v>0</v>
      </c>
      <c r="L197" t="n">
        <v>0</v>
      </c>
      <c r="M197" t="n">
        <v>0</v>
      </c>
      <c r="N197" t="n">
        <v>0</v>
      </c>
      <c r="O197" t="n">
        <v>0</v>
      </c>
      <c r="P197" t="n">
        <v>0</v>
      </c>
      <c r="Q197" t="n">
        <v>0</v>
      </c>
      <c r="R197" s="2" t="inlineStr"/>
    </row>
    <row r="198" ht="15" customHeight="1">
      <c r="A198" t="inlineStr">
        <is>
          <t>A 49953-2024</t>
        </is>
      </c>
      <c r="B198" s="1" t="n">
        <v>45597</v>
      </c>
      <c r="C198" s="1" t="n">
        <v>45926</v>
      </c>
      <c r="D198" t="inlineStr">
        <is>
          <t>NORRBOTTENS LÄN</t>
        </is>
      </c>
      <c r="E198" t="inlineStr">
        <is>
          <t>JOKKMOKK</t>
        </is>
      </c>
      <c r="F198" t="inlineStr">
        <is>
          <t>Allmännings- och besparingsskogar</t>
        </is>
      </c>
      <c r="G198" t="n">
        <v>9.4</v>
      </c>
      <c r="H198" t="n">
        <v>0</v>
      </c>
      <c r="I198" t="n">
        <v>0</v>
      </c>
      <c r="J198" t="n">
        <v>0</v>
      </c>
      <c r="K198" t="n">
        <v>0</v>
      </c>
      <c r="L198" t="n">
        <v>0</v>
      </c>
      <c r="M198" t="n">
        <v>0</v>
      </c>
      <c r="N198" t="n">
        <v>0</v>
      </c>
      <c r="O198" t="n">
        <v>0</v>
      </c>
      <c r="P198" t="n">
        <v>0</v>
      </c>
      <c r="Q198" t="n">
        <v>0</v>
      </c>
      <c r="R198" s="2" t="inlineStr"/>
    </row>
    <row r="199" ht="15" customHeight="1">
      <c r="A199" t="inlineStr">
        <is>
          <t>A 18602-2024</t>
        </is>
      </c>
      <c r="B199" s="1" t="n">
        <v>45425</v>
      </c>
      <c r="C199" s="1" t="n">
        <v>45926</v>
      </c>
      <c r="D199" t="inlineStr">
        <is>
          <t>NORRBOTTENS LÄN</t>
        </is>
      </c>
      <c r="E199" t="inlineStr">
        <is>
          <t>JOKKMOKK</t>
        </is>
      </c>
      <c r="G199" t="n">
        <v>4.6</v>
      </c>
      <c r="H199" t="n">
        <v>0</v>
      </c>
      <c r="I199" t="n">
        <v>0</v>
      </c>
      <c r="J199" t="n">
        <v>0</v>
      </c>
      <c r="K199" t="n">
        <v>0</v>
      </c>
      <c r="L199" t="n">
        <v>0</v>
      </c>
      <c r="M199" t="n">
        <v>0</v>
      </c>
      <c r="N199" t="n">
        <v>0</v>
      </c>
      <c r="O199" t="n">
        <v>0</v>
      </c>
      <c r="P199" t="n">
        <v>0</v>
      </c>
      <c r="Q199" t="n">
        <v>0</v>
      </c>
      <c r="R199" s="2" t="inlineStr"/>
    </row>
    <row r="200" ht="15" customHeight="1">
      <c r="A200" t="inlineStr">
        <is>
          <t>A 49562-2024</t>
        </is>
      </c>
      <c r="B200" s="1" t="n">
        <v>45596</v>
      </c>
      <c r="C200" s="1" t="n">
        <v>45926</v>
      </c>
      <c r="D200" t="inlineStr">
        <is>
          <t>NORRBOTTENS LÄN</t>
        </is>
      </c>
      <c r="E200" t="inlineStr">
        <is>
          <t>JOKKMOKK</t>
        </is>
      </c>
      <c r="F200" t="inlineStr">
        <is>
          <t>Allmännings- och besparingsskogar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45468-2022</t>
        </is>
      </c>
      <c r="B201" s="1" t="n">
        <v>44841</v>
      </c>
      <c r="C201" s="1" t="n">
        <v>45926</v>
      </c>
      <c r="D201" t="inlineStr">
        <is>
          <t>NORRBOTTENS LÄN</t>
        </is>
      </c>
      <c r="E201" t="inlineStr">
        <is>
          <t>JOKKMOKK</t>
        </is>
      </c>
      <c r="F201" t="inlineStr">
        <is>
          <t>Övriga Aktiebolag</t>
        </is>
      </c>
      <c r="G201" t="n">
        <v>2.1</v>
      </c>
      <c r="H201" t="n">
        <v>0</v>
      </c>
      <c r="I201" t="n">
        <v>0</v>
      </c>
      <c r="J201" t="n">
        <v>0</v>
      </c>
      <c r="K201" t="n">
        <v>0</v>
      </c>
      <c r="L201" t="n">
        <v>0</v>
      </c>
      <c r="M201" t="n">
        <v>0</v>
      </c>
      <c r="N201" t="n">
        <v>0</v>
      </c>
      <c r="O201" t="n">
        <v>0</v>
      </c>
      <c r="P201" t="n">
        <v>0</v>
      </c>
      <c r="Q201" t="n">
        <v>0</v>
      </c>
      <c r="R201" s="2" t="inlineStr"/>
    </row>
    <row r="202" ht="15" customHeight="1">
      <c r="A202" t="inlineStr">
        <is>
          <t>A 31208-2023</t>
        </is>
      </c>
      <c r="B202" s="1" t="n">
        <v>45113.95083333334</v>
      </c>
      <c r="C202" s="1" t="n">
        <v>45926</v>
      </c>
      <c r="D202" t="inlineStr">
        <is>
          <t>NORRBOTTENS LÄN</t>
        </is>
      </c>
      <c r="E202" t="inlineStr">
        <is>
          <t>JOKKMOKK</t>
        </is>
      </c>
      <c r="F202" t="inlineStr">
        <is>
          <t>SCA</t>
        </is>
      </c>
      <c r="G202" t="n">
        <v>10.3</v>
      </c>
      <c r="H202" t="n">
        <v>0</v>
      </c>
      <c r="I202" t="n">
        <v>0</v>
      </c>
      <c r="J202" t="n">
        <v>0</v>
      </c>
      <c r="K202" t="n">
        <v>0</v>
      </c>
      <c r="L202" t="n">
        <v>0</v>
      </c>
      <c r="M202" t="n">
        <v>0</v>
      </c>
      <c r="N202" t="n">
        <v>0</v>
      </c>
      <c r="O202" t="n">
        <v>0</v>
      </c>
      <c r="P202" t="n">
        <v>0</v>
      </c>
      <c r="Q202" t="n">
        <v>0</v>
      </c>
      <c r="R202" s="2" t="inlineStr"/>
    </row>
    <row r="203" ht="15" customHeight="1">
      <c r="A203" t="inlineStr">
        <is>
          <t>A 35675-2024</t>
        </is>
      </c>
      <c r="B203" s="1" t="n">
        <v>45532</v>
      </c>
      <c r="C203" s="1" t="n">
        <v>45926</v>
      </c>
      <c r="D203" t="inlineStr">
        <is>
          <t>NORRBOTTENS LÄN</t>
        </is>
      </c>
      <c r="E203" t="inlineStr">
        <is>
          <t>JOKKMOKK</t>
        </is>
      </c>
      <c r="G203" t="n">
        <v>1.4</v>
      </c>
      <c r="H203" t="n">
        <v>0</v>
      </c>
      <c r="I203" t="n">
        <v>0</v>
      </c>
      <c r="J203" t="n">
        <v>0</v>
      </c>
      <c r="K203" t="n">
        <v>0</v>
      </c>
      <c r="L203" t="n">
        <v>0</v>
      </c>
      <c r="M203" t="n">
        <v>0</v>
      </c>
      <c r="N203" t="n">
        <v>0</v>
      </c>
      <c r="O203" t="n">
        <v>0</v>
      </c>
      <c r="P203" t="n">
        <v>0</v>
      </c>
      <c r="Q203" t="n">
        <v>0</v>
      </c>
      <c r="R203" s="2" t="inlineStr"/>
    </row>
    <row r="204" ht="15" customHeight="1">
      <c r="A204" t="inlineStr">
        <is>
          <t>A 65648-2020</t>
        </is>
      </c>
      <c r="B204" s="1" t="n">
        <v>44172</v>
      </c>
      <c r="C204" s="1" t="n">
        <v>45926</v>
      </c>
      <c r="D204" t="inlineStr">
        <is>
          <t>NORRBOTTENS LÄN</t>
        </is>
      </c>
      <c r="E204" t="inlineStr">
        <is>
          <t>JOKKMOKK</t>
        </is>
      </c>
      <c r="G204" t="n">
        <v>1.8</v>
      </c>
      <c r="H204" t="n">
        <v>0</v>
      </c>
      <c r="I204" t="n">
        <v>0</v>
      </c>
      <c r="J204" t="n">
        <v>0</v>
      </c>
      <c r="K204" t="n">
        <v>0</v>
      </c>
      <c r="L204" t="n">
        <v>0</v>
      </c>
      <c r="M204" t="n">
        <v>0</v>
      </c>
      <c r="N204" t="n">
        <v>0</v>
      </c>
      <c r="O204" t="n">
        <v>0</v>
      </c>
      <c r="P204" t="n">
        <v>0</v>
      </c>
      <c r="Q204" t="n">
        <v>0</v>
      </c>
      <c r="R204" s="2" t="inlineStr"/>
    </row>
    <row r="205" ht="15" customHeight="1">
      <c r="A205" t="inlineStr">
        <is>
          <t>A 14567-2024</t>
        </is>
      </c>
      <c r="B205" s="1" t="n">
        <v>45394</v>
      </c>
      <c r="C205" s="1" t="n">
        <v>45926</v>
      </c>
      <c r="D205" t="inlineStr">
        <is>
          <t>NORRBOTTENS LÄN</t>
        </is>
      </c>
      <c r="E205" t="inlineStr">
        <is>
          <t>JOKKMOKK</t>
        </is>
      </c>
      <c r="G205" t="n">
        <v>24.5</v>
      </c>
      <c r="H205" t="n">
        <v>0</v>
      </c>
      <c r="I205" t="n">
        <v>0</v>
      </c>
      <c r="J205" t="n">
        <v>0</v>
      </c>
      <c r="K205" t="n">
        <v>0</v>
      </c>
      <c r="L205" t="n">
        <v>0</v>
      </c>
      <c r="M205" t="n">
        <v>0</v>
      </c>
      <c r="N205" t="n">
        <v>0</v>
      </c>
      <c r="O205" t="n">
        <v>0</v>
      </c>
      <c r="P205" t="n">
        <v>0</v>
      </c>
      <c r="Q205" t="n">
        <v>0</v>
      </c>
      <c r="R205" s="2" t="inlineStr"/>
    </row>
    <row r="206" ht="15" customHeight="1">
      <c r="A206" t="inlineStr">
        <is>
          <t>A 44145-2024</t>
        </is>
      </c>
      <c r="B206" s="1" t="n">
        <v>45572.66908564815</v>
      </c>
      <c r="C206" s="1" t="n">
        <v>45926</v>
      </c>
      <c r="D206" t="inlineStr">
        <is>
          <t>NORRBOTTENS LÄN</t>
        </is>
      </c>
      <c r="E206" t="inlineStr">
        <is>
          <t>JOKKMOKK</t>
        </is>
      </c>
      <c r="F206" t="inlineStr">
        <is>
          <t>Sveaskog</t>
        </is>
      </c>
      <c r="G206" t="n">
        <v>4.7</v>
      </c>
      <c r="H206" t="n">
        <v>0</v>
      </c>
      <c r="I206" t="n">
        <v>0</v>
      </c>
      <c r="J206" t="n">
        <v>0</v>
      </c>
      <c r="K206" t="n">
        <v>0</v>
      </c>
      <c r="L206" t="n">
        <v>0</v>
      </c>
      <c r="M206" t="n">
        <v>0</v>
      </c>
      <c r="N206" t="n">
        <v>0</v>
      </c>
      <c r="O206" t="n">
        <v>0</v>
      </c>
      <c r="P206" t="n">
        <v>0</v>
      </c>
      <c r="Q206" t="n">
        <v>0</v>
      </c>
      <c r="R206" s="2" t="inlineStr"/>
    </row>
    <row r="207" ht="15" customHeight="1">
      <c r="A207" t="inlineStr">
        <is>
          <t>A 9874-2023</t>
        </is>
      </c>
      <c r="B207" s="1" t="n">
        <v>44984.94069444444</v>
      </c>
      <c r="C207" s="1" t="n">
        <v>45926</v>
      </c>
      <c r="D207" t="inlineStr">
        <is>
          <t>NORRBOTTENS LÄN</t>
        </is>
      </c>
      <c r="E207" t="inlineStr">
        <is>
          <t>JOKKMOKK</t>
        </is>
      </c>
      <c r="G207" t="n">
        <v>1.7</v>
      </c>
      <c r="H207" t="n">
        <v>0</v>
      </c>
      <c r="I207" t="n">
        <v>0</v>
      </c>
      <c r="J207" t="n">
        <v>0</v>
      </c>
      <c r="K207" t="n">
        <v>0</v>
      </c>
      <c r="L207" t="n">
        <v>0</v>
      </c>
      <c r="M207" t="n">
        <v>0</v>
      </c>
      <c r="N207" t="n">
        <v>0</v>
      </c>
      <c r="O207" t="n">
        <v>0</v>
      </c>
      <c r="P207" t="n">
        <v>0</v>
      </c>
      <c r="Q207" t="n">
        <v>0</v>
      </c>
      <c r="R207" s="2" t="inlineStr"/>
    </row>
    <row r="208" ht="15" customHeight="1">
      <c r="A208" t="inlineStr">
        <is>
          <t>A 9875-2023</t>
        </is>
      </c>
      <c r="B208" s="1" t="n">
        <v>44984.94076388889</v>
      </c>
      <c r="C208" s="1" t="n">
        <v>45926</v>
      </c>
      <c r="D208" t="inlineStr">
        <is>
          <t>NORRBOTTENS LÄN</t>
        </is>
      </c>
      <c r="E208" t="inlineStr">
        <is>
          <t>JOKKMOKK</t>
        </is>
      </c>
      <c r="G208" t="n">
        <v>0.6</v>
      </c>
      <c r="H208" t="n">
        <v>0</v>
      </c>
      <c r="I208" t="n">
        <v>0</v>
      </c>
      <c r="J208" t="n">
        <v>0</v>
      </c>
      <c r="K208" t="n">
        <v>0</v>
      </c>
      <c r="L208" t="n">
        <v>0</v>
      </c>
      <c r="M208" t="n">
        <v>0</v>
      </c>
      <c r="N208" t="n">
        <v>0</v>
      </c>
      <c r="O208" t="n">
        <v>0</v>
      </c>
      <c r="P208" t="n">
        <v>0</v>
      </c>
      <c r="Q208" t="n">
        <v>0</v>
      </c>
      <c r="R208" s="2" t="inlineStr"/>
    </row>
    <row r="209" ht="15" customHeight="1">
      <c r="A209" t="inlineStr">
        <is>
          <t>A 7845-2024</t>
        </is>
      </c>
      <c r="B209" s="1" t="n">
        <v>45349</v>
      </c>
      <c r="C209" s="1" t="n">
        <v>45926</v>
      </c>
      <c r="D209" t="inlineStr">
        <is>
          <t>NORRBOTTENS LÄN</t>
        </is>
      </c>
      <c r="E209" t="inlineStr">
        <is>
          <t>JOKKMOKK</t>
        </is>
      </c>
      <c r="G209" t="n">
        <v>3</v>
      </c>
      <c r="H209" t="n">
        <v>0</v>
      </c>
      <c r="I209" t="n">
        <v>0</v>
      </c>
      <c r="J209" t="n">
        <v>0</v>
      </c>
      <c r="K209" t="n">
        <v>0</v>
      </c>
      <c r="L209" t="n">
        <v>0</v>
      </c>
      <c r="M209" t="n">
        <v>0</v>
      </c>
      <c r="N209" t="n">
        <v>0</v>
      </c>
      <c r="O209" t="n">
        <v>0</v>
      </c>
      <c r="P209" t="n">
        <v>0</v>
      </c>
      <c r="Q209" t="n">
        <v>0</v>
      </c>
      <c r="R209" s="2" t="inlineStr"/>
    </row>
    <row r="210" ht="15" customHeight="1">
      <c r="A210" t="inlineStr">
        <is>
          <t>A 32900-2023</t>
        </is>
      </c>
      <c r="B210" s="1" t="n">
        <v>45124</v>
      </c>
      <c r="C210" s="1" t="n">
        <v>45926</v>
      </c>
      <c r="D210" t="inlineStr">
        <is>
          <t>NORRBOTTENS LÄN</t>
        </is>
      </c>
      <c r="E210" t="inlineStr">
        <is>
          <t>JOKKMOKK</t>
        </is>
      </c>
      <c r="F210" t="inlineStr">
        <is>
          <t>SCA</t>
        </is>
      </c>
      <c r="G210" t="n">
        <v>4.4</v>
      </c>
      <c r="H210" t="n">
        <v>0</v>
      </c>
      <c r="I210" t="n">
        <v>0</v>
      </c>
      <c r="J210" t="n">
        <v>0</v>
      </c>
      <c r="K210" t="n">
        <v>0</v>
      </c>
      <c r="L210" t="n">
        <v>0</v>
      </c>
      <c r="M210" t="n">
        <v>0</v>
      </c>
      <c r="N210" t="n">
        <v>0</v>
      </c>
      <c r="O210" t="n">
        <v>0</v>
      </c>
      <c r="P210" t="n">
        <v>0</v>
      </c>
      <c r="Q210" t="n">
        <v>0</v>
      </c>
      <c r="R210" s="2" t="inlineStr"/>
    </row>
    <row r="211" ht="15" customHeight="1">
      <c r="A211" t="inlineStr">
        <is>
          <t>A 18493-2025</t>
        </is>
      </c>
      <c r="B211" s="1" t="n">
        <v>45763.34474537037</v>
      </c>
      <c r="C211" s="1" t="n">
        <v>45926</v>
      </c>
      <c r="D211" t="inlineStr">
        <is>
          <t>NORRBOTTENS LÄN</t>
        </is>
      </c>
      <c r="E211" t="inlineStr">
        <is>
          <t>JOKKMOKK</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27685-2025</t>
        </is>
      </c>
      <c r="B212" s="1" t="n">
        <v>45813.65023148148</v>
      </c>
      <c r="C212" s="1" t="n">
        <v>45926</v>
      </c>
      <c r="D212" t="inlineStr">
        <is>
          <t>NORRBOTTENS LÄN</t>
        </is>
      </c>
      <c r="E212" t="inlineStr">
        <is>
          <t>JOKKMOKK</t>
        </is>
      </c>
      <c r="G212" t="n">
        <v>2</v>
      </c>
      <c r="H212" t="n">
        <v>0</v>
      </c>
      <c r="I212" t="n">
        <v>0</v>
      </c>
      <c r="J212" t="n">
        <v>0</v>
      </c>
      <c r="K212" t="n">
        <v>0</v>
      </c>
      <c r="L212" t="n">
        <v>0</v>
      </c>
      <c r="M212" t="n">
        <v>0</v>
      </c>
      <c r="N212" t="n">
        <v>0</v>
      </c>
      <c r="O212" t="n">
        <v>0</v>
      </c>
      <c r="P212" t="n">
        <v>0</v>
      </c>
      <c r="Q212" t="n">
        <v>0</v>
      </c>
      <c r="R212" s="2" t="inlineStr"/>
    </row>
    <row r="213" ht="15" customHeight="1">
      <c r="A213" t="inlineStr">
        <is>
          <t>A 52181-2023</t>
        </is>
      </c>
      <c r="B213" s="1" t="n">
        <v>45224</v>
      </c>
      <c r="C213" s="1" t="n">
        <v>45926</v>
      </c>
      <c r="D213" t="inlineStr">
        <is>
          <t>NORRBOTTENS LÄN</t>
        </is>
      </c>
      <c r="E213" t="inlineStr">
        <is>
          <t>JOKKMOKK</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27652-2024</t>
        </is>
      </c>
      <c r="B214" s="1" t="n">
        <v>45474.94982638889</v>
      </c>
      <c r="C214" s="1" t="n">
        <v>45926</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33323-2024</t>
        </is>
      </c>
      <c r="B215" s="1" t="n">
        <v>45518.97305555556</v>
      </c>
      <c r="C215" s="1" t="n">
        <v>45926</v>
      </c>
      <c r="D215" t="inlineStr">
        <is>
          <t>NORRBOTTENS LÄN</t>
        </is>
      </c>
      <c r="E215" t="inlineStr">
        <is>
          <t>JOKKMOKK</t>
        </is>
      </c>
      <c r="F215" t="inlineStr">
        <is>
          <t>SCA</t>
        </is>
      </c>
      <c r="G215" t="n">
        <v>16.7</v>
      </c>
      <c r="H215" t="n">
        <v>0</v>
      </c>
      <c r="I215" t="n">
        <v>0</v>
      </c>
      <c r="J215" t="n">
        <v>0</v>
      </c>
      <c r="K215" t="n">
        <v>0</v>
      </c>
      <c r="L215" t="n">
        <v>0</v>
      </c>
      <c r="M215" t="n">
        <v>0</v>
      </c>
      <c r="N215" t="n">
        <v>0</v>
      </c>
      <c r="O215" t="n">
        <v>0</v>
      </c>
      <c r="P215" t="n">
        <v>0</v>
      </c>
      <c r="Q215" t="n">
        <v>0</v>
      </c>
      <c r="R215" s="2" t="inlineStr"/>
    </row>
    <row r="216" ht="15" customHeight="1">
      <c r="A216" t="inlineStr">
        <is>
          <t>A 61761-2024</t>
        </is>
      </c>
      <c r="B216" s="1" t="n">
        <v>45649</v>
      </c>
      <c r="C216" s="1" t="n">
        <v>45926</v>
      </c>
      <c r="D216" t="inlineStr">
        <is>
          <t>NORRBOTTENS LÄN</t>
        </is>
      </c>
      <c r="E216" t="inlineStr">
        <is>
          <t>JOKKMOKK</t>
        </is>
      </c>
      <c r="F216" t="inlineStr">
        <is>
          <t>Övriga statliga verk och myndigheter</t>
        </is>
      </c>
      <c r="G216" t="n">
        <v>3.7</v>
      </c>
      <c r="H216" t="n">
        <v>0</v>
      </c>
      <c r="I216" t="n">
        <v>0</v>
      </c>
      <c r="J216" t="n">
        <v>0</v>
      </c>
      <c r="K216" t="n">
        <v>0</v>
      </c>
      <c r="L216" t="n">
        <v>0</v>
      </c>
      <c r="M216" t="n">
        <v>0</v>
      </c>
      <c r="N216" t="n">
        <v>0</v>
      </c>
      <c r="O216" t="n">
        <v>0</v>
      </c>
      <c r="P216" t="n">
        <v>0</v>
      </c>
      <c r="Q216" t="n">
        <v>0</v>
      </c>
      <c r="R216" s="2" t="inlineStr"/>
    </row>
    <row r="217" ht="15" customHeight="1">
      <c r="A217" t="inlineStr">
        <is>
          <t>A 28591-2025</t>
        </is>
      </c>
      <c r="B217" s="1" t="n">
        <v>45819.59027777778</v>
      </c>
      <c r="C217" s="1" t="n">
        <v>45926</v>
      </c>
      <c r="D217" t="inlineStr">
        <is>
          <t>NORRBOTTENS LÄN</t>
        </is>
      </c>
      <c r="E217" t="inlineStr">
        <is>
          <t>JOKKMOKK</t>
        </is>
      </c>
      <c r="F217" t="inlineStr">
        <is>
          <t>Sveaskog</t>
        </is>
      </c>
      <c r="G217" t="n">
        <v>11.9</v>
      </c>
      <c r="H217" t="n">
        <v>0</v>
      </c>
      <c r="I217" t="n">
        <v>0</v>
      </c>
      <c r="J217" t="n">
        <v>0</v>
      </c>
      <c r="K217" t="n">
        <v>0</v>
      </c>
      <c r="L217" t="n">
        <v>0</v>
      </c>
      <c r="M217" t="n">
        <v>0</v>
      </c>
      <c r="N217" t="n">
        <v>0</v>
      </c>
      <c r="O217" t="n">
        <v>0</v>
      </c>
      <c r="P217" t="n">
        <v>0</v>
      </c>
      <c r="Q217" t="n">
        <v>0</v>
      </c>
      <c r="R217" s="2" t="inlineStr"/>
    </row>
    <row r="218" ht="15" customHeight="1">
      <c r="A218" t="inlineStr">
        <is>
          <t>A 48339-2024</t>
        </is>
      </c>
      <c r="B218" s="1" t="n">
        <v>45590</v>
      </c>
      <c r="C218" s="1" t="n">
        <v>45926</v>
      </c>
      <c r="D218" t="inlineStr">
        <is>
          <t>NORRBOTTENS LÄN</t>
        </is>
      </c>
      <c r="E218" t="inlineStr">
        <is>
          <t>JOKKMOKK</t>
        </is>
      </c>
      <c r="F218" t="inlineStr">
        <is>
          <t>Allmännings- och besparingsskogar</t>
        </is>
      </c>
      <c r="G218" t="n">
        <v>24.9</v>
      </c>
      <c r="H218" t="n">
        <v>0</v>
      </c>
      <c r="I218" t="n">
        <v>0</v>
      </c>
      <c r="J218" t="n">
        <v>0</v>
      </c>
      <c r="K218" t="n">
        <v>0</v>
      </c>
      <c r="L218" t="n">
        <v>0</v>
      </c>
      <c r="M218" t="n">
        <v>0</v>
      </c>
      <c r="N218" t="n">
        <v>0</v>
      </c>
      <c r="O218" t="n">
        <v>0</v>
      </c>
      <c r="P218" t="n">
        <v>0</v>
      </c>
      <c r="Q218" t="n">
        <v>0</v>
      </c>
      <c r="R218" s="2" t="inlineStr"/>
    </row>
    <row r="219" ht="15" customHeight="1">
      <c r="A219" t="inlineStr">
        <is>
          <t>A 28639-2025</t>
        </is>
      </c>
      <c r="B219" s="1" t="n">
        <v>45819.63649305556</v>
      </c>
      <c r="C219" s="1" t="n">
        <v>45926</v>
      </c>
      <c r="D219" t="inlineStr">
        <is>
          <t>NORRBOTTENS LÄN</t>
        </is>
      </c>
      <c r="E219" t="inlineStr">
        <is>
          <t>JOKKMOKK</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28601-2025</t>
        </is>
      </c>
      <c r="B220" s="1" t="n">
        <v>45819.59802083333</v>
      </c>
      <c r="C220" s="1" t="n">
        <v>45926</v>
      </c>
      <c r="D220" t="inlineStr">
        <is>
          <t>NORRBOTTENS LÄN</t>
        </is>
      </c>
      <c r="E220" t="inlineStr">
        <is>
          <t>JOKKMOKK</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34752-2021</t>
        </is>
      </c>
      <c r="B221" s="1" t="n">
        <v>44382</v>
      </c>
      <c r="C221" s="1" t="n">
        <v>45926</v>
      </c>
      <c r="D221" t="inlineStr">
        <is>
          <t>NORRBOTTENS LÄN</t>
        </is>
      </c>
      <c r="E221" t="inlineStr">
        <is>
          <t>JOKKMOKK</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9854-2023</t>
        </is>
      </c>
      <c r="B222" s="1" t="n">
        <v>44984</v>
      </c>
      <c r="C222" s="1" t="n">
        <v>45926</v>
      </c>
      <c r="D222" t="inlineStr">
        <is>
          <t>NORRBOTTENS LÄN</t>
        </is>
      </c>
      <c r="E222" t="inlineStr">
        <is>
          <t>JOKKMOKK</t>
        </is>
      </c>
      <c r="F222" t="inlineStr">
        <is>
          <t>SCA</t>
        </is>
      </c>
      <c r="G222" t="n">
        <v>4.2</v>
      </c>
      <c r="H222" t="n">
        <v>0</v>
      </c>
      <c r="I222" t="n">
        <v>0</v>
      </c>
      <c r="J222" t="n">
        <v>0</v>
      </c>
      <c r="K222" t="n">
        <v>0</v>
      </c>
      <c r="L222" t="n">
        <v>0</v>
      </c>
      <c r="M222" t="n">
        <v>0</v>
      </c>
      <c r="N222" t="n">
        <v>0</v>
      </c>
      <c r="O222" t="n">
        <v>0</v>
      </c>
      <c r="P222" t="n">
        <v>0</v>
      </c>
      <c r="Q222" t="n">
        <v>0</v>
      </c>
      <c r="R222" s="2" t="inlineStr"/>
    </row>
    <row r="223" ht="15" customHeight="1">
      <c r="A223" t="inlineStr">
        <is>
          <t>A 9859-2023</t>
        </is>
      </c>
      <c r="B223" s="1" t="n">
        <v>44984.93940972222</v>
      </c>
      <c r="C223" s="1" t="n">
        <v>45926</v>
      </c>
      <c r="D223" t="inlineStr">
        <is>
          <t>NORRBOTTENS LÄN</t>
        </is>
      </c>
      <c r="E223" t="inlineStr">
        <is>
          <t>JOKKMOKK</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9864-2023</t>
        </is>
      </c>
      <c r="B224" s="1" t="n">
        <v>44984</v>
      </c>
      <c r="C224" s="1" t="n">
        <v>45926</v>
      </c>
      <c r="D224" t="inlineStr">
        <is>
          <t>NORRBOTTENS LÄN</t>
        </is>
      </c>
      <c r="E224" t="inlineStr">
        <is>
          <t>JOKKMOKK</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45926</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45926</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10630-2025</t>
        </is>
      </c>
      <c r="B227" s="1" t="n">
        <v>45721.63606481482</v>
      </c>
      <c r="C227" s="1" t="n">
        <v>45926</v>
      </c>
      <c r="D227" t="inlineStr">
        <is>
          <t>NORRBOTTENS LÄN</t>
        </is>
      </c>
      <c r="E227" t="inlineStr">
        <is>
          <t>JOKKMOKK</t>
        </is>
      </c>
      <c r="G227" t="n">
        <v>1.7</v>
      </c>
      <c r="H227" t="n">
        <v>0</v>
      </c>
      <c r="I227" t="n">
        <v>0</v>
      </c>
      <c r="J227" t="n">
        <v>0</v>
      </c>
      <c r="K227" t="n">
        <v>0</v>
      </c>
      <c r="L227" t="n">
        <v>0</v>
      </c>
      <c r="M227" t="n">
        <v>0</v>
      </c>
      <c r="N227" t="n">
        <v>0</v>
      </c>
      <c r="O227" t="n">
        <v>0</v>
      </c>
      <c r="P227" t="n">
        <v>0</v>
      </c>
      <c r="Q227" t="n">
        <v>0</v>
      </c>
      <c r="R227" s="2" t="inlineStr"/>
    </row>
    <row r="228" ht="15" customHeight="1">
      <c r="A228" t="inlineStr">
        <is>
          <t>A 31535-2024</t>
        </is>
      </c>
      <c r="B228" s="1" t="n">
        <v>45505</v>
      </c>
      <c r="C228" s="1" t="n">
        <v>45926</v>
      </c>
      <c r="D228" t="inlineStr">
        <is>
          <t>NORRBOTTENS LÄN</t>
        </is>
      </c>
      <c r="E228" t="inlineStr">
        <is>
          <t>JOKKMOKK</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53172-2024</t>
        </is>
      </c>
      <c r="B229" s="1" t="n">
        <v>45611.65689814815</v>
      </c>
      <c r="C229" s="1" t="n">
        <v>45926</v>
      </c>
      <c r="D229" t="inlineStr">
        <is>
          <t>NORRBOTTENS LÄN</t>
        </is>
      </c>
      <c r="E229" t="inlineStr">
        <is>
          <t>JOKKMOKK</t>
        </is>
      </c>
      <c r="F229" t="inlineStr">
        <is>
          <t>Allmännings- och besparingsskogar</t>
        </is>
      </c>
      <c r="G229" t="n">
        <v>6.5</v>
      </c>
      <c r="H229" t="n">
        <v>0</v>
      </c>
      <c r="I229" t="n">
        <v>0</v>
      </c>
      <c r="J229" t="n">
        <v>0</v>
      </c>
      <c r="K229" t="n">
        <v>0</v>
      </c>
      <c r="L229" t="n">
        <v>0</v>
      </c>
      <c r="M229" t="n">
        <v>0</v>
      </c>
      <c r="N229" t="n">
        <v>0</v>
      </c>
      <c r="O229" t="n">
        <v>0</v>
      </c>
      <c r="P229" t="n">
        <v>0</v>
      </c>
      <c r="Q229" t="n">
        <v>0</v>
      </c>
      <c r="R229" s="2" t="inlineStr"/>
    </row>
    <row r="230" ht="15" customHeight="1">
      <c r="A230" t="inlineStr">
        <is>
          <t>A 42481-2024</t>
        </is>
      </c>
      <c r="B230" s="1" t="n">
        <v>45565.49210648148</v>
      </c>
      <c r="C230" s="1" t="n">
        <v>45926</v>
      </c>
      <c r="D230" t="inlineStr">
        <is>
          <t>NORRBOTTENS LÄN</t>
        </is>
      </c>
      <c r="E230" t="inlineStr">
        <is>
          <t>JOKKMOKK</t>
        </is>
      </c>
      <c r="F230" t="inlineStr">
        <is>
          <t>SCA</t>
        </is>
      </c>
      <c r="G230" t="n">
        <v>25.2</v>
      </c>
      <c r="H230" t="n">
        <v>0</v>
      </c>
      <c r="I230" t="n">
        <v>0</v>
      </c>
      <c r="J230" t="n">
        <v>0</v>
      </c>
      <c r="K230" t="n">
        <v>0</v>
      </c>
      <c r="L230" t="n">
        <v>0</v>
      </c>
      <c r="M230" t="n">
        <v>0</v>
      </c>
      <c r="N230" t="n">
        <v>0</v>
      </c>
      <c r="O230" t="n">
        <v>0</v>
      </c>
      <c r="P230" t="n">
        <v>0</v>
      </c>
      <c r="Q230" t="n">
        <v>0</v>
      </c>
      <c r="R230" s="2" t="inlineStr"/>
    </row>
    <row r="231" ht="15" customHeight="1">
      <c r="A231" t="inlineStr">
        <is>
          <t>A 32899-2023</t>
        </is>
      </c>
      <c r="B231" s="1" t="n">
        <v>45124</v>
      </c>
      <c r="C231" s="1" t="n">
        <v>45926</v>
      </c>
      <c r="D231" t="inlineStr">
        <is>
          <t>NORRBOTTENS LÄN</t>
        </is>
      </c>
      <c r="E231" t="inlineStr">
        <is>
          <t>JOKKMOKK</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33014-2023</t>
        </is>
      </c>
      <c r="B232" s="1" t="n">
        <v>45113</v>
      </c>
      <c r="C232" s="1" t="n">
        <v>45926</v>
      </c>
      <c r="D232" t="inlineStr">
        <is>
          <t>NORRBOTTENS LÄN</t>
        </is>
      </c>
      <c r="E232" t="inlineStr">
        <is>
          <t>JOKKMOKK</t>
        </is>
      </c>
      <c r="F232" t="inlineStr">
        <is>
          <t>Övriga statliga verk och myndigheter</t>
        </is>
      </c>
      <c r="G232" t="n">
        <v>7.2</v>
      </c>
      <c r="H232" t="n">
        <v>0</v>
      </c>
      <c r="I232" t="n">
        <v>0</v>
      </c>
      <c r="J232" t="n">
        <v>0</v>
      </c>
      <c r="K232" t="n">
        <v>0</v>
      </c>
      <c r="L232" t="n">
        <v>0</v>
      </c>
      <c r="M232" t="n">
        <v>0</v>
      </c>
      <c r="N232" t="n">
        <v>0</v>
      </c>
      <c r="O232" t="n">
        <v>0</v>
      </c>
      <c r="P232" t="n">
        <v>0</v>
      </c>
      <c r="Q232" t="n">
        <v>0</v>
      </c>
      <c r="R232" s="2" t="inlineStr"/>
    </row>
    <row r="233" ht="15" customHeight="1">
      <c r="A233" t="inlineStr">
        <is>
          <t>A 3206-2025</t>
        </is>
      </c>
      <c r="B233" s="1" t="n">
        <v>45679</v>
      </c>
      <c r="C233" s="1" t="n">
        <v>45926</v>
      </c>
      <c r="D233" t="inlineStr">
        <is>
          <t>NORRBOTTENS LÄN</t>
        </is>
      </c>
      <c r="E233" t="inlineStr">
        <is>
          <t>JOKKMOKK</t>
        </is>
      </c>
      <c r="F233" t="inlineStr">
        <is>
          <t>SCA</t>
        </is>
      </c>
      <c r="G233" t="n">
        <v>9.1</v>
      </c>
      <c r="H233" t="n">
        <v>0</v>
      </c>
      <c r="I233" t="n">
        <v>0</v>
      </c>
      <c r="J233" t="n">
        <v>0</v>
      </c>
      <c r="K233" t="n">
        <v>0</v>
      </c>
      <c r="L233" t="n">
        <v>0</v>
      </c>
      <c r="M233" t="n">
        <v>0</v>
      </c>
      <c r="N233" t="n">
        <v>0</v>
      </c>
      <c r="O233" t="n">
        <v>0</v>
      </c>
      <c r="P233" t="n">
        <v>0</v>
      </c>
      <c r="Q233" t="n">
        <v>0</v>
      </c>
      <c r="R233" s="2" t="inlineStr"/>
    </row>
    <row r="234" ht="15" customHeight="1">
      <c r="A234" t="inlineStr">
        <is>
          <t>A 52901-2023</t>
        </is>
      </c>
      <c r="B234" s="1" t="n">
        <v>45222</v>
      </c>
      <c r="C234" s="1" t="n">
        <v>45926</v>
      </c>
      <c r="D234" t="inlineStr">
        <is>
          <t>NORRBOTTENS LÄN</t>
        </is>
      </c>
      <c r="E234" t="inlineStr">
        <is>
          <t>JOKKMOKK</t>
        </is>
      </c>
      <c r="G234" t="n">
        <v>16.6</v>
      </c>
      <c r="H234" t="n">
        <v>0</v>
      </c>
      <c r="I234" t="n">
        <v>0</v>
      </c>
      <c r="J234" t="n">
        <v>0</v>
      </c>
      <c r="K234" t="n">
        <v>0</v>
      </c>
      <c r="L234" t="n">
        <v>0</v>
      </c>
      <c r="M234" t="n">
        <v>0</v>
      </c>
      <c r="N234" t="n">
        <v>0</v>
      </c>
      <c r="O234" t="n">
        <v>0</v>
      </c>
      <c r="P234" t="n">
        <v>0</v>
      </c>
      <c r="Q234" t="n">
        <v>0</v>
      </c>
      <c r="R234" s="2" t="inlineStr"/>
    </row>
    <row r="235" ht="15" customHeight="1">
      <c r="A235" t="inlineStr">
        <is>
          <t>A 40432-2024</t>
        </is>
      </c>
      <c r="B235" s="1" t="n">
        <v>45555.47401620371</v>
      </c>
      <c r="C235" s="1" t="n">
        <v>45926</v>
      </c>
      <c r="D235" t="inlineStr">
        <is>
          <t>NORRBOTTENS LÄN</t>
        </is>
      </c>
      <c r="E235" t="inlineStr">
        <is>
          <t>JOKKMOKK</t>
        </is>
      </c>
      <c r="G235" t="n">
        <v>0.5</v>
      </c>
      <c r="H235" t="n">
        <v>0</v>
      </c>
      <c r="I235" t="n">
        <v>0</v>
      </c>
      <c r="J235" t="n">
        <v>0</v>
      </c>
      <c r="K235" t="n">
        <v>0</v>
      </c>
      <c r="L235" t="n">
        <v>0</v>
      </c>
      <c r="M235" t="n">
        <v>0</v>
      </c>
      <c r="N235" t="n">
        <v>0</v>
      </c>
      <c r="O235" t="n">
        <v>0</v>
      </c>
      <c r="P235" t="n">
        <v>0</v>
      </c>
      <c r="Q235" t="n">
        <v>0</v>
      </c>
      <c r="R235" s="2" t="inlineStr"/>
    </row>
    <row r="236" ht="15" customHeight="1">
      <c r="A236" t="inlineStr">
        <is>
          <t>A 53100-2022</t>
        </is>
      </c>
      <c r="B236" s="1" t="n">
        <v>44873</v>
      </c>
      <c r="C236" s="1" t="n">
        <v>45926</v>
      </c>
      <c r="D236" t="inlineStr">
        <is>
          <t>NORRBOTTENS LÄN</t>
        </is>
      </c>
      <c r="E236" t="inlineStr">
        <is>
          <t>JOKKMOKK</t>
        </is>
      </c>
      <c r="F236" t="inlineStr">
        <is>
          <t>Övriga statliga verk och myndigheter</t>
        </is>
      </c>
      <c r="G236" t="n">
        <v>37.1</v>
      </c>
      <c r="H236" t="n">
        <v>0</v>
      </c>
      <c r="I236" t="n">
        <v>0</v>
      </c>
      <c r="J236" t="n">
        <v>0</v>
      </c>
      <c r="K236" t="n">
        <v>0</v>
      </c>
      <c r="L236" t="n">
        <v>0</v>
      </c>
      <c r="M236" t="n">
        <v>0</v>
      </c>
      <c r="N236" t="n">
        <v>0</v>
      </c>
      <c r="O236" t="n">
        <v>0</v>
      </c>
      <c r="P236" t="n">
        <v>0</v>
      </c>
      <c r="Q236" t="n">
        <v>0</v>
      </c>
      <c r="R236" s="2" t="inlineStr"/>
    </row>
    <row r="237" ht="15" customHeight="1">
      <c r="A237" t="inlineStr">
        <is>
          <t>A 5670-2025</t>
        </is>
      </c>
      <c r="B237" s="1" t="n">
        <v>45693</v>
      </c>
      <c r="C237" s="1" t="n">
        <v>45926</v>
      </c>
      <c r="D237" t="inlineStr">
        <is>
          <t>NORRBOTTENS LÄN</t>
        </is>
      </c>
      <c r="E237" t="inlineStr">
        <is>
          <t>JOKKMOKK</t>
        </is>
      </c>
      <c r="G237" t="n">
        <v>2.1</v>
      </c>
      <c r="H237" t="n">
        <v>0</v>
      </c>
      <c r="I237" t="n">
        <v>0</v>
      </c>
      <c r="J237" t="n">
        <v>0</v>
      </c>
      <c r="K237" t="n">
        <v>0</v>
      </c>
      <c r="L237" t="n">
        <v>0</v>
      </c>
      <c r="M237" t="n">
        <v>0</v>
      </c>
      <c r="N237" t="n">
        <v>0</v>
      </c>
      <c r="O237" t="n">
        <v>0</v>
      </c>
      <c r="P237" t="n">
        <v>0</v>
      </c>
      <c r="Q237" t="n">
        <v>0</v>
      </c>
      <c r="R237" s="2" t="inlineStr"/>
    </row>
    <row r="238" ht="15" customHeight="1">
      <c r="A238" t="inlineStr">
        <is>
          <t>A 50716-2022</t>
        </is>
      </c>
      <c r="B238" s="1" t="n">
        <v>44862</v>
      </c>
      <c r="C238" s="1" t="n">
        <v>45926</v>
      </c>
      <c r="D238" t="inlineStr">
        <is>
          <t>NORRBOTTENS LÄN</t>
        </is>
      </c>
      <c r="E238" t="inlineStr">
        <is>
          <t>JOKKMOKK</t>
        </is>
      </c>
      <c r="G238" t="n">
        <v>30.2</v>
      </c>
      <c r="H238" t="n">
        <v>0</v>
      </c>
      <c r="I238" t="n">
        <v>0</v>
      </c>
      <c r="J238" t="n">
        <v>0</v>
      </c>
      <c r="K238" t="n">
        <v>0</v>
      </c>
      <c r="L238" t="n">
        <v>0</v>
      </c>
      <c r="M238" t="n">
        <v>0</v>
      </c>
      <c r="N238" t="n">
        <v>0</v>
      </c>
      <c r="O238" t="n">
        <v>0</v>
      </c>
      <c r="P238" t="n">
        <v>0</v>
      </c>
      <c r="Q238" t="n">
        <v>0</v>
      </c>
      <c r="R238" s="2" t="inlineStr"/>
    </row>
    <row r="239" ht="15" customHeight="1">
      <c r="A239" t="inlineStr">
        <is>
          <t>A 59849-2023</t>
        </is>
      </c>
      <c r="B239" s="1" t="n">
        <v>45257</v>
      </c>
      <c r="C239" s="1" t="n">
        <v>45926</v>
      </c>
      <c r="D239" t="inlineStr">
        <is>
          <t>NORRBOTTENS LÄN</t>
        </is>
      </c>
      <c r="E239" t="inlineStr">
        <is>
          <t>JOKKMOKK</t>
        </is>
      </c>
      <c r="F239" t="inlineStr">
        <is>
          <t>Allmännings- och besparingsskogar</t>
        </is>
      </c>
      <c r="G239" t="n">
        <v>12.7</v>
      </c>
      <c r="H239" t="n">
        <v>0</v>
      </c>
      <c r="I239" t="n">
        <v>0</v>
      </c>
      <c r="J239" t="n">
        <v>0</v>
      </c>
      <c r="K239" t="n">
        <v>0</v>
      </c>
      <c r="L239" t="n">
        <v>0</v>
      </c>
      <c r="M239" t="n">
        <v>0</v>
      </c>
      <c r="N239" t="n">
        <v>0</v>
      </c>
      <c r="O239" t="n">
        <v>0</v>
      </c>
      <c r="P239" t="n">
        <v>0</v>
      </c>
      <c r="Q239" t="n">
        <v>0</v>
      </c>
      <c r="R239" s="2" t="inlineStr"/>
    </row>
    <row r="240" ht="15" customHeight="1">
      <c r="A240" t="inlineStr">
        <is>
          <t>A 30041-2024</t>
        </is>
      </c>
      <c r="B240" s="1" t="n">
        <v>45488</v>
      </c>
      <c r="C240" s="1" t="n">
        <v>45926</v>
      </c>
      <c r="D240" t="inlineStr">
        <is>
          <t>NORRBOTTENS LÄN</t>
        </is>
      </c>
      <c r="E240" t="inlineStr">
        <is>
          <t>JOKKMOKK</t>
        </is>
      </c>
      <c r="G240" t="n">
        <v>19.9</v>
      </c>
      <c r="H240" t="n">
        <v>0</v>
      </c>
      <c r="I240" t="n">
        <v>0</v>
      </c>
      <c r="J240" t="n">
        <v>0</v>
      </c>
      <c r="K240" t="n">
        <v>0</v>
      </c>
      <c r="L240" t="n">
        <v>0</v>
      </c>
      <c r="M240" t="n">
        <v>0</v>
      </c>
      <c r="N240" t="n">
        <v>0</v>
      </c>
      <c r="O240" t="n">
        <v>0</v>
      </c>
      <c r="P240" t="n">
        <v>0</v>
      </c>
      <c r="Q240" t="n">
        <v>0</v>
      </c>
      <c r="R240" s="2" t="inlineStr"/>
    </row>
    <row r="241" ht="15" customHeight="1">
      <c r="A241" t="inlineStr">
        <is>
          <t>A 4136-2024</t>
        </is>
      </c>
      <c r="B241" s="1" t="n">
        <v>45323</v>
      </c>
      <c r="C241" s="1" t="n">
        <v>45926</v>
      </c>
      <c r="D241" t="inlineStr">
        <is>
          <t>NORRBOTTENS LÄN</t>
        </is>
      </c>
      <c r="E241" t="inlineStr">
        <is>
          <t>JOKKMOKK</t>
        </is>
      </c>
      <c r="G241" t="n">
        <v>27.3</v>
      </c>
      <c r="H241" t="n">
        <v>0</v>
      </c>
      <c r="I241" t="n">
        <v>0</v>
      </c>
      <c r="J241" t="n">
        <v>0</v>
      </c>
      <c r="K241" t="n">
        <v>0</v>
      </c>
      <c r="L241" t="n">
        <v>0</v>
      </c>
      <c r="M241" t="n">
        <v>0</v>
      </c>
      <c r="N241" t="n">
        <v>0</v>
      </c>
      <c r="O241" t="n">
        <v>0</v>
      </c>
      <c r="P241" t="n">
        <v>0</v>
      </c>
      <c r="Q241" t="n">
        <v>0</v>
      </c>
      <c r="R241" s="2" t="inlineStr"/>
    </row>
    <row r="242" ht="15" customHeight="1">
      <c r="A242" t="inlineStr">
        <is>
          <t>A 50568-2022</t>
        </is>
      </c>
      <c r="B242" s="1" t="n">
        <v>44866</v>
      </c>
      <c r="C242" s="1" t="n">
        <v>45926</v>
      </c>
      <c r="D242" t="inlineStr">
        <is>
          <t>NORRBOTTENS LÄN</t>
        </is>
      </c>
      <c r="E242" t="inlineStr">
        <is>
          <t>JOKKMOKK</t>
        </is>
      </c>
      <c r="F242" t="inlineStr">
        <is>
          <t>Sveaskog</t>
        </is>
      </c>
      <c r="G242" t="n">
        <v>6.2</v>
      </c>
      <c r="H242" t="n">
        <v>0</v>
      </c>
      <c r="I242" t="n">
        <v>0</v>
      </c>
      <c r="J242" t="n">
        <v>0</v>
      </c>
      <c r="K242" t="n">
        <v>0</v>
      </c>
      <c r="L242" t="n">
        <v>0</v>
      </c>
      <c r="M242" t="n">
        <v>0</v>
      </c>
      <c r="N242" t="n">
        <v>0</v>
      </c>
      <c r="O242" t="n">
        <v>0</v>
      </c>
      <c r="P242" t="n">
        <v>0</v>
      </c>
      <c r="Q242" t="n">
        <v>0</v>
      </c>
      <c r="R242" s="2" t="inlineStr"/>
    </row>
    <row r="243" ht="15" customHeight="1">
      <c r="A243" t="inlineStr">
        <is>
          <t>A 48210-2024</t>
        </is>
      </c>
      <c r="B243" s="1" t="n">
        <v>45590</v>
      </c>
      <c r="C243" s="1" t="n">
        <v>45926</v>
      </c>
      <c r="D243" t="inlineStr">
        <is>
          <t>NORRBOTTENS LÄN</t>
        </is>
      </c>
      <c r="E243" t="inlineStr">
        <is>
          <t>JOKKMOKK</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52855-2024</t>
        </is>
      </c>
      <c r="B244" s="1" t="n">
        <v>45610</v>
      </c>
      <c r="C244" s="1" t="n">
        <v>45926</v>
      </c>
      <c r="D244" t="inlineStr">
        <is>
          <t>NORRBOTTENS LÄN</t>
        </is>
      </c>
      <c r="E244" t="inlineStr">
        <is>
          <t>JOKKMOKK</t>
        </is>
      </c>
      <c r="F244" t="inlineStr">
        <is>
          <t>Allmännings- och besparingsskogar</t>
        </is>
      </c>
      <c r="G244" t="n">
        <v>2.4</v>
      </c>
      <c r="H244" t="n">
        <v>0</v>
      </c>
      <c r="I244" t="n">
        <v>0</v>
      </c>
      <c r="J244" t="n">
        <v>0</v>
      </c>
      <c r="K244" t="n">
        <v>0</v>
      </c>
      <c r="L244" t="n">
        <v>0</v>
      </c>
      <c r="M244" t="n">
        <v>0</v>
      </c>
      <c r="N244" t="n">
        <v>0</v>
      </c>
      <c r="O244" t="n">
        <v>0</v>
      </c>
      <c r="P244" t="n">
        <v>0</v>
      </c>
      <c r="Q244" t="n">
        <v>0</v>
      </c>
      <c r="R244" s="2" t="inlineStr"/>
    </row>
    <row r="245" ht="15" customHeight="1">
      <c r="A245" t="inlineStr">
        <is>
          <t>A 29333-2025</t>
        </is>
      </c>
      <c r="B245" s="1" t="n">
        <v>45824</v>
      </c>
      <c r="C245" s="1" t="n">
        <v>45926</v>
      </c>
      <c r="D245" t="inlineStr">
        <is>
          <t>NORRBOTTENS LÄN</t>
        </is>
      </c>
      <c r="E245" t="inlineStr">
        <is>
          <t>JOKKMOKK</t>
        </is>
      </c>
      <c r="G245" t="n">
        <v>17.3</v>
      </c>
      <c r="H245" t="n">
        <v>0</v>
      </c>
      <c r="I245" t="n">
        <v>0</v>
      </c>
      <c r="J245" t="n">
        <v>0</v>
      </c>
      <c r="K245" t="n">
        <v>0</v>
      </c>
      <c r="L245" t="n">
        <v>0</v>
      </c>
      <c r="M245" t="n">
        <v>0</v>
      </c>
      <c r="N245" t="n">
        <v>0</v>
      </c>
      <c r="O245" t="n">
        <v>0</v>
      </c>
      <c r="P245" t="n">
        <v>0</v>
      </c>
      <c r="Q245" t="n">
        <v>0</v>
      </c>
      <c r="R245" s="2" t="inlineStr"/>
    </row>
    <row r="246" ht="15" customHeight="1">
      <c r="A246" t="inlineStr">
        <is>
          <t>A 28090-2023</t>
        </is>
      </c>
      <c r="B246" s="1" t="n">
        <v>45099</v>
      </c>
      <c r="C246" s="1" t="n">
        <v>45926</v>
      </c>
      <c r="D246" t="inlineStr">
        <is>
          <t>NORRBOTTENS LÄN</t>
        </is>
      </c>
      <c r="E246" t="inlineStr">
        <is>
          <t>JOKKMOKK</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32915-2023</t>
        </is>
      </c>
      <c r="B247" s="1" t="n">
        <v>45124.95214120371</v>
      </c>
      <c r="C247" s="1" t="n">
        <v>45926</v>
      </c>
      <c r="D247" t="inlineStr">
        <is>
          <t>NORRBOTTENS LÄN</t>
        </is>
      </c>
      <c r="E247" t="inlineStr">
        <is>
          <t>JOKKMOKK</t>
        </is>
      </c>
      <c r="F247" t="inlineStr">
        <is>
          <t>SCA</t>
        </is>
      </c>
      <c r="G247" t="n">
        <v>15.1</v>
      </c>
      <c r="H247" t="n">
        <v>0</v>
      </c>
      <c r="I247" t="n">
        <v>0</v>
      </c>
      <c r="J247" t="n">
        <v>0</v>
      </c>
      <c r="K247" t="n">
        <v>0</v>
      </c>
      <c r="L247" t="n">
        <v>0</v>
      </c>
      <c r="M247" t="n">
        <v>0</v>
      </c>
      <c r="N247" t="n">
        <v>0</v>
      </c>
      <c r="O247" t="n">
        <v>0</v>
      </c>
      <c r="P247" t="n">
        <v>0</v>
      </c>
      <c r="Q247" t="n">
        <v>0</v>
      </c>
      <c r="R247" s="2" t="inlineStr"/>
    </row>
    <row r="248" ht="15" customHeight="1">
      <c r="A248" t="inlineStr">
        <is>
          <t>A 29446-2025</t>
        </is>
      </c>
      <c r="B248" s="1" t="n">
        <v>45824</v>
      </c>
      <c r="C248" s="1" t="n">
        <v>45926</v>
      </c>
      <c r="D248" t="inlineStr">
        <is>
          <t>NORRBOTTENS LÄN</t>
        </is>
      </c>
      <c r="E248" t="inlineStr">
        <is>
          <t>JOKKMOKK</t>
        </is>
      </c>
      <c r="G248" t="n">
        <v>68.5</v>
      </c>
      <c r="H248" t="n">
        <v>0</v>
      </c>
      <c r="I248" t="n">
        <v>0</v>
      </c>
      <c r="J248" t="n">
        <v>0</v>
      </c>
      <c r="K248" t="n">
        <v>0</v>
      </c>
      <c r="L248" t="n">
        <v>0</v>
      </c>
      <c r="M248" t="n">
        <v>0</v>
      </c>
      <c r="N248" t="n">
        <v>0</v>
      </c>
      <c r="O248" t="n">
        <v>0</v>
      </c>
      <c r="P248" t="n">
        <v>0</v>
      </c>
      <c r="Q248" t="n">
        <v>0</v>
      </c>
      <c r="R248" s="2" t="inlineStr"/>
    </row>
    <row r="249" ht="15" customHeight="1">
      <c r="A249" t="inlineStr">
        <is>
          <t>A 61640-2024</t>
        </is>
      </c>
      <c r="B249" s="1" t="n">
        <v>45646.68362268519</v>
      </c>
      <c r="C249" s="1" t="n">
        <v>45926</v>
      </c>
      <c r="D249" t="inlineStr">
        <is>
          <t>NORRBOTTENS LÄN</t>
        </is>
      </c>
      <c r="E249" t="inlineStr">
        <is>
          <t>JOKKMOKK</t>
        </is>
      </c>
      <c r="G249" t="n">
        <v>10.6</v>
      </c>
      <c r="H249" t="n">
        <v>0</v>
      </c>
      <c r="I249" t="n">
        <v>0</v>
      </c>
      <c r="J249" t="n">
        <v>0</v>
      </c>
      <c r="K249" t="n">
        <v>0</v>
      </c>
      <c r="L249" t="n">
        <v>0</v>
      </c>
      <c r="M249" t="n">
        <v>0</v>
      </c>
      <c r="N249" t="n">
        <v>0</v>
      </c>
      <c r="O249" t="n">
        <v>0</v>
      </c>
      <c r="P249" t="n">
        <v>0</v>
      </c>
      <c r="Q249" t="n">
        <v>0</v>
      </c>
      <c r="R249" s="2" t="inlineStr"/>
    </row>
    <row r="250" ht="15" customHeight="1">
      <c r="A250" t="inlineStr">
        <is>
          <t>A 61641-2024</t>
        </is>
      </c>
      <c r="B250" s="1" t="n">
        <v>45646</v>
      </c>
      <c r="C250" s="1" t="n">
        <v>45926</v>
      </c>
      <c r="D250" t="inlineStr">
        <is>
          <t>NORRBOTTENS LÄN</t>
        </is>
      </c>
      <c r="E250" t="inlineStr">
        <is>
          <t>JOKKMOKK</t>
        </is>
      </c>
      <c r="G250" t="n">
        <v>3.2</v>
      </c>
      <c r="H250" t="n">
        <v>0</v>
      </c>
      <c r="I250" t="n">
        <v>0</v>
      </c>
      <c r="J250" t="n">
        <v>0</v>
      </c>
      <c r="K250" t="n">
        <v>0</v>
      </c>
      <c r="L250" t="n">
        <v>0</v>
      </c>
      <c r="M250" t="n">
        <v>0</v>
      </c>
      <c r="N250" t="n">
        <v>0</v>
      </c>
      <c r="O250" t="n">
        <v>0</v>
      </c>
      <c r="P250" t="n">
        <v>0</v>
      </c>
      <c r="Q250" t="n">
        <v>0</v>
      </c>
      <c r="R250" s="2" t="inlineStr"/>
    </row>
    <row r="251" ht="15" customHeight="1">
      <c r="A251" t="inlineStr">
        <is>
          <t>A 18772-2023</t>
        </is>
      </c>
      <c r="B251" s="1" t="n">
        <v>45043</v>
      </c>
      <c r="C251" s="1" t="n">
        <v>45926</v>
      </c>
      <c r="D251" t="inlineStr">
        <is>
          <t>NORRBOTTENS LÄN</t>
        </is>
      </c>
      <c r="E251" t="inlineStr">
        <is>
          <t>JOKKMOKK</t>
        </is>
      </c>
      <c r="F251" t="inlineStr">
        <is>
          <t>SCA</t>
        </is>
      </c>
      <c r="G251" t="n">
        <v>11.9</v>
      </c>
      <c r="H251" t="n">
        <v>0</v>
      </c>
      <c r="I251" t="n">
        <v>0</v>
      </c>
      <c r="J251" t="n">
        <v>0</v>
      </c>
      <c r="K251" t="n">
        <v>0</v>
      </c>
      <c r="L251" t="n">
        <v>0</v>
      </c>
      <c r="M251" t="n">
        <v>0</v>
      </c>
      <c r="N251" t="n">
        <v>0</v>
      </c>
      <c r="O251" t="n">
        <v>0</v>
      </c>
      <c r="P251" t="n">
        <v>0</v>
      </c>
      <c r="Q251" t="n">
        <v>0</v>
      </c>
      <c r="R251" s="2" t="inlineStr"/>
    </row>
    <row r="252" ht="15" customHeight="1">
      <c r="A252" t="inlineStr">
        <is>
          <t>A 32915-2024</t>
        </is>
      </c>
      <c r="B252" s="1" t="n">
        <v>45516</v>
      </c>
      <c r="C252" s="1" t="n">
        <v>45926</v>
      </c>
      <c r="D252" t="inlineStr">
        <is>
          <t>NORRBOTTENS LÄN</t>
        </is>
      </c>
      <c r="E252" t="inlineStr">
        <is>
          <t>JOKKMOKK</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29418-2025</t>
        </is>
      </c>
      <c r="B253" s="1" t="n">
        <v>45824.63607638889</v>
      </c>
      <c r="C253" s="1" t="n">
        <v>45926</v>
      </c>
      <c r="D253" t="inlineStr">
        <is>
          <t>NORRBOTTENS LÄN</t>
        </is>
      </c>
      <c r="E253" t="inlineStr">
        <is>
          <t>JOKKMOKK</t>
        </is>
      </c>
      <c r="G253" t="n">
        <v>17.8</v>
      </c>
      <c r="H253" t="n">
        <v>0</v>
      </c>
      <c r="I253" t="n">
        <v>0</v>
      </c>
      <c r="J253" t="n">
        <v>0</v>
      </c>
      <c r="K253" t="n">
        <v>0</v>
      </c>
      <c r="L253" t="n">
        <v>0</v>
      </c>
      <c r="M253" t="n">
        <v>0</v>
      </c>
      <c r="N253" t="n">
        <v>0</v>
      </c>
      <c r="O253" t="n">
        <v>0</v>
      </c>
      <c r="P253" t="n">
        <v>0</v>
      </c>
      <c r="Q253" t="n">
        <v>0</v>
      </c>
      <c r="R253" s="2" t="inlineStr"/>
    </row>
    <row r="254" ht="15" customHeight="1">
      <c r="A254" t="inlineStr">
        <is>
          <t>A 24052-2023</t>
        </is>
      </c>
      <c r="B254" s="1" t="n">
        <v>45078</v>
      </c>
      <c r="C254" s="1" t="n">
        <v>45926</v>
      </c>
      <c r="D254" t="inlineStr">
        <is>
          <t>NORRBOTTENS LÄN</t>
        </is>
      </c>
      <c r="E254" t="inlineStr">
        <is>
          <t>JOKKMOKK</t>
        </is>
      </c>
      <c r="F254" t="inlineStr">
        <is>
          <t>Naturvårdsverket</t>
        </is>
      </c>
      <c r="G254" t="n">
        <v>58.1</v>
      </c>
      <c r="H254" t="n">
        <v>0</v>
      </c>
      <c r="I254" t="n">
        <v>0</v>
      </c>
      <c r="J254" t="n">
        <v>0</v>
      </c>
      <c r="K254" t="n">
        <v>0</v>
      </c>
      <c r="L254" t="n">
        <v>0</v>
      </c>
      <c r="M254" t="n">
        <v>0</v>
      </c>
      <c r="N254" t="n">
        <v>0</v>
      </c>
      <c r="O254" t="n">
        <v>0</v>
      </c>
      <c r="P254" t="n">
        <v>0</v>
      </c>
      <c r="Q254" t="n">
        <v>0</v>
      </c>
      <c r="R254" s="2" t="inlineStr"/>
    </row>
    <row r="255" ht="15" customHeight="1">
      <c r="A255" t="inlineStr">
        <is>
          <t>A 32957-2024</t>
        </is>
      </c>
      <c r="B255" s="1" t="n">
        <v>45517.3762037037</v>
      </c>
      <c r="C255" s="1" t="n">
        <v>45926</v>
      </c>
      <c r="D255" t="inlineStr">
        <is>
          <t>NORRBOTTENS LÄN</t>
        </is>
      </c>
      <c r="E255" t="inlineStr">
        <is>
          <t>JOKKMOKK</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2037-2025</t>
        </is>
      </c>
      <c r="B256" s="1" t="n">
        <v>45671</v>
      </c>
      <c r="C256" s="1" t="n">
        <v>45926</v>
      </c>
      <c r="D256" t="inlineStr">
        <is>
          <t>NORRBOTTENS LÄN</t>
        </is>
      </c>
      <c r="E256" t="inlineStr">
        <is>
          <t>JOKKMOKK</t>
        </is>
      </c>
      <c r="G256" t="n">
        <v>5.4</v>
      </c>
      <c r="H256" t="n">
        <v>0</v>
      </c>
      <c r="I256" t="n">
        <v>0</v>
      </c>
      <c r="J256" t="n">
        <v>0</v>
      </c>
      <c r="K256" t="n">
        <v>0</v>
      </c>
      <c r="L256" t="n">
        <v>0</v>
      </c>
      <c r="M256" t="n">
        <v>0</v>
      </c>
      <c r="N256" t="n">
        <v>0</v>
      </c>
      <c r="O256" t="n">
        <v>0</v>
      </c>
      <c r="P256" t="n">
        <v>0</v>
      </c>
      <c r="Q256" t="n">
        <v>0</v>
      </c>
      <c r="R256" s="2" t="inlineStr"/>
    </row>
    <row r="257" ht="15" customHeight="1">
      <c r="A257" t="inlineStr">
        <is>
          <t>A 53232-2024</t>
        </is>
      </c>
      <c r="B257" s="1" t="n">
        <v>45613.67967592592</v>
      </c>
      <c r="C257" s="1" t="n">
        <v>45926</v>
      </c>
      <c r="D257" t="inlineStr">
        <is>
          <t>NORRBOTTENS LÄN</t>
        </is>
      </c>
      <c r="E257" t="inlineStr">
        <is>
          <t>JOKKMOKK</t>
        </is>
      </c>
      <c r="G257" t="n">
        <v>1.9</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45926</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56168-2022</t>
        </is>
      </c>
      <c r="B259" s="1" t="n">
        <v>44889</v>
      </c>
      <c r="C259" s="1" t="n">
        <v>45926</v>
      </c>
      <c r="D259" t="inlineStr">
        <is>
          <t>NORRBOTTENS LÄN</t>
        </is>
      </c>
      <c r="E259" t="inlineStr">
        <is>
          <t>JOKKMOKK</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52289-2024</t>
        </is>
      </c>
      <c r="B260" s="1" t="n">
        <v>45608.69555555555</v>
      </c>
      <c r="C260" s="1" t="n">
        <v>45926</v>
      </c>
      <c r="D260" t="inlineStr">
        <is>
          <t>NORRBOTTENS LÄN</t>
        </is>
      </c>
      <c r="E260" t="inlineStr">
        <is>
          <t>JOKKMOKK</t>
        </is>
      </c>
      <c r="F260" t="inlineStr">
        <is>
          <t>Allmännings- och besparingsskogar</t>
        </is>
      </c>
      <c r="G260" t="n">
        <v>11.6</v>
      </c>
      <c r="H260" t="n">
        <v>0</v>
      </c>
      <c r="I260" t="n">
        <v>0</v>
      </c>
      <c r="J260" t="n">
        <v>0</v>
      </c>
      <c r="K260" t="n">
        <v>0</v>
      </c>
      <c r="L260" t="n">
        <v>0</v>
      </c>
      <c r="M260" t="n">
        <v>0</v>
      </c>
      <c r="N260" t="n">
        <v>0</v>
      </c>
      <c r="O260" t="n">
        <v>0</v>
      </c>
      <c r="P260" t="n">
        <v>0</v>
      </c>
      <c r="Q260" t="n">
        <v>0</v>
      </c>
      <c r="R260" s="2" t="inlineStr"/>
    </row>
    <row r="261" ht="15" customHeight="1">
      <c r="A261" t="inlineStr">
        <is>
          <t>A 44151-2024</t>
        </is>
      </c>
      <c r="B261" s="1" t="n">
        <v>45572.67773148148</v>
      </c>
      <c r="C261" s="1" t="n">
        <v>45926</v>
      </c>
      <c r="D261" t="inlineStr">
        <is>
          <t>NORRBOTTENS LÄN</t>
        </is>
      </c>
      <c r="E261" t="inlineStr">
        <is>
          <t>JOKKMOKK</t>
        </is>
      </c>
      <c r="F261" t="inlineStr">
        <is>
          <t>Sveaskog</t>
        </is>
      </c>
      <c r="G261" t="n">
        <v>9.4</v>
      </c>
      <c r="H261" t="n">
        <v>0</v>
      </c>
      <c r="I261" t="n">
        <v>0</v>
      </c>
      <c r="J261" t="n">
        <v>0</v>
      </c>
      <c r="K261" t="n">
        <v>0</v>
      </c>
      <c r="L261" t="n">
        <v>0</v>
      </c>
      <c r="M261" t="n">
        <v>0</v>
      </c>
      <c r="N261" t="n">
        <v>0</v>
      </c>
      <c r="O261" t="n">
        <v>0</v>
      </c>
      <c r="P261" t="n">
        <v>0</v>
      </c>
      <c r="Q261" t="n">
        <v>0</v>
      </c>
      <c r="R261" s="2" t="inlineStr"/>
    </row>
    <row r="262" ht="15" customHeight="1">
      <c r="A262" t="inlineStr">
        <is>
          <t>A 49474-2024</t>
        </is>
      </c>
      <c r="B262" s="1" t="n">
        <v>45596.34523148148</v>
      </c>
      <c r="C262" s="1" t="n">
        <v>45926</v>
      </c>
      <c r="D262" t="inlineStr">
        <is>
          <t>NORRBOTTENS LÄN</t>
        </is>
      </c>
      <c r="E262" t="inlineStr">
        <is>
          <t>JOKKMOKK</t>
        </is>
      </c>
      <c r="F262" t="inlineStr">
        <is>
          <t>SCA</t>
        </is>
      </c>
      <c r="G262" t="n">
        <v>5.2</v>
      </c>
      <c r="H262" t="n">
        <v>0</v>
      </c>
      <c r="I262" t="n">
        <v>0</v>
      </c>
      <c r="J262" t="n">
        <v>0</v>
      </c>
      <c r="K262" t="n">
        <v>0</v>
      </c>
      <c r="L262" t="n">
        <v>0</v>
      </c>
      <c r="M262" t="n">
        <v>0</v>
      </c>
      <c r="N262" t="n">
        <v>0</v>
      </c>
      <c r="O262" t="n">
        <v>0</v>
      </c>
      <c r="P262" t="n">
        <v>0</v>
      </c>
      <c r="Q262" t="n">
        <v>0</v>
      </c>
      <c r="R262" s="2" t="inlineStr"/>
    </row>
    <row r="263" ht="15" customHeight="1">
      <c r="A263" t="inlineStr">
        <is>
          <t>A 45512-2022</t>
        </is>
      </c>
      <c r="B263" s="1" t="n">
        <v>44841</v>
      </c>
      <c r="C263" s="1" t="n">
        <v>45926</v>
      </c>
      <c r="D263" t="inlineStr">
        <is>
          <t>NORRBOTTENS LÄN</t>
        </is>
      </c>
      <c r="E263" t="inlineStr">
        <is>
          <t>JOKKMOKK</t>
        </is>
      </c>
      <c r="F263" t="inlineStr">
        <is>
          <t>Övriga Aktiebolag</t>
        </is>
      </c>
      <c r="G263" t="n">
        <v>0.6</v>
      </c>
      <c r="H263" t="n">
        <v>0</v>
      </c>
      <c r="I263" t="n">
        <v>0</v>
      </c>
      <c r="J263" t="n">
        <v>0</v>
      </c>
      <c r="K263" t="n">
        <v>0</v>
      </c>
      <c r="L263" t="n">
        <v>0</v>
      </c>
      <c r="M263" t="n">
        <v>0</v>
      </c>
      <c r="N263" t="n">
        <v>0</v>
      </c>
      <c r="O263" t="n">
        <v>0</v>
      </c>
      <c r="P263" t="n">
        <v>0</v>
      </c>
      <c r="Q263" t="n">
        <v>0</v>
      </c>
      <c r="R263" s="2" t="inlineStr"/>
    </row>
    <row r="264" ht="15" customHeight="1">
      <c r="A264" t="inlineStr">
        <is>
          <t>A 50651-2024</t>
        </is>
      </c>
      <c r="B264" s="1" t="n">
        <v>45601.70364583333</v>
      </c>
      <c r="C264" s="1" t="n">
        <v>45926</v>
      </c>
      <c r="D264" t="inlineStr">
        <is>
          <t>NORRBOTTENS LÄN</t>
        </is>
      </c>
      <c r="E264" t="inlineStr">
        <is>
          <t>JOKKMOKK</t>
        </is>
      </c>
      <c r="F264" t="inlineStr">
        <is>
          <t>Allmännings- och besparingsskogar</t>
        </is>
      </c>
      <c r="G264" t="n">
        <v>6.1</v>
      </c>
      <c r="H264" t="n">
        <v>0</v>
      </c>
      <c r="I264" t="n">
        <v>0</v>
      </c>
      <c r="J264" t="n">
        <v>0</v>
      </c>
      <c r="K264" t="n">
        <v>0</v>
      </c>
      <c r="L264" t="n">
        <v>0</v>
      </c>
      <c r="M264" t="n">
        <v>0</v>
      </c>
      <c r="N264" t="n">
        <v>0</v>
      </c>
      <c r="O264" t="n">
        <v>0</v>
      </c>
      <c r="P264" t="n">
        <v>0</v>
      </c>
      <c r="Q264" t="n">
        <v>0</v>
      </c>
      <c r="R264" s="2" t="inlineStr"/>
    </row>
    <row r="265" ht="15" customHeight="1">
      <c r="A265" t="inlineStr">
        <is>
          <t>A 60390-2023</t>
        </is>
      </c>
      <c r="B265" s="1" t="n">
        <v>45259.43483796297</v>
      </c>
      <c r="C265" s="1" t="n">
        <v>45926</v>
      </c>
      <c r="D265" t="inlineStr">
        <is>
          <t>NORRBOTTENS LÄN</t>
        </is>
      </c>
      <c r="E265" t="inlineStr">
        <is>
          <t>JOKKMOKK</t>
        </is>
      </c>
      <c r="F265" t="inlineStr">
        <is>
          <t>Sveaskog</t>
        </is>
      </c>
      <c r="G265" t="n">
        <v>10.9</v>
      </c>
      <c r="H265" t="n">
        <v>0</v>
      </c>
      <c r="I265" t="n">
        <v>0</v>
      </c>
      <c r="J265" t="n">
        <v>0</v>
      </c>
      <c r="K265" t="n">
        <v>0</v>
      </c>
      <c r="L265" t="n">
        <v>0</v>
      </c>
      <c r="M265" t="n">
        <v>0</v>
      </c>
      <c r="N265" t="n">
        <v>0</v>
      </c>
      <c r="O265" t="n">
        <v>0</v>
      </c>
      <c r="P265" t="n">
        <v>0</v>
      </c>
      <c r="Q265" t="n">
        <v>0</v>
      </c>
      <c r="R265" s="2" t="inlineStr"/>
    </row>
    <row r="266" ht="15" customHeight="1">
      <c r="A266" t="inlineStr">
        <is>
          <t>A 60275-2023</t>
        </is>
      </c>
      <c r="B266" s="1" t="n">
        <v>45258.67847222222</v>
      </c>
      <c r="C266" s="1" t="n">
        <v>45926</v>
      </c>
      <c r="D266" t="inlineStr">
        <is>
          <t>NORRBOTTENS LÄN</t>
        </is>
      </c>
      <c r="E266" t="inlineStr">
        <is>
          <t>JOKKMOKK</t>
        </is>
      </c>
      <c r="G266" t="n">
        <v>3.2</v>
      </c>
      <c r="H266" t="n">
        <v>0</v>
      </c>
      <c r="I266" t="n">
        <v>0</v>
      </c>
      <c r="J266" t="n">
        <v>0</v>
      </c>
      <c r="K266" t="n">
        <v>0</v>
      </c>
      <c r="L266" t="n">
        <v>0</v>
      </c>
      <c r="M266" t="n">
        <v>0</v>
      </c>
      <c r="N266" t="n">
        <v>0</v>
      </c>
      <c r="O266" t="n">
        <v>0</v>
      </c>
      <c r="P266" t="n">
        <v>0</v>
      </c>
      <c r="Q266" t="n">
        <v>0</v>
      </c>
      <c r="R266" s="2" t="inlineStr"/>
    </row>
    <row r="267" ht="15" customHeight="1">
      <c r="A267" t="inlineStr">
        <is>
          <t>A 30178-2025</t>
        </is>
      </c>
      <c r="B267" s="1" t="n">
        <v>45827.34571759259</v>
      </c>
      <c r="C267" s="1" t="n">
        <v>45926</v>
      </c>
      <c r="D267" t="inlineStr">
        <is>
          <t>NORRBOTTENS LÄN</t>
        </is>
      </c>
      <c r="E267" t="inlineStr">
        <is>
          <t>JOKKMOKK</t>
        </is>
      </c>
      <c r="F267" t="inlineStr">
        <is>
          <t>SCA</t>
        </is>
      </c>
      <c r="G267" t="n">
        <v>4.5</v>
      </c>
      <c r="H267" t="n">
        <v>0</v>
      </c>
      <c r="I267" t="n">
        <v>0</v>
      </c>
      <c r="J267" t="n">
        <v>0</v>
      </c>
      <c r="K267" t="n">
        <v>0</v>
      </c>
      <c r="L267" t="n">
        <v>0</v>
      </c>
      <c r="M267" t="n">
        <v>0</v>
      </c>
      <c r="N267" t="n">
        <v>0</v>
      </c>
      <c r="O267" t="n">
        <v>0</v>
      </c>
      <c r="P267" t="n">
        <v>0</v>
      </c>
      <c r="Q267" t="n">
        <v>0</v>
      </c>
      <c r="R267" s="2" t="inlineStr"/>
    </row>
    <row r="268" ht="15" customHeight="1">
      <c r="A268" t="inlineStr">
        <is>
          <t>A 40771-2023</t>
        </is>
      </c>
      <c r="B268" s="1" t="n">
        <v>45170.95657407407</v>
      </c>
      <c r="C268" s="1" t="n">
        <v>45926</v>
      </c>
      <c r="D268" t="inlineStr">
        <is>
          <t>NORRBOTTENS LÄN</t>
        </is>
      </c>
      <c r="E268" t="inlineStr">
        <is>
          <t>JOKKMOKK</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6778-2023</t>
        </is>
      </c>
      <c r="B269" s="1" t="n">
        <v>44966</v>
      </c>
      <c r="C269" s="1" t="n">
        <v>45926</v>
      </c>
      <c r="D269" t="inlineStr">
        <is>
          <t>NORRBOTTENS LÄN</t>
        </is>
      </c>
      <c r="E269" t="inlineStr">
        <is>
          <t>JOKKMOKK</t>
        </is>
      </c>
      <c r="F269" t="inlineStr">
        <is>
          <t>SCA</t>
        </is>
      </c>
      <c r="G269" t="n">
        <v>5</v>
      </c>
      <c r="H269" t="n">
        <v>0</v>
      </c>
      <c r="I269" t="n">
        <v>0</v>
      </c>
      <c r="J269" t="n">
        <v>0</v>
      </c>
      <c r="K269" t="n">
        <v>0</v>
      </c>
      <c r="L269" t="n">
        <v>0</v>
      </c>
      <c r="M269" t="n">
        <v>0</v>
      </c>
      <c r="N269" t="n">
        <v>0</v>
      </c>
      <c r="O269" t="n">
        <v>0</v>
      </c>
      <c r="P269" t="n">
        <v>0</v>
      </c>
      <c r="Q269" t="n">
        <v>0</v>
      </c>
      <c r="R269" s="2" t="inlineStr"/>
    </row>
    <row r="270" ht="15" customHeight="1">
      <c r="A270" t="inlineStr">
        <is>
          <t>A 16864-2023</t>
        </is>
      </c>
      <c r="B270" s="1" t="n">
        <v>45028</v>
      </c>
      <c r="C270" s="1" t="n">
        <v>45926</v>
      </c>
      <c r="D270" t="inlineStr">
        <is>
          <t>NORRBOTTENS LÄN</t>
        </is>
      </c>
      <c r="E270" t="inlineStr">
        <is>
          <t>JOKKMOKK</t>
        </is>
      </c>
      <c r="G270" t="n">
        <v>4</v>
      </c>
      <c r="H270" t="n">
        <v>0</v>
      </c>
      <c r="I270" t="n">
        <v>0</v>
      </c>
      <c r="J270" t="n">
        <v>0</v>
      </c>
      <c r="K270" t="n">
        <v>0</v>
      </c>
      <c r="L270" t="n">
        <v>0</v>
      </c>
      <c r="M270" t="n">
        <v>0</v>
      </c>
      <c r="N270" t="n">
        <v>0</v>
      </c>
      <c r="O270" t="n">
        <v>0</v>
      </c>
      <c r="P270" t="n">
        <v>0</v>
      </c>
      <c r="Q270" t="n">
        <v>0</v>
      </c>
      <c r="R270" s="2" t="inlineStr"/>
    </row>
    <row r="271" ht="15" customHeight="1">
      <c r="A271" t="inlineStr">
        <is>
          <t>A 26962-2023</t>
        </is>
      </c>
      <c r="B271" s="1" t="n">
        <v>45093</v>
      </c>
      <c r="C271" s="1" t="n">
        <v>45926</v>
      </c>
      <c r="D271" t="inlineStr">
        <is>
          <t>NORRBOTTENS LÄN</t>
        </is>
      </c>
      <c r="E271" t="inlineStr">
        <is>
          <t>JOKKMOKK</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26969-2024</t>
        </is>
      </c>
      <c r="B272" s="1" t="n">
        <v>45471.27252314815</v>
      </c>
      <c r="C272" s="1" t="n">
        <v>45926</v>
      </c>
      <c r="D272" t="inlineStr">
        <is>
          <t>NORRBOTTENS LÄN</t>
        </is>
      </c>
      <c r="E272" t="inlineStr">
        <is>
          <t>JOKKMOKK</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36607-2021</t>
        </is>
      </c>
      <c r="B273" s="1" t="n">
        <v>44391</v>
      </c>
      <c r="C273" s="1" t="n">
        <v>45926</v>
      </c>
      <c r="D273" t="inlineStr">
        <is>
          <t>NORRBOTTENS LÄN</t>
        </is>
      </c>
      <c r="E273" t="inlineStr">
        <is>
          <t>JOKKMOKK</t>
        </is>
      </c>
      <c r="F273" t="inlineStr">
        <is>
          <t>Allmännings- och besparingsskogar</t>
        </is>
      </c>
      <c r="G273" t="n">
        <v>9.5</v>
      </c>
      <c r="H273" t="n">
        <v>0</v>
      </c>
      <c r="I273" t="n">
        <v>0</v>
      </c>
      <c r="J273" t="n">
        <v>0</v>
      </c>
      <c r="K273" t="n">
        <v>0</v>
      </c>
      <c r="L273" t="n">
        <v>0</v>
      </c>
      <c r="M273" t="n">
        <v>0</v>
      </c>
      <c r="N273" t="n">
        <v>0</v>
      </c>
      <c r="O273" t="n">
        <v>0</v>
      </c>
      <c r="P273" t="n">
        <v>0</v>
      </c>
      <c r="Q273" t="n">
        <v>0</v>
      </c>
      <c r="R273" s="2" t="inlineStr"/>
    </row>
    <row r="274" ht="15" customHeight="1">
      <c r="A274" t="inlineStr">
        <is>
          <t>A 50820-2024</t>
        </is>
      </c>
      <c r="B274" s="1" t="n">
        <v>45602</v>
      </c>
      <c r="C274" s="1" t="n">
        <v>45926</v>
      </c>
      <c r="D274" t="inlineStr">
        <is>
          <t>NORRBOTTENS LÄN</t>
        </is>
      </c>
      <c r="E274" t="inlineStr">
        <is>
          <t>JOKKMOKK</t>
        </is>
      </c>
      <c r="F274" t="inlineStr">
        <is>
          <t>Allmännings- och besparingsskogar</t>
        </is>
      </c>
      <c r="G274" t="n">
        <v>4</v>
      </c>
      <c r="H274" t="n">
        <v>0</v>
      </c>
      <c r="I274" t="n">
        <v>0</v>
      </c>
      <c r="J274" t="n">
        <v>0</v>
      </c>
      <c r="K274" t="n">
        <v>0</v>
      </c>
      <c r="L274" t="n">
        <v>0</v>
      </c>
      <c r="M274" t="n">
        <v>0</v>
      </c>
      <c r="N274" t="n">
        <v>0</v>
      </c>
      <c r="O274" t="n">
        <v>0</v>
      </c>
      <c r="P274" t="n">
        <v>0</v>
      </c>
      <c r="Q274" t="n">
        <v>0</v>
      </c>
      <c r="R274" s="2" t="inlineStr"/>
    </row>
    <row r="275" ht="15" customHeight="1">
      <c r="A275" t="inlineStr">
        <is>
          <t>A 28319-2021</t>
        </is>
      </c>
      <c r="B275" s="1" t="n">
        <v>44355</v>
      </c>
      <c r="C275" s="1" t="n">
        <v>45926</v>
      </c>
      <c r="D275" t="inlineStr">
        <is>
          <t>NORRBOTTENS LÄN</t>
        </is>
      </c>
      <c r="E275" t="inlineStr">
        <is>
          <t>JOKKMOKK</t>
        </is>
      </c>
      <c r="F275" t="inlineStr">
        <is>
          <t>Övriga statliga verk och myndigheter</t>
        </is>
      </c>
      <c r="G275" t="n">
        <v>40</v>
      </c>
      <c r="H275" t="n">
        <v>0</v>
      </c>
      <c r="I275" t="n">
        <v>0</v>
      </c>
      <c r="J275" t="n">
        <v>0</v>
      </c>
      <c r="K275" t="n">
        <v>0</v>
      </c>
      <c r="L275" t="n">
        <v>0</v>
      </c>
      <c r="M275" t="n">
        <v>0</v>
      </c>
      <c r="N275" t="n">
        <v>0</v>
      </c>
      <c r="O275" t="n">
        <v>0</v>
      </c>
      <c r="P275" t="n">
        <v>0</v>
      </c>
      <c r="Q275" t="n">
        <v>0</v>
      </c>
      <c r="R275" s="2" t="inlineStr"/>
    </row>
    <row r="276" ht="15" customHeight="1">
      <c r="A276" t="inlineStr">
        <is>
          <t>A 9865-2023</t>
        </is>
      </c>
      <c r="B276" s="1" t="n">
        <v>44984</v>
      </c>
      <c r="C276" s="1" t="n">
        <v>45926</v>
      </c>
      <c r="D276" t="inlineStr">
        <is>
          <t>NORRBOTTENS LÄN</t>
        </is>
      </c>
      <c r="E276" t="inlineStr">
        <is>
          <t>JOKKMOKK</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30177-2025</t>
        </is>
      </c>
      <c r="B277" s="1" t="n">
        <v>45827.34537037037</v>
      </c>
      <c r="C277" s="1" t="n">
        <v>45926</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30185-2025</t>
        </is>
      </c>
      <c r="B278" s="1" t="n">
        <v>45827.34717592593</v>
      </c>
      <c r="C278" s="1" t="n">
        <v>45926</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30181-2025</t>
        </is>
      </c>
      <c r="B279" s="1" t="n">
        <v>45827.34607638889</v>
      </c>
      <c r="C279" s="1" t="n">
        <v>45926</v>
      </c>
      <c r="D279" t="inlineStr">
        <is>
          <t>NORRBOTTENS LÄN</t>
        </is>
      </c>
      <c r="E279" t="inlineStr">
        <is>
          <t>JOKKMOKK</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30182-2025</t>
        </is>
      </c>
      <c r="B280" s="1" t="n">
        <v>45827.34640046296</v>
      </c>
      <c r="C280" s="1" t="n">
        <v>45926</v>
      </c>
      <c r="D280" t="inlineStr">
        <is>
          <t>NORRBOTTENS LÄN</t>
        </is>
      </c>
      <c r="E280" t="inlineStr">
        <is>
          <t>JOKKMOKK</t>
        </is>
      </c>
      <c r="F280" t="inlineStr">
        <is>
          <t>SCA</t>
        </is>
      </c>
      <c r="G280" t="n">
        <v>9.9</v>
      </c>
      <c r="H280" t="n">
        <v>0</v>
      </c>
      <c r="I280" t="n">
        <v>0</v>
      </c>
      <c r="J280" t="n">
        <v>0</v>
      </c>
      <c r="K280" t="n">
        <v>0</v>
      </c>
      <c r="L280" t="n">
        <v>0</v>
      </c>
      <c r="M280" t="n">
        <v>0</v>
      </c>
      <c r="N280" t="n">
        <v>0</v>
      </c>
      <c r="O280" t="n">
        <v>0</v>
      </c>
      <c r="P280" t="n">
        <v>0</v>
      </c>
      <c r="Q280" t="n">
        <v>0</v>
      </c>
      <c r="R280" s="2" t="inlineStr"/>
    </row>
    <row r="281" ht="15" customHeight="1">
      <c r="A281" t="inlineStr">
        <is>
          <t>A 45469-2022</t>
        </is>
      </c>
      <c r="B281" s="1" t="n">
        <v>44841</v>
      </c>
      <c r="C281" s="1" t="n">
        <v>45926</v>
      </c>
      <c r="D281" t="inlineStr">
        <is>
          <t>NORRBOTTENS LÄN</t>
        </is>
      </c>
      <c r="E281" t="inlineStr">
        <is>
          <t>JOKKMOKK</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45505-2022</t>
        </is>
      </c>
      <c r="B282" s="1" t="n">
        <v>44841</v>
      </c>
      <c r="C282" s="1" t="n">
        <v>45926</v>
      </c>
      <c r="D282" t="inlineStr">
        <is>
          <t>NORRBOTTENS LÄN</t>
        </is>
      </c>
      <c r="E282" t="inlineStr">
        <is>
          <t>JOKKMOKK</t>
        </is>
      </c>
      <c r="F282" t="inlineStr">
        <is>
          <t>Övriga Aktiebolag</t>
        </is>
      </c>
      <c r="G282" t="n">
        <v>1</v>
      </c>
      <c r="H282" t="n">
        <v>0</v>
      </c>
      <c r="I282" t="n">
        <v>0</v>
      </c>
      <c r="J282" t="n">
        <v>0</v>
      </c>
      <c r="K282" t="n">
        <v>0</v>
      </c>
      <c r="L282" t="n">
        <v>0</v>
      </c>
      <c r="M282" t="n">
        <v>0</v>
      </c>
      <c r="N282" t="n">
        <v>0</v>
      </c>
      <c r="O282" t="n">
        <v>0</v>
      </c>
      <c r="P282" t="n">
        <v>0</v>
      </c>
      <c r="Q282" t="n">
        <v>0</v>
      </c>
      <c r="R282" s="2" t="inlineStr"/>
    </row>
    <row r="283" ht="15" customHeight="1">
      <c r="A283" t="inlineStr">
        <is>
          <t>A 30184-2025</t>
        </is>
      </c>
      <c r="B283" s="1" t="n">
        <v>45827.34695601852</v>
      </c>
      <c r="C283" s="1" t="n">
        <v>45926</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30189-2025</t>
        </is>
      </c>
      <c r="B284" s="1" t="n">
        <v>45827.34756944444</v>
      </c>
      <c r="C284" s="1" t="n">
        <v>45926</v>
      </c>
      <c r="D284" t="inlineStr">
        <is>
          <t>NORRBOTTENS LÄN</t>
        </is>
      </c>
      <c r="E284" t="inlineStr">
        <is>
          <t>JOKKMOKK</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29853-2025</t>
        </is>
      </c>
      <c r="B285" s="1" t="n">
        <v>45826.34438657408</v>
      </c>
      <c r="C285" s="1" t="n">
        <v>45926</v>
      </c>
      <c r="D285" t="inlineStr">
        <is>
          <t>NORRBOTTENS LÄN</t>
        </is>
      </c>
      <c r="E285" t="inlineStr">
        <is>
          <t>JOKKMOKK</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29857-2025</t>
        </is>
      </c>
      <c r="B286" s="1" t="n">
        <v>45826.3453125</v>
      </c>
      <c r="C286" s="1" t="n">
        <v>45926</v>
      </c>
      <c r="D286" t="inlineStr">
        <is>
          <t>NORRBOTTENS LÄN</t>
        </is>
      </c>
      <c r="E286" t="inlineStr">
        <is>
          <t>JOKKMOKK</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29856-2025</t>
        </is>
      </c>
      <c r="B287" s="1" t="n">
        <v>45826.345</v>
      </c>
      <c r="C287" s="1" t="n">
        <v>45926</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29858-2025</t>
        </is>
      </c>
      <c r="B288" s="1" t="n">
        <v>45826.34565972222</v>
      </c>
      <c r="C288" s="1" t="n">
        <v>45926</v>
      </c>
      <c r="D288" t="inlineStr">
        <is>
          <t>NORRBOTTENS LÄN</t>
        </is>
      </c>
      <c r="E288" t="inlineStr">
        <is>
          <t>JOKKMOKK</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27653-2024</t>
        </is>
      </c>
      <c r="B289" s="1" t="n">
        <v>45474.95037037037</v>
      </c>
      <c r="C289" s="1" t="n">
        <v>45926</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27654-2024</t>
        </is>
      </c>
      <c r="B290" s="1" t="n">
        <v>45474</v>
      </c>
      <c r="C290" s="1" t="n">
        <v>45926</v>
      </c>
      <c r="D290" t="inlineStr">
        <is>
          <t>NORRBOTTENS LÄN</t>
        </is>
      </c>
      <c r="E290" t="inlineStr">
        <is>
          <t>JOKKMOKK</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27656-2024</t>
        </is>
      </c>
      <c r="B291" s="1" t="n">
        <v>45474</v>
      </c>
      <c r="C291" s="1" t="n">
        <v>45926</v>
      </c>
      <c r="D291" t="inlineStr">
        <is>
          <t>NORRBOTTENS LÄN</t>
        </is>
      </c>
      <c r="E291" t="inlineStr">
        <is>
          <t>JOKKMOKK</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9860-2023</t>
        </is>
      </c>
      <c r="B292" s="1" t="n">
        <v>44984</v>
      </c>
      <c r="C292" s="1" t="n">
        <v>45926</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9863-2023</t>
        </is>
      </c>
      <c r="B293" s="1" t="n">
        <v>44984</v>
      </c>
      <c r="C293" s="1" t="n">
        <v>45926</v>
      </c>
      <c r="D293" t="inlineStr">
        <is>
          <t>NORRBOTTENS LÄN</t>
        </is>
      </c>
      <c r="E293" t="inlineStr">
        <is>
          <t>JOKKMOKK</t>
        </is>
      </c>
      <c r="F293" t="inlineStr">
        <is>
          <t>SCA</t>
        </is>
      </c>
      <c r="G293" t="n">
        <v>14.4</v>
      </c>
      <c r="H293" t="n">
        <v>0</v>
      </c>
      <c r="I293" t="n">
        <v>0</v>
      </c>
      <c r="J293" t="n">
        <v>0</v>
      </c>
      <c r="K293" t="n">
        <v>0</v>
      </c>
      <c r="L293" t="n">
        <v>0</v>
      </c>
      <c r="M293" t="n">
        <v>0</v>
      </c>
      <c r="N293" t="n">
        <v>0</v>
      </c>
      <c r="O293" t="n">
        <v>0</v>
      </c>
      <c r="P293" t="n">
        <v>0</v>
      </c>
      <c r="Q293" t="n">
        <v>0</v>
      </c>
      <c r="R293" s="2" t="inlineStr"/>
    </row>
    <row r="294" ht="15" customHeight="1">
      <c r="A294" t="inlineStr">
        <is>
          <t>A 9872-2023</t>
        </is>
      </c>
      <c r="B294" s="1" t="n">
        <v>44984</v>
      </c>
      <c r="C294" s="1" t="n">
        <v>45926</v>
      </c>
      <c r="D294" t="inlineStr">
        <is>
          <t>NORRBOTTENS LÄN</t>
        </is>
      </c>
      <c r="E294" t="inlineStr">
        <is>
          <t>JOKKMOKK</t>
        </is>
      </c>
      <c r="F294" t="inlineStr">
        <is>
          <t>SCA</t>
        </is>
      </c>
      <c r="G294" t="n">
        <v>3</v>
      </c>
      <c r="H294" t="n">
        <v>0</v>
      </c>
      <c r="I294" t="n">
        <v>0</v>
      </c>
      <c r="J294" t="n">
        <v>0</v>
      </c>
      <c r="K294" t="n">
        <v>0</v>
      </c>
      <c r="L294" t="n">
        <v>0</v>
      </c>
      <c r="M294" t="n">
        <v>0</v>
      </c>
      <c r="N294" t="n">
        <v>0</v>
      </c>
      <c r="O294" t="n">
        <v>0</v>
      </c>
      <c r="P294" t="n">
        <v>0</v>
      </c>
      <c r="Q294" t="n">
        <v>0</v>
      </c>
      <c r="R294" s="2" t="inlineStr"/>
    </row>
    <row r="295" ht="15" customHeight="1">
      <c r="A295" t="inlineStr">
        <is>
          <t>A 9873-2023</t>
        </is>
      </c>
      <c r="B295" s="1" t="n">
        <v>44984</v>
      </c>
      <c r="C295" s="1" t="n">
        <v>45926</v>
      </c>
      <c r="D295" t="inlineStr">
        <is>
          <t>NORRBOTTENS LÄN</t>
        </is>
      </c>
      <c r="E295" t="inlineStr">
        <is>
          <t>JOKKMOKK</t>
        </is>
      </c>
      <c r="G295" t="n">
        <v>1.6</v>
      </c>
      <c r="H295" t="n">
        <v>0</v>
      </c>
      <c r="I295" t="n">
        <v>0</v>
      </c>
      <c r="J295" t="n">
        <v>0</v>
      </c>
      <c r="K295" t="n">
        <v>0</v>
      </c>
      <c r="L295" t="n">
        <v>0</v>
      </c>
      <c r="M295" t="n">
        <v>0</v>
      </c>
      <c r="N295" t="n">
        <v>0</v>
      </c>
      <c r="O295" t="n">
        <v>0</v>
      </c>
      <c r="P295" t="n">
        <v>0</v>
      </c>
      <c r="Q295" t="n">
        <v>0</v>
      </c>
      <c r="R295" s="2" t="inlineStr"/>
    </row>
    <row r="296" ht="15" customHeight="1">
      <c r="A296" t="inlineStr">
        <is>
          <t>A 9877-2023</t>
        </is>
      </c>
      <c r="B296" s="1" t="n">
        <v>44984.94033564815</v>
      </c>
      <c r="C296" s="1" t="n">
        <v>45926</v>
      </c>
      <c r="D296" t="inlineStr">
        <is>
          <t>NORRBOTTENS LÄN</t>
        </is>
      </c>
      <c r="E296" t="inlineStr">
        <is>
          <t>JOKKMOKK</t>
        </is>
      </c>
      <c r="F296" t="inlineStr">
        <is>
          <t>SCA</t>
        </is>
      </c>
      <c r="G296" t="n">
        <v>5.4</v>
      </c>
      <c r="H296" t="n">
        <v>0</v>
      </c>
      <c r="I296" t="n">
        <v>0</v>
      </c>
      <c r="J296" t="n">
        <v>0</v>
      </c>
      <c r="K296" t="n">
        <v>0</v>
      </c>
      <c r="L296" t="n">
        <v>0</v>
      </c>
      <c r="M296" t="n">
        <v>0</v>
      </c>
      <c r="N296" t="n">
        <v>0</v>
      </c>
      <c r="O296" t="n">
        <v>0</v>
      </c>
      <c r="P296" t="n">
        <v>0</v>
      </c>
      <c r="Q296" t="n">
        <v>0</v>
      </c>
      <c r="R296" s="2" t="inlineStr"/>
    </row>
    <row r="297" ht="15" customHeight="1">
      <c r="A297" t="inlineStr">
        <is>
          <t>A 13863-2025</t>
        </is>
      </c>
      <c r="B297" s="1" t="n">
        <v>45737.57435185185</v>
      </c>
      <c r="C297" s="1" t="n">
        <v>45926</v>
      </c>
      <c r="D297" t="inlineStr">
        <is>
          <t>NORRBOTTENS LÄN</t>
        </is>
      </c>
      <c r="E297" t="inlineStr">
        <is>
          <t>JOKKMOKK</t>
        </is>
      </c>
      <c r="G297" t="n">
        <v>0.9</v>
      </c>
      <c r="H297" t="n">
        <v>0</v>
      </c>
      <c r="I297" t="n">
        <v>0</v>
      </c>
      <c r="J297" t="n">
        <v>0</v>
      </c>
      <c r="K297" t="n">
        <v>0</v>
      </c>
      <c r="L297" t="n">
        <v>0</v>
      </c>
      <c r="M297" t="n">
        <v>0</v>
      </c>
      <c r="N297" t="n">
        <v>0</v>
      </c>
      <c r="O297" t="n">
        <v>0</v>
      </c>
      <c r="P297" t="n">
        <v>0</v>
      </c>
      <c r="Q297" t="n">
        <v>0</v>
      </c>
      <c r="R297" s="2" t="inlineStr"/>
    </row>
    <row r="298" ht="15" customHeight="1">
      <c r="A298" t="inlineStr">
        <is>
          <t>A 13864-2025</t>
        </is>
      </c>
      <c r="B298" s="1" t="n">
        <v>45737.57438657407</v>
      </c>
      <c r="C298" s="1" t="n">
        <v>45926</v>
      </c>
      <c r="D298" t="inlineStr">
        <is>
          <t>NORRBOTTENS LÄN</t>
        </is>
      </c>
      <c r="E298" t="inlineStr">
        <is>
          <t>JOKKMOKK</t>
        </is>
      </c>
      <c r="G298" t="n">
        <v>1.7</v>
      </c>
      <c r="H298" t="n">
        <v>0</v>
      </c>
      <c r="I298" t="n">
        <v>0</v>
      </c>
      <c r="J298" t="n">
        <v>0</v>
      </c>
      <c r="K298" t="n">
        <v>0</v>
      </c>
      <c r="L298" t="n">
        <v>0</v>
      </c>
      <c r="M298" t="n">
        <v>0</v>
      </c>
      <c r="N298" t="n">
        <v>0</v>
      </c>
      <c r="O298" t="n">
        <v>0</v>
      </c>
      <c r="P298" t="n">
        <v>0</v>
      </c>
      <c r="Q298" t="n">
        <v>0</v>
      </c>
      <c r="R298" s="2" t="inlineStr"/>
    </row>
    <row r="299" ht="15" customHeight="1">
      <c r="A299" t="inlineStr">
        <is>
          <t>A 30313-2024</t>
        </is>
      </c>
      <c r="B299" s="1" t="n">
        <v>45490</v>
      </c>
      <c r="C299" s="1" t="n">
        <v>45926</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18903-2025</t>
        </is>
      </c>
      <c r="B300" s="1" t="n">
        <v>45764.46019675926</v>
      </c>
      <c r="C300" s="1" t="n">
        <v>45926</v>
      </c>
      <c r="D300" t="inlineStr">
        <is>
          <t>NORRBOTTENS LÄN</t>
        </is>
      </c>
      <c r="E300" t="inlineStr">
        <is>
          <t>JOKKMOKK</t>
        </is>
      </c>
      <c r="G300" t="n">
        <v>9.1</v>
      </c>
      <c r="H300" t="n">
        <v>0</v>
      </c>
      <c r="I300" t="n">
        <v>0</v>
      </c>
      <c r="J300" t="n">
        <v>0</v>
      </c>
      <c r="K300" t="n">
        <v>0</v>
      </c>
      <c r="L300" t="n">
        <v>0</v>
      </c>
      <c r="M300" t="n">
        <v>0</v>
      </c>
      <c r="N300" t="n">
        <v>0</v>
      </c>
      <c r="O300" t="n">
        <v>0</v>
      </c>
      <c r="P300" t="n">
        <v>0</v>
      </c>
      <c r="Q300" t="n">
        <v>0</v>
      </c>
      <c r="R300" s="2" t="inlineStr"/>
    </row>
    <row r="301" ht="15" customHeight="1">
      <c r="A301" t="inlineStr">
        <is>
          <t>A 50436-2024</t>
        </is>
      </c>
      <c r="B301" s="1" t="n">
        <v>45601.4096875</v>
      </c>
      <c r="C301" s="1" t="n">
        <v>45926</v>
      </c>
      <c r="D301" t="inlineStr">
        <is>
          <t>NORRBOTTENS LÄN</t>
        </is>
      </c>
      <c r="E301" t="inlineStr">
        <is>
          <t>JOKKMOKK</t>
        </is>
      </c>
      <c r="F301" t="inlineStr">
        <is>
          <t>Allmännings- och besparingsskogar</t>
        </is>
      </c>
      <c r="G301" t="n">
        <v>6.5</v>
      </c>
      <c r="H301" t="n">
        <v>0</v>
      </c>
      <c r="I301" t="n">
        <v>0</v>
      </c>
      <c r="J301" t="n">
        <v>0</v>
      </c>
      <c r="K301" t="n">
        <v>0</v>
      </c>
      <c r="L301" t="n">
        <v>0</v>
      </c>
      <c r="M301" t="n">
        <v>0</v>
      </c>
      <c r="N301" t="n">
        <v>0</v>
      </c>
      <c r="O301" t="n">
        <v>0</v>
      </c>
      <c r="P301" t="n">
        <v>0</v>
      </c>
      <c r="Q301" t="n">
        <v>0</v>
      </c>
      <c r="R301" s="2" t="inlineStr"/>
    </row>
    <row r="302" ht="15" customHeight="1">
      <c r="A302" t="inlineStr">
        <is>
          <t>A 59793-2024</t>
        </is>
      </c>
      <c r="B302" s="1" t="n">
        <v>45639.58967592593</v>
      </c>
      <c r="C302" s="1" t="n">
        <v>45926</v>
      </c>
      <c r="D302" t="inlineStr">
        <is>
          <t>NORRBOTTENS LÄN</t>
        </is>
      </c>
      <c r="E302" t="inlineStr">
        <is>
          <t>JOKKMOKK</t>
        </is>
      </c>
      <c r="F302" t="inlineStr">
        <is>
          <t>Sveaskog</t>
        </is>
      </c>
      <c r="G302" t="n">
        <v>10.8</v>
      </c>
      <c r="H302" t="n">
        <v>0</v>
      </c>
      <c r="I302" t="n">
        <v>0</v>
      </c>
      <c r="J302" t="n">
        <v>0</v>
      </c>
      <c r="K302" t="n">
        <v>0</v>
      </c>
      <c r="L302" t="n">
        <v>0</v>
      </c>
      <c r="M302" t="n">
        <v>0</v>
      </c>
      <c r="N302" t="n">
        <v>0</v>
      </c>
      <c r="O302" t="n">
        <v>0</v>
      </c>
      <c r="P302" t="n">
        <v>0</v>
      </c>
      <c r="Q302" t="n">
        <v>0</v>
      </c>
      <c r="R302" s="2" t="inlineStr"/>
    </row>
    <row r="303" ht="15" customHeight="1">
      <c r="A303" t="inlineStr">
        <is>
          <t>A 52812-2024</t>
        </is>
      </c>
      <c r="B303" s="1" t="n">
        <v>45610.58070601852</v>
      </c>
      <c r="C303" s="1" t="n">
        <v>45926</v>
      </c>
      <c r="D303" t="inlineStr">
        <is>
          <t>NORRBOTTENS LÄN</t>
        </is>
      </c>
      <c r="E303" t="inlineStr">
        <is>
          <t>JOKKMOKK</t>
        </is>
      </c>
      <c r="G303" t="n">
        <v>84</v>
      </c>
      <c r="H303" t="n">
        <v>0</v>
      </c>
      <c r="I303" t="n">
        <v>0</v>
      </c>
      <c r="J303" t="n">
        <v>0</v>
      </c>
      <c r="K303" t="n">
        <v>0</v>
      </c>
      <c r="L303" t="n">
        <v>0</v>
      </c>
      <c r="M303" t="n">
        <v>0</v>
      </c>
      <c r="N303" t="n">
        <v>0</v>
      </c>
      <c r="O303" t="n">
        <v>0</v>
      </c>
      <c r="P303" t="n">
        <v>0</v>
      </c>
      <c r="Q303" t="n">
        <v>0</v>
      </c>
      <c r="R303" s="2" t="inlineStr"/>
    </row>
    <row r="304" ht="15" customHeight="1">
      <c r="A304" t="inlineStr">
        <is>
          <t>A 30399-2024</t>
        </is>
      </c>
      <c r="B304" s="1" t="n">
        <v>45491</v>
      </c>
      <c r="C304" s="1" t="n">
        <v>45926</v>
      </c>
      <c r="D304" t="inlineStr">
        <is>
          <t>NORRBOTTENS LÄN</t>
        </is>
      </c>
      <c r="E304" t="inlineStr">
        <is>
          <t>JOKKMOKK</t>
        </is>
      </c>
      <c r="G304" t="n">
        <v>4.6</v>
      </c>
      <c r="H304" t="n">
        <v>0</v>
      </c>
      <c r="I304" t="n">
        <v>0</v>
      </c>
      <c r="J304" t="n">
        <v>0</v>
      </c>
      <c r="K304" t="n">
        <v>0</v>
      </c>
      <c r="L304" t="n">
        <v>0</v>
      </c>
      <c r="M304" t="n">
        <v>0</v>
      </c>
      <c r="N304" t="n">
        <v>0</v>
      </c>
      <c r="O304" t="n">
        <v>0</v>
      </c>
      <c r="P304" t="n">
        <v>0</v>
      </c>
      <c r="Q304" t="n">
        <v>0</v>
      </c>
      <c r="R304" s="2" t="inlineStr"/>
    </row>
    <row r="305" ht="15" customHeight="1">
      <c r="A305" t="inlineStr">
        <is>
          <t>A 50496-2024</t>
        </is>
      </c>
      <c r="B305" s="1" t="n">
        <v>45601.51266203704</v>
      </c>
      <c r="C305" s="1" t="n">
        <v>45926</v>
      </c>
      <c r="D305" t="inlineStr">
        <is>
          <t>NORRBOTTENS LÄN</t>
        </is>
      </c>
      <c r="E305" t="inlineStr">
        <is>
          <t>JOKKMOKK</t>
        </is>
      </c>
      <c r="F305" t="inlineStr">
        <is>
          <t>Allmännings- och besparingsskogar</t>
        </is>
      </c>
      <c r="G305" t="n">
        <v>2.1</v>
      </c>
      <c r="H305" t="n">
        <v>0</v>
      </c>
      <c r="I305" t="n">
        <v>0</v>
      </c>
      <c r="J305" t="n">
        <v>0</v>
      </c>
      <c r="K305" t="n">
        <v>0</v>
      </c>
      <c r="L305" t="n">
        <v>0</v>
      </c>
      <c r="M305" t="n">
        <v>0</v>
      </c>
      <c r="N305" t="n">
        <v>0</v>
      </c>
      <c r="O305" t="n">
        <v>0</v>
      </c>
      <c r="P305" t="n">
        <v>0</v>
      </c>
      <c r="Q305" t="n">
        <v>0</v>
      </c>
      <c r="R305" s="2" t="inlineStr"/>
    </row>
    <row r="306" ht="15" customHeight="1">
      <c r="A306" t="inlineStr">
        <is>
          <t>A 16336-2023</t>
        </is>
      </c>
      <c r="B306" s="1" t="n">
        <v>45022</v>
      </c>
      <c r="C306" s="1" t="n">
        <v>45926</v>
      </c>
      <c r="D306" t="inlineStr">
        <is>
          <t>NORRBOTTENS LÄN</t>
        </is>
      </c>
      <c r="E306" t="inlineStr">
        <is>
          <t>JOKKMOKK</t>
        </is>
      </c>
      <c r="F306" t="inlineStr">
        <is>
          <t>Övriga statliga verk och myndigheter</t>
        </is>
      </c>
      <c r="G306" t="n">
        <v>130.2</v>
      </c>
      <c r="H306" t="n">
        <v>0</v>
      </c>
      <c r="I306" t="n">
        <v>0</v>
      </c>
      <c r="J306" t="n">
        <v>0</v>
      </c>
      <c r="K306" t="n">
        <v>0</v>
      </c>
      <c r="L306" t="n">
        <v>0</v>
      </c>
      <c r="M306" t="n">
        <v>0</v>
      </c>
      <c r="N306" t="n">
        <v>0</v>
      </c>
      <c r="O306" t="n">
        <v>0</v>
      </c>
      <c r="P306" t="n">
        <v>0</v>
      </c>
      <c r="Q306" t="n">
        <v>0</v>
      </c>
      <c r="R306" s="2" t="inlineStr"/>
    </row>
    <row r="307" ht="15" customHeight="1">
      <c r="A307" t="inlineStr">
        <is>
          <t>A 425-2025</t>
        </is>
      </c>
      <c r="B307" s="1" t="n">
        <v>45664.34549768519</v>
      </c>
      <c r="C307" s="1" t="n">
        <v>45926</v>
      </c>
      <c r="D307" t="inlineStr">
        <is>
          <t>NORRBOTTENS LÄN</t>
        </is>
      </c>
      <c r="E307" t="inlineStr">
        <is>
          <t>JOKKMOKK</t>
        </is>
      </c>
      <c r="F307" t="inlineStr">
        <is>
          <t>Övriga statliga verk och myndigheter</t>
        </is>
      </c>
      <c r="G307" t="n">
        <v>36.5</v>
      </c>
      <c r="H307" t="n">
        <v>0</v>
      </c>
      <c r="I307" t="n">
        <v>0</v>
      </c>
      <c r="J307" t="n">
        <v>0</v>
      </c>
      <c r="K307" t="n">
        <v>0</v>
      </c>
      <c r="L307" t="n">
        <v>0</v>
      </c>
      <c r="M307" t="n">
        <v>0</v>
      </c>
      <c r="N307" t="n">
        <v>0</v>
      </c>
      <c r="O307" t="n">
        <v>0</v>
      </c>
      <c r="P307" t="n">
        <v>0</v>
      </c>
      <c r="Q307" t="n">
        <v>0</v>
      </c>
      <c r="R307" s="2" t="inlineStr"/>
    </row>
    <row r="308" ht="15" customHeight="1">
      <c r="A308" t="inlineStr">
        <is>
          <t>A 51261-2024</t>
        </is>
      </c>
      <c r="B308" s="1" t="n">
        <v>45603.69465277778</v>
      </c>
      <c r="C308" s="1" t="n">
        <v>45926</v>
      </c>
      <c r="D308" t="inlineStr">
        <is>
          <t>NORRBOTTENS LÄN</t>
        </is>
      </c>
      <c r="E308" t="inlineStr">
        <is>
          <t>JOKKMOKK</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45333-2024</t>
        </is>
      </c>
      <c r="B309" s="1" t="n">
        <v>45576</v>
      </c>
      <c r="C309" s="1" t="n">
        <v>45926</v>
      </c>
      <c r="D309" t="inlineStr">
        <is>
          <t>NORRBOTTENS LÄN</t>
        </is>
      </c>
      <c r="E309" t="inlineStr">
        <is>
          <t>JOKKMOKK</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31918-2025</t>
        </is>
      </c>
      <c r="B310" s="1" t="n">
        <v>45834</v>
      </c>
      <c r="C310" s="1" t="n">
        <v>45926</v>
      </c>
      <c r="D310" t="inlineStr">
        <is>
          <t>NORRBOTTENS LÄN</t>
        </is>
      </c>
      <c r="E310" t="inlineStr">
        <is>
          <t>JOKKMOKK</t>
        </is>
      </c>
      <c r="G310" t="n">
        <v>15.2</v>
      </c>
      <c r="H310" t="n">
        <v>0</v>
      </c>
      <c r="I310" t="n">
        <v>0</v>
      </c>
      <c r="J310" t="n">
        <v>0</v>
      </c>
      <c r="K310" t="n">
        <v>0</v>
      </c>
      <c r="L310" t="n">
        <v>0</v>
      </c>
      <c r="M310" t="n">
        <v>0</v>
      </c>
      <c r="N310" t="n">
        <v>0</v>
      </c>
      <c r="O310" t="n">
        <v>0</v>
      </c>
      <c r="P310" t="n">
        <v>0</v>
      </c>
      <c r="Q310" t="n">
        <v>0</v>
      </c>
      <c r="R310" s="2" t="inlineStr"/>
    </row>
    <row r="311" ht="15" customHeight="1">
      <c r="A311" t="inlineStr">
        <is>
          <t>A 32670-2025</t>
        </is>
      </c>
      <c r="B311" s="1" t="n">
        <v>45838.70071759259</v>
      </c>
      <c r="C311" s="1" t="n">
        <v>45926</v>
      </c>
      <c r="D311" t="inlineStr">
        <is>
          <t>NORRBOTTENS LÄN</t>
        </is>
      </c>
      <c r="E311" t="inlineStr">
        <is>
          <t>JOKKMOKK</t>
        </is>
      </c>
      <c r="F311" t="inlineStr">
        <is>
          <t>Sveaskog</t>
        </is>
      </c>
      <c r="G311" t="n">
        <v>6.8</v>
      </c>
      <c r="H311" t="n">
        <v>0</v>
      </c>
      <c r="I311" t="n">
        <v>0</v>
      </c>
      <c r="J311" t="n">
        <v>0</v>
      </c>
      <c r="K311" t="n">
        <v>0</v>
      </c>
      <c r="L311" t="n">
        <v>0</v>
      </c>
      <c r="M311" t="n">
        <v>0</v>
      </c>
      <c r="N311" t="n">
        <v>0</v>
      </c>
      <c r="O311" t="n">
        <v>0</v>
      </c>
      <c r="P311" t="n">
        <v>0</v>
      </c>
      <c r="Q311" t="n">
        <v>0</v>
      </c>
      <c r="R311" s="2" t="inlineStr"/>
    </row>
    <row r="312" ht="15" customHeight="1">
      <c r="A312" t="inlineStr">
        <is>
          <t>A 16972-2025</t>
        </is>
      </c>
      <c r="B312" s="1" t="n">
        <v>45755.46942129629</v>
      </c>
      <c r="C312" s="1" t="n">
        <v>45926</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33551-2025</t>
        </is>
      </c>
      <c r="B313" s="1" t="n">
        <v>45841.57357638889</v>
      </c>
      <c r="C313" s="1" t="n">
        <v>45926</v>
      </c>
      <c r="D313" t="inlineStr">
        <is>
          <t>NORRBOTTENS LÄN</t>
        </is>
      </c>
      <c r="E313" t="inlineStr">
        <is>
          <t>JOKKMOKK</t>
        </is>
      </c>
      <c r="F313" t="inlineStr">
        <is>
          <t>SCA</t>
        </is>
      </c>
      <c r="G313" t="n">
        <v>7.9</v>
      </c>
      <c r="H313" t="n">
        <v>0</v>
      </c>
      <c r="I313" t="n">
        <v>0</v>
      </c>
      <c r="J313" t="n">
        <v>0</v>
      </c>
      <c r="K313" t="n">
        <v>0</v>
      </c>
      <c r="L313" t="n">
        <v>0</v>
      </c>
      <c r="M313" t="n">
        <v>0</v>
      </c>
      <c r="N313" t="n">
        <v>0</v>
      </c>
      <c r="O313" t="n">
        <v>0</v>
      </c>
      <c r="P313" t="n">
        <v>0</v>
      </c>
      <c r="Q313" t="n">
        <v>0</v>
      </c>
      <c r="R313" s="2" t="inlineStr"/>
    </row>
    <row r="314" ht="15" customHeight="1">
      <c r="A314" t="inlineStr">
        <is>
          <t>A 33515-2025</t>
        </is>
      </c>
      <c r="B314" s="1" t="n">
        <v>45841.53164351852</v>
      </c>
      <c r="C314" s="1" t="n">
        <v>45926</v>
      </c>
      <c r="D314" t="inlineStr">
        <is>
          <t>NORRBOTTENS LÄN</t>
        </is>
      </c>
      <c r="E314" t="inlineStr">
        <is>
          <t>JOKKMOKK</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33523-2025</t>
        </is>
      </c>
      <c r="B315" s="1" t="n">
        <v>45841.54601851852</v>
      </c>
      <c r="C315" s="1" t="n">
        <v>45926</v>
      </c>
      <c r="D315" t="inlineStr">
        <is>
          <t>NORRBOTTENS LÄN</t>
        </is>
      </c>
      <c r="E315" t="inlineStr">
        <is>
          <t>JOKKMOKK</t>
        </is>
      </c>
      <c r="F315" t="inlineStr">
        <is>
          <t>Sveaskog</t>
        </is>
      </c>
      <c r="G315" t="n">
        <v>5.5</v>
      </c>
      <c r="H315" t="n">
        <v>0</v>
      </c>
      <c r="I315" t="n">
        <v>0</v>
      </c>
      <c r="J315" t="n">
        <v>0</v>
      </c>
      <c r="K315" t="n">
        <v>0</v>
      </c>
      <c r="L315" t="n">
        <v>0</v>
      </c>
      <c r="M315" t="n">
        <v>0</v>
      </c>
      <c r="N315" t="n">
        <v>0</v>
      </c>
      <c r="O315" t="n">
        <v>0</v>
      </c>
      <c r="P315" t="n">
        <v>0</v>
      </c>
      <c r="Q315" t="n">
        <v>0</v>
      </c>
      <c r="R315" s="2" t="inlineStr"/>
    </row>
    <row r="316" ht="15" customHeight="1">
      <c r="A316" t="inlineStr">
        <is>
          <t>A 33554-2025</t>
        </is>
      </c>
      <c r="B316" s="1" t="n">
        <v>45841.57400462963</v>
      </c>
      <c r="C316" s="1" t="n">
        <v>45926</v>
      </c>
      <c r="D316" t="inlineStr">
        <is>
          <t>NORRBOTTENS LÄN</t>
        </is>
      </c>
      <c r="E316" t="inlineStr">
        <is>
          <t>JOKKMOKK</t>
        </is>
      </c>
      <c r="F316" t="inlineStr">
        <is>
          <t>SCA</t>
        </is>
      </c>
      <c r="G316" t="n">
        <v>11.4</v>
      </c>
      <c r="H316" t="n">
        <v>0</v>
      </c>
      <c r="I316" t="n">
        <v>0</v>
      </c>
      <c r="J316" t="n">
        <v>0</v>
      </c>
      <c r="K316" t="n">
        <v>0</v>
      </c>
      <c r="L316" t="n">
        <v>0</v>
      </c>
      <c r="M316" t="n">
        <v>0</v>
      </c>
      <c r="N316" t="n">
        <v>0</v>
      </c>
      <c r="O316" t="n">
        <v>0</v>
      </c>
      <c r="P316" t="n">
        <v>0</v>
      </c>
      <c r="Q316" t="n">
        <v>0</v>
      </c>
      <c r="R316" s="2" t="inlineStr"/>
    </row>
    <row r="317" ht="15" customHeight="1">
      <c r="A317" t="inlineStr">
        <is>
          <t>A 59849-2021</t>
        </is>
      </c>
      <c r="B317" s="1" t="n">
        <v>44493</v>
      </c>
      <c r="C317" s="1" t="n">
        <v>45926</v>
      </c>
      <c r="D317" t="inlineStr">
        <is>
          <t>NORRBOTTENS LÄN</t>
        </is>
      </c>
      <c r="E317" t="inlineStr">
        <is>
          <t>JOKKMOKK</t>
        </is>
      </c>
      <c r="F317" t="inlineStr">
        <is>
          <t>Övriga Aktiebolag</t>
        </is>
      </c>
      <c r="G317" t="n">
        <v>11.7</v>
      </c>
      <c r="H317" t="n">
        <v>0</v>
      </c>
      <c r="I317" t="n">
        <v>0</v>
      </c>
      <c r="J317" t="n">
        <v>0</v>
      </c>
      <c r="K317" t="n">
        <v>0</v>
      </c>
      <c r="L317" t="n">
        <v>0</v>
      </c>
      <c r="M317" t="n">
        <v>0</v>
      </c>
      <c r="N317" t="n">
        <v>0</v>
      </c>
      <c r="O317" t="n">
        <v>0</v>
      </c>
      <c r="P317" t="n">
        <v>0</v>
      </c>
      <c r="Q317" t="n">
        <v>0</v>
      </c>
      <c r="R317" s="2" t="inlineStr"/>
    </row>
    <row r="318" ht="15" customHeight="1">
      <c r="A318" t="inlineStr">
        <is>
          <t>A 33349-2025</t>
        </is>
      </c>
      <c r="B318" s="1" t="n">
        <v>45841.3704050926</v>
      </c>
      <c r="C318" s="1" t="n">
        <v>45926</v>
      </c>
      <c r="D318" t="inlineStr">
        <is>
          <t>NORRBOTTENS LÄN</t>
        </is>
      </c>
      <c r="E318" t="inlineStr">
        <is>
          <t>JOKKMOKK</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7273-2021</t>
        </is>
      </c>
      <c r="B319" s="1" t="n">
        <v>44238</v>
      </c>
      <c r="C319" s="1" t="n">
        <v>45926</v>
      </c>
      <c r="D319" t="inlineStr">
        <is>
          <t>NORRBOTTENS LÄN</t>
        </is>
      </c>
      <c r="E319" t="inlineStr">
        <is>
          <t>JOKKMOKK</t>
        </is>
      </c>
      <c r="F319" t="inlineStr">
        <is>
          <t>Övriga statliga verk och myndigheter</t>
        </is>
      </c>
      <c r="G319" t="n">
        <v>19.8</v>
      </c>
      <c r="H319" t="n">
        <v>0</v>
      </c>
      <c r="I319" t="n">
        <v>0</v>
      </c>
      <c r="J319" t="n">
        <v>0</v>
      </c>
      <c r="K319" t="n">
        <v>0</v>
      </c>
      <c r="L319" t="n">
        <v>0</v>
      </c>
      <c r="M319" t="n">
        <v>0</v>
      </c>
      <c r="N319" t="n">
        <v>0</v>
      </c>
      <c r="O319" t="n">
        <v>0</v>
      </c>
      <c r="P319" t="n">
        <v>0</v>
      </c>
      <c r="Q319" t="n">
        <v>0</v>
      </c>
      <c r="R319" s="2" t="inlineStr"/>
    </row>
    <row r="320" ht="15" customHeight="1">
      <c r="A320" t="inlineStr">
        <is>
          <t>A 36361-2024</t>
        </is>
      </c>
      <c r="B320" s="1" t="n">
        <v>45534.64626157407</v>
      </c>
      <c r="C320" s="1" t="n">
        <v>45926</v>
      </c>
      <c r="D320" t="inlineStr">
        <is>
          <t>NORRBOTTENS LÄN</t>
        </is>
      </c>
      <c r="E320" t="inlineStr">
        <is>
          <t>JOKKMOKK</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38579-2025</t>
        </is>
      </c>
      <c r="B321" s="1" t="n">
        <v>45884.46925925926</v>
      </c>
      <c r="C321" s="1" t="n">
        <v>45926</v>
      </c>
      <c r="D321" t="inlineStr">
        <is>
          <t>NORRBOTTENS LÄN</t>
        </is>
      </c>
      <c r="E321" t="inlineStr">
        <is>
          <t>JOKKMOKK</t>
        </is>
      </c>
      <c r="F321" t="inlineStr">
        <is>
          <t>SCA</t>
        </is>
      </c>
      <c r="G321" t="n">
        <v>2.6</v>
      </c>
      <c r="H321" t="n">
        <v>0</v>
      </c>
      <c r="I321" t="n">
        <v>0</v>
      </c>
      <c r="J321" t="n">
        <v>0</v>
      </c>
      <c r="K321" t="n">
        <v>0</v>
      </c>
      <c r="L321" t="n">
        <v>0</v>
      </c>
      <c r="M321" t="n">
        <v>0</v>
      </c>
      <c r="N321" t="n">
        <v>0</v>
      </c>
      <c r="O321" t="n">
        <v>0</v>
      </c>
      <c r="P321" t="n">
        <v>0</v>
      </c>
      <c r="Q321" t="n">
        <v>0</v>
      </c>
      <c r="R321" s="2" t="inlineStr"/>
    </row>
    <row r="322" ht="15" customHeight="1">
      <c r="A322" t="inlineStr">
        <is>
          <t>A 33740-2025</t>
        </is>
      </c>
      <c r="B322" s="1" t="n">
        <v>45842.34456018519</v>
      </c>
      <c r="C322" s="1" t="n">
        <v>45926</v>
      </c>
      <c r="D322" t="inlineStr">
        <is>
          <t>NORRBOTTENS LÄN</t>
        </is>
      </c>
      <c r="E322" t="inlineStr">
        <is>
          <t>JOKKMOKK</t>
        </is>
      </c>
      <c r="F322" t="inlineStr">
        <is>
          <t>SCA</t>
        </is>
      </c>
      <c r="G322" t="n">
        <v>23.3</v>
      </c>
      <c r="H322" t="n">
        <v>0</v>
      </c>
      <c r="I322" t="n">
        <v>0</v>
      </c>
      <c r="J322" t="n">
        <v>0</v>
      </c>
      <c r="K322" t="n">
        <v>0</v>
      </c>
      <c r="L322" t="n">
        <v>0</v>
      </c>
      <c r="M322" t="n">
        <v>0</v>
      </c>
      <c r="N322" t="n">
        <v>0</v>
      </c>
      <c r="O322" t="n">
        <v>0</v>
      </c>
      <c r="P322" t="n">
        <v>0</v>
      </c>
      <c r="Q322" t="n">
        <v>0</v>
      </c>
      <c r="R322" s="2" t="inlineStr"/>
    </row>
    <row r="323" ht="15" customHeight="1">
      <c r="A323" t="inlineStr">
        <is>
          <t>A 51269-2024</t>
        </is>
      </c>
      <c r="B323" s="1" t="n">
        <v>45603.71284722222</v>
      </c>
      <c r="C323" s="1" t="n">
        <v>45926</v>
      </c>
      <c r="D323" t="inlineStr">
        <is>
          <t>NORRBOTTENS LÄN</t>
        </is>
      </c>
      <c r="E323" t="inlineStr">
        <is>
          <t>JOKKMOKK</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34598-2024</t>
        </is>
      </c>
      <c r="B324" s="1" t="n">
        <v>45526.39714120371</v>
      </c>
      <c r="C324" s="1" t="n">
        <v>45926</v>
      </c>
      <c r="D324" t="inlineStr">
        <is>
          <t>NORRBOTTENS LÄN</t>
        </is>
      </c>
      <c r="E324" t="inlineStr">
        <is>
          <t>JOKKMOKK</t>
        </is>
      </c>
      <c r="G324" t="n">
        <v>2.5</v>
      </c>
      <c r="H324" t="n">
        <v>0</v>
      </c>
      <c r="I324" t="n">
        <v>0</v>
      </c>
      <c r="J324" t="n">
        <v>0</v>
      </c>
      <c r="K324" t="n">
        <v>0</v>
      </c>
      <c r="L324" t="n">
        <v>0</v>
      </c>
      <c r="M324" t="n">
        <v>0</v>
      </c>
      <c r="N324" t="n">
        <v>0</v>
      </c>
      <c r="O324" t="n">
        <v>0</v>
      </c>
      <c r="P324" t="n">
        <v>0</v>
      </c>
      <c r="Q324" t="n">
        <v>0</v>
      </c>
      <c r="R324" s="2" t="inlineStr"/>
    </row>
    <row r="325" ht="15" customHeight="1">
      <c r="A325" t="inlineStr">
        <is>
          <t>A 33741-2025</t>
        </is>
      </c>
      <c r="B325" s="1" t="n">
        <v>45842.3446875</v>
      </c>
      <c r="C325" s="1" t="n">
        <v>45926</v>
      </c>
      <c r="D325" t="inlineStr">
        <is>
          <t>NORRBOTTENS LÄN</t>
        </is>
      </c>
      <c r="E325" t="inlineStr">
        <is>
          <t>JOKKMOKK</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38595-2025</t>
        </is>
      </c>
      <c r="B326" s="1" t="n">
        <v>45884.49027777778</v>
      </c>
      <c r="C326" s="1" t="n">
        <v>45926</v>
      </c>
      <c r="D326" t="inlineStr">
        <is>
          <t>NORRBOTTENS LÄN</t>
        </is>
      </c>
      <c r="E326" t="inlineStr">
        <is>
          <t>JOKKMOKK</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30291-2023</t>
        </is>
      </c>
      <c r="B327" s="1" t="n">
        <v>45110.92523148148</v>
      </c>
      <c r="C327" s="1" t="n">
        <v>45926</v>
      </c>
      <c r="D327" t="inlineStr">
        <is>
          <t>NORRBOTTENS LÄN</t>
        </is>
      </c>
      <c r="E327" t="inlineStr">
        <is>
          <t>JOKKMOKK</t>
        </is>
      </c>
      <c r="G327" t="n">
        <v>1.6</v>
      </c>
      <c r="H327" t="n">
        <v>0</v>
      </c>
      <c r="I327" t="n">
        <v>0</v>
      </c>
      <c r="J327" t="n">
        <v>0</v>
      </c>
      <c r="K327" t="n">
        <v>0</v>
      </c>
      <c r="L327" t="n">
        <v>0</v>
      </c>
      <c r="M327" t="n">
        <v>0</v>
      </c>
      <c r="N327" t="n">
        <v>0</v>
      </c>
      <c r="O327" t="n">
        <v>0</v>
      </c>
      <c r="P327" t="n">
        <v>0</v>
      </c>
      <c r="Q327" t="n">
        <v>0</v>
      </c>
      <c r="R327" s="2" t="inlineStr"/>
    </row>
    <row r="328" ht="15" customHeight="1">
      <c r="A328" t="inlineStr">
        <is>
          <t>A 60142-2020</t>
        </is>
      </c>
      <c r="B328" s="1" t="n">
        <v>44151</v>
      </c>
      <c r="C328" s="1" t="n">
        <v>45926</v>
      </c>
      <c r="D328" t="inlineStr">
        <is>
          <t>NORRBOTTENS LÄN</t>
        </is>
      </c>
      <c r="E328" t="inlineStr">
        <is>
          <t>JOKKMOKK</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50258-2023</t>
        </is>
      </c>
      <c r="B329" s="1" t="n">
        <v>45216</v>
      </c>
      <c r="C329" s="1" t="n">
        <v>45926</v>
      </c>
      <c r="D329" t="inlineStr">
        <is>
          <t>NORRBOTTENS LÄN</t>
        </is>
      </c>
      <c r="E329" t="inlineStr">
        <is>
          <t>JOKKMOKK</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31902-2021</t>
        </is>
      </c>
      <c r="B330" s="1" t="n">
        <v>44370</v>
      </c>
      <c r="C330" s="1" t="n">
        <v>45926</v>
      </c>
      <c r="D330" t="inlineStr">
        <is>
          <t>NORRBOTTENS LÄN</t>
        </is>
      </c>
      <c r="E330" t="inlineStr">
        <is>
          <t>JOKKMOKK</t>
        </is>
      </c>
      <c r="G330" t="n">
        <v>20</v>
      </c>
      <c r="H330" t="n">
        <v>0</v>
      </c>
      <c r="I330" t="n">
        <v>0</v>
      </c>
      <c r="J330" t="n">
        <v>0</v>
      </c>
      <c r="K330" t="n">
        <v>0</v>
      </c>
      <c r="L330" t="n">
        <v>0</v>
      </c>
      <c r="M330" t="n">
        <v>0</v>
      </c>
      <c r="N330" t="n">
        <v>0</v>
      </c>
      <c r="O330" t="n">
        <v>0</v>
      </c>
      <c r="P330" t="n">
        <v>0</v>
      </c>
      <c r="Q330" t="n">
        <v>0</v>
      </c>
      <c r="R330" s="2" t="inlineStr"/>
    </row>
    <row r="331" ht="15" customHeight="1">
      <c r="A331" t="inlineStr">
        <is>
          <t>A 16847-2023</t>
        </is>
      </c>
      <c r="B331" s="1" t="n">
        <v>45028</v>
      </c>
      <c r="C331" s="1" t="n">
        <v>45926</v>
      </c>
      <c r="D331" t="inlineStr">
        <is>
          <t>NORRBOTTENS LÄN</t>
        </is>
      </c>
      <c r="E331" t="inlineStr">
        <is>
          <t>JOKKMOKK</t>
        </is>
      </c>
      <c r="G331" t="n">
        <v>7.3</v>
      </c>
      <c r="H331" t="n">
        <v>0</v>
      </c>
      <c r="I331" t="n">
        <v>0</v>
      </c>
      <c r="J331" t="n">
        <v>0</v>
      </c>
      <c r="K331" t="n">
        <v>0</v>
      </c>
      <c r="L331" t="n">
        <v>0</v>
      </c>
      <c r="M331" t="n">
        <v>0</v>
      </c>
      <c r="N331" t="n">
        <v>0</v>
      </c>
      <c r="O331" t="n">
        <v>0</v>
      </c>
      <c r="P331" t="n">
        <v>0</v>
      </c>
      <c r="Q331" t="n">
        <v>0</v>
      </c>
      <c r="R331" s="2" t="inlineStr"/>
    </row>
    <row r="332" ht="15" customHeight="1">
      <c r="A332" t="inlineStr">
        <is>
          <t>A 68636-2020</t>
        </is>
      </c>
      <c r="B332" s="1" t="n">
        <v>44186</v>
      </c>
      <c r="C332" s="1" t="n">
        <v>45926</v>
      </c>
      <c r="D332" t="inlineStr">
        <is>
          <t>NORRBOTTENS LÄN</t>
        </is>
      </c>
      <c r="E332" t="inlineStr">
        <is>
          <t>JOKKMOKK</t>
        </is>
      </c>
      <c r="F332" t="inlineStr">
        <is>
          <t>SCA</t>
        </is>
      </c>
      <c r="G332" t="n">
        <v>42.3</v>
      </c>
      <c r="H332" t="n">
        <v>0</v>
      </c>
      <c r="I332" t="n">
        <v>0</v>
      </c>
      <c r="J332" t="n">
        <v>0</v>
      </c>
      <c r="K332" t="n">
        <v>0</v>
      </c>
      <c r="L332" t="n">
        <v>0</v>
      </c>
      <c r="M332" t="n">
        <v>0</v>
      </c>
      <c r="N332" t="n">
        <v>0</v>
      </c>
      <c r="O332" t="n">
        <v>0</v>
      </c>
      <c r="P332" t="n">
        <v>0</v>
      </c>
      <c r="Q332" t="n">
        <v>0</v>
      </c>
      <c r="R332" s="2" t="inlineStr"/>
    </row>
    <row r="333" ht="15" customHeight="1">
      <c r="A333" t="inlineStr">
        <is>
          <t>A 39846-2025</t>
        </is>
      </c>
      <c r="B333" s="1" t="n">
        <v>45891.58376157407</v>
      </c>
      <c r="C333" s="1" t="n">
        <v>45926</v>
      </c>
      <c r="D333" t="inlineStr">
        <is>
          <t>NORRBOTTENS LÄN</t>
        </is>
      </c>
      <c r="E333" t="inlineStr">
        <is>
          <t>JOKKMOKK</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35040-2025</t>
        </is>
      </c>
      <c r="B334" s="1" t="n">
        <v>45852.34420138889</v>
      </c>
      <c r="C334" s="1" t="n">
        <v>45926</v>
      </c>
      <c r="D334" t="inlineStr">
        <is>
          <t>NORRBOTTENS LÄN</t>
        </is>
      </c>
      <c r="E334" t="inlineStr">
        <is>
          <t>JOKKMOKK</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40345-2024</t>
        </is>
      </c>
      <c r="B335" s="1" t="n">
        <v>45555.344375</v>
      </c>
      <c r="C335" s="1" t="n">
        <v>45926</v>
      </c>
      <c r="D335" t="inlineStr">
        <is>
          <t>NORRBOTTENS LÄN</t>
        </is>
      </c>
      <c r="E335" t="inlineStr">
        <is>
          <t>JOKKMOKK</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40808-2025</t>
        </is>
      </c>
      <c r="B336" s="1" t="n">
        <v>45897.46922453704</v>
      </c>
      <c r="C336" s="1" t="n">
        <v>45926</v>
      </c>
      <c r="D336" t="inlineStr">
        <is>
          <t>NORRBOTTENS LÄN</t>
        </is>
      </c>
      <c r="E336" t="inlineStr">
        <is>
          <t>JOKKMOKK</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40756-2025</t>
        </is>
      </c>
      <c r="B337" s="1" t="n">
        <v>45897.38686342593</v>
      </c>
      <c r="C337" s="1" t="n">
        <v>45926</v>
      </c>
      <c r="D337" t="inlineStr">
        <is>
          <t>NORRBOTTENS LÄN</t>
        </is>
      </c>
      <c r="E337" t="inlineStr">
        <is>
          <t>JOKKMOKK</t>
        </is>
      </c>
      <c r="G337" t="n">
        <v>24.7</v>
      </c>
      <c r="H337" t="n">
        <v>0</v>
      </c>
      <c r="I337" t="n">
        <v>0</v>
      </c>
      <c r="J337" t="n">
        <v>0</v>
      </c>
      <c r="K337" t="n">
        <v>0</v>
      </c>
      <c r="L337" t="n">
        <v>0</v>
      </c>
      <c r="M337" t="n">
        <v>0</v>
      </c>
      <c r="N337" t="n">
        <v>0</v>
      </c>
      <c r="O337" t="n">
        <v>0</v>
      </c>
      <c r="P337" t="n">
        <v>0</v>
      </c>
      <c r="Q337" t="n">
        <v>0</v>
      </c>
      <c r="R337" s="2" t="inlineStr"/>
    </row>
    <row r="338" ht="15" customHeight="1">
      <c r="A338" t="inlineStr">
        <is>
          <t>A 61762-2024</t>
        </is>
      </c>
      <c r="B338" s="1" t="n">
        <v>45649</v>
      </c>
      <c r="C338" s="1" t="n">
        <v>45926</v>
      </c>
      <c r="D338" t="inlineStr">
        <is>
          <t>NORRBOTTENS LÄN</t>
        </is>
      </c>
      <c r="E338" t="inlineStr">
        <is>
          <t>JOKKMOKK</t>
        </is>
      </c>
      <c r="F338" t="inlineStr">
        <is>
          <t>Övriga statliga verk och myndigheter</t>
        </is>
      </c>
      <c r="G338" t="n">
        <v>15.4</v>
      </c>
      <c r="H338" t="n">
        <v>0</v>
      </c>
      <c r="I338" t="n">
        <v>0</v>
      </c>
      <c r="J338" t="n">
        <v>0</v>
      </c>
      <c r="K338" t="n">
        <v>0</v>
      </c>
      <c r="L338" t="n">
        <v>0</v>
      </c>
      <c r="M338" t="n">
        <v>0</v>
      </c>
      <c r="N338" t="n">
        <v>0</v>
      </c>
      <c r="O338" t="n">
        <v>0</v>
      </c>
      <c r="P338" t="n">
        <v>0</v>
      </c>
      <c r="Q338" t="n">
        <v>0</v>
      </c>
      <c r="R338" s="2" t="inlineStr"/>
    </row>
    <row r="339" ht="15" customHeight="1">
      <c r="A339" t="inlineStr">
        <is>
          <t>A 34062-2021</t>
        </is>
      </c>
      <c r="B339" s="1" t="n">
        <v>44378</v>
      </c>
      <c r="C339" s="1" t="n">
        <v>45926</v>
      </c>
      <c r="D339" t="inlineStr">
        <is>
          <t>NORRBOTTENS LÄN</t>
        </is>
      </c>
      <c r="E339" t="inlineStr">
        <is>
          <t>JOKKMOKK</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44646-2021</t>
        </is>
      </c>
      <c r="B340" s="1" t="n">
        <v>44437</v>
      </c>
      <c r="C340" s="1" t="n">
        <v>45926</v>
      </c>
      <c r="D340" t="inlineStr">
        <is>
          <t>NORRBOTTENS LÄN</t>
        </is>
      </c>
      <c r="E340" t="inlineStr">
        <is>
          <t>JOKKMOKK</t>
        </is>
      </c>
      <c r="G340" t="n">
        <v>10</v>
      </c>
      <c r="H340" t="n">
        <v>0</v>
      </c>
      <c r="I340" t="n">
        <v>0</v>
      </c>
      <c r="J340" t="n">
        <v>0</v>
      </c>
      <c r="K340" t="n">
        <v>0</v>
      </c>
      <c r="L340" t="n">
        <v>0</v>
      </c>
      <c r="M340" t="n">
        <v>0</v>
      </c>
      <c r="N340" t="n">
        <v>0</v>
      </c>
      <c r="O340" t="n">
        <v>0</v>
      </c>
      <c r="P340" t="n">
        <v>0</v>
      </c>
      <c r="Q340" t="n">
        <v>0</v>
      </c>
      <c r="R340" s="2" t="inlineStr"/>
    </row>
    <row r="341" ht="15" customHeight="1">
      <c r="A341" t="inlineStr">
        <is>
          <t>A 9878-2023</t>
        </is>
      </c>
      <c r="B341" s="1" t="n">
        <v>44984</v>
      </c>
      <c r="C341" s="1" t="n">
        <v>45926</v>
      </c>
      <c r="D341" t="inlineStr">
        <is>
          <t>NORRBOTTENS LÄN</t>
        </is>
      </c>
      <c r="E341" t="inlineStr">
        <is>
          <t>JOKKMOKK</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35511-2025</t>
        </is>
      </c>
      <c r="B342" s="1" t="n">
        <v>45856.36497685185</v>
      </c>
      <c r="C342" s="1" t="n">
        <v>45926</v>
      </c>
      <c r="D342" t="inlineStr">
        <is>
          <t>NORRBOTTENS LÄN</t>
        </is>
      </c>
      <c r="E342" t="inlineStr">
        <is>
          <t>JOKKMOKK</t>
        </is>
      </c>
      <c r="F342" t="inlineStr">
        <is>
          <t>SCA</t>
        </is>
      </c>
      <c r="G342" t="n">
        <v>7</v>
      </c>
      <c r="H342" t="n">
        <v>0</v>
      </c>
      <c r="I342" t="n">
        <v>0</v>
      </c>
      <c r="J342" t="n">
        <v>0</v>
      </c>
      <c r="K342" t="n">
        <v>0</v>
      </c>
      <c r="L342" t="n">
        <v>0</v>
      </c>
      <c r="M342" t="n">
        <v>0</v>
      </c>
      <c r="N342" t="n">
        <v>0</v>
      </c>
      <c r="O342" t="n">
        <v>0</v>
      </c>
      <c r="P342" t="n">
        <v>0</v>
      </c>
      <c r="Q342" t="n">
        <v>0</v>
      </c>
      <c r="R342" s="2" t="inlineStr"/>
    </row>
    <row r="343" ht="15" customHeight="1">
      <c r="A343" t="inlineStr">
        <is>
          <t>A 60215-2023</t>
        </is>
      </c>
      <c r="B343" s="1" t="n">
        <v>45258.60766203704</v>
      </c>
      <c r="C343" s="1" t="n">
        <v>45926</v>
      </c>
      <c r="D343" t="inlineStr">
        <is>
          <t>NORRBOTTENS LÄN</t>
        </is>
      </c>
      <c r="E343" t="inlineStr">
        <is>
          <t>JOKKMOKK</t>
        </is>
      </c>
      <c r="F343" t="inlineStr">
        <is>
          <t>Allmännings- och besparingsskogar</t>
        </is>
      </c>
      <c r="G343" t="n">
        <v>7.8</v>
      </c>
      <c r="H343" t="n">
        <v>0</v>
      </c>
      <c r="I343" t="n">
        <v>0</v>
      </c>
      <c r="J343" t="n">
        <v>0</v>
      </c>
      <c r="K343" t="n">
        <v>0</v>
      </c>
      <c r="L343" t="n">
        <v>0</v>
      </c>
      <c r="M343" t="n">
        <v>0</v>
      </c>
      <c r="N343" t="n">
        <v>0</v>
      </c>
      <c r="O343" t="n">
        <v>0</v>
      </c>
      <c r="P343" t="n">
        <v>0</v>
      </c>
      <c r="Q343" t="n">
        <v>0</v>
      </c>
      <c r="R343" s="2" t="inlineStr"/>
    </row>
    <row r="344" ht="15" customHeight="1">
      <c r="A344" t="inlineStr">
        <is>
          <t>A 17784-2025</t>
        </is>
      </c>
      <c r="B344" s="1" t="n">
        <v>45758</v>
      </c>
      <c r="C344" s="1" t="n">
        <v>45926</v>
      </c>
      <c r="D344" t="inlineStr">
        <is>
          <t>NORRBOTTENS LÄN</t>
        </is>
      </c>
      <c r="E344" t="inlineStr">
        <is>
          <t>JOKKMOKK</t>
        </is>
      </c>
      <c r="F344" t="inlineStr">
        <is>
          <t>SCA</t>
        </is>
      </c>
      <c r="G344" t="n">
        <v>11.2</v>
      </c>
      <c r="H344" t="n">
        <v>0</v>
      </c>
      <c r="I344" t="n">
        <v>0</v>
      </c>
      <c r="J344" t="n">
        <v>0</v>
      </c>
      <c r="K344" t="n">
        <v>0</v>
      </c>
      <c r="L344" t="n">
        <v>0</v>
      </c>
      <c r="M344" t="n">
        <v>0</v>
      </c>
      <c r="N344" t="n">
        <v>0</v>
      </c>
      <c r="O344" t="n">
        <v>0</v>
      </c>
      <c r="P344" t="n">
        <v>0</v>
      </c>
      <c r="Q344" t="n">
        <v>0</v>
      </c>
      <c r="R344" s="2" t="inlineStr"/>
    </row>
    <row r="345" ht="15" customHeight="1">
      <c r="A345" t="inlineStr">
        <is>
          <t>A 35805-2025</t>
        </is>
      </c>
      <c r="B345" s="1" t="n">
        <v>45861.4019212963</v>
      </c>
      <c r="C345" s="1" t="n">
        <v>45926</v>
      </c>
      <c r="D345" t="inlineStr">
        <is>
          <t>NORRBOTTENS LÄN</t>
        </is>
      </c>
      <c r="E345" t="inlineStr">
        <is>
          <t>JOKKMOKK</t>
        </is>
      </c>
      <c r="G345" t="n">
        <v>7</v>
      </c>
      <c r="H345" t="n">
        <v>0</v>
      </c>
      <c r="I345" t="n">
        <v>0</v>
      </c>
      <c r="J345" t="n">
        <v>0</v>
      </c>
      <c r="K345" t="n">
        <v>0</v>
      </c>
      <c r="L345" t="n">
        <v>0</v>
      </c>
      <c r="M345" t="n">
        <v>0</v>
      </c>
      <c r="N345" t="n">
        <v>0</v>
      </c>
      <c r="O345" t="n">
        <v>0</v>
      </c>
      <c r="P345" t="n">
        <v>0</v>
      </c>
      <c r="Q345" t="n">
        <v>0</v>
      </c>
      <c r="R345" s="2" t="inlineStr"/>
    </row>
    <row r="346" ht="15" customHeight="1">
      <c r="A346" t="inlineStr">
        <is>
          <t>A 4661-2022</t>
        </is>
      </c>
      <c r="B346" s="1" t="n">
        <v>44589</v>
      </c>
      <c r="C346" s="1" t="n">
        <v>45926</v>
      </c>
      <c r="D346" t="inlineStr">
        <is>
          <t>NORRBOTTENS LÄN</t>
        </is>
      </c>
      <c r="E346" t="inlineStr">
        <is>
          <t>JOKKMOKK</t>
        </is>
      </c>
      <c r="G346" t="n">
        <v>39.5</v>
      </c>
      <c r="H346" t="n">
        <v>0</v>
      </c>
      <c r="I346" t="n">
        <v>0</v>
      </c>
      <c r="J346" t="n">
        <v>0</v>
      </c>
      <c r="K346" t="n">
        <v>0</v>
      </c>
      <c r="L346" t="n">
        <v>0</v>
      </c>
      <c r="M346" t="n">
        <v>0</v>
      </c>
      <c r="N346" t="n">
        <v>0</v>
      </c>
      <c r="O346" t="n">
        <v>0</v>
      </c>
      <c r="P346" t="n">
        <v>0</v>
      </c>
      <c r="Q346" t="n">
        <v>0</v>
      </c>
      <c r="R346" s="2" t="inlineStr"/>
    </row>
    <row r="347" ht="15" customHeight="1">
      <c r="A347" t="inlineStr">
        <is>
          <t>A 35749-2025</t>
        </is>
      </c>
      <c r="B347" s="1" t="n">
        <v>45860</v>
      </c>
      <c r="C347" s="1" t="n">
        <v>45926</v>
      </c>
      <c r="D347" t="inlineStr">
        <is>
          <t>NORRBOTTENS LÄN</t>
        </is>
      </c>
      <c r="E347" t="inlineStr">
        <is>
          <t>JOKKMOKK</t>
        </is>
      </c>
      <c r="G347" t="n">
        <v>4.2</v>
      </c>
      <c r="H347" t="n">
        <v>0</v>
      </c>
      <c r="I347" t="n">
        <v>0</v>
      </c>
      <c r="J347" t="n">
        <v>0</v>
      </c>
      <c r="K347" t="n">
        <v>0</v>
      </c>
      <c r="L347" t="n">
        <v>0</v>
      </c>
      <c r="M347" t="n">
        <v>0</v>
      </c>
      <c r="N347" t="n">
        <v>0</v>
      </c>
      <c r="O347" t="n">
        <v>0</v>
      </c>
      <c r="P347" t="n">
        <v>0</v>
      </c>
      <c r="Q347" t="n">
        <v>0</v>
      </c>
      <c r="R347" s="2" t="inlineStr"/>
    </row>
    <row r="348" ht="15" customHeight="1">
      <c r="A348" t="inlineStr">
        <is>
          <t>A 42095-2025</t>
        </is>
      </c>
      <c r="B348" s="1" t="n">
        <v>45903.71916666667</v>
      </c>
      <c r="C348" s="1" t="n">
        <v>45926</v>
      </c>
      <c r="D348" t="inlineStr">
        <is>
          <t>NORRBOTTENS LÄN</t>
        </is>
      </c>
      <c r="E348" t="inlineStr">
        <is>
          <t>JOKKMOKK</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40106-2023</t>
        </is>
      </c>
      <c r="B349" s="1" t="n">
        <v>45168.93785879629</v>
      </c>
      <c r="C349" s="1" t="n">
        <v>45926</v>
      </c>
      <c r="D349" t="inlineStr">
        <is>
          <t>NORRBOTTENS LÄN</t>
        </is>
      </c>
      <c r="E349" t="inlineStr">
        <is>
          <t>JOKKMOKK</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42126-2025</t>
        </is>
      </c>
      <c r="B350" s="1" t="n">
        <v>45904.34486111111</v>
      </c>
      <c r="C350" s="1" t="n">
        <v>45926</v>
      </c>
      <c r="D350" t="inlineStr">
        <is>
          <t>NORRBOTTENS LÄN</t>
        </is>
      </c>
      <c r="E350" t="inlineStr">
        <is>
          <t>JOKKMOKK</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42575-2025</t>
        </is>
      </c>
      <c r="B351" s="1" t="n">
        <v>45905.61263888889</v>
      </c>
      <c r="C351" s="1" t="n">
        <v>45926</v>
      </c>
      <c r="D351" t="inlineStr">
        <is>
          <t>NORRBOTTENS LÄN</t>
        </is>
      </c>
      <c r="E351" t="inlineStr">
        <is>
          <t>JOKKMOKK</t>
        </is>
      </c>
      <c r="F351" t="inlineStr">
        <is>
          <t>Sveaskog</t>
        </is>
      </c>
      <c r="G351" t="n">
        <v>17.4</v>
      </c>
      <c r="H351" t="n">
        <v>0</v>
      </c>
      <c r="I351" t="n">
        <v>0</v>
      </c>
      <c r="J351" t="n">
        <v>0</v>
      </c>
      <c r="K351" t="n">
        <v>0</v>
      </c>
      <c r="L351" t="n">
        <v>0</v>
      </c>
      <c r="M351" t="n">
        <v>0</v>
      </c>
      <c r="N351" t="n">
        <v>0</v>
      </c>
      <c r="O351" t="n">
        <v>0</v>
      </c>
      <c r="P351" t="n">
        <v>0</v>
      </c>
      <c r="Q351" t="n">
        <v>0</v>
      </c>
      <c r="R351" s="2" t="inlineStr"/>
    </row>
    <row r="352" ht="15" customHeight="1">
      <c r="A352" t="inlineStr">
        <is>
          <t>A 12664-2025</t>
        </is>
      </c>
      <c r="B352" s="1" t="n">
        <v>45733</v>
      </c>
      <c r="C352" s="1" t="n">
        <v>45926</v>
      </c>
      <c r="D352" t="inlineStr">
        <is>
          <t>NORRBOTTENS LÄN</t>
        </is>
      </c>
      <c r="E352" t="inlineStr">
        <is>
          <t>JOKKMOKK</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30305-2024</t>
        </is>
      </c>
      <c r="B353" s="1" t="n">
        <v>45490</v>
      </c>
      <c r="C353" s="1" t="n">
        <v>45926</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30308-2024</t>
        </is>
      </c>
      <c r="B354" s="1" t="n">
        <v>45490</v>
      </c>
      <c r="C354" s="1" t="n">
        <v>45926</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30310-2024</t>
        </is>
      </c>
      <c r="B355" s="1" t="n">
        <v>45490</v>
      </c>
      <c r="C355" s="1" t="n">
        <v>45926</v>
      </c>
      <c r="D355" t="inlineStr">
        <is>
          <t>NORRBOTTENS LÄN</t>
        </is>
      </c>
      <c r="E355" t="inlineStr">
        <is>
          <t>JOKKMOKK</t>
        </is>
      </c>
      <c r="G355" t="n">
        <v>2.3</v>
      </c>
      <c r="H355" t="n">
        <v>0</v>
      </c>
      <c r="I355" t="n">
        <v>0</v>
      </c>
      <c r="J355" t="n">
        <v>0</v>
      </c>
      <c r="K355" t="n">
        <v>0</v>
      </c>
      <c r="L355" t="n">
        <v>0</v>
      </c>
      <c r="M355" t="n">
        <v>0</v>
      </c>
      <c r="N355" t="n">
        <v>0</v>
      </c>
      <c r="O355" t="n">
        <v>0</v>
      </c>
      <c r="P355" t="n">
        <v>0</v>
      </c>
      <c r="Q355" t="n">
        <v>0</v>
      </c>
      <c r="R355" s="2" t="inlineStr"/>
    </row>
    <row r="356" ht="15" customHeight="1">
      <c r="A356" t="inlineStr">
        <is>
          <t>A 30312-2024</t>
        </is>
      </c>
      <c r="B356" s="1" t="n">
        <v>45490</v>
      </c>
      <c r="C356" s="1" t="n">
        <v>45926</v>
      </c>
      <c r="D356" t="inlineStr">
        <is>
          <t>NORRBOTTENS LÄN</t>
        </is>
      </c>
      <c r="E356" t="inlineStr">
        <is>
          <t>JOKKMOKK</t>
        </is>
      </c>
      <c r="G356" t="n">
        <v>1.6</v>
      </c>
      <c r="H356" t="n">
        <v>0</v>
      </c>
      <c r="I356" t="n">
        <v>0</v>
      </c>
      <c r="J356" t="n">
        <v>0</v>
      </c>
      <c r="K356" t="n">
        <v>0</v>
      </c>
      <c r="L356" t="n">
        <v>0</v>
      </c>
      <c r="M356" t="n">
        <v>0</v>
      </c>
      <c r="N356" t="n">
        <v>0</v>
      </c>
      <c r="O356" t="n">
        <v>0</v>
      </c>
      <c r="P356" t="n">
        <v>0</v>
      </c>
      <c r="Q356" t="n">
        <v>0</v>
      </c>
      <c r="R356" s="2" t="inlineStr"/>
    </row>
    <row r="357" ht="15" customHeight="1">
      <c r="A357" t="inlineStr">
        <is>
          <t>A 42322-2025</t>
        </is>
      </c>
      <c r="B357" s="1" t="n">
        <v>45904.67839120371</v>
      </c>
      <c r="C357" s="1" t="n">
        <v>45926</v>
      </c>
      <c r="D357" t="inlineStr">
        <is>
          <t>NORRBOTTENS LÄN</t>
        </is>
      </c>
      <c r="E357" t="inlineStr">
        <is>
          <t>JOKKMOKK</t>
        </is>
      </c>
      <c r="G357" t="n">
        <v>3.8</v>
      </c>
      <c r="H357" t="n">
        <v>0</v>
      </c>
      <c r="I357" t="n">
        <v>0</v>
      </c>
      <c r="J357" t="n">
        <v>0</v>
      </c>
      <c r="K357" t="n">
        <v>0</v>
      </c>
      <c r="L357" t="n">
        <v>0</v>
      </c>
      <c r="M357" t="n">
        <v>0</v>
      </c>
      <c r="N357" t="n">
        <v>0</v>
      </c>
      <c r="O357" t="n">
        <v>0</v>
      </c>
      <c r="P357" t="n">
        <v>0</v>
      </c>
      <c r="Q357" t="n">
        <v>0</v>
      </c>
      <c r="R357" s="2" t="inlineStr"/>
    </row>
    <row r="358" ht="15" customHeight="1">
      <c r="A358" t="inlineStr">
        <is>
          <t>A 42664-2025</t>
        </is>
      </c>
      <c r="B358" s="1" t="n">
        <v>45907.85482638889</v>
      </c>
      <c r="C358" s="1" t="n">
        <v>45926</v>
      </c>
      <c r="D358" t="inlineStr">
        <is>
          <t>NORRBOTTENS LÄN</t>
        </is>
      </c>
      <c r="E358" t="inlineStr">
        <is>
          <t>JOKKMOKK</t>
        </is>
      </c>
      <c r="G358" t="n">
        <v>1.9</v>
      </c>
      <c r="H358" t="n">
        <v>0</v>
      </c>
      <c r="I358" t="n">
        <v>0</v>
      </c>
      <c r="J358" t="n">
        <v>0</v>
      </c>
      <c r="K358" t="n">
        <v>0</v>
      </c>
      <c r="L358" t="n">
        <v>0</v>
      </c>
      <c r="M358" t="n">
        <v>0</v>
      </c>
      <c r="N358" t="n">
        <v>0</v>
      </c>
      <c r="O358" t="n">
        <v>0</v>
      </c>
      <c r="P358" t="n">
        <v>0</v>
      </c>
      <c r="Q358" t="n">
        <v>0</v>
      </c>
      <c r="R358" s="2" t="inlineStr"/>
    </row>
    <row r="359" ht="15" customHeight="1">
      <c r="A359" t="inlineStr">
        <is>
          <t>A 36168-2025</t>
        </is>
      </c>
      <c r="B359" s="1" t="n">
        <v>45867.38582175926</v>
      </c>
      <c r="C359" s="1" t="n">
        <v>45926</v>
      </c>
      <c r="D359" t="inlineStr">
        <is>
          <t>NORRBOTTENS LÄN</t>
        </is>
      </c>
      <c r="E359" t="inlineStr">
        <is>
          <t>JOKKMOKK</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11657-2024</t>
        </is>
      </c>
      <c r="B360" s="1" t="n">
        <v>45373</v>
      </c>
      <c r="C360" s="1" t="n">
        <v>45926</v>
      </c>
      <c r="D360" t="inlineStr">
        <is>
          <t>NORRBOTTENS LÄN</t>
        </is>
      </c>
      <c r="E360" t="inlineStr">
        <is>
          <t>JOKKMOKK</t>
        </is>
      </c>
      <c r="G360" t="n">
        <v>14.3</v>
      </c>
      <c r="H360" t="n">
        <v>0</v>
      </c>
      <c r="I360" t="n">
        <v>0</v>
      </c>
      <c r="J360" t="n">
        <v>0</v>
      </c>
      <c r="K360" t="n">
        <v>0</v>
      </c>
      <c r="L360" t="n">
        <v>0</v>
      </c>
      <c r="M360" t="n">
        <v>0</v>
      </c>
      <c r="N360" t="n">
        <v>0</v>
      </c>
      <c r="O360" t="n">
        <v>0</v>
      </c>
      <c r="P360" t="n">
        <v>0</v>
      </c>
      <c r="Q360" t="n">
        <v>0</v>
      </c>
      <c r="R360" s="2" t="inlineStr"/>
    </row>
    <row r="361" ht="15" customHeight="1">
      <c r="A361" t="inlineStr">
        <is>
          <t>A 42944-2025</t>
        </is>
      </c>
      <c r="B361" s="1" t="n">
        <v>45909.34434027778</v>
      </c>
      <c r="C361" s="1" t="n">
        <v>45926</v>
      </c>
      <c r="D361" t="inlineStr">
        <is>
          <t>NORRBOTTENS LÄN</t>
        </is>
      </c>
      <c r="E361" t="inlineStr">
        <is>
          <t>JOKKMOKK</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30511-2023</t>
        </is>
      </c>
      <c r="B362" s="1" t="n">
        <v>45111</v>
      </c>
      <c r="C362" s="1" t="n">
        <v>45926</v>
      </c>
      <c r="D362" t="inlineStr">
        <is>
          <t>NORRBOTTENS LÄN</t>
        </is>
      </c>
      <c r="E362" t="inlineStr">
        <is>
          <t>JOKKMOKK</t>
        </is>
      </c>
      <c r="G362" t="n">
        <v>0.9</v>
      </c>
      <c r="H362" t="n">
        <v>0</v>
      </c>
      <c r="I362" t="n">
        <v>0</v>
      </c>
      <c r="J362" t="n">
        <v>0</v>
      </c>
      <c r="K362" t="n">
        <v>0</v>
      </c>
      <c r="L362" t="n">
        <v>0</v>
      </c>
      <c r="M362" t="n">
        <v>0</v>
      </c>
      <c r="N362" t="n">
        <v>0</v>
      </c>
      <c r="O362" t="n">
        <v>0</v>
      </c>
      <c r="P362" t="n">
        <v>0</v>
      </c>
      <c r="Q362" t="n">
        <v>0</v>
      </c>
      <c r="R362" s="2" t="inlineStr"/>
    </row>
    <row r="363" ht="15" customHeight="1">
      <c r="A363" t="inlineStr">
        <is>
          <t>A 32853-2024</t>
        </is>
      </c>
      <c r="B363" s="1" t="n">
        <v>45516.63964120371</v>
      </c>
      <c r="C363" s="1" t="n">
        <v>45926</v>
      </c>
      <c r="D363" t="inlineStr">
        <is>
          <t>NORRBOTTENS LÄN</t>
        </is>
      </c>
      <c r="E363" t="inlineStr">
        <is>
          <t>JOKKMOKK</t>
        </is>
      </c>
      <c r="F363" t="inlineStr">
        <is>
          <t>Sveaskog</t>
        </is>
      </c>
      <c r="G363" t="n">
        <v>40.4</v>
      </c>
      <c r="H363" t="n">
        <v>0</v>
      </c>
      <c r="I363" t="n">
        <v>0</v>
      </c>
      <c r="J363" t="n">
        <v>0</v>
      </c>
      <c r="K363" t="n">
        <v>0</v>
      </c>
      <c r="L363" t="n">
        <v>0</v>
      </c>
      <c r="M363" t="n">
        <v>0</v>
      </c>
      <c r="N363" t="n">
        <v>0</v>
      </c>
      <c r="O363" t="n">
        <v>0</v>
      </c>
      <c r="P363" t="n">
        <v>0</v>
      </c>
      <c r="Q363" t="n">
        <v>0</v>
      </c>
      <c r="R363" s="2" t="inlineStr"/>
    </row>
    <row r="364" ht="15" customHeight="1">
      <c r="A364" t="inlineStr">
        <is>
          <t>A 39684-2023</t>
        </is>
      </c>
      <c r="B364" s="1" t="n">
        <v>45166</v>
      </c>
      <c r="C364" s="1" t="n">
        <v>45926</v>
      </c>
      <c r="D364" t="inlineStr">
        <is>
          <t>NORRBOTTENS LÄN</t>
        </is>
      </c>
      <c r="E364" t="inlineStr">
        <is>
          <t>JOKKMOKK</t>
        </is>
      </c>
      <c r="G364" t="n">
        <v>6.8</v>
      </c>
      <c r="H364" t="n">
        <v>0</v>
      </c>
      <c r="I364" t="n">
        <v>0</v>
      </c>
      <c r="J364" t="n">
        <v>0</v>
      </c>
      <c r="K364" t="n">
        <v>0</v>
      </c>
      <c r="L364" t="n">
        <v>0</v>
      </c>
      <c r="M364" t="n">
        <v>0</v>
      </c>
      <c r="N364" t="n">
        <v>0</v>
      </c>
      <c r="O364" t="n">
        <v>0</v>
      </c>
      <c r="P364" t="n">
        <v>0</v>
      </c>
      <c r="Q364" t="n">
        <v>0</v>
      </c>
      <c r="R364" s="2" t="inlineStr"/>
    </row>
    <row r="365" ht="15" customHeight="1">
      <c r="A365" t="inlineStr">
        <is>
          <t>A 36357-2025</t>
        </is>
      </c>
      <c r="B365" s="1" t="n">
        <v>45868.5107175926</v>
      </c>
      <c r="C365" s="1" t="n">
        <v>45926</v>
      </c>
      <c r="D365" t="inlineStr">
        <is>
          <t>NORRBOTTENS LÄN</t>
        </is>
      </c>
      <c r="E365" t="inlineStr">
        <is>
          <t>JOKKMOKK</t>
        </is>
      </c>
      <c r="G365" t="n">
        <v>0.5</v>
      </c>
      <c r="H365" t="n">
        <v>0</v>
      </c>
      <c r="I365" t="n">
        <v>0</v>
      </c>
      <c r="J365" t="n">
        <v>0</v>
      </c>
      <c r="K365" t="n">
        <v>0</v>
      </c>
      <c r="L365" t="n">
        <v>0</v>
      </c>
      <c r="M365" t="n">
        <v>0</v>
      </c>
      <c r="N365" t="n">
        <v>0</v>
      </c>
      <c r="O365" t="n">
        <v>0</v>
      </c>
      <c r="P365" t="n">
        <v>0</v>
      </c>
      <c r="Q365" t="n">
        <v>0</v>
      </c>
      <c r="R365" s="2" t="inlineStr"/>
    </row>
    <row r="366" ht="15" customHeight="1">
      <c r="A366" t="inlineStr">
        <is>
          <t>A 26552-2025</t>
        </is>
      </c>
      <c r="B366" s="1" t="n">
        <v>45807</v>
      </c>
      <c r="C366" s="1" t="n">
        <v>45926</v>
      </c>
      <c r="D366" t="inlineStr">
        <is>
          <t>NORRBOTTENS LÄN</t>
        </is>
      </c>
      <c r="E366" t="inlineStr">
        <is>
          <t>JOKKMOKK</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37827-2024</t>
        </is>
      </c>
      <c r="B367" s="1" t="n">
        <v>45544</v>
      </c>
      <c r="C367" s="1" t="n">
        <v>45926</v>
      </c>
      <c r="D367" t="inlineStr">
        <is>
          <t>NORRBOTTENS LÄN</t>
        </is>
      </c>
      <c r="E367" t="inlineStr">
        <is>
          <t>JOKKMOKK</t>
        </is>
      </c>
      <c r="F367" t="inlineStr">
        <is>
          <t>SCA</t>
        </is>
      </c>
      <c r="G367" t="n">
        <v>5</v>
      </c>
      <c r="H367" t="n">
        <v>0</v>
      </c>
      <c r="I367" t="n">
        <v>0</v>
      </c>
      <c r="J367" t="n">
        <v>0</v>
      </c>
      <c r="K367" t="n">
        <v>0</v>
      </c>
      <c r="L367" t="n">
        <v>0</v>
      </c>
      <c r="M367" t="n">
        <v>0</v>
      </c>
      <c r="N367" t="n">
        <v>0</v>
      </c>
      <c r="O367" t="n">
        <v>0</v>
      </c>
      <c r="P367" t="n">
        <v>0</v>
      </c>
      <c r="Q367" t="n">
        <v>0</v>
      </c>
      <c r="R367" s="2" t="inlineStr"/>
    </row>
    <row r="368" ht="15" customHeight="1">
      <c r="A368" t="inlineStr">
        <is>
          <t>A 2031-2025</t>
        </is>
      </c>
      <c r="B368" s="1" t="n">
        <v>45672</v>
      </c>
      <c r="C368" s="1" t="n">
        <v>45926</v>
      </c>
      <c r="D368" t="inlineStr">
        <is>
          <t>NORRBOTTENS LÄN</t>
        </is>
      </c>
      <c r="E368" t="inlineStr">
        <is>
          <t>JOKKMOKK</t>
        </is>
      </c>
      <c r="F368" t="inlineStr">
        <is>
          <t>Övriga statliga verk och myndigheter</t>
        </is>
      </c>
      <c r="G368" t="n">
        <v>7.5</v>
      </c>
      <c r="H368" t="n">
        <v>0</v>
      </c>
      <c r="I368" t="n">
        <v>0</v>
      </c>
      <c r="J368" t="n">
        <v>0</v>
      </c>
      <c r="K368" t="n">
        <v>0</v>
      </c>
      <c r="L368" t="n">
        <v>0</v>
      </c>
      <c r="M368" t="n">
        <v>0</v>
      </c>
      <c r="N368" t="n">
        <v>0</v>
      </c>
      <c r="O368" t="n">
        <v>0</v>
      </c>
      <c r="P368" t="n">
        <v>0</v>
      </c>
      <c r="Q368" t="n">
        <v>0</v>
      </c>
      <c r="R368" s="2" t="inlineStr"/>
    </row>
    <row r="369" ht="15" customHeight="1">
      <c r="A369" t="inlineStr">
        <is>
          <t>A 36325-2025</t>
        </is>
      </c>
      <c r="B369" s="1" t="n">
        <v>45868.40723379629</v>
      </c>
      <c r="C369" s="1" t="n">
        <v>45926</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30292-2023</t>
        </is>
      </c>
      <c r="B370" s="1" t="n">
        <v>45110</v>
      </c>
      <c r="C370" s="1" t="n">
        <v>45926</v>
      </c>
      <c r="D370" t="inlineStr">
        <is>
          <t>NORRBOTTENS LÄN</t>
        </is>
      </c>
      <c r="E370" t="inlineStr">
        <is>
          <t>JOKKMOKK</t>
        </is>
      </c>
      <c r="G370" t="n">
        <v>1.4</v>
      </c>
      <c r="H370" t="n">
        <v>0</v>
      </c>
      <c r="I370" t="n">
        <v>0</v>
      </c>
      <c r="J370" t="n">
        <v>0</v>
      </c>
      <c r="K370" t="n">
        <v>0</v>
      </c>
      <c r="L370" t="n">
        <v>0</v>
      </c>
      <c r="M370" t="n">
        <v>0</v>
      </c>
      <c r="N370" t="n">
        <v>0</v>
      </c>
      <c r="O370" t="n">
        <v>0</v>
      </c>
      <c r="P370" t="n">
        <v>0</v>
      </c>
      <c r="Q370" t="n">
        <v>0</v>
      </c>
      <c r="R370" s="2" t="inlineStr"/>
    </row>
    <row r="371" ht="15" customHeight="1">
      <c r="A371" t="inlineStr">
        <is>
          <t>A 20593-2023</t>
        </is>
      </c>
      <c r="B371" s="1" t="n">
        <v>45057</v>
      </c>
      <c r="C371" s="1" t="n">
        <v>45926</v>
      </c>
      <c r="D371" t="inlineStr">
        <is>
          <t>NORRBOTTENS LÄN</t>
        </is>
      </c>
      <c r="E371" t="inlineStr">
        <is>
          <t>JOKKMOKK</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23023-2023</t>
        </is>
      </c>
      <c r="B372" s="1" t="n">
        <v>45073</v>
      </c>
      <c r="C372" s="1" t="n">
        <v>45926</v>
      </c>
      <c r="D372" t="inlineStr">
        <is>
          <t>NORRBOTTENS LÄN</t>
        </is>
      </c>
      <c r="E372" t="inlineStr">
        <is>
          <t>JOKKMOKK</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55491-2024</t>
        </is>
      </c>
      <c r="B373" s="1" t="n">
        <v>45622</v>
      </c>
      <c r="C373" s="1" t="n">
        <v>45926</v>
      </c>
      <c r="D373" t="inlineStr">
        <is>
          <t>NORRBOTTENS LÄN</t>
        </is>
      </c>
      <c r="E373" t="inlineStr">
        <is>
          <t>JOKKMOKK</t>
        </is>
      </c>
      <c r="F373" t="inlineStr">
        <is>
          <t>Allmännings- och besparingsskogar</t>
        </is>
      </c>
      <c r="G373" t="n">
        <v>25.2</v>
      </c>
      <c r="H373" t="n">
        <v>0</v>
      </c>
      <c r="I373" t="n">
        <v>0</v>
      </c>
      <c r="J373" t="n">
        <v>0</v>
      </c>
      <c r="K373" t="n">
        <v>0</v>
      </c>
      <c r="L373" t="n">
        <v>0</v>
      </c>
      <c r="M373" t="n">
        <v>0</v>
      </c>
      <c r="N373" t="n">
        <v>0</v>
      </c>
      <c r="O373" t="n">
        <v>0</v>
      </c>
      <c r="P373" t="n">
        <v>0</v>
      </c>
      <c r="Q373" t="n">
        <v>0</v>
      </c>
      <c r="R373" s="2" t="inlineStr"/>
    </row>
    <row r="374" ht="15" customHeight="1">
      <c r="A374" t="inlineStr">
        <is>
          <t>A 43997-2025</t>
        </is>
      </c>
      <c r="B374" s="1" t="n">
        <v>45915.44868055556</v>
      </c>
      <c r="C374" s="1" t="n">
        <v>45926</v>
      </c>
      <c r="D374" t="inlineStr">
        <is>
          <t>NORRBOTTENS LÄN</t>
        </is>
      </c>
      <c r="E374" t="inlineStr">
        <is>
          <t>JOKKMOKK</t>
        </is>
      </c>
      <c r="G374" t="n">
        <v>4.5</v>
      </c>
      <c r="H374" t="n">
        <v>0</v>
      </c>
      <c r="I374" t="n">
        <v>0</v>
      </c>
      <c r="J374" t="n">
        <v>0</v>
      </c>
      <c r="K374" t="n">
        <v>0</v>
      </c>
      <c r="L374" t="n">
        <v>0</v>
      </c>
      <c r="M374" t="n">
        <v>0</v>
      </c>
      <c r="N374" t="n">
        <v>0</v>
      </c>
      <c r="O374" t="n">
        <v>0</v>
      </c>
      <c r="P374" t="n">
        <v>0</v>
      </c>
      <c r="Q374" t="n">
        <v>0</v>
      </c>
      <c r="R374" s="2" t="inlineStr"/>
    </row>
    <row r="375" ht="15" customHeight="1">
      <c r="A375" t="inlineStr">
        <is>
          <t>A 42639-2024</t>
        </is>
      </c>
      <c r="B375" s="1" t="n">
        <v>45565.91135416667</v>
      </c>
      <c r="C375" s="1" t="n">
        <v>45926</v>
      </c>
      <c r="D375" t="inlineStr">
        <is>
          <t>NORRBOTTENS LÄN</t>
        </is>
      </c>
      <c r="E375" t="inlineStr">
        <is>
          <t>JOKKMOKK</t>
        </is>
      </c>
      <c r="G375" t="n">
        <v>34.5</v>
      </c>
      <c r="H375" t="n">
        <v>0</v>
      </c>
      <c r="I375" t="n">
        <v>0</v>
      </c>
      <c r="J375" t="n">
        <v>0</v>
      </c>
      <c r="K375" t="n">
        <v>0</v>
      </c>
      <c r="L375" t="n">
        <v>0</v>
      </c>
      <c r="M375" t="n">
        <v>0</v>
      </c>
      <c r="N375" t="n">
        <v>0</v>
      </c>
      <c r="O375" t="n">
        <v>0</v>
      </c>
      <c r="P375" t="n">
        <v>0</v>
      </c>
      <c r="Q375" t="n">
        <v>0</v>
      </c>
      <c r="R375" s="2" t="inlineStr"/>
    </row>
    <row r="376" ht="15" customHeight="1">
      <c r="A376" t="inlineStr">
        <is>
          <t>A 56199-2021</t>
        </is>
      </c>
      <c r="B376" s="1" t="n">
        <v>44477</v>
      </c>
      <c r="C376" s="1" t="n">
        <v>45926</v>
      </c>
      <c r="D376" t="inlineStr">
        <is>
          <t>NORRBOTTENS LÄN</t>
        </is>
      </c>
      <c r="E376" t="inlineStr">
        <is>
          <t>JOKKMOKK</t>
        </is>
      </c>
      <c r="G376" t="n">
        <v>1</v>
      </c>
      <c r="H376" t="n">
        <v>0</v>
      </c>
      <c r="I376" t="n">
        <v>0</v>
      </c>
      <c r="J376" t="n">
        <v>0</v>
      </c>
      <c r="K376" t="n">
        <v>0</v>
      </c>
      <c r="L376" t="n">
        <v>0</v>
      </c>
      <c r="M376" t="n">
        <v>0</v>
      </c>
      <c r="N376" t="n">
        <v>0</v>
      </c>
      <c r="O376" t="n">
        <v>0</v>
      </c>
      <c r="P376" t="n">
        <v>0</v>
      </c>
      <c r="Q376" t="n">
        <v>0</v>
      </c>
      <c r="R376" s="2" t="inlineStr"/>
    </row>
    <row r="377" ht="15" customHeight="1">
      <c r="A377" t="inlineStr">
        <is>
          <t>A 16018-2024</t>
        </is>
      </c>
      <c r="B377" s="1" t="n">
        <v>45405.67028935185</v>
      </c>
      <c r="C377" s="1" t="n">
        <v>45926</v>
      </c>
      <c r="D377" t="inlineStr">
        <is>
          <t>NORRBOTTENS LÄN</t>
        </is>
      </c>
      <c r="E377" t="inlineStr">
        <is>
          <t>JOKKMOKK</t>
        </is>
      </c>
      <c r="G377" t="n">
        <v>1.8</v>
      </c>
      <c r="H377" t="n">
        <v>0</v>
      </c>
      <c r="I377" t="n">
        <v>0</v>
      </c>
      <c r="J377" t="n">
        <v>0</v>
      </c>
      <c r="K377" t="n">
        <v>0</v>
      </c>
      <c r="L377" t="n">
        <v>0</v>
      </c>
      <c r="M377" t="n">
        <v>0</v>
      </c>
      <c r="N377" t="n">
        <v>0</v>
      </c>
      <c r="O377" t="n">
        <v>0</v>
      </c>
      <c r="P377" t="n">
        <v>0</v>
      </c>
      <c r="Q377" t="n">
        <v>0</v>
      </c>
      <c r="R377" s="2" t="inlineStr"/>
    </row>
    <row r="378" ht="15" customHeight="1">
      <c r="A378" t="inlineStr">
        <is>
          <t>A 61500-2024</t>
        </is>
      </c>
      <c r="B378" s="1" t="n">
        <v>45645</v>
      </c>
      <c r="C378" s="1" t="n">
        <v>45926</v>
      </c>
      <c r="D378" t="inlineStr">
        <is>
          <t>NORRBOTTENS LÄN</t>
        </is>
      </c>
      <c r="E378" t="inlineStr">
        <is>
          <t>JOKKMOKK</t>
        </is>
      </c>
      <c r="G378" t="n">
        <v>39.8</v>
      </c>
      <c r="H378" t="n">
        <v>0</v>
      </c>
      <c r="I378" t="n">
        <v>0</v>
      </c>
      <c r="J378" t="n">
        <v>0</v>
      </c>
      <c r="K378" t="n">
        <v>0</v>
      </c>
      <c r="L378" t="n">
        <v>0</v>
      </c>
      <c r="M378" t="n">
        <v>0</v>
      </c>
      <c r="N378" t="n">
        <v>0</v>
      </c>
      <c r="O378" t="n">
        <v>0</v>
      </c>
      <c r="P378" t="n">
        <v>0</v>
      </c>
      <c r="Q378" t="n">
        <v>0</v>
      </c>
      <c r="R378" s="2" t="inlineStr"/>
    </row>
    <row r="379" ht="15" customHeight="1">
      <c r="A379" t="inlineStr">
        <is>
          <t>A 43658-2025</t>
        </is>
      </c>
      <c r="B379" s="1" t="n">
        <v>45912.34276620371</v>
      </c>
      <c r="C379" s="1" t="n">
        <v>45926</v>
      </c>
      <c r="D379" t="inlineStr">
        <is>
          <t>NORRBOTTENS LÄN</t>
        </is>
      </c>
      <c r="E379" t="inlineStr">
        <is>
          <t>JOKKMOKK</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14869-2025</t>
        </is>
      </c>
      <c r="B380" s="1" t="n">
        <v>45743.44828703703</v>
      </c>
      <c r="C380" s="1" t="n">
        <v>45926</v>
      </c>
      <c r="D380" t="inlineStr">
        <is>
          <t>NORRBOTTENS LÄN</t>
        </is>
      </c>
      <c r="E380" t="inlineStr">
        <is>
          <t>JOKKMOKK</t>
        </is>
      </c>
      <c r="G380" t="n">
        <v>4.9</v>
      </c>
      <c r="H380" t="n">
        <v>0</v>
      </c>
      <c r="I380" t="n">
        <v>0</v>
      </c>
      <c r="J380" t="n">
        <v>0</v>
      </c>
      <c r="K380" t="n">
        <v>0</v>
      </c>
      <c r="L380" t="n">
        <v>0</v>
      </c>
      <c r="M380" t="n">
        <v>0</v>
      </c>
      <c r="N380" t="n">
        <v>0</v>
      </c>
      <c r="O380" t="n">
        <v>0</v>
      </c>
      <c r="P380" t="n">
        <v>0</v>
      </c>
      <c r="Q380" t="n">
        <v>0</v>
      </c>
      <c r="R380" s="2" t="inlineStr"/>
    </row>
    <row r="381" ht="15" customHeight="1">
      <c r="A381" t="inlineStr">
        <is>
          <t>A 43997-2024</t>
        </is>
      </c>
      <c r="B381" s="1" t="n">
        <v>45572.54165509259</v>
      </c>
      <c r="C381" s="1" t="n">
        <v>45926</v>
      </c>
      <c r="D381" t="inlineStr">
        <is>
          <t>NORRBOTTENS LÄN</t>
        </is>
      </c>
      <c r="E381" t="inlineStr">
        <is>
          <t>JOKKMOKK</t>
        </is>
      </c>
      <c r="F381" t="inlineStr">
        <is>
          <t>Sveaskog</t>
        </is>
      </c>
      <c r="G381" t="n">
        <v>17.4</v>
      </c>
      <c r="H381" t="n">
        <v>0</v>
      </c>
      <c r="I381" t="n">
        <v>0</v>
      </c>
      <c r="J381" t="n">
        <v>0</v>
      </c>
      <c r="K381" t="n">
        <v>0</v>
      </c>
      <c r="L381" t="n">
        <v>0</v>
      </c>
      <c r="M381" t="n">
        <v>0</v>
      </c>
      <c r="N381" t="n">
        <v>0</v>
      </c>
      <c r="O381" t="n">
        <v>0</v>
      </c>
      <c r="P381" t="n">
        <v>0</v>
      </c>
      <c r="Q381" t="n">
        <v>0</v>
      </c>
      <c r="R381" s="2" t="inlineStr"/>
    </row>
    <row r="382" ht="15" customHeight="1">
      <c r="A382" t="inlineStr">
        <is>
          <t>A 10596-2025</t>
        </is>
      </c>
      <c r="B382" s="1" t="n">
        <v>45721</v>
      </c>
      <c r="C382" s="1" t="n">
        <v>45926</v>
      </c>
      <c r="D382" t="inlineStr">
        <is>
          <t>NORRBOTTENS LÄN</t>
        </is>
      </c>
      <c r="E382" t="inlineStr">
        <is>
          <t>JOKKMOKK</t>
        </is>
      </c>
      <c r="G382" t="n">
        <v>17.7</v>
      </c>
      <c r="H382" t="n">
        <v>0</v>
      </c>
      <c r="I382" t="n">
        <v>0</v>
      </c>
      <c r="J382" t="n">
        <v>0</v>
      </c>
      <c r="K382" t="n">
        <v>0</v>
      </c>
      <c r="L382" t="n">
        <v>0</v>
      </c>
      <c r="M382" t="n">
        <v>0</v>
      </c>
      <c r="N382" t="n">
        <v>0</v>
      </c>
      <c r="O382" t="n">
        <v>0</v>
      </c>
      <c r="P382" t="n">
        <v>0</v>
      </c>
      <c r="Q382" t="n">
        <v>0</v>
      </c>
      <c r="R382" s="2" t="inlineStr"/>
    </row>
    <row r="383" ht="15" customHeight="1">
      <c r="A383" t="inlineStr">
        <is>
          <t>A 44606-2025</t>
        </is>
      </c>
      <c r="B383" s="1" t="n">
        <v>45917.4485300926</v>
      </c>
      <c r="C383" s="1" t="n">
        <v>45926</v>
      </c>
      <c r="D383" t="inlineStr">
        <is>
          <t>NORRBOTTENS LÄN</t>
        </is>
      </c>
      <c r="E383" t="inlineStr">
        <is>
          <t>JOKKMOKK</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37120-2025</t>
        </is>
      </c>
      <c r="B384" s="1" t="n">
        <v>45875.51827546296</v>
      </c>
      <c r="C384" s="1" t="n">
        <v>45926</v>
      </c>
      <c r="D384" t="inlineStr">
        <is>
          <t>NORRBOTTENS LÄN</t>
        </is>
      </c>
      <c r="E384" t="inlineStr">
        <is>
          <t>JOKKMOKK</t>
        </is>
      </c>
      <c r="G384" t="n">
        <v>17.6</v>
      </c>
      <c r="H384" t="n">
        <v>0</v>
      </c>
      <c r="I384" t="n">
        <v>0</v>
      </c>
      <c r="J384" t="n">
        <v>0</v>
      </c>
      <c r="K384" t="n">
        <v>0</v>
      </c>
      <c r="L384" t="n">
        <v>0</v>
      </c>
      <c r="M384" t="n">
        <v>0</v>
      </c>
      <c r="N384" t="n">
        <v>0</v>
      </c>
      <c r="O384" t="n">
        <v>0</v>
      </c>
      <c r="P384" t="n">
        <v>0</v>
      </c>
      <c r="Q384" t="n">
        <v>0</v>
      </c>
      <c r="R384" s="2" t="inlineStr"/>
    </row>
    <row r="385" ht="15" customHeight="1">
      <c r="A385" t="inlineStr">
        <is>
          <t>A 37206-2025</t>
        </is>
      </c>
      <c r="B385" s="1" t="n">
        <v>45875.69855324074</v>
      </c>
      <c r="C385" s="1" t="n">
        <v>45926</v>
      </c>
      <c r="D385" t="inlineStr">
        <is>
          <t>NORRBOTTENS LÄN</t>
        </is>
      </c>
      <c r="E385" t="inlineStr">
        <is>
          <t>JOKKMOKK</t>
        </is>
      </c>
      <c r="G385" t="n">
        <v>2.9</v>
      </c>
      <c r="H385" t="n">
        <v>0</v>
      </c>
      <c r="I385" t="n">
        <v>0</v>
      </c>
      <c r="J385" t="n">
        <v>0</v>
      </c>
      <c r="K385" t="n">
        <v>0</v>
      </c>
      <c r="L385" t="n">
        <v>0</v>
      </c>
      <c r="M385" t="n">
        <v>0</v>
      </c>
      <c r="N385" t="n">
        <v>0</v>
      </c>
      <c r="O385" t="n">
        <v>0</v>
      </c>
      <c r="P385" t="n">
        <v>0</v>
      </c>
      <c r="Q385" t="n">
        <v>0</v>
      </c>
      <c r="R385" s="2" t="inlineStr"/>
    </row>
    <row r="386" ht="15" customHeight="1">
      <c r="A386" t="inlineStr">
        <is>
          <t>A 40779-2025</t>
        </is>
      </c>
      <c r="B386" s="1" t="n">
        <v>45897</v>
      </c>
      <c r="C386" s="1" t="n">
        <v>45926</v>
      </c>
      <c r="D386" t="inlineStr">
        <is>
          <t>NORRBOTTENS LÄN</t>
        </is>
      </c>
      <c r="E386" t="inlineStr">
        <is>
          <t>JOKKMOKK</t>
        </is>
      </c>
      <c r="F386" t="inlineStr">
        <is>
          <t>Sveaskog</t>
        </is>
      </c>
      <c r="G386" t="n">
        <v>53.8</v>
      </c>
      <c r="H386" t="n">
        <v>0</v>
      </c>
      <c r="I386" t="n">
        <v>0</v>
      </c>
      <c r="J386" t="n">
        <v>0</v>
      </c>
      <c r="K386" t="n">
        <v>0</v>
      </c>
      <c r="L386" t="n">
        <v>0</v>
      </c>
      <c r="M386" t="n">
        <v>0</v>
      </c>
      <c r="N386" t="n">
        <v>0</v>
      </c>
      <c r="O386" t="n">
        <v>0</v>
      </c>
      <c r="P386" t="n">
        <v>0</v>
      </c>
      <c r="Q386" t="n">
        <v>0</v>
      </c>
      <c r="R386" s="2" t="inlineStr"/>
    </row>
    <row r="387" ht="15" customHeight="1">
      <c r="A387" t="inlineStr">
        <is>
          <t>A 44691-2025</t>
        </is>
      </c>
      <c r="B387" s="1" t="n">
        <v>45917.59425925926</v>
      </c>
      <c r="C387" s="1" t="n">
        <v>45926</v>
      </c>
      <c r="D387" t="inlineStr">
        <is>
          <t>NORRBOTTENS LÄN</t>
        </is>
      </c>
      <c r="E387" t="inlineStr">
        <is>
          <t>JOKKMOKK</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46418-2023</t>
        </is>
      </c>
      <c r="B388" s="1" t="n">
        <v>45197</v>
      </c>
      <c r="C388" s="1" t="n">
        <v>45926</v>
      </c>
      <c r="D388" t="inlineStr">
        <is>
          <t>NORRBOTTENS LÄN</t>
        </is>
      </c>
      <c r="E388" t="inlineStr">
        <is>
          <t>JOKKMOKK</t>
        </is>
      </c>
      <c r="G388" t="n">
        <v>7.4</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45926</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45065-2025</t>
        </is>
      </c>
      <c r="B390" s="1" t="n">
        <v>45919.34540509259</v>
      </c>
      <c r="C390" s="1" t="n">
        <v>45926</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56412-2021</t>
        </is>
      </c>
      <c r="B391" s="1" t="n">
        <v>44477</v>
      </c>
      <c r="C391" s="1" t="n">
        <v>45926</v>
      </c>
      <c r="D391" t="inlineStr">
        <is>
          <t>NORRBOTTENS LÄN</t>
        </is>
      </c>
      <c r="E391" t="inlineStr">
        <is>
          <t>JOKKMOKK</t>
        </is>
      </c>
      <c r="G391" t="n">
        <v>2.5</v>
      </c>
      <c r="H391" t="n">
        <v>0</v>
      </c>
      <c r="I391" t="n">
        <v>0</v>
      </c>
      <c r="J391" t="n">
        <v>0</v>
      </c>
      <c r="K391" t="n">
        <v>0</v>
      </c>
      <c r="L391" t="n">
        <v>0</v>
      </c>
      <c r="M391" t="n">
        <v>0</v>
      </c>
      <c r="N391" t="n">
        <v>0</v>
      </c>
      <c r="O391" t="n">
        <v>0</v>
      </c>
      <c r="P391" t="n">
        <v>0</v>
      </c>
      <c r="Q391" t="n">
        <v>0</v>
      </c>
      <c r="R391" s="2" t="inlineStr"/>
    </row>
    <row r="392" ht="15" customHeight="1">
      <c r="A392" t="inlineStr">
        <is>
          <t>A 41403-2025</t>
        </is>
      </c>
      <c r="B392" s="1" t="n">
        <v>45901.344375</v>
      </c>
      <c r="C392" s="1" t="n">
        <v>45926</v>
      </c>
      <c r="D392" t="inlineStr">
        <is>
          <t>NORRBOTTENS LÄN</t>
        </is>
      </c>
      <c r="E392" t="inlineStr">
        <is>
          <t>JOKKMOKK</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52564-2024</t>
        </is>
      </c>
      <c r="B393" s="1" t="n">
        <v>45609</v>
      </c>
      <c r="C393" s="1" t="n">
        <v>45926</v>
      </c>
      <c r="D393" t="inlineStr">
        <is>
          <t>NORRBOTTENS LÄN</t>
        </is>
      </c>
      <c r="E393" t="inlineStr">
        <is>
          <t>JOKKMOKK</t>
        </is>
      </c>
      <c r="F393" t="inlineStr">
        <is>
          <t>Allmännings- och besparingsskogar</t>
        </is>
      </c>
      <c r="G393" t="n">
        <v>16.5</v>
      </c>
      <c r="H393" t="n">
        <v>0</v>
      </c>
      <c r="I393" t="n">
        <v>0</v>
      </c>
      <c r="J393" t="n">
        <v>0</v>
      </c>
      <c r="K393" t="n">
        <v>0</v>
      </c>
      <c r="L393" t="n">
        <v>0</v>
      </c>
      <c r="M393" t="n">
        <v>0</v>
      </c>
      <c r="N393" t="n">
        <v>0</v>
      </c>
      <c r="O393" t="n">
        <v>0</v>
      </c>
      <c r="P393" t="n">
        <v>0</v>
      </c>
      <c r="Q393" t="n">
        <v>0</v>
      </c>
      <c r="R393" s="2" t="inlineStr"/>
    </row>
    <row r="394" ht="15" customHeight="1">
      <c r="A394" t="inlineStr">
        <is>
          <t>A 45201-2025</t>
        </is>
      </c>
      <c r="B394" s="1" t="n">
        <v>45919.56230324074</v>
      </c>
      <c r="C394" s="1" t="n">
        <v>45926</v>
      </c>
      <c r="D394" t="inlineStr">
        <is>
          <t>NORRBOTTENS LÄN</t>
        </is>
      </c>
      <c r="E394" t="inlineStr">
        <is>
          <t>JOKKMOKK</t>
        </is>
      </c>
      <c r="F394" t="inlineStr">
        <is>
          <t>Sveaskog</t>
        </is>
      </c>
      <c r="G394" t="n">
        <v>21.8</v>
      </c>
      <c r="H394" t="n">
        <v>0</v>
      </c>
      <c r="I394" t="n">
        <v>0</v>
      </c>
      <c r="J394" t="n">
        <v>0</v>
      </c>
      <c r="K394" t="n">
        <v>0</v>
      </c>
      <c r="L394" t="n">
        <v>0</v>
      </c>
      <c r="M394" t="n">
        <v>0</v>
      </c>
      <c r="N394" t="n">
        <v>0</v>
      </c>
      <c r="O394" t="n">
        <v>0</v>
      </c>
      <c r="P394" t="n">
        <v>0</v>
      </c>
      <c r="Q394" t="n">
        <v>0</v>
      </c>
      <c r="R394" s="2" t="inlineStr"/>
    </row>
    <row r="395" ht="15" customHeight="1">
      <c r="A395" t="inlineStr">
        <is>
          <t>A 43803-2025</t>
        </is>
      </c>
      <c r="B395" s="1" t="n">
        <v>45912</v>
      </c>
      <c r="C395" s="1" t="n">
        <v>45926</v>
      </c>
      <c r="D395" t="inlineStr">
        <is>
          <t>NORRBOTTENS LÄN</t>
        </is>
      </c>
      <c r="E395" t="inlineStr">
        <is>
          <t>JOKKMOKK</t>
        </is>
      </c>
      <c r="F395" t="inlineStr">
        <is>
          <t>SCA</t>
        </is>
      </c>
      <c r="G395" t="n">
        <v>6.2</v>
      </c>
      <c r="H395" t="n">
        <v>0</v>
      </c>
      <c r="I395" t="n">
        <v>0</v>
      </c>
      <c r="J395" t="n">
        <v>0</v>
      </c>
      <c r="K395" t="n">
        <v>0</v>
      </c>
      <c r="L395" t="n">
        <v>0</v>
      </c>
      <c r="M395" t="n">
        <v>0</v>
      </c>
      <c r="N395" t="n">
        <v>0</v>
      </c>
      <c r="O395" t="n">
        <v>0</v>
      </c>
      <c r="P395" t="n">
        <v>0</v>
      </c>
      <c r="Q395" t="n">
        <v>0</v>
      </c>
      <c r="R395" s="2" t="inlineStr"/>
    </row>
    <row r="396" ht="15" customHeight="1">
      <c r="A396" t="inlineStr">
        <is>
          <t>A 31209-2023</t>
        </is>
      </c>
      <c r="B396" s="1" t="n">
        <v>45113.95096064815</v>
      </c>
      <c r="C396" s="1" t="n">
        <v>45926</v>
      </c>
      <c r="D396" t="inlineStr">
        <is>
          <t>NORRBOTTENS LÄN</t>
        </is>
      </c>
      <c r="E396" t="inlineStr">
        <is>
          <t>JOKKMOKK</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44842-2025</t>
        </is>
      </c>
      <c r="B397" s="1" t="n">
        <v>45918.42957175926</v>
      </c>
      <c r="C397" s="1" t="n">
        <v>45926</v>
      </c>
      <c r="D397" t="inlineStr">
        <is>
          <t>NORRBOTTENS LÄN</t>
        </is>
      </c>
      <c r="E397" t="inlineStr">
        <is>
          <t>JOKKMOKK</t>
        </is>
      </c>
      <c r="G397" t="n">
        <v>7.7</v>
      </c>
      <c r="H397" t="n">
        <v>0</v>
      </c>
      <c r="I397" t="n">
        <v>0</v>
      </c>
      <c r="J397" t="n">
        <v>0</v>
      </c>
      <c r="K397" t="n">
        <v>0</v>
      </c>
      <c r="L397" t="n">
        <v>0</v>
      </c>
      <c r="M397" t="n">
        <v>0</v>
      </c>
      <c r="N397" t="n">
        <v>0</v>
      </c>
      <c r="O397" t="n">
        <v>0</v>
      </c>
      <c r="P397" t="n">
        <v>0</v>
      </c>
      <c r="Q397" t="n">
        <v>0</v>
      </c>
      <c r="R397" s="2" t="inlineStr"/>
    </row>
    <row r="398" ht="15" customHeight="1">
      <c r="A398" t="inlineStr">
        <is>
          <t>A 45064-2025</t>
        </is>
      </c>
      <c r="B398" s="1" t="n">
        <v>45919.34533564815</v>
      </c>
      <c r="C398" s="1" t="n">
        <v>45926</v>
      </c>
      <c r="D398" t="inlineStr">
        <is>
          <t>NORRBOTTENS LÄN</t>
        </is>
      </c>
      <c r="E398" t="inlineStr">
        <is>
          <t>JOKKMOKK</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44958-2025</t>
        </is>
      </c>
      <c r="B399" s="1" t="n">
        <v>45918.61519675926</v>
      </c>
      <c r="C399" s="1" t="n">
        <v>45926</v>
      </c>
      <c r="D399" t="inlineStr">
        <is>
          <t>NORRBOTTENS LÄN</t>
        </is>
      </c>
      <c r="E399" t="inlineStr">
        <is>
          <t>JOKKMOKK</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37694-2025</t>
        </is>
      </c>
      <c r="B400" s="1" t="n">
        <v>45880.57349537037</v>
      </c>
      <c r="C400" s="1" t="n">
        <v>45926</v>
      </c>
      <c r="D400" t="inlineStr">
        <is>
          <t>NORRBOTTENS LÄN</t>
        </is>
      </c>
      <c r="E400" t="inlineStr">
        <is>
          <t>JOKKMOKK</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37917-2025</t>
        </is>
      </c>
      <c r="B401" s="1" t="n">
        <v>45881.57443287037</v>
      </c>
      <c r="C401" s="1" t="n">
        <v>45926</v>
      </c>
      <c r="D401" t="inlineStr">
        <is>
          <t>NORRBOTTENS LÄN</t>
        </is>
      </c>
      <c r="E401" t="inlineStr">
        <is>
          <t>JOKKMOKK</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38223-2025</t>
        </is>
      </c>
      <c r="B402" s="1" t="n">
        <v>45883</v>
      </c>
      <c r="C402" s="1" t="n">
        <v>45926</v>
      </c>
      <c r="D402" t="inlineStr">
        <is>
          <t>NORRBOTTENS LÄN</t>
        </is>
      </c>
      <c r="E402" t="inlineStr">
        <is>
          <t>JOKKMOKK</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38228-2025</t>
        </is>
      </c>
      <c r="B403" s="1" t="n">
        <v>45883.34554398148</v>
      </c>
      <c r="C403" s="1" t="n">
        <v>45926</v>
      </c>
      <c r="D403" t="inlineStr">
        <is>
          <t>NORRBOTTENS LÄN</t>
        </is>
      </c>
      <c r="E403" t="inlineStr">
        <is>
          <t>JOKKMOKK</t>
        </is>
      </c>
      <c r="F403" t="inlineStr">
        <is>
          <t>SCA</t>
        </is>
      </c>
      <c r="G403" t="n">
        <v>14.5</v>
      </c>
      <c r="H403" t="n">
        <v>0</v>
      </c>
      <c r="I403" t="n">
        <v>0</v>
      </c>
      <c r="J403" t="n">
        <v>0</v>
      </c>
      <c r="K403" t="n">
        <v>0</v>
      </c>
      <c r="L403" t="n">
        <v>0</v>
      </c>
      <c r="M403" t="n">
        <v>0</v>
      </c>
      <c r="N403" t="n">
        <v>0</v>
      </c>
      <c r="O403" t="n">
        <v>0</v>
      </c>
      <c r="P403" t="n">
        <v>0</v>
      </c>
      <c r="Q403" t="n">
        <v>0</v>
      </c>
      <c r="R403" s="2" t="inlineStr"/>
    </row>
    <row r="404" ht="15" customHeight="1">
      <c r="A404" t="inlineStr">
        <is>
          <t>A 46458-2025</t>
        </is>
      </c>
      <c r="B404" s="1" t="n">
        <v>45925.66335648148</v>
      </c>
      <c r="C404" s="1" t="n">
        <v>45926</v>
      </c>
      <c r="D404" t="inlineStr">
        <is>
          <t>NORRBOTTENS LÄN</t>
        </is>
      </c>
      <c r="E404" t="inlineStr">
        <is>
          <t>JOKKMOKK</t>
        </is>
      </c>
      <c r="G404" t="n">
        <v>0.9</v>
      </c>
      <c r="H404" t="n">
        <v>0</v>
      </c>
      <c r="I404" t="n">
        <v>0</v>
      </c>
      <c r="J404" t="n">
        <v>0</v>
      </c>
      <c r="K404" t="n">
        <v>0</v>
      </c>
      <c r="L404" t="n">
        <v>0</v>
      </c>
      <c r="M404" t="n">
        <v>0</v>
      </c>
      <c r="N404" t="n">
        <v>0</v>
      </c>
      <c r="O404" t="n">
        <v>0</v>
      </c>
      <c r="P404" t="n">
        <v>0</v>
      </c>
      <c r="Q404" t="n">
        <v>0</v>
      </c>
      <c r="R404" s="2" t="inlineStr"/>
    </row>
    <row r="405" ht="15" customHeight="1">
      <c r="A405" t="inlineStr">
        <is>
          <t>A 46460-2025</t>
        </is>
      </c>
      <c r="B405" s="1" t="n">
        <v>45925.66606481482</v>
      </c>
      <c r="C405" s="1" t="n">
        <v>45926</v>
      </c>
      <c r="D405" t="inlineStr">
        <is>
          <t>NORRBOTTENS LÄN</t>
        </is>
      </c>
      <c r="E405" t="inlineStr">
        <is>
          <t>JOKKMOKK</t>
        </is>
      </c>
      <c r="G405" t="n">
        <v>1.2</v>
      </c>
      <c r="H405" t="n">
        <v>0</v>
      </c>
      <c r="I405" t="n">
        <v>0</v>
      </c>
      <c r="J405" t="n">
        <v>0</v>
      </c>
      <c r="K405" t="n">
        <v>0</v>
      </c>
      <c r="L405" t="n">
        <v>0</v>
      </c>
      <c r="M405" t="n">
        <v>0</v>
      </c>
      <c r="N405" t="n">
        <v>0</v>
      </c>
      <c r="O405" t="n">
        <v>0</v>
      </c>
      <c r="P405" t="n">
        <v>0</v>
      </c>
      <c r="Q405" t="n">
        <v>0</v>
      </c>
      <c r="R405" s="2" t="inlineStr"/>
    </row>
    <row r="406" ht="15" customHeight="1">
      <c r="A406" t="inlineStr">
        <is>
          <t>A 38226-2025</t>
        </is>
      </c>
      <c r="B406" s="1" t="n">
        <v>45883.34521990741</v>
      </c>
      <c r="C406" s="1" t="n">
        <v>45926</v>
      </c>
      <c r="D406" t="inlineStr">
        <is>
          <t>NORRBOTTENS LÄN</t>
        </is>
      </c>
      <c r="E406" t="inlineStr">
        <is>
          <t>JOKKMOKK</t>
        </is>
      </c>
      <c r="F406" t="inlineStr">
        <is>
          <t>SCA</t>
        </is>
      </c>
      <c r="G406" t="n">
        <v>14.5</v>
      </c>
      <c r="H406" t="n">
        <v>0</v>
      </c>
      <c r="I406" t="n">
        <v>0</v>
      </c>
      <c r="J406" t="n">
        <v>0</v>
      </c>
      <c r="K406" t="n">
        <v>0</v>
      </c>
      <c r="L406" t="n">
        <v>0</v>
      </c>
      <c r="M406" t="n">
        <v>0</v>
      </c>
      <c r="N406" t="n">
        <v>0</v>
      </c>
      <c r="O406" t="n">
        <v>0</v>
      </c>
      <c r="P406" t="n">
        <v>0</v>
      </c>
      <c r="Q406" t="n">
        <v>0</v>
      </c>
      <c r="R406" s="2" t="inlineStr"/>
    </row>
    <row r="407">
      <c r="A407" t="inlineStr">
        <is>
          <t>A 46465-2025</t>
        </is>
      </c>
      <c r="B407" s="1" t="n">
        <v>45925.67710648148</v>
      </c>
      <c r="C407" s="1" t="n">
        <v>45926</v>
      </c>
      <c r="D407" t="inlineStr">
        <is>
          <t>NORRBOTTENS LÄN</t>
        </is>
      </c>
      <c r="E407" t="inlineStr">
        <is>
          <t>JOKKMOKK</t>
        </is>
      </c>
      <c r="G407" t="n">
        <v>3.6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2025-09-26T11:59:42Z</dcterms:created>
  <dcterms:modified xmlns:dcterms="http://purl.org/dc/terms/" xmlns:xsi="http://www.w3.org/2001/XMLSchema-instance" xsi:type="dcterms:W3CDTF">2025-09-26T11:59:43Z</dcterms:modified>
</cp:coreProperties>
</file>