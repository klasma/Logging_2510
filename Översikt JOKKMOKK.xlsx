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45637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45637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45637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45637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45637</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45637</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45637</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45637</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45637</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45637</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45637</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45637</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45637</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45637</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45637</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45637</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45637</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45637</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45637</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45637</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45637</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45637</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45637</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45637</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45637</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45637</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45637</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45637</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45637</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45637</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45637</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45637</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45637</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45637</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45637</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45637</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45637</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45637</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45637</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45637</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45637</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45637</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45637</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45637</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45637</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45637</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45637</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45637</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45637</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45637</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45637</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45637</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45637</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45637</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45637</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45637</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45637</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45637</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45637</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45637</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45637</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45637</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45637</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45637</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45637</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45637</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45637</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45637</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53373-2024</t>
        </is>
      </c>
      <c r="B70" s="1" t="n">
        <v>45614</v>
      </c>
      <c r="C70" s="1" t="n">
        <v>45637</v>
      </c>
      <c r="D70" t="inlineStr">
        <is>
          <t>NORRBOTTENS LÄN</t>
        </is>
      </c>
      <c r="E70" t="inlineStr">
        <is>
          <t>JOKKMOKK</t>
        </is>
      </c>
      <c r="F70" t="inlineStr">
        <is>
          <t>Sveaskog</t>
        </is>
      </c>
      <c r="G70" t="n">
        <v>9</v>
      </c>
      <c r="H70" t="n">
        <v>0</v>
      </c>
      <c r="I70" t="n">
        <v>2</v>
      </c>
      <c r="J70" t="n">
        <v>1</v>
      </c>
      <c r="K70" t="n">
        <v>0</v>
      </c>
      <c r="L70" t="n">
        <v>0</v>
      </c>
      <c r="M70" t="n">
        <v>0</v>
      </c>
      <c r="N70" t="n">
        <v>0</v>
      </c>
      <c r="O70" t="n">
        <v>1</v>
      </c>
      <c r="P70" t="n">
        <v>0</v>
      </c>
      <c r="Q70" t="n">
        <v>3</v>
      </c>
      <c r="R70" s="2" t="inlineStr">
        <is>
          <t>Blå taggsvamp
Dropptaggsvamp
Skarp dropptaggsvamp</t>
        </is>
      </c>
      <c r="S70">
        <f>HYPERLINK("https://klasma.github.io/Logging_2510/artfynd/A 53373-2024 artfynd.xlsx", "A 53373-2024")</f>
        <v/>
      </c>
      <c r="T70">
        <f>HYPERLINK("https://klasma.github.io/Logging_2510/kartor/A 53373-2024 karta.png", "A 53373-2024")</f>
        <v/>
      </c>
      <c r="V70">
        <f>HYPERLINK("https://klasma.github.io/Logging_2510/klagomål/A 53373-2024 FSC-klagomål.docx", "A 53373-2024")</f>
        <v/>
      </c>
      <c r="W70">
        <f>HYPERLINK("https://klasma.github.io/Logging_2510/klagomålsmail/A 53373-2024 FSC-klagomål mail.docx", "A 53373-2024")</f>
        <v/>
      </c>
      <c r="X70">
        <f>HYPERLINK("https://klasma.github.io/Logging_2510/tillsyn/A 53373-2024 tillsynsbegäran.docx", "A 53373-2024")</f>
        <v/>
      </c>
      <c r="Y70">
        <f>HYPERLINK("https://klasma.github.io/Logging_2510/tillsynsmail/A 53373-2024 tillsynsbegäran mail.docx", "A 53373-2024")</f>
        <v/>
      </c>
    </row>
    <row r="71" ht="15" customHeight="1">
      <c r="A71" t="inlineStr">
        <is>
          <t>A 24408-2022</t>
        </is>
      </c>
      <c r="B71" s="1" t="n">
        <v>44726</v>
      </c>
      <c r="C71" s="1" t="n">
        <v>45637</v>
      </c>
      <c r="D71" t="inlineStr">
        <is>
          <t>NORRBOTTENS LÄN</t>
        </is>
      </c>
      <c r="E71" t="inlineStr">
        <is>
          <t>JOKKMOKK</t>
        </is>
      </c>
      <c r="F71" t="inlineStr">
        <is>
          <t>Övriga statliga verk och myndigheter</t>
        </is>
      </c>
      <c r="G71" t="n">
        <v>4.8</v>
      </c>
      <c r="H71" t="n">
        <v>0</v>
      </c>
      <c r="I71" t="n">
        <v>0</v>
      </c>
      <c r="J71" t="n">
        <v>2</v>
      </c>
      <c r="K71" t="n">
        <v>0</v>
      </c>
      <c r="L71" t="n">
        <v>0</v>
      </c>
      <c r="M71" t="n">
        <v>0</v>
      </c>
      <c r="N71" t="n">
        <v>0</v>
      </c>
      <c r="O71" t="n">
        <v>2</v>
      </c>
      <c r="P71" t="n">
        <v>0</v>
      </c>
      <c r="Q71" t="n">
        <v>2</v>
      </c>
      <c r="R71" s="2" t="inlineStr">
        <is>
          <t>Gammelgransskål
Knottrig blåslav</t>
        </is>
      </c>
      <c r="S71">
        <f>HYPERLINK("https://klasma.github.io/Logging_2510/artfynd/A 24408-2022 artfynd.xlsx", "A 24408-2022")</f>
        <v/>
      </c>
      <c r="T71">
        <f>HYPERLINK("https://klasma.github.io/Logging_2510/kartor/A 24408-2022 karta.png", "A 24408-2022")</f>
        <v/>
      </c>
      <c r="V71">
        <f>HYPERLINK("https://klasma.github.io/Logging_2510/klagomål/A 24408-2022 FSC-klagomål.docx", "A 24408-2022")</f>
        <v/>
      </c>
      <c r="W71">
        <f>HYPERLINK("https://klasma.github.io/Logging_2510/klagomålsmail/A 24408-2022 FSC-klagomål mail.docx", "A 24408-2022")</f>
        <v/>
      </c>
      <c r="X71">
        <f>HYPERLINK("https://klasma.github.io/Logging_2510/tillsyn/A 24408-2022 tillsynsbegäran.docx", "A 24408-2022")</f>
        <v/>
      </c>
      <c r="Y71">
        <f>HYPERLINK("https://klasma.github.io/Logging_2510/tillsynsmail/A 24408-2022 tillsynsbegäran mail.docx", "A 24408-2022")</f>
        <v/>
      </c>
    </row>
    <row r="72" ht="15" customHeight="1">
      <c r="A72" t="inlineStr">
        <is>
          <t>A 50237-2022</t>
        </is>
      </c>
      <c r="B72" s="1" t="n">
        <v>44865</v>
      </c>
      <c r="C72" s="1" t="n">
        <v>45637</v>
      </c>
      <c r="D72" t="inlineStr">
        <is>
          <t>NORRBOTTENS LÄN</t>
        </is>
      </c>
      <c r="E72" t="inlineStr">
        <is>
          <t>JOKKMOKK</t>
        </is>
      </c>
      <c r="F72" t="inlineStr">
        <is>
          <t>Sveaskog</t>
        </is>
      </c>
      <c r="G72" t="n">
        <v>13.4</v>
      </c>
      <c r="H72" t="n">
        <v>1</v>
      </c>
      <c r="I72" t="n">
        <v>1</v>
      </c>
      <c r="J72" t="n">
        <v>0</v>
      </c>
      <c r="K72" t="n">
        <v>0</v>
      </c>
      <c r="L72" t="n">
        <v>0</v>
      </c>
      <c r="M72" t="n">
        <v>0</v>
      </c>
      <c r="N72" t="n">
        <v>0</v>
      </c>
      <c r="O72" t="n">
        <v>0</v>
      </c>
      <c r="P72" t="n">
        <v>0</v>
      </c>
      <c r="Q72" t="n">
        <v>2</v>
      </c>
      <c r="R72" s="2" t="inlineStr">
        <is>
          <t>Vedticka
Lavskrika</t>
        </is>
      </c>
      <c r="S72">
        <f>HYPERLINK("https://klasma.github.io/Logging_2510/artfynd/A 50237-2022 artfynd.xlsx", "A 50237-2022")</f>
        <v/>
      </c>
      <c r="T72">
        <f>HYPERLINK("https://klasma.github.io/Logging_2510/kartor/A 50237-2022 karta.png", "A 50237-2022")</f>
        <v/>
      </c>
      <c r="V72">
        <f>HYPERLINK("https://klasma.github.io/Logging_2510/klagomål/A 50237-2022 FSC-klagomål.docx", "A 50237-2022")</f>
        <v/>
      </c>
      <c r="W72">
        <f>HYPERLINK("https://klasma.github.io/Logging_2510/klagomålsmail/A 50237-2022 FSC-klagomål mail.docx", "A 50237-2022")</f>
        <v/>
      </c>
      <c r="X72">
        <f>HYPERLINK("https://klasma.github.io/Logging_2510/tillsyn/A 50237-2022 tillsynsbegäran.docx", "A 50237-2022")</f>
        <v/>
      </c>
      <c r="Y72">
        <f>HYPERLINK("https://klasma.github.io/Logging_2510/tillsynsmail/A 50237-2022 tillsynsbegäran mail.docx", "A 50237-2022")</f>
        <v/>
      </c>
      <c r="Z72">
        <f>HYPERLINK("https://klasma.github.io/Logging_2510/fåglar/A 50237-2022 prioriterade fågelarter.docx", "A 50237-2022")</f>
        <v/>
      </c>
    </row>
    <row r="73" ht="15" customHeight="1">
      <c r="A73" t="inlineStr">
        <is>
          <t>A 27018-2023</t>
        </is>
      </c>
      <c r="B73" s="1" t="n">
        <v>45094</v>
      </c>
      <c r="C73" s="1" t="n">
        <v>45637</v>
      </c>
      <c r="D73" t="inlineStr">
        <is>
          <t>NORRBOTTENS LÄN</t>
        </is>
      </c>
      <c r="E73" t="inlineStr">
        <is>
          <t>JOKKMOKK</t>
        </is>
      </c>
      <c r="F73" t="inlineStr">
        <is>
          <t>SCA</t>
        </is>
      </c>
      <c r="G73" t="n">
        <v>4.9</v>
      </c>
      <c r="H73" t="n">
        <v>0</v>
      </c>
      <c r="I73" t="n">
        <v>2</v>
      </c>
      <c r="J73" t="n">
        <v>0</v>
      </c>
      <c r="K73" t="n">
        <v>0</v>
      </c>
      <c r="L73" t="n">
        <v>0</v>
      </c>
      <c r="M73" t="n">
        <v>0</v>
      </c>
      <c r="N73" t="n">
        <v>0</v>
      </c>
      <c r="O73" t="n">
        <v>0</v>
      </c>
      <c r="P73" t="n">
        <v>0</v>
      </c>
      <c r="Q73" t="n">
        <v>2</v>
      </c>
      <c r="R73" s="2" t="inlineStr">
        <is>
          <t>Skinnlav
Vedticka</t>
        </is>
      </c>
      <c r="S73">
        <f>HYPERLINK("https://klasma.github.io/Logging_2510/artfynd/A 27018-2023 artfynd.xlsx", "A 27018-2023")</f>
        <v/>
      </c>
      <c r="T73">
        <f>HYPERLINK("https://klasma.github.io/Logging_2510/kartor/A 27018-2023 karta.png", "A 27018-2023")</f>
        <v/>
      </c>
      <c r="V73">
        <f>HYPERLINK("https://klasma.github.io/Logging_2510/klagomål/A 27018-2023 FSC-klagomål.docx", "A 27018-2023")</f>
        <v/>
      </c>
      <c r="W73">
        <f>HYPERLINK("https://klasma.github.io/Logging_2510/klagomålsmail/A 27018-2023 FSC-klagomål mail.docx", "A 27018-2023")</f>
        <v/>
      </c>
      <c r="X73">
        <f>HYPERLINK("https://klasma.github.io/Logging_2510/tillsyn/A 27018-2023 tillsynsbegäran.docx", "A 27018-2023")</f>
        <v/>
      </c>
      <c r="Y73">
        <f>HYPERLINK("https://klasma.github.io/Logging_2510/tillsynsmail/A 27018-2023 tillsynsbegäran mail.docx", "A 27018-2023")</f>
        <v/>
      </c>
    </row>
    <row r="74" ht="15" customHeight="1">
      <c r="A74" t="inlineStr">
        <is>
          <t>A 32982-2023</t>
        </is>
      </c>
      <c r="B74" s="1" t="n">
        <v>45113</v>
      </c>
      <c r="C74" s="1" t="n">
        <v>45637</v>
      </c>
      <c r="D74" t="inlineStr">
        <is>
          <t>NORRBOTTENS LÄN</t>
        </is>
      </c>
      <c r="E74" t="inlineStr">
        <is>
          <t>JOKKMOKK</t>
        </is>
      </c>
      <c r="F74" t="inlineStr">
        <is>
          <t>Övriga statliga verk och myndigheter</t>
        </is>
      </c>
      <c r="G74" t="n">
        <v>21</v>
      </c>
      <c r="H74" t="n">
        <v>0</v>
      </c>
      <c r="I74" t="n">
        <v>0</v>
      </c>
      <c r="J74" t="n">
        <v>0</v>
      </c>
      <c r="K74" t="n">
        <v>2</v>
      </c>
      <c r="L74" t="n">
        <v>0</v>
      </c>
      <c r="M74" t="n">
        <v>0</v>
      </c>
      <c r="N74" t="n">
        <v>0</v>
      </c>
      <c r="O74" t="n">
        <v>2</v>
      </c>
      <c r="P74" t="n">
        <v>2</v>
      </c>
      <c r="Q74" t="n">
        <v>2</v>
      </c>
      <c r="R74" s="2" t="inlineStr">
        <is>
          <t>Smalfotad taggsvamp
Tajgataggsvamp</t>
        </is>
      </c>
      <c r="S74">
        <f>HYPERLINK("https://klasma.github.io/Logging_2510/artfynd/A 32982-2023 artfynd.xlsx", "A 32982-2023")</f>
        <v/>
      </c>
      <c r="T74">
        <f>HYPERLINK("https://klasma.github.io/Logging_2510/kartor/A 32982-2023 karta.png", "A 32982-2023")</f>
        <v/>
      </c>
      <c r="V74">
        <f>HYPERLINK("https://klasma.github.io/Logging_2510/klagomål/A 32982-2023 FSC-klagomål.docx", "A 32982-2023")</f>
        <v/>
      </c>
      <c r="W74">
        <f>HYPERLINK("https://klasma.github.io/Logging_2510/klagomålsmail/A 32982-2023 FSC-klagomål mail.docx", "A 32982-2023")</f>
        <v/>
      </c>
      <c r="X74">
        <f>HYPERLINK("https://klasma.github.io/Logging_2510/tillsyn/A 32982-2023 tillsynsbegäran.docx", "A 32982-2023")</f>
        <v/>
      </c>
      <c r="Y74">
        <f>HYPERLINK("https://klasma.github.io/Logging_2510/tillsynsmail/A 32982-2023 tillsynsbegäran mail.docx", "A 32982-2023")</f>
        <v/>
      </c>
    </row>
    <row r="75" ht="15" customHeight="1">
      <c r="A75" t="inlineStr">
        <is>
          <t>A 33146-2023</t>
        </is>
      </c>
      <c r="B75" s="1" t="n">
        <v>45114</v>
      </c>
      <c r="C75" s="1" t="n">
        <v>45637</v>
      </c>
      <c r="D75" t="inlineStr">
        <is>
          <t>NORRBOTTENS LÄN</t>
        </is>
      </c>
      <c r="E75" t="inlineStr">
        <is>
          <t>JOKKMOKK</t>
        </is>
      </c>
      <c r="F75" t="inlineStr">
        <is>
          <t>Övriga statliga verk och myndigheter</t>
        </is>
      </c>
      <c r="G75" t="n">
        <v>14.5</v>
      </c>
      <c r="H75" t="n">
        <v>0</v>
      </c>
      <c r="I75" t="n">
        <v>0</v>
      </c>
      <c r="J75" t="n">
        <v>2</v>
      </c>
      <c r="K75" t="n">
        <v>0</v>
      </c>
      <c r="L75" t="n">
        <v>0</v>
      </c>
      <c r="M75" t="n">
        <v>0</v>
      </c>
      <c r="N75" t="n">
        <v>0</v>
      </c>
      <c r="O75" t="n">
        <v>2</v>
      </c>
      <c r="P75" t="n">
        <v>0</v>
      </c>
      <c r="Q75" t="n">
        <v>2</v>
      </c>
      <c r="R75" s="2" t="inlineStr">
        <is>
          <t>Kolflarnlav
Mörk kolflarnlav</t>
        </is>
      </c>
      <c r="S75">
        <f>HYPERLINK("https://klasma.github.io/Logging_2510/artfynd/A 33146-2023 artfynd.xlsx", "A 33146-2023")</f>
        <v/>
      </c>
      <c r="T75">
        <f>HYPERLINK("https://klasma.github.io/Logging_2510/kartor/A 33146-2023 karta.png", "A 33146-2023")</f>
        <v/>
      </c>
      <c r="V75">
        <f>HYPERLINK("https://klasma.github.io/Logging_2510/klagomål/A 33146-2023 FSC-klagomål.docx", "A 33146-2023")</f>
        <v/>
      </c>
      <c r="W75">
        <f>HYPERLINK("https://klasma.github.io/Logging_2510/klagomålsmail/A 33146-2023 FSC-klagomål mail.docx", "A 33146-2023")</f>
        <v/>
      </c>
      <c r="X75">
        <f>HYPERLINK("https://klasma.github.io/Logging_2510/tillsyn/A 33146-2023 tillsynsbegäran.docx", "A 33146-2023")</f>
        <v/>
      </c>
      <c r="Y75">
        <f>HYPERLINK("https://klasma.github.io/Logging_2510/tillsynsmail/A 33146-2023 tillsynsbegäran mail.docx", "A 33146-2023")</f>
        <v/>
      </c>
    </row>
    <row r="76" ht="15" customHeight="1">
      <c r="A76" t="inlineStr">
        <is>
          <t>A 1890-2024</t>
        </is>
      </c>
      <c r="B76" s="1" t="n">
        <v>45308</v>
      </c>
      <c r="C76" s="1" t="n">
        <v>45637</v>
      </c>
      <c r="D76" t="inlineStr">
        <is>
          <t>NORRBOTTENS LÄN</t>
        </is>
      </c>
      <c r="E76" t="inlineStr">
        <is>
          <t>JOKKMOKK</t>
        </is>
      </c>
      <c r="F76" t="inlineStr">
        <is>
          <t>Sveaskog</t>
        </is>
      </c>
      <c r="G76" t="n">
        <v>2.9</v>
      </c>
      <c r="H76" t="n">
        <v>0</v>
      </c>
      <c r="I76" t="n">
        <v>0</v>
      </c>
      <c r="J76" t="n">
        <v>2</v>
      </c>
      <c r="K76" t="n">
        <v>0</v>
      </c>
      <c r="L76" t="n">
        <v>0</v>
      </c>
      <c r="M76" t="n">
        <v>0</v>
      </c>
      <c r="N76" t="n">
        <v>0</v>
      </c>
      <c r="O76" t="n">
        <v>2</v>
      </c>
      <c r="P76" t="n">
        <v>0</v>
      </c>
      <c r="Q76" t="n">
        <v>2</v>
      </c>
      <c r="R76" s="2" t="inlineStr">
        <is>
          <t>Kolflarnlav
Tallticka</t>
        </is>
      </c>
      <c r="S76">
        <f>HYPERLINK("https://klasma.github.io/Logging_2510/artfynd/A 1890-2024 artfynd.xlsx", "A 1890-2024")</f>
        <v/>
      </c>
      <c r="T76">
        <f>HYPERLINK("https://klasma.github.io/Logging_2510/kartor/A 1890-2024 karta.png", "A 1890-2024")</f>
        <v/>
      </c>
      <c r="V76">
        <f>HYPERLINK("https://klasma.github.io/Logging_2510/klagomål/A 1890-2024 FSC-klagomål.docx", "A 1890-2024")</f>
        <v/>
      </c>
      <c r="W76">
        <f>HYPERLINK("https://klasma.github.io/Logging_2510/klagomålsmail/A 1890-2024 FSC-klagomål mail.docx", "A 1890-2024")</f>
        <v/>
      </c>
      <c r="X76">
        <f>HYPERLINK("https://klasma.github.io/Logging_2510/tillsyn/A 1890-2024 tillsynsbegäran.docx", "A 1890-2024")</f>
        <v/>
      </c>
      <c r="Y76">
        <f>HYPERLINK("https://klasma.github.io/Logging_2510/tillsynsmail/A 1890-2024 tillsynsbegäran mail.docx", "A 1890-2024")</f>
        <v/>
      </c>
    </row>
    <row r="77" ht="15" customHeight="1">
      <c r="A77" t="inlineStr">
        <is>
          <t>A 53366-2024</t>
        </is>
      </c>
      <c r="B77" s="1" t="n">
        <v>45614</v>
      </c>
      <c r="C77" s="1" t="n">
        <v>45637</v>
      </c>
      <c r="D77" t="inlineStr">
        <is>
          <t>NORRBOTTENS LÄN</t>
        </is>
      </c>
      <c r="E77" t="inlineStr">
        <is>
          <t>JOKKMOKK</t>
        </is>
      </c>
      <c r="F77" t="inlineStr">
        <is>
          <t>Sveaskog</t>
        </is>
      </c>
      <c r="G77" t="n">
        <v>4.5</v>
      </c>
      <c r="H77" t="n">
        <v>0</v>
      </c>
      <c r="I77" t="n">
        <v>0</v>
      </c>
      <c r="J77" t="n">
        <v>2</v>
      </c>
      <c r="K77" t="n">
        <v>0</v>
      </c>
      <c r="L77" t="n">
        <v>0</v>
      </c>
      <c r="M77" t="n">
        <v>0</v>
      </c>
      <c r="N77" t="n">
        <v>0</v>
      </c>
      <c r="O77" t="n">
        <v>2</v>
      </c>
      <c r="P77" t="n">
        <v>0</v>
      </c>
      <c r="Q77" t="n">
        <v>2</v>
      </c>
      <c r="R77" s="2" t="inlineStr">
        <is>
          <t>Kolflarnlav
Skrovlig taggsvamp</t>
        </is>
      </c>
      <c r="S77">
        <f>HYPERLINK("https://klasma.github.io/Logging_2510/artfynd/A 53366-2024 artfynd.xlsx", "A 53366-2024")</f>
        <v/>
      </c>
      <c r="T77">
        <f>HYPERLINK("https://klasma.github.io/Logging_2510/kartor/A 53366-2024 karta.png", "A 53366-2024")</f>
        <v/>
      </c>
      <c r="V77">
        <f>HYPERLINK("https://klasma.github.io/Logging_2510/klagomål/A 53366-2024 FSC-klagomål.docx", "A 53366-2024")</f>
        <v/>
      </c>
      <c r="W77">
        <f>HYPERLINK("https://klasma.github.io/Logging_2510/klagomålsmail/A 53366-2024 FSC-klagomål mail.docx", "A 53366-2024")</f>
        <v/>
      </c>
      <c r="X77">
        <f>HYPERLINK("https://klasma.github.io/Logging_2510/tillsyn/A 53366-2024 tillsynsbegäran.docx", "A 53366-2024")</f>
        <v/>
      </c>
      <c r="Y77">
        <f>HYPERLINK("https://klasma.github.io/Logging_2510/tillsynsmail/A 53366-2024 tillsynsbegäran mail.docx", "A 53366-2024")</f>
        <v/>
      </c>
    </row>
    <row r="78" ht="15" customHeight="1">
      <c r="A78" t="inlineStr">
        <is>
          <t>A 33473-2019</t>
        </is>
      </c>
      <c r="B78" s="1" t="n">
        <v>43650</v>
      </c>
      <c r="C78" s="1" t="n">
        <v>45637</v>
      </c>
      <c r="D78" t="inlineStr">
        <is>
          <t>NORRBOTTENS LÄN</t>
        </is>
      </c>
      <c r="E78" t="inlineStr">
        <is>
          <t>JOKKMOKK</t>
        </is>
      </c>
      <c r="F78" t="inlineStr">
        <is>
          <t>SCA</t>
        </is>
      </c>
      <c r="G78" t="n">
        <v>3.7</v>
      </c>
      <c r="H78" t="n">
        <v>0</v>
      </c>
      <c r="I78" t="n">
        <v>1</v>
      </c>
      <c r="J78" t="n">
        <v>0</v>
      </c>
      <c r="K78" t="n">
        <v>0</v>
      </c>
      <c r="L78" t="n">
        <v>0</v>
      </c>
      <c r="M78" t="n">
        <v>0</v>
      </c>
      <c r="N78" t="n">
        <v>0</v>
      </c>
      <c r="O78" t="n">
        <v>0</v>
      </c>
      <c r="P78" t="n">
        <v>0</v>
      </c>
      <c r="Q78" t="n">
        <v>1</v>
      </c>
      <c r="R78" s="2" t="inlineStr">
        <is>
          <t>Dropptaggsvamp</t>
        </is>
      </c>
      <c r="S78">
        <f>HYPERLINK("https://klasma.github.io/Logging_2510/artfynd/A 33473-2019 artfynd.xlsx", "A 33473-2019")</f>
        <v/>
      </c>
      <c r="T78">
        <f>HYPERLINK("https://klasma.github.io/Logging_2510/kartor/A 33473-2019 karta.png", "A 33473-2019")</f>
        <v/>
      </c>
      <c r="V78">
        <f>HYPERLINK("https://klasma.github.io/Logging_2510/klagomål/A 33473-2019 FSC-klagomål.docx", "A 33473-2019")</f>
        <v/>
      </c>
      <c r="W78">
        <f>HYPERLINK("https://klasma.github.io/Logging_2510/klagomålsmail/A 33473-2019 FSC-klagomål mail.docx", "A 33473-2019")</f>
        <v/>
      </c>
      <c r="X78">
        <f>HYPERLINK("https://klasma.github.io/Logging_2510/tillsyn/A 33473-2019 tillsynsbegäran.docx", "A 33473-2019")</f>
        <v/>
      </c>
      <c r="Y78">
        <f>HYPERLINK("https://klasma.github.io/Logging_2510/tillsynsmail/A 33473-2019 tillsynsbegäran mail.docx", "A 33473-2019")</f>
        <v/>
      </c>
    </row>
    <row r="79" ht="15" customHeight="1">
      <c r="A79" t="inlineStr">
        <is>
          <t>A 33820-2019</t>
        </is>
      </c>
      <c r="B79" s="1" t="n">
        <v>43651</v>
      </c>
      <c r="C79" s="1" t="n">
        <v>45637</v>
      </c>
      <c r="D79" t="inlineStr">
        <is>
          <t>NORRBOTTENS LÄN</t>
        </is>
      </c>
      <c r="E79" t="inlineStr">
        <is>
          <t>JOKKMOKK</t>
        </is>
      </c>
      <c r="F79" t="inlineStr">
        <is>
          <t>SCA</t>
        </is>
      </c>
      <c r="G79" t="n">
        <v>3.7</v>
      </c>
      <c r="H79" t="n">
        <v>0</v>
      </c>
      <c r="I79" t="n">
        <v>1</v>
      </c>
      <c r="J79" t="n">
        <v>0</v>
      </c>
      <c r="K79" t="n">
        <v>0</v>
      </c>
      <c r="L79" t="n">
        <v>0</v>
      </c>
      <c r="M79" t="n">
        <v>0</v>
      </c>
      <c r="N79" t="n">
        <v>0</v>
      </c>
      <c r="O79" t="n">
        <v>0</v>
      </c>
      <c r="P79" t="n">
        <v>0</v>
      </c>
      <c r="Q79" t="n">
        <v>1</v>
      </c>
      <c r="R79" s="2" t="inlineStr">
        <is>
          <t>Dropptaggsvamp</t>
        </is>
      </c>
      <c r="S79">
        <f>HYPERLINK("https://klasma.github.io/Logging_2510/artfynd/A 33820-2019 artfynd.xlsx", "A 33820-2019")</f>
        <v/>
      </c>
      <c r="T79">
        <f>HYPERLINK("https://klasma.github.io/Logging_2510/kartor/A 33820-2019 karta.png", "A 33820-2019")</f>
        <v/>
      </c>
      <c r="V79">
        <f>HYPERLINK("https://klasma.github.io/Logging_2510/klagomål/A 33820-2019 FSC-klagomål.docx", "A 33820-2019")</f>
        <v/>
      </c>
      <c r="W79">
        <f>HYPERLINK("https://klasma.github.io/Logging_2510/klagomålsmail/A 33820-2019 FSC-klagomål mail.docx", "A 33820-2019")</f>
        <v/>
      </c>
      <c r="X79">
        <f>HYPERLINK("https://klasma.github.io/Logging_2510/tillsyn/A 33820-2019 tillsynsbegäran.docx", "A 33820-2019")</f>
        <v/>
      </c>
      <c r="Y79">
        <f>HYPERLINK("https://klasma.github.io/Logging_2510/tillsynsmail/A 33820-2019 tillsynsbegäran mail.docx", "A 33820-2019")</f>
        <v/>
      </c>
    </row>
    <row r="80" ht="15" customHeight="1">
      <c r="A80" t="inlineStr">
        <is>
          <t>A 51875-2020</t>
        </is>
      </c>
      <c r="B80" s="1" t="n">
        <v>44109</v>
      </c>
      <c r="C80" s="1" t="n">
        <v>45637</v>
      </c>
      <c r="D80" t="inlineStr">
        <is>
          <t>NORRBOTTENS LÄN</t>
        </is>
      </c>
      <c r="E80" t="inlineStr">
        <is>
          <t>JOKKMOKK</t>
        </is>
      </c>
      <c r="F80" t="inlineStr">
        <is>
          <t>Allmännings- och besparingsskogar</t>
        </is>
      </c>
      <c r="G80" t="n">
        <v>28</v>
      </c>
      <c r="H80" t="n">
        <v>0</v>
      </c>
      <c r="I80" t="n">
        <v>0</v>
      </c>
      <c r="J80" t="n">
        <v>1</v>
      </c>
      <c r="K80" t="n">
        <v>0</v>
      </c>
      <c r="L80" t="n">
        <v>0</v>
      </c>
      <c r="M80" t="n">
        <v>0</v>
      </c>
      <c r="N80" t="n">
        <v>0</v>
      </c>
      <c r="O80" t="n">
        <v>1</v>
      </c>
      <c r="P80" t="n">
        <v>0</v>
      </c>
      <c r="Q80" t="n">
        <v>1</v>
      </c>
      <c r="R80" s="2" t="inlineStr">
        <is>
          <t>Vitplätt</t>
        </is>
      </c>
      <c r="S80">
        <f>HYPERLINK("https://klasma.github.io/Logging_2510/artfynd/A 51875-2020 artfynd.xlsx", "A 51875-2020")</f>
        <v/>
      </c>
      <c r="T80">
        <f>HYPERLINK("https://klasma.github.io/Logging_2510/kartor/A 51875-2020 karta.png", "A 51875-2020")</f>
        <v/>
      </c>
      <c r="V80">
        <f>HYPERLINK("https://klasma.github.io/Logging_2510/klagomål/A 51875-2020 FSC-klagomål.docx", "A 51875-2020")</f>
        <v/>
      </c>
      <c r="W80">
        <f>HYPERLINK("https://klasma.github.io/Logging_2510/klagomålsmail/A 51875-2020 FSC-klagomål mail.docx", "A 51875-2020")</f>
        <v/>
      </c>
      <c r="X80">
        <f>HYPERLINK("https://klasma.github.io/Logging_2510/tillsyn/A 51875-2020 tillsynsbegäran.docx", "A 51875-2020")</f>
        <v/>
      </c>
      <c r="Y80">
        <f>HYPERLINK("https://klasma.github.io/Logging_2510/tillsynsmail/A 51875-2020 tillsynsbegäran mail.docx", "A 51875-2020")</f>
        <v/>
      </c>
    </row>
    <row r="81" ht="15" customHeight="1">
      <c r="A81" t="inlineStr">
        <is>
          <t>A 36594-2021</t>
        </is>
      </c>
      <c r="B81" s="1" t="n">
        <v>44391</v>
      </c>
      <c r="C81" s="1" t="n">
        <v>45637</v>
      </c>
      <c r="D81" t="inlineStr">
        <is>
          <t>NORRBOTTENS LÄN</t>
        </is>
      </c>
      <c r="E81" t="inlineStr">
        <is>
          <t>JOKKMOKK</t>
        </is>
      </c>
      <c r="F81" t="inlineStr">
        <is>
          <t>Sveaskog</t>
        </is>
      </c>
      <c r="G81" t="n">
        <v>5.8</v>
      </c>
      <c r="H81" t="n">
        <v>1</v>
      </c>
      <c r="I81" t="n">
        <v>0</v>
      </c>
      <c r="J81" t="n">
        <v>0</v>
      </c>
      <c r="K81" t="n">
        <v>1</v>
      </c>
      <c r="L81" t="n">
        <v>0</v>
      </c>
      <c r="M81" t="n">
        <v>0</v>
      </c>
      <c r="N81" t="n">
        <v>0</v>
      </c>
      <c r="O81" t="n">
        <v>1</v>
      </c>
      <c r="P81" t="n">
        <v>1</v>
      </c>
      <c r="Q81" t="n">
        <v>1</v>
      </c>
      <c r="R81" s="2" t="inlineStr">
        <is>
          <t>Doftticka</t>
        </is>
      </c>
      <c r="S81">
        <f>HYPERLINK("https://klasma.github.io/Logging_2510/artfynd/A 36594-2021 artfynd.xlsx", "A 36594-2021")</f>
        <v/>
      </c>
      <c r="T81">
        <f>HYPERLINK("https://klasma.github.io/Logging_2510/kartor/A 36594-2021 karta.png", "A 36594-2021")</f>
        <v/>
      </c>
      <c r="V81">
        <f>HYPERLINK("https://klasma.github.io/Logging_2510/klagomål/A 36594-2021 FSC-klagomål.docx", "A 36594-2021")</f>
        <v/>
      </c>
      <c r="W81">
        <f>HYPERLINK("https://klasma.github.io/Logging_2510/klagomålsmail/A 36594-2021 FSC-klagomål mail.docx", "A 36594-2021")</f>
        <v/>
      </c>
      <c r="X81">
        <f>HYPERLINK("https://klasma.github.io/Logging_2510/tillsyn/A 36594-2021 tillsynsbegäran.docx", "A 36594-2021")</f>
        <v/>
      </c>
      <c r="Y81">
        <f>HYPERLINK("https://klasma.github.io/Logging_2510/tillsynsmail/A 36594-2021 tillsynsbegäran mail.docx", "A 36594-2021")</f>
        <v/>
      </c>
    </row>
    <row r="82" ht="15" customHeight="1">
      <c r="A82" t="inlineStr">
        <is>
          <t>A 72480-2021</t>
        </is>
      </c>
      <c r="B82" s="1" t="n">
        <v>44545</v>
      </c>
      <c r="C82" s="1" t="n">
        <v>45637</v>
      </c>
      <c r="D82" t="inlineStr">
        <is>
          <t>NORRBOTTENS LÄN</t>
        </is>
      </c>
      <c r="E82" t="inlineStr">
        <is>
          <t>JOKKMOKK</t>
        </is>
      </c>
      <c r="G82" t="n">
        <v>8.800000000000001</v>
      </c>
      <c r="H82" t="n">
        <v>0</v>
      </c>
      <c r="I82" t="n">
        <v>0</v>
      </c>
      <c r="J82" t="n">
        <v>1</v>
      </c>
      <c r="K82" t="n">
        <v>0</v>
      </c>
      <c r="L82" t="n">
        <v>0</v>
      </c>
      <c r="M82" t="n">
        <v>0</v>
      </c>
      <c r="N82" t="n">
        <v>0</v>
      </c>
      <c r="O82" t="n">
        <v>1</v>
      </c>
      <c r="P82" t="n">
        <v>0</v>
      </c>
      <c r="Q82" t="n">
        <v>1</v>
      </c>
      <c r="R82" s="2" t="inlineStr">
        <is>
          <t>Dvärgbägarlav</t>
        </is>
      </c>
      <c r="S82">
        <f>HYPERLINK("https://klasma.github.io/Logging_2510/artfynd/A 72480-2021 artfynd.xlsx", "A 72480-2021")</f>
        <v/>
      </c>
      <c r="T82">
        <f>HYPERLINK("https://klasma.github.io/Logging_2510/kartor/A 72480-2021 karta.png", "A 72480-2021")</f>
        <v/>
      </c>
      <c r="V82">
        <f>HYPERLINK("https://klasma.github.io/Logging_2510/klagomål/A 72480-2021 FSC-klagomål.docx", "A 72480-2021")</f>
        <v/>
      </c>
      <c r="W82">
        <f>HYPERLINK("https://klasma.github.io/Logging_2510/klagomålsmail/A 72480-2021 FSC-klagomål mail.docx", "A 72480-2021")</f>
        <v/>
      </c>
      <c r="X82">
        <f>HYPERLINK("https://klasma.github.io/Logging_2510/tillsyn/A 72480-2021 tillsynsbegäran.docx", "A 72480-2021")</f>
        <v/>
      </c>
      <c r="Y82">
        <f>HYPERLINK("https://klasma.github.io/Logging_2510/tillsynsmail/A 72480-2021 tillsynsbegäran mail.docx", "A 72480-2021")</f>
        <v/>
      </c>
    </row>
    <row r="83" ht="15" customHeight="1">
      <c r="A83" t="inlineStr">
        <is>
          <t>A 47505-2022</t>
        </is>
      </c>
      <c r="B83" s="1" t="n">
        <v>44853</v>
      </c>
      <c r="C83" s="1" t="n">
        <v>45637</v>
      </c>
      <c r="D83" t="inlineStr">
        <is>
          <t>NORRBOTTENS LÄN</t>
        </is>
      </c>
      <c r="E83" t="inlineStr">
        <is>
          <t>JOKKMOKK</t>
        </is>
      </c>
      <c r="F83" t="inlineStr">
        <is>
          <t>Sveaskog</t>
        </is>
      </c>
      <c r="G83" t="n">
        <v>2.7</v>
      </c>
      <c r="H83" t="n">
        <v>1</v>
      </c>
      <c r="I83" t="n">
        <v>0</v>
      </c>
      <c r="J83" t="n">
        <v>0</v>
      </c>
      <c r="K83" t="n">
        <v>0</v>
      </c>
      <c r="L83" t="n">
        <v>0</v>
      </c>
      <c r="M83" t="n">
        <v>0</v>
      </c>
      <c r="N83" t="n">
        <v>0</v>
      </c>
      <c r="O83" t="n">
        <v>0</v>
      </c>
      <c r="P83" t="n">
        <v>0</v>
      </c>
      <c r="Q83" t="n">
        <v>1</v>
      </c>
      <c r="R83" s="2" t="inlineStr">
        <is>
          <t>Lavskrika</t>
        </is>
      </c>
      <c r="S83">
        <f>HYPERLINK("https://klasma.github.io/Logging_2510/artfynd/A 47505-2022 artfynd.xlsx", "A 47505-2022")</f>
        <v/>
      </c>
      <c r="T83">
        <f>HYPERLINK("https://klasma.github.io/Logging_2510/kartor/A 47505-2022 karta.png", "A 47505-2022")</f>
        <v/>
      </c>
      <c r="V83">
        <f>HYPERLINK("https://klasma.github.io/Logging_2510/klagomål/A 47505-2022 FSC-klagomål.docx", "A 47505-2022")</f>
        <v/>
      </c>
      <c r="W83">
        <f>HYPERLINK("https://klasma.github.io/Logging_2510/klagomålsmail/A 47505-2022 FSC-klagomål mail.docx", "A 47505-2022")</f>
        <v/>
      </c>
      <c r="X83">
        <f>HYPERLINK("https://klasma.github.io/Logging_2510/tillsyn/A 47505-2022 tillsynsbegäran.docx", "A 47505-2022")</f>
        <v/>
      </c>
      <c r="Y83">
        <f>HYPERLINK("https://klasma.github.io/Logging_2510/tillsynsmail/A 47505-2022 tillsynsbegäran mail.docx", "A 47505-2022")</f>
        <v/>
      </c>
      <c r="Z83">
        <f>HYPERLINK("https://klasma.github.io/Logging_2510/fåglar/A 47505-2022 prioriterade fågelarter.docx", "A 47505-2022")</f>
        <v/>
      </c>
    </row>
    <row r="84" ht="15" customHeight="1">
      <c r="A84" t="inlineStr">
        <is>
          <t>A 5824-2023</t>
        </is>
      </c>
      <c r="B84" s="1" t="n">
        <v>44958</v>
      </c>
      <c r="C84" s="1" t="n">
        <v>45637</v>
      </c>
      <c r="D84" t="inlineStr">
        <is>
          <t>NORRBOTTENS LÄN</t>
        </is>
      </c>
      <c r="E84" t="inlineStr">
        <is>
          <t>JOKKMOKK</t>
        </is>
      </c>
      <c r="G84" t="n">
        <v>6.7</v>
      </c>
      <c r="H84" t="n">
        <v>0</v>
      </c>
      <c r="I84" t="n">
        <v>0</v>
      </c>
      <c r="J84" t="n">
        <v>1</v>
      </c>
      <c r="K84" t="n">
        <v>0</v>
      </c>
      <c r="L84" t="n">
        <v>0</v>
      </c>
      <c r="M84" t="n">
        <v>0</v>
      </c>
      <c r="N84" t="n">
        <v>0</v>
      </c>
      <c r="O84" t="n">
        <v>1</v>
      </c>
      <c r="P84" t="n">
        <v>0</v>
      </c>
      <c r="Q84" t="n">
        <v>1</v>
      </c>
      <c r="R84" s="2" t="inlineStr">
        <is>
          <t>Granticka</t>
        </is>
      </c>
      <c r="S84">
        <f>HYPERLINK("https://klasma.github.io/Logging_2510/artfynd/A 5824-2023 artfynd.xlsx", "A 5824-2023")</f>
        <v/>
      </c>
      <c r="T84">
        <f>HYPERLINK("https://klasma.github.io/Logging_2510/kartor/A 5824-2023 karta.png", "A 5824-2023")</f>
        <v/>
      </c>
      <c r="V84">
        <f>HYPERLINK("https://klasma.github.io/Logging_2510/klagomål/A 5824-2023 FSC-klagomål.docx", "A 5824-2023")</f>
        <v/>
      </c>
      <c r="W84">
        <f>HYPERLINK("https://klasma.github.io/Logging_2510/klagomålsmail/A 5824-2023 FSC-klagomål mail.docx", "A 5824-2023")</f>
        <v/>
      </c>
      <c r="X84">
        <f>HYPERLINK("https://klasma.github.io/Logging_2510/tillsyn/A 5824-2023 tillsynsbegäran.docx", "A 5824-2023")</f>
        <v/>
      </c>
      <c r="Y84">
        <f>HYPERLINK("https://klasma.github.io/Logging_2510/tillsynsmail/A 5824-2023 tillsynsbegäran mail.docx", "A 5824-2023")</f>
        <v/>
      </c>
    </row>
    <row r="85" ht="15" customHeight="1">
      <c r="A85" t="inlineStr">
        <is>
          <t>A 23026-2023</t>
        </is>
      </c>
      <c r="B85" s="1" t="n">
        <v>45073</v>
      </c>
      <c r="C85" s="1" t="n">
        <v>45637</v>
      </c>
      <c r="D85" t="inlineStr">
        <is>
          <t>NORRBOTTENS LÄN</t>
        </is>
      </c>
      <c r="E85" t="inlineStr">
        <is>
          <t>JOKKMOKK</t>
        </is>
      </c>
      <c r="F85" t="inlineStr">
        <is>
          <t>SCA</t>
        </is>
      </c>
      <c r="G85" t="n">
        <v>3.1</v>
      </c>
      <c r="H85" t="n">
        <v>0</v>
      </c>
      <c r="I85" t="n">
        <v>1</v>
      </c>
      <c r="J85" t="n">
        <v>0</v>
      </c>
      <c r="K85" t="n">
        <v>0</v>
      </c>
      <c r="L85" t="n">
        <v>0</v>
      </c>
      <c r="M85" t="n">
        <v>0</v>
      </c>
      <c r="N85" t="n">
        <v>0</v>
      </c>
      <c r="O85" t="n">
        <v>0</v>
      </c>
      <c r="P85" t="n">
        <v>0</v>
      </c>
      <c r="Q85" t="n">
        <v>1</v>
      </c>
      <c r="R85" s="2" t="inlineStr">
        <is>
          <t>Bollvitmossa</t>
        </is>
      </c>
      <c r="S85">
        <f>HYPERLINK("https://klasma.github.io/Logging_2510/artfynd/A 23026-2023 artfynd.xlsx", "A 23026-2023")</f>
        <v/>
      </c>
      <c r="T85">
        <f>HYPERLINK("https://klasma.github.io/Logging_2510/kartor/A 23026-2023 karta.png", "A 23026-2023")</f>
        <v/>
      </c>
      <c r="V85">
        <f>HYPERLINK("https://klasma.github.io/Logging_2510/klagomål/A 23026-2023 FSC-klagomål.docx", "A 23026-2023")</f>
        <v/>
      </c>
      <c r="W85">
        <f>HYPERLINK("https://klasma.github.io/Logging_2510/klagomålsmail/A 23026-2023 FSC-klagomål mail.docx", "A 23026-2023")</f>
        <v/>
      </c>
      <c r="X85">
        <f>HYPERLINK("https://klasma.github.io/Logging_2510/tillsyn/A 23026-2023 tillsynsbegäran.docx", "A 23026-2023")</f>
        <v/>
      </c>
      <c r="Y85">
        <f>HYPERLINK("https://klasma.github.io/Logging_2510/tillsynsmail/A 23026-2023 tillsynsbegäran mail.docx", "A 23026-2023")</f>
        <v/>
      </c>
    </row>
    <row r="86" ht="15" customHeight="1">
      <c r="A86" t="inlineStr">
        <is>
          <t>A 28089-2023</t>
        </is>
      </c>
      <c r="B86" s="1" t="n">
        <v>45099</v>
      </c>
      <c r="C86" s="1" t="n">
        <v>45637</v>
      </c>
      <c r="D86" t="inlineStr">
        <is>
          <t>NORRBOTTENS LÄN</t>
        </is>
      </c>
      <c r="E86" t="inlineStr">
        <is>
          <t>JOKKMOKK</t>
        </is>
      </c>
      <c r="F86" t="inlineStr">
        <is>
          <t>Sveaskog</t>
        </is>
      </c>
      <c r="G86" t="n">
        <v>2.1</v>
      </c>
      <c r="H86" t="n">
        <v>0</v>
      </c>
      <c r="I86" t="n">
        <v>0</v>
      </c>
      <c r="J86" t="n">
        <v>1</v>
      </c>
      <c r="K86" t="n">
        <v>0</v>
      </c>
      <c r="L86" t="n">
        <v>0</v>
      </c>
      <c r="M86" t="n">
        <v>0</v>
      </c>
      <c r="N86" t="n">
        <v>0</v>
      </c>
      <c r="O86" t="n">
        <v>1</v>
      </c>
      <c r="P86" t="n">
        <v>0</v>
      </c>
      <c r="Q86" t="n">
        <v>1</v>
      </c>
      <c r="R86" s="2" t="inlineStr">
        <is>
          <t>Kolflarnlav</t>
        </is>
      </c>
      <c r="S86">
        <f>HYPERLINK("https://klasma.github.io/Logging_2510/artfynd/A 28089-2023 artfynd.xlsx", "A 28089-2023")</f>
        <v/>
      </c>
      <c r="T86">
        <f>HYPERLINK("https://klasma.github.io/Logging_2510/kartor/A 28089-2023 karta.png", "A 28089-2023")</f>
        <v/>
      </c>
      <c r="V86">
        <f>HYPERLINK("https://klasma.github.io/Logging_2510/klagomål/A 28089-2023 FSC-klagomål.docx", "A 28089-2023")</f>
        <v/>
      </c>
      <c r="W86">
        <f>HYPERLINK("https://klasma.github.io/Logging_2510/klagomålsmail/A 28089-2023 FSC-klagomål mail.docx", "A 28089-2023")</f>
        <v/>
      </c>
      <c r="X86">
        <f>HYPERLINK("https://klasma.github.io/Logging_2510/tillsyn/A 28089-2023 tillsynsbegäran.docx", "A 28089-2023")</f>
        <v/>
      </c>
      <c r="Y86">
        <f>HYPERLINK("https://klasma.github.io/Logging_2510/tillsynsmail/A 28089-2023 tillsynsbegäran mail.docx", "A 28089-2023")</f>
        <v/>
      </c>
    </row>
    <row r="87" ht="15" customHeight="1">
      <c r="A87" t="inlineStr">
        <is>
          <t>A 31490-2023</t>
        </is>
      </c>
      <c r="B87" s="1" t="n">
        <v>45114</v>
      </c>
      <c r="C87" s="1" t="n">
        <v>45637</v>
      </c>
      <c r="D87" t="inlineStr">
        <is>
          <t>NORRBOTTENS LÄN</t>
        </is>
      </c>
      <c r="E87" t="inlineStr">
        <is>
          <t>JOKKMOKK</t>
        </is>
      </c>
      <c r="F87" t="inlineStr">
        <is>
          <t>Allmännings- och besparingsskogar</t>
        </is>
      </c>
      <c r="G87" t="n">
        <v>7.7</v>
      </c>
      <c r="H87" t="n">
        <v>0</v>
      </c>
      <c r="I87" t="n">
        <v>1</v>
      </c>
      <c r="J87" t="n">
        <v>0</v>
      </c>
      <c r="K87" t="n">
        <v>0</v>
      </c>
      <c r="L87" t="n">
        <v>0</v>
      </c>
      <c r="M87" t="n">
        <v>0</v>
      </c>
      <c r="N87" t="n">
        <v>0</v>
      </c>
      <c r="O87" t="n">
        <v>0</v>
      </c>
      <c r="P87" t="n">
        <v>0</v>
      </c>
      <c r="Q87" t="n">
        <v>1</v>
      </c>
      <c r="R87" s="2" t="inlineStr">
        <is>
          <t>Norrlandslav</t>
        </is>
      </c>
      <c r="S87">
        <f>HYPERLINK("https://klasma.github.io/Logging_2510/artfynd/A 31490-2023 artfynd.xlsx", "A 31490-2023")</f>
        <v/>
      </c>
      <c r="T87">
        <f>HYPERLINK("https://klasma.github.io/Logging_2510/kartor/A 31490-2023 karta.png", "A 31490-2023")</f>
        <v/>
      </c>
      <c r="V87">
        <f>HYPERLINK("https://klasma.github.io/Logging_2510/klagomål/A 31490-2023 FSC-klagomål.docx", "A 31490-2023")</f>
        <v/>
      </c>
      <c r="W87">
        <f>HYPERLINK("https://klasma.github.io/Logging_2510/klagomålsmail/A 31490-2023 FSC-klagomål mail.docx", "A 31490-2023")</f>
        <v/>
      </c>
      <c r="X87">
        <f>HYPERLINK("https://klasma.github.io/Logging_2510/tillsyn/A 31490-2023 tillsynsbegäran.docx", "A 31490-2023")</f>
        <v/>
      </c>
      <c r="Y87">
        <f>HYPERLINK("https://klasma.github.io/Logging_2510/tillsynsmail/A 31490-2023 tillsynsbegäran mail.docx", "A 31490-2023")</f>
        <v/>
      </c>
    </row>
    <row r="88" ht="15" customHeight="1">
      <c r="A88" t="inlineStr">
        <is>
          <t>A 40466-2023</t>
        </is>
      </c>
      <c r="B88" s="1" t="n">
        <v>45170</v>
      </c>
      <c r="C88" s="1" t="n">
        <v>45637</v>
      </c>
      <c r="D88" t="inlineStr">
        <is>
          <t>NORRBOTTENS LÄN</t>
        </is>
      </c>
      <c r="E88" t="inlineStr">
        <is>
          <t>JOKKMOKK</t>
        </is>
      </c>
      <c r="F88" t="inlineStr">
        <is>
          <t>Sveaskog</t>
        </is>
      </c>
      <c r="G88" t="n">
        <v>1.5</v>
      </c>
      <c r="H88" t="n">
        <v>0</v>
      </c>
      <c r="I88" t="n">
        <v>0</v>
      </c>
      <c r="J88" t="n">
        <v>1</v>
      </c>
      <c r="K88" t="n">
        <v>0</v>
      </c>
      <c r="L88" t="n">
        <v>0</v>
      </c>
      <c r="M88" t="n">
        <v>0</v>
      </c>
      <c r="N88" t="n">
        <v>0</v>
      </c>
      <c r="O88" t="n">
        <v>1</v>
      </c>
      <c r="P88" t="n">
        <v>0</v>
      </c>
      <c r="Q88" t="n">
        <v>1</v>
      </c>
      <c r="R88" s="2" t="inlineStr">
        <is>
          <t>Motaggsvamp</t>
        </is>
      </c>
      <c r="S88">
        <f>HYPERLINK("https://klasma.github.io/Logging_2510/artfynd/A 40466-2023 artfynd.xlsx", "A 40466-2023")</f>
        <v/>
      </c>
      <c r="T88">
        <f>HYPERLINK("https://klasma.github.io/Logging_2510/kartor/A 40466-2023 karta.png", "A 40466-2023")</f>
        <v/>
      </c>
      <c r="V88">
        <f>HYPERLINK("https://klasma.github.io/Logging_2510/klagomål/A 40466-2023 FSC-klagomål.docx", "A 40466-2023")</f>
        <v/>
      </c>
      <c r="W88">
        <f>HYPERLINK("https://klasma.github.io/Logging_2510/klagomålsmail/A 40466-2023 FSC-klagomål mail.docx", "A 40466-2023")</f>
        <v/>
      </c>
      <c r="X88">
        <f>HYPERLINK("https://klasma.github.io/Logging_2510/tillsyn/A 40466-2023 tillsynsbegäran.docx", "A 40466-2023")</f>
        <v/>
      </c>
      <c r="Y88">
        <f>HYPERLINK("https://klasma.github.io/Logging_2510/tillsynsmail/A 40466-2023 tillsynsbegäran mail.docx", "A 40466-2023")</f>
        <v/>
      </c>
    </row>
    <row r="89" ht="15" customHeight="1">
      <c r="A89" t="inlineStr">
        <is>
          <t>A 51580-2023</t>
        </is>
      </c>
      <c r="B89" s="1" t="n">
        <v>45222</v>
      </c>
      <c r="C89" s="1" t="n">
        <v>45637</v>
      </c>
      <c r="D89" t="inlineStr">
        <is>
          <t>NORRBOTTENS LÄN</t>
        </is>
      </c>
      <c r="E89" t="inlineStr">
        <is>
          <t>JOKKMOKK</t>
        </is>
      </c>
      <c r="G89" t="n">
        <v>11.1</v>
      </c>
      <c r="H89" t="n">
        <v>1</v>
      </c>
      <c r="I89" t="n">
        <v>0</v>
      </c>
      <c r="J89" t="n">
        <v>0</v>
      </c>
      <c r="K89" t="n">
        <v>1</v>
      </c>
      <c r="L89" t="n">
        <v>0</v>
      </c>
      <c r="M89" t="n">
        <v>0</v>
      </c>
      <c r="N89" t="n">
        <v>0</v>
      </c>
      <c r="O89" t="n">
        <v>1</v>
      </c>
      <c r="P89" t="n">
        <v>1</v>
      </c>
      <c r="Q89" t="n">
        <v>1</v>
      </c>
      <c r="R89" s="2" t="inlineStr">
        <is>
          <t>Norna</t>
        </is>
      </c>
      <c r="S89">
        <f>HYPERLINK("https://klasma.github.io/Logging_2510/artfynd/A 51580-2023 artfynd.xlsx", "A 51580-2023")</f>
        <v/>
      </c>
      <c r="T89">
        <f>HYPERLINK("https://klasma.github.io/Logging_2510/kartor/A 51580-2023 karta.png", "A 51580-2023")</f>
        <v/>
      </c>
      <c r="V89">
        <f>HYPERLINK("https://klasma.github.io/Logging_2510/klagomål/A 51580-2023 FSC-klagomål.docx", "A 51580-2023")</f>
        <v/>
      </c>
      <c r="W89">
        <f>HYPERLINK("https://klasma.github.io/Logging_2510/klagomålsmail/A 51580-2023 FSC-klagomål mail.docx", "A 51580-2023")</f>
        <v/>
      </c>
      <c r="X89">
        <f>HYPERLINK("https://klasma.github.io/Logging_2510/tillsyn/A 51580-2023 tillsynsbegäran.docx", "A 51580-2023")</f>
        <v/>
      </c>
      <c r="Y89">
        <f>HYPERLINK("https://klasma.github.io/Logging_2510/tillsynsmail/A 51580-2023 tillsynsbegäran mail.docx", "A 51580-2023")</f>
        <v/>
      </c>
    </row>
    <row r="90" ht="15" customHeight="1">
      <c r="A90" t="inlineStr">
        <is>
          <t>A 52537-2023</t>
        </is>
      </c>
      <c r="B90" s="1" t="n">
        <v>45225</v>
      </c>
      <c r="C90" s="1" t="n">
        <v>45637</v>
      </c>
      <c r="D90" t="inlineStr">
        <is>
          <t>NORRBOTTENS LÄN</t>
        </is>
      </c>
      <c r="E90" t="inlineStr">
        <is>
          <t>JOKKMOKK</t>
        </is>
      </c>
      <c r="F90" t="inlineStr">
        <is>
          <t>Övriga statliga verk och myndigheter</t>
        </is>
      </c>
      <c r="G90" t="n">
        <v>15.3</v>
      </c>
      <c r="H90" t="n">
        <v>0</v>
      </c>
      <c r="I90" t="n">
        <v>0</v>
      </c>
      <c r="J90" t="n">
        <v>1</v>
      </c>
      <c r="K90" t="n">
        <v>0</v>
      </c>
      <c r="L90" t="n">
        <v>0</v>
      </c>
      <c r="M90" t="n">
        <v>0</v>
      </c>
      <c r="N90" t="n">
        <v>0</v>
      </c>
      <c r="O90" t="n">
        <v>1</v>
      </c>
      <c r="P90" t="n">
        <v>0</v>
      </c>
      <c r="Q90" t="n">
        <v>1</v>
      </c>
      <c r="R90" s="2" t="inlineStr">
        <is>
          <t>Reliktbock</t>
        </is>
      </c>
      <c r="S90">
        <f>HYPERLINK("https://klasma.github.io/Logging_2510/artfynd/A 52537-2023 artfynd.xlsx", "A 52537-2023")</f>
        <v/>
      </c>
      <c r="T90">
        <f>HYPERLINK("https://klasma.github.io/Logging_2510/kartor/A 52537-2023 karta.png", "A 52537-2023")</f>
        <v/>
      </c>
      <c r="V90">
        <f>HYPERLINK("https://klasma.github.io/Logging_2510/klagomål/A 52537-2023 FSC-klagomål.docx", "A 52537-2023")</f>
        <v/>
      </c>
      <c r="W90">
        <f>HYPERLINK("https://klasma.github.io/Logging_2510/klagomålsmail/A 52537-2023 FSC-klagomål mail.docx", "A 52537-2023")</f>
        <v/>
      </c>
      <c r="X90">
        <f>HYPERLINK("https://klasma.github.io/Logging_2510/tillsyn/A 52537-2023 tillsynsbegäran.docx", "A 52537-2023")</f>
        <v/>
      </c>
      <c r="Y90">
        <f>HYPERLINK("https://klasma.github.io/Logging_2510/tillsynsmail/A 52537-2023 tillsynsbegäran mail.docx", "A 52537-2023")</f>
        <v/>
      </c>
    </row>
    <row r="91" ht="15" customHeight="1">
      <c r="A91" t="inlineStr">
        <is>
          <t>A 58068-2023</t>
        </is>
      </c>
      <c r="B91" s="1" t="n">
        <v>45247</v>
      </c>
      <c r="C91" s="1" t="n">
        <v>45637</v>
      </c>
      <c r="D91" t="inlineStr">
        <is>
          <t>NORRBOTTENS LÄN</t>
        </is>
      </c>
      <c r="E91" t="inlineStr">
        <is>
          <t>JOKKMOKK</t>
        </is>
      </c>
      <c r="G91" t="n">
        <v>3.1</v>
      </c>
      <c r="H91" t="n">
        <v>0</v>
      </c>
      <c r="I91" t="n">
        <v>1</v>
      </c>
      <c r="J91" t="n">
        <v>0</v>
      </c>
      <c r="K91" t="n">
        <v>0</v>
      </c>
      <c r="L91" t="n">
        <v>0</v>
      </c>
      <c r="M91" t="n">
        <v>0</v>
      </c>
      <c r="N91" t="n">
        <v>0</v>
      </c>
      <c r="O91" t="n">
        <v>0</v>
      </c>
      <c r="P91" t="n">
        <v>0</v>
      </c>
      <c r="Q91" t="n">
        <v>1</v>
      </c>
      <c r="R91" s="2" t="inlineStr">
        <is>
          <t>Källmossa</t>
        </is>
      </c>
      <c r="S91">
        <f>HYPERLINK("https://klasma.github.io/Logging_2510/artfynd/A 58068-2023 artfynd.xlsx", "A 58068-2023")</f>
        <v/>
      </c>
      <c r="T91">
        <f>HYPERLINK("https://klasma.github.io/Logging_2510/kartor/A 58068-2023 karta.png", "A 58068-2023")</f>
        <v/>
      </c>
      <c r="V91">
        <f>HYPERLINK("https://klasma.github.io/Logging_2510/klagomål/A 58068-2023 FSC-klagomål.docx", "A 58068-2023")</f>
        <v/>
      </c>
      <c r="W91">
        <f>HYPERLINK("https://klasma.github.io/Logging_2510/klagomålsmail/A 58068-2023 FSC-klagomål mail.docx", "A 58068-2023")</f>
        <v/>
      </c>
      <c r="X91">
        <f>HYPERLINK("https://klasma.github.io/Logging_2510/tillsyn/A 58068-2023 tillsynsbegäran.docx", "A 58068-2023")</f>
        <v/>
      </c>
      <c r="Y91">
        <f>HYPERLINK("https://klasma.github.io/Logging_2510/tillsynsmail/A 58068-2023 tillsynsbegäran mail.docx", "A 58068-2023")</f>
        <v/>
      </c>
    </row>
    <row r="92" ht="15" customHeight="1">
      <c r="A92" t="inlineStr">
        <is>
          <t>A 29675-2024</t>
        </is>
      </c>
      <c r="B92" s="1" t="n">
        <v>45485</v>
      </c>
      <c r="C92" s="1" t="n">
        <v>45637</v>
      </c>
      <c r="D92" t="inlineStr">
        <is>
          <t>NORRBOTTENS LÄN</t>
        </is>
      </c>
      <c r="E92" t="inlineStr">
        <is>
          <t>JOKKMOKK</t>
        </is>
      </c>
      <c r="F92" t="inlineStr">
        <is>
          <t>SCA</t>
        </is>
      </c>
      <c r="G92" t="n">
        <v>35.7</v>
      </c>
      <c r="H92" t="n">
        <v>0</v>
      </c>
      <c r="I92" t="n">
        <v>0</v>
      </c>
      <c r="J92" t="n">
        <v>0</v>
      </c>
      <c r="K92" t="n">
        <v>1</v>
      </c>
      <c r="L92" t="n">
        <v>0</v>
      </c>
      <c r="M92" t="n">
        <v>0</v>
      </c>
      <c r="N92" t="n">
        <v>0</v>
      </c>
      <c r="O92" t="n">
        <v>1</v>
      </c>
      <c r="P92" t="n">
        <v>1</v>
      </c>
      <c r="Q92" t="n">
        <v>1</v>
      </c>
      <c r="R92" s="2" t="inlineStr">
        <is>
          <t>Liten aspgelélav</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row>
    <row r="93" ht="15" customHeight="1">
      <c r="A93" t="inlineStr">
        <is>
          <t>A 36111-2024</t>
        </is>
      </c>
      <c r="B93" s="1" t="n">
        <v>45534</v>
      </c>
      <c r="C93" s="1" t="n">
        <v>45637</v>
      </c>
      <c r="D93" t="inlineStr">
        <is>
          <t>NORRBOTTENS LÄN</t>
        </is>
      </c>
      <c r="E93" t="inlineStr">
        <is>
          <t>JOKKMOKK</t>
        </is>
      </c>
      <c r="F93" t="inlineStr">
        <is>
          <t>Sveaskog</t>
        </is>
      </c>
      <c r="G93" t="n">
        <v>1.7</v>
      </c>
      <c r="H93" t="n">
        <v>0</v>
      </c>
      <c r="I93" t="n">
        <v>1</v>
      </c>
      <c r="J93" t="n">
        <v>0</v>
      </c>
      <c r="K93" t="n">
        <v>0</v>
      </c>
      <c r="L93" t="n">
        <v>0</v>
      </c>
      <c r="M93" t="n">
        <v>0</v>
      </c>
      <c r="N93" t="n">
        <v>0</v>
      </c>
      <c r="O93" t="n">
        <v>0</v>
      </c>
      <c r="P93" t="n">
        <v>0</v>
      </c>
      <c r="Q93" t="n">
        <v>1</v>
      </c>
      <c r="R93" s="2" t="inlineStr">
        <is>
          <t>Skarp dropptaggsvamp</t>
        </is>
      </c>
      <c r="S93">
        <f>HYPERLINK("https://klasma.github.io/Logging_2510/artfynd/A 36111-2024 artfynd.xlsx", "A 36111-2024")</f>
        <v/>
      </c>
      <c r="T93">
        <f>HYPERLINK("https://klasma.github.io/Logging_2510/kartor/A 36111-2024 karta.png", "A 36111-2024")</f>
        <v/>
      </c>
      <c r="V93">
        <f>HYPERLINK("https://klasma.github.io/Logging_2510/klagomål/A 36111-2024 FSC-klagomål.docx", "A 36111-2024")</f>
        <v/>
      </c>
      <c r="W93">
        <f>HYPERLINK("https://klasma.github.io/Logging_2510/klagomålsmail/A 36111-2024 FSC-klagomål mail.docx", "A 36111-2024")</f>
        <v/>
      </c>
      <c r="X93">
        <f>HYPERLINK("https://klasma.github.io/Logging_2510/tillsyn/A 36111-2024 tillsynsbegäran.docx", "A 36111-2024")</f>
        <v/>
      </c>
      <c r="Y93">
        <f>HYPERLINK("https://klasma.github.io/Logging_2510/tillsynsmail/A 36111-2024 tillsynsbegäran mail.docx", "A 36111-2024")</f>
        <v/>
      </c>
    </row>
    <row r="94" ht="15" customHeight="1">
      <c r="A94" t="inlineStr">
        <is>
          <t>A 36112-2024</t>
        </is>
      </c>
      <c r="B94" s="1" t="n">
        <v>45534</v>
      </c>
      <c r="C94" s="1" t="n">
        <v>45637</v>
      </c>
      <c r="D94" t="inlineStr">
        <is>
          <t>NORRBOTTENS LÄN</t>
        </is>
      </c>
      <c r="E94" t="inlineStr">
        <is>
          <t>JOKKMOKK</t>
        </is>
      </c>
      <c r="F94" t="inlineStr">
        <is>
          <t>Sveaskog</t>
        </is>
      </c>
      <c r="G94" t="n">
        <v>2.7</v>
      </c>
      <c r="H94" t="n">
        <v>0</v>
      </c>
      <c r="I94" t="n">
        <v>0</v>
      </c>
      <c r="J94" t="n">
        <v>1</v>
      </c>
      <c r="K94" t="n">
        <v>0</v>
      </c>
      <c r="L94" t="n">
        <v>0</v>
      </c>
      <c r="M94" t="n">
        <v>0</v>
      </c>
      <c r="N94" t="n">
        <v>0</v>
      </c>
      <c r="O94" t="n">
        <v>1</v>
      </c>
      <c r="P94" t="n">
        <v>0</v>
      </c>
      <c r="Q94" t="n">
        <v>1</v>
      </c>
      <c r="R94" s="2" t="inlineStr">
        <is>
          <t>Tallriska</t>
        </is>
      </c>
      <c r="S94">
        <f>HYPERLINK("https://klasma.github.io/Logging_2510/artfynd/A 36112-2024 artfynd.xlsx", "A 36112-2024")</f>
        <v/>
      </c>
      <c r="T94">
        <f>HYPERLINK("https://klasma.github.io/Logging_2510/kartor/A 36112-2024 karta.png", "A 36112-2024")</f>
        <v/>
      </c>
      <c r="V94">
        <f>HYPERLINK("https://klasma.github.io/Logging_2510/klagomål/A 36112-2024 FSC-klagomål.docx", "A 36112-2024")</f>
        <v/>
      </c>
      <c r="W94">
        <f>HYPERLINK("https://klasma.github.io/Logging_2510/klagomålsmail/A 36112-2024 FSC-klagomål mail.docx", "A 36112-2024")</f>
        <v/>
      </c>
      <c r="X94">
        <f>HYPERLINK("https://klasma.github.io/Logging_2510/tillsyn/A 36112-2024 tillsynsbegäran.docx", "A 36112-2024")</f>
        <v/>
      </c>
      <c r="Y94">
        <f>HYPERLINK("https://klasma.github.io/Logging_2510/tillsynsmail/A 36112-2024 tillsynsbegäran mail.docx", "A 36112-2024")</f>
        <v/>
      </c>
    </row>
    <row r="95" ht="15" customHeight="1">
      <c r="A95" t="inlineStr">
        <is>
          <t>A 40126-2024</t>
        </is>
      </c>
      <c r="B95" s="1" t="n">
        <v>45554</v>
      </c>
      <c r="C95" s="1" t="n">
        <v>45637</v>
      </c>
      <c r="D95" t="inlineStr">
        <is>
          <t>NORRBOTTENS LÄN</t>
        </is>
      </c>
      <c r="E95" t="inlineStr">
        <is>
          <t>JOKKMOKK</t>
        </is>
      </c>
      <c r="F95" t="inlineStr">
        <is>
          <t>Sveaskog</t>
        </is>
      </c>
      <c r="G95" t="n">
        <v>4.1</v>
      </c>
      <c r="H95" t="n">
        <v>1</v>
      </c>
      <c r="I95" t="n">
        <v>0</v>
      </c>
      <c r="J95" t="n">
        <v>0</v>
      </c>
      <c r="K95" t="n">
        <v>1</v>
      </c>
      <c r="L95" t="n">
        <v>0</v>
      </c>
      <c r="M95" t="n">
        <v>0</v>
      </c>
      <c r="N95" t="n">
        <v>0</v>
      </c>
      <c r="O95" t="n">
        <v>1</v>
      </c>
      <c r="P95" t="n">
        <v>1</v>
      </c>
      <c r="Q95" t="n">
        <v>1</v>
      </c>
      <c r="R95" s="2" t="inlineStr">
        <is>
          <t>Doftticka</t>
        </is>
      </c>
      <c r="S95">
        <f>HYPERLINK("https://klasma.github.io/Logging_2510/artfynd/A 40126-2024 artfynd.xlsx", "A 40126-2024")</f>
        <v/>
      </c>
      <c r="T95">
        <f>HYPERLINK("https://klasma.github.io/Logging_2510/kartor/A 40126-2024 karta.png", "A 40126-2024")</f>
        <v/>
      </c>
      <c r="V95">
        <f>HYPERLINK("https://klasma.github.io/Logging_2510/klagomål/A 40126-2024 FSC-klagomål.docx", "A 40126-2024")</f>
        <v/>
      </c>
      <c r="W95">
        <f>HYPERLINK("https://klasma.github.io/Logging_2510/klagomålsmail/A 40126-2024 FSC-klagomål mail.docx", "A 40126-2024")</f>
        <v/>
      </c>
      <c r="X95">
        <f>HYPERLINK("https://klasma.github.io/Logging_2510/tillsyn/A 40126-2024 tillsynsbegäran.docx", "A 40126-2024")</f>
        <v/>
      </c>
      <c r="Y95">
        <f>HYPERLINK("https://klasma.github.io/Logging_2510/tillsynsmail/A 40126-2024 tillsynsbegäran mail.docx", "A 40126-2024")</f>
        <v/>
      </c>
    </row>
    <row r="96" ht="15" customHeight="1">
      <c r="A96" t="inlineStr">
        <is>
          <t>A 43039-2024</t>
        </is>
      </c>
      <c r="B96" s="1" t="n">
        <v>45567</v>
      </c>
      <c r="C96" s="1" t="n">
        <v>45637</v>
      </c>
      <c r="D96" t="inlineStr">
        <is>
          <t>NORRBOTTENS LÄN</t>
        </is>
      </c>
      <c r="E96" t="inlineStr">
        <is>
          <t>JOKKMOKK</t>
        </is>
      </c>
      <c r="F96" t="inlineStr">
        <is>
          <t>Sveaskog</t>
        </is>
      </c>
      <c r="G96" t="n">
        <v>8.199999999999999</v>
      </c>
      <c r="H96" t="n">
        <v>1</v>
      </c>
      <c r="I96" t="n">
        <v>0</v>
      </c>
      <c r="J96" t="n">
        <v>0</v>
      </c>
      <c r="K96" t="n">
        <v>1</v>
      </c>
      <c r="L96" t="n">
        <v>0</v>
      </c>
      <c r="M96" t="n">
        <v>0</v>
      </c>
      <c r="N96" t="n">
        <v>0</v>
      </c>
      <c r="O96" t="n">
        <v>1</v>
      </c>
      <c r="P96" t="n">
        <v>1</v>
      </c>
      <c r="Q96" t="n">
        <v>1</v>
      </c>
      <c r="R96" s="2" t="inlineStr">
        <is>
          <t>Doftticka</t>
        </is>
      </c>
      <c r="S96">
        <f>HYPERLINK("https://klasma.github.io/Logging_2510/artfynd/A 43039-2024 artfynd.xlsx", "A 43039-2024")</f>
        <v/>
      </c>
      <c r="T96">
        <f>HYPERLINK("https://klasma.github.io/Logging_2510/kartor/A 43039-2024 karta.png", "A 43039-2024")</f>
        <v/>
      </c>
      <c r="V96">
        <f>HYPERLINK("https://klasma.github.io/Logging_2510/klagomål/A 43039-2024 FSC-klagomål.docx", "A 43039-2024")</f>
        <v/>
      </c>
      <c r="W96">
        <f>HYPERLINK("https://klasma.github.io/Logging_2510/klagomålsmail/A 43039-2024 FSC-klagomål mail.docx", "A 43039-2024")</f>
        <v/>
      </c>
      <c r="X96">
        <f>HYPERLINK("https://klasma.github.io/Logging_2510/tillsyn/A 43039-2024 tillsynsbegäran.docx", "A 43039-2024")</f>
        <v/>
      </c>
      <c r="Y96">
        <f>HYPERLINK("https://klasma.github.io/Logging_2510/tillsynsmail/A 43039-2024 tillsynsbegäran mail.docx", "A 43039-2024")</f>
        <v/>
      </c>
    </row>
    <row r="97" ht="15" customHeight="1">
      <c r="A97" t="inlineStr">
        <is>
          <t>A 43023-2024</t>
        </is>
      </c>
      <c r="B97" s="1" t="n">
        <v>45567</v>
      </c>
      <c r="C97" s="1" t="n">
        <v>45637</v>
      </c>
      <c r="D97" t="inlineStr">
        <is>
          <t>NORRBOTTENS LÄN</t>
        </is>
      </c>
      <c r="E97" t="inlineStr">
        <is>
          <t>JOKKMOKK</t>
        </is>
      </c>
      <c r="F97" t="inlineStr">
        <is>
          <t>Sveaskog</t>
        </is>
      </c>
      <c r="G97" t="n">
        <v>11.1</v>
      </c>
      <c r="H97" t="n">
        <v>0</v>
      </c>
      <c r="I97" t="n">
        <v>1</v>
      </c>
      <c r="J97" t="n">
        <v>0</v>
      </c>
      <c r="K97" t="n">
        <v>0</v>
      </c>
      <c r="L97" t="n">
        <v>0</v>
      </c>
      <c r="M97" t="n">
        <v>0</v>
      </c>
      <c r="N97" t="n">
        <v>0</v>
      </c>
      <c r="O97" t="n">
        <v>0</v>
      </c>
      <c r="P97" t="n">
        <v>0</v>
      </c>
      <c r="Q97" t="n">
        <v>1</v>
      </c>
      <c r="R97" s="2" t="inlineStr">
        <is>
          <t>Skarp dropptaggsvamp</t>
        </is>
      </c>
      <c r="S97">
        <f>HYPERLINK("https://klasma.github.io/Logging_2510/artfynd/A 43023-2024 artfynd.xlsx", "A 43023-2024")</f>
        <v/>
      </c>
      <c r="T97">
        <f>HYPERLINK("https://klasma.github.io/Logging_2510/kartor/A 43023-2024 karta.png", "A 43023-2024")</f>
        <v/>
      </c>
      <c r="V97">
        <f>HYPERLINK("https://klasma.github.io/Logging_2510/klagomål/A 43023-2024 FSC-klagomål.docx", "A 43023-2024")</f>
        <v/>
      </c>
      <c r="W97">
        <f>HYPERLINK("https://klasma.github.io/Logging_2510/klagomålsmail/A 43023-2024 FSC-klagomål mail.docx", "A 43023-2024")</f>
        <v/>
      </c>
      <c r="X97">
        <f>HYPERLINK("https://klasma.github.io/Logging_2510/tillsyn/A 43023-2024 tillsynsbegäran.docx", "A 43023-2024")</f>
        <v/>
      </c>
      <c r="Y97">
        <f>HYPERLINK("https://klasma.github.io/Logging_2510/tillsynsmail/A 43023-2024 tillsynsbegäran mail.docx", "A 43023-2024")</f>
        <v/>
      </c>
    </row>
    <row r="98" ht="15" customHeight="1">
      <c r="A98" t="inlineStr">
        <is>
          <t>A 46388-2024</t>
        </is>
      </c>
      <c r="B98" s="1" t="n">
        <v>45582</v>
      </c>
      <c r="C98" s="1" t="n">
        <v>45637</v>
      </c>
      <c r="D98" t="inlineStr">
        <is>
          <t>NORRBOTTENS LÄN</t>
        </is>
      </c>
      <c r="E98" t="inlineStr">
        <is>
          <t>JOKKMOKK</t>
        </is>
      </c>
      <c r="F98" t="inlineStr">
        <is>
          <t>Sveaskog</t>
        </is>
      </c>
      <c r="G98" t="n">
        <v>1.3</v>
      </c>
      <c r="H98" t="n">
        <v>0</v>
      </c>
      <c r="I98" t="n">
        <v>0</v>
      </c>
      <c r="J98" t="n">
        <v>1</v>
      </c>
      <c r="K98" t="n">
        <v>0</v>
      </c>
      <c r="L98" t="n">
        <v>0</v>
      </c>
      <c r="M98" t="n">
        <v>0</v>
      </c>
      <c r="N98" t="n">
        <v>0</v>
      </c>
      <c r="O98" t="n">
        <v>1</v>
      </c>
      <c r="P98" t="n">
        <v>0</v>
      </c>
      <c r="Q98" t="n">
        <v>1</v>
      </c>
      <c r="R98" s="2" t="inlineStr">
        <is>
          <t>Kolflarnlav</t>
        </is>
      </c>
      <c r="S98">
        <f>HYPERLINK("https://klasma.github.io/Logging_2510/artfynd/A 46388-2024 artfynd.xlsx", "A 46388-2024")</f>
        <v/>
      </c>
      <c r="T98">
        <f>HYPERLINK("https://klasma.github.io/Logging_2510/kartor/A 46388-2024 karta.png", "A 46388-2024")</f>
        <v/>
      </c>
      <c r="V98">
        <f>HYPERLINK("https://klasma.github.io/Logging_2510/klagomål/A 46388-2024 FSC-klagomål.docx", "A 46388-2024")</f>
        <v/>
      </c>
      <c r="W98">
        <f>HYPERLINK("https://klasma.github.io/Logging_2510/klagomålsmail/A 46388-2024 FSC-klagomål mail.docx", "A 46388-2024")</f>
        <v/>
      </c>
      <c r="X98">
        <f>HYPERLINK("https://klasma.github.io/Logging_2510/tillsyn/A 46388-2024 tillsynsbegäran.docx", "A 46388-2024")</f>
        <v/>
      </c>
      <c r="Y98">
        <f>HYPERLINK("https://klasma.github.io/Logging_2510/tillsynsmail/A 46388-2024 tillsynsbegäran mail.docx", "A 46388-2024")</f>
        <v/>
      </c>
    </row>
    <row r="99" ht="15" customHeight="1">
      <c r="A99" t="inlineStr">
        <is>
          <t>A 49525-2024</t>
        </is>
      </c>
      <c r="B99" s="1" t="n">
        <v>45596</v>
      </c>
      <c r="C99" s="1" t="n">
        <v>45637</v>
      </c>
      <c r="D99" t="inlineStr">
        <is>
          <t>NORRBOTTENS LÄN</t>
        </is>
      </c>
      <c r="E99" t="inlineStr">
        <is>
          <t>JOKKMOKK</t>
        </is>
      </c>
      <c r="F99" t="inlineStr">
        <is>
          <t>SCA</t>
        </is>
      </c>
      <c r="G99" t="n">
        <v>2.5</v>
      </c>
      <c r="H99" t="n">
        <v>0</v>
      </c>
      <c r="I99" t="n">
        <v>0</v>
      </c>
      <c r="J99" t="n">
        <v>0</v>
      </c>
      <c r="K99" t="n">
        <v>1</v>
      </c>
      <c r="L99" t="n">
        <v>0</v>
      </c>
      <c r="M99" t="n">
        <v>0</v>
      </c>
      <c r="N99" t="n">
        <v>0</v>
      </c>
      <c r="O99" t="n">
        <v>1</v>
      </c>
      <c r="P99" t="n">
        <v>1</v>
      </c>
      <c r="Q99" t="n">
        <v>1</v>
      </c>
      <c r="R99" s="2" t="inlineStr">
        <is>
          <t>Ringlav</t>
        </is>
      </c>
      <c r="S99">
        <f>HYPERLINK("https://klasma.github.io/Logging_2510/artfynd/A 49525-2024 artfynd.xlsx", "A 49525-2024")</f>
        <v/>
      </c>
      <c r="T99">
        <f>HYPERLINK("https://klasma.github.io/Logging_2510/kartor/A 49525-2024 karta.png", "A 49525-2024")</f>
        <v/>
      </c>
      <c r="V99">
        <f>HYPERLINK("https://klasma.github.io/Logging_2510/klagomål/A 49525-2024 FSC-klagomål.docx", "A 49525-2024")</f>
        <v/>
      </c>
      <c r="W99">
        <f>HYPERLINK("https://klasma.github.io/Logging_2510/klagomålsmail/A 49525-2024 FSC-klagomål mail.docx", "A 49525-2024")</f>
        <v/>
      </c>
      <c r="X99">
        <f>HYPERLINK("https://klasma.github.io/Logging_2510/tillsyn/A 49525-2024 tillsynsbegäran.docx", "A 49525-2024")</f>
        <v/>
      </c>
      <c r="Y99">
        <f>HYPERLINK("https://klasma.github.io/Logging_2510/tillsynsmail/A 49525-2024 tillsynsbegäran mail.docx", "A 49525-2024")</f>
        <v/>
      </c>
    </row>
    <row r="100" ht="15" customHeight="1">
      <c r="A100" t="inlineStr">
        <is>
          <t>A 50121-2024</t>
        </is>
      </c>
      <c r="B100" s="1" t="n">
        <v>45600</v>
      </c>
      <c r="C100" s="1" t="n">
        <v>45637</v>
      </c>
      <c r="D100" t="inlineStr">
        <is>
          <t>NORRBOTTENS LÄN</t>
        </is>
      </c>
      <c r="E100" t="inlineStr">
        <is>
          <t>JOKKMOKK</t>
        </is>
      </c>
      <c r="G100" t="n">
        <v>2.3</v>
      </c>
      <c r="H100" t="n">
        <v>1</v>
      </c>
      <c r="I100" t="n">
        <v>0</v>
      </c>
      <c r="J100" t="n">
        <v>1</v>
      </c>
      <c r="K100" t="n">
        <v>0</v>
      </c>
      <c r="L100" t="n">
        <v>0</v>
      </c>
      <c r="M100" t="n">
        <v>0</v>
      </c>
      <c r="N100" t="n">
        <v>0</v>
      </c>
      <c r="O100" t="n">
        <v>1</v>
      </c>
      <c r="P100" t="n">
        <v>0</v>
      </c>
      <c r="Q100" t="n">
        <v>1</v>
      </c>
      <c r="R100" s="2" t="inlineStr">
        <is>
          <t>Buskskvätta</t>
        </is>
      </c>
      <c r="S100">
        <f>HYPERLINK("https://klasma.github.io/Logging_2510/artfynd/A 50121-2024 artfynd.xlsx", "A 50121-2024")</f>
        <v/>
      </c>
      <c r="T100">
        <f>HYPERLINK("https://klasma.github.io/Logging_2510/kartor/A 50121-2024 karta.png", "A 50121-2024")</f>
        <v/>
      </c>
      <c r="V100">
        <f>HYPERLINK("https://klasma.github.io/Logging_2510/klagomål/A 50121-2024 FSC-klagomål.docx", "A 50121-2024")</f>
        <v/>
      </c>
      <c r="W100">
        <f>HYPERLINK("https://klasma.github.io/Logging_2510/klagomålsmail/A 50121-2024 FSC-klagomål mail.docx", "A 50121-2024")</f>
        <v/>
      </c>
      <c r="X100">
        <f>HYPERLINK("https://klasma.github.io/Logging_2510/tillsyn/A 50121-2024 tillsynsbegäran.docx", "A 50121-2024")</f>
        <v/>
      </c>
      <c r="Y100">
        <f>HYPERLINK("https://klasma.github.io/Logging_2510/tillsynsmail/A 50121-2024 tillsynsbegäran mail.docx", "A 50121-2024")</f>
        <v/>
      </c>
      <c r="Z100">
        <f>HYPERLINK("https://klasma.github.io/Logging_2510/fåglar/A 50121-2024 prioriterade fågelarter.docx", "A 50121-2024")</f>
        <v/>
      </c>
    </row>
    <row r="101" ht="15" customHeight="1">
      <c r="A101" t="inlineStr">
        <is>
          <t>A 51497-2024</t>
        </is>
      </c>
      <c r="B101" s="1" t="n">
        <v>45604</v>
      </c>
      <c r="C101" s="1" t="n">
        <v>45637</v>
      </c>
      <c r="D101" t="inlineStr">
        <is>
          <t>NORRBOTTENS LÄN</t>
        </is>
      </c>
      <c r="E101" t="inlineStr">
        <is>
          <t>JOKKMOKK</t>
        </is>
      </c>
      <c r="G101" t="n">
        <v>16.6</v>
      </c>
      <c r="H101" t="n">
        <v>0</v>
      </c>
      <c r="I101" t="n">
        <v>0</v>
      </c>
      <c r="J101" t="n">
        <v>1</v>
      </c>
      <c r="K101" t="n">
        <v>0</v>
      </c>
      <c r="L101" t="n">
        <v>0</v>
      </c>
      <c r="M101" t="n">
        <v>0</v>
      </c>
      <c r="N101" t="n">
        <v>0</v>
      </c>
      <c r="O101" t="n">
        <v>1</v>
      </c>
      <c r="P101" t="n">
        <v>0</v>
      </c>
      <c r="Q101" t="n">
        <v>1</v>
      </c>
      <c r="R101" s="2" t="inlineStr">
        <is>
          <t>Tallticka</t>
        </is>
      </c>
      <c r="S101">
        <f>HYPERLINK("https://klasma.github.io/Logging_2510/artfynd/A 51497-2024 artfynd.xlsx", "A 51497-2024")</f>
        <v/>
      </c>
      <c r="T101">
        <f>HYPERLINK("https://klasma.github.io/Logging_2510/kartor/A 51497-2024 karta.png", "A 51497-2024")</f>
        <v/>
      </c>
      <c r="V101">
        <f>HYPERLINK("https://klasma.github.io/Logging_2510/klagomål/A 51497-2024 FSC-klagomål.docx", "A 51497-2024")</f>
        <v/>
      </c>
      <c r="W101">
        <f>HYPERLINK("https://klasma.github.io/Logging_2510/klagomålsmail/A 51497-2024 FSC-klagomål mail.docx", "A 51497-2024")</f>
        <v/>
      </c>
      <c r="X101">
        <f>HYPERLINK("https://klasma.github.io/Logging_2510/tillsyn/A 51497-2024 tillsynsbegäran.docx", "A 51497-2024")</f>
        <v/>
      </c>
      <c r="Y101">
        <f>HYPERLINK("https://klasma.github.io/Logging_2510/tillsynsmail/A 51497-2024 tillsynsbegäran mail.docx", "A 51497-2024")</f>
        <v/>
      </c>
    </row>
    <row r="102" ht="15" customHeight="1">
      <c r="A102" t="inlineStr">
        <is>
          <t>A 52260-2024</t>
        </is>
      </c>
      <c r="B102" s="1" t="n">
        <v>45608</v>
      </c>
      <c r="C102" s="1" t="n">
        <v>45637</v>
      </c>
      <c r="D102" t="inlineStr">
        <is>
          <t>NORRBOTTENS LÄN</t>
        </is>
      </c>
      <c r="E102" t="inlineStr">
        <is>
          <t>JOKKMOKK</t>
        </is>
      </c>
      <c r="F102" t="inlineStr">
        <is>
          <t>Allmännings- och besparingsskogar</t>
        </is>
      </c>
      <c r="G102" t="n">
        <v>11.6</v>
      </c>
      <c r="H102" t="n">
        <v>0</v>
      </c>
      <c r="I102" t="n">
        <v>0</v>
      </c>
      <c r="J102" t="n">
        <v>1</v>
      </c>
      <c r="K102" t="n">
        <v>0</v>
      </c>
      <c r="L102" t="n">
        <v>0</v>
      </c>
      <c r="M102" t="n">
        <v>0</v>
      </c>
      <c r="N102" t="n">
        <v>0</v>
      </c>
      <c r="O102" t="n">
        <v>1</v>
      </c>
      <c r="P102" t="n">
        <v>0</v>
      </c>
      <c r="Q102" t="n">
        <v>1</v>
      </c>
      <c r="R102" s="2" t="inlineStr">
        <is>
          <t>Tallticka</t>
        </is>
      </c>
      <c r="S102">
        <f>HYPERLINK("https://klasma.github.io/Logging_2510/artfynd/A 52260-2024 artfynd.xlsx", "A 52260-2024")</f>
        <v/>
      </c>
      <c r="T102">
        <f>HYPERLINK("https://klasma.github.io/Logging_2510/kartor/A 52260-2024 karta.png", "A 52260-2024")</f>
        <v/>
      </c>
      <c r="V102">
        <f>HYPERLINK("https://klasma.github.io/Logging_2510/klagomål/A 52260-2024 FSC-klagomål.docx", "A 52260-2024")</f>
        <v/>
      </c>
      <c r="W102">
        <f>HYPERLINK("https://klasma.github.io/Logging_2510/klagomålsmail/A 52260-2024 FSC-klagomål mail.docx", "A 52260-2024")</f>
        <v/>
      </c>
      <c r="X102">
        <f>HYPERLINK("https://klasma.github.io/Logging_2510/tillsyn/A 52260-2024 tillsynsbegäran.docx", "A 52260-2024")</f>
        <v/>
      </c>
      <c r="Y102">
        <f>HYPERLINK("https://klasma.github.io/Logging_2510/tillsynsmail/A 52260-2024 tillsynsbegäran mail.docx", "A 52260-2024")</f>
        <v/>
      </c>
    </row>
    <row r="103" ht="15" customHeight="1">
      <c r="A103" t="inlineStr">
        <is>
          <t>A 52994-2024</t>
        </is>
      </c>
      <c r="B103" s="1" t="n">
        <v>45611</v>
      </c>
      <c r="C103" s="1" t="n">
        <v>45637</v>
      </c>
      <c r="D103" t="inlineStr">
        <is>
          <t>NORRBOTTENS LÄN</t>
        </is>
      </c>
      <c r="E103" t="inlineStr">
        <is>
          <t>JOKKMOKK</t>
        </is>
      </c>
      <c r="F103" t="inlineStr">
        <is>
          <t>Sveaskog</t>
        </is>
      </c>
      <c r="G103" t="n">
        <v>17.1</v>
      </c>
      <c r="H103" t="n">
        <v>0</v>
      </c>
      <c r="I103" t="n">
        <v>0</v>
      </c>
      <c r="J103" t="n">
        <v>1</v>
      </c>
      <c r="K103" t="n">
        <v>0</v>
      </c>
      <c r="L103" t="n">
        <v>0</v>
      </c>
      <c r="M103" t="n">
        <v>0</v>
      </c>
      <c r="N103" t="n">
        <v>0</v>
      </c>
      <c r="O103" t="n">
        <v>1</v>
      </c>
      <c r="P103" t="n">
        <v>0</v>
      </c>
      <c r="Q103" t="n">
        <v>1</v>
      </c>
      <c r="R103" s="2" t="inlineStr">
        <is>
          <t>Blå taggsvamp</t>
        </is>
      </c>
      <c r="S103">
        <f>HYPERLINK("https://klasma.github.io/Logging_2510/artfynd/A 52994-2024 artfynd.xlsx", "A 52994-2024")</f>
        <v/>
      </c>
      <c r="T103">
        <f>HYPERLINK("https://klasma.github.io/Logging_2510/kartor/A 52994-2024 karta.png", "A 52994-2024")</f>
        <v/>
      </c>
      <c r="V103">
        <f>HYPERLINK("https://klasma.github.io/Logging_2510/klagomål/A 52994-2024 FSC-klagomål.docx", "A 52994-2024")</f>
        <v/>
      </c>
      <c r="W103">
        <f>HYPERLINK("https://klasma.github.io/Logging_2510/klagomålsmail/A 52994-2024 FSC-klagomål mail.docx", "A 52994-2024")</f>
        <v/>
      </c>
      <c r="X103">
        <f>HYPERLINK("https://klasma.github.io/Logging_2510/tillsyn/A 52994-2024 tillsynsbegäran.docx", "A 52994-2024")</f>
        <v/>
      </c>
      <c r="Y103">
        <f>HYPERLINK("https://klasma.github.io/Logging_2510/tillsynsmail/A 52994-2024 tillsynsbegäran mail.docx", "A 52994-2024")</f>
        <v/>
      </c>
    </row>
    <row r="104" ht="15" customHeight="1">
      <c r="A104" t="inlineStr">
        <is>
          <t>A 18282-2019</t>
        </is>
      </c>
      <c r="B104" s="1" t="n">
        <v>43558</v>
      </c>
      <c r="C104" s="1" t="n">
        <v>45637</v>
      </c>
      <c r="D104" t="inlineStr">
        <is>
          <t>NORRBOTTENS LÄN</t>
        </is>
      </c>
      <c r="E104" t="inlineStr">
        <is>
          <t>JOKKMOKK</t>
        </is>
      </c>
      <c r="G104" t="n">
        <v>1.3</v>
      </c>
      <c r="H104" t="n">
        <v>0</v>
      </c>
      <c r="I104" t="n">
        <v>0</v>
      </c>
      <c r="J104" t="n">
        <v>0</v>
      </c>
      <c r="K104" t="n">
        <v>0</v>
      </c>
      <c r="L104" t="n">
        <v>0</v>
      </c>
      <c r="M104" t="n">
        <v>0</v>
      </c>
      <c r="N104" t="n">
        <v>0</v>
      </c>
      <c r="O104" t="n">
        <v>0</v>
      </c>
      <c r="P104" t="n">
        <v>0</v>
      </c>
      <c r="Q104" t="n">
        <v>0</v>
      </c>
      <c r="R104" s="2" t="inlineStr"/>
    </row>
    <row r="105" ht="15" customHeight="1">
      <c r="A105" t="inlineStr">
        <is>
          <t>A 25606-2019</t>
        </is>
      </c>
      <c r="B105" s="1" t="n">
        <v>43602</v>
      </c>
      <c r="C105" s="1" t="n">
        <v>45637</v>
      </c>
      <c r="D105" t="inlineStr">
        <is>
          <t>NORRBOTTENS LÄN</t>
        </is>
      </c>
      <c r="E105" t="inlineStr">
        <is>
          <t>JOKKMOKK</t>
        </is>
      </c>
      <c r="F105" t="inlineStr">
        <is>
          <t>Allmännings- och besparingsskogar</t>
        </is>
      </c>
      <c r="G105" t="n">
        <v>17.9</v>
      </c>
      <c r="H105" t="n">
        <v>0</v>
      </c>
      <c r="I105" t="n">
        <v>0</v>
      </c>
      <c r="J105" t="n">
        <v>0</v>
      </c>
      <c r="K105" t="n">
        <v>0</v>
      </c>
      <c r="L105" t="n">
        <v>0</v>
      </c>
      <c r="M105" t="n">
        <v>0</v>
      </c>
      <c r="N105" t="n">
        <v>0</v>
      </c>
      <c r="O105" t="n">
        <v>0</v>
      </c>
      <c r="P105" t="n">
        <v>0</v>
      </c>
      <c r="Q105" t="n">
        <v>0</v>
      </c>
      <c r="R105" s="2" t="inlineStr"/>
    </row>
    <row r="106" ht="15" customHeight="1">
      <c r="A106" t="inlineStr">
        <is>
          <t>A 25351-2019</t>
        </is>
      </c>
      <c r="B106" s="1" t="n">
        <v>43606</v>
      </c>
      <c r="C106" s="1" t="n">
        <v>45637</v>
      </c>
      <c r="D106" t="inlineStr">
        <is>
          <t>NORRBOTTENS LÄN</t>
        </is>
      </c>
      <c r="E106" t="inlineStr">
        <is>
          <t>JOKKMOKK</t>
        </is>
      </c>
      <c r="F106" t="inlineStr">
        <is>
          <t>Sveaskog</t>
        </is>
      </c>
      <c r="G106" t="n">
        <v>47.8</v>
      </c>
      <c r="H106" t="n">
        <v>0</v>
      </c>
      <c r="I106" t="n">
        <v>0</v>
      </c>
      <c r="J106" t="n">
        <v>0</v>
      </c>
      <c r="K106" t="n">
        <v>0</v>
      </c>
      <c r="L106" t="n">
        <v>0</v>
      </c>
      <c r="M106" t="n">
        <v>0</v>
      </c>
      <c r="N106" t="n">
        <v>0</v>
      </c>
      <c r="O106" t="n">
        <v>0</v>
      </c>
      <c r="P106" t="n">
        <v>0</v>
      </c>
      <c r="Q106" t="n">
        <v>0</v>
      </c>
      <c r="R106" s="2" t="inlineStr"/>
    </row>
    <row r="107" ht="15" customHeight="1">
      <c r="A107" t="inlineStr">
        <is>
          <t>A 25352-2019</t>
        </is>
      </c>
      <c r="B107" s="1" t="n">
        <v>43606</v>
      </c>
      <c r="C107" s="1" t="n">
        <v>45637</v>
      </c>
      <c r="D107" t="inlineStr">
        <is>
          <t>NORRBOTTENS LÄN</t>
        </is>
      </c>
      <c r="E107" t="inlineStr">
        <is>
          <t>JOKKMOKK</t>
        </is>
      </c>
      <c r="F107" t="inlineStr">
        <is>
          <t>Sveaskog</t>
        </is>
      </c>
      <c r="G107" t="n">
        <v>60.5</v>
      </c>
      <c r="H107" t="n">
        <v>0</v>
      </c>
      <c r="I107" t="n">
        <v>0</v>
      </c>
      <c r="J107" t="n">
        <v>0</v>
      </c>
      <c r="K107" t="n">
        <v>0</v>
      </c>
      <c r="L107" t="n">
        <v>0</v>
      </c>
      <c r="M107" t="n">
        <v>0</v>
      </c>
      <c r="N107" t="n">
        <v>0</v>
      </c>
      <c r="O107" t="n">
        <v>0</v>
      </c>
      <c r="P107" t="n">
        <v>0</v>
      </c>
      <c r="Q107" t="n">
        <v>0</v>
      </c>
      <c r="R107" s="2" t="inlineStr"/>
    </row>
    <row r="108" ht="15" customHeight="1">
      <c r="A108" t="inlineStr">
        <is>
          <t>A 25981-2019</t>
        </is>
      </c>
      <c r="B108" s="1" t="n">
        <v>43608</v>
      </c>
      <c r="C108" s="1" t="n">
        <v>45637</v>
      </c>
      <c r="D108" t="inlineStr">
        <is>
          <t>NORRBOTTENS LÄN</t>
        </is>
      </c>
      <c r="E108" t="inlineStr">
        <is>
          <t>JOKKMOKK</t>
        </is>
      </c>
      <c r="G108" t="n">
        <v>2.6</v>
      </c>
      <c r="H108" t="n">
        <v>0</v>
      </c>
      <c r="I108" t="n">
        <v>0</v>
      </c>
      <c r="J108" t="n">
        <v>0</v>
      </c>
      <c r="K108" t="n">
        <v>0</v>
      </c>
      <c r="L108" t="n">
        <v>0</v>
      </c>
      <c r="M108" t="n">
        <v>0</v>
      </c>
      <c r="N108" t="n">
        <v>0</v>
      </c>
      <c r="O108" t="n">
        <v>0</v>
      </c>
      <c r="P108" t="n">
        <v>0</v>
      </c>
      <c r="Q108" t="n">
        <v>0</v>
      </c>
      <c r="R108" s="2" t="inlineStr"/>
    </row>
    <row r="109" ht="15" customHeight="1">
      <c r="A109" t="inlineStr">
        <is>
          <t>A 27041-2019</t>
        </is>
      </c>
      <c r="B109" s="1" t="n">
        <v>43614</v>
      </c>
      <c r="C109" s="1" t="n">
        <v>45637</v>
      </c>
      <c r="D109" t="inlineStr">
        <is>
          <t>NORRBOTTENS LÄN</t>
        </is>
      </c>
      <c r="E109" t="inlineStr">
        <is>
          <t>JOKKMOKK</t>
        </is>
      </c>
      <c r="F109" t="inlineStr">
        <is>
          <t>Sveaskog</t>
        </is>
      </c>
      <c r="G109" t="n">
        <v>3.6</v>
      </c>
      <c r="H109" t="n">
        <v>0</v>
      </c>
      <c r="I109" t="n">
        <v>0</v>
      </c>
      <c r="J109" t="n">
        <v>0</v>
      </c>
      <c r="K109" t="n">
        <v>0</v>
      </c>
      <c r="L109" t="n">
        <v>0</v>
      </c>
      <c r="M109" t="n">
        <v>0</v>
      </c>
      <c r="N109" t="n">
        <v>0</v>
      </c>
      <c r="O109" t="n">
        <v>0</v>
      </c>
      <c r="P109" t="n">
        <v>0</v>
      </c>
      <c r="Q109" t="n">
        <v>0</v>
      </c>
      <c r="R109" s="2" t="inlineStr"/>
    </row>
    <row r="110" ht="15" customHeight="1">
      <c r="A110" t="inlineStr">
        <is>
          <t>A 28379-2019</t>
        </is>
      </c>
      <c r="B110" s="1" t="n">
        <v>43626</v>
      </c>
      <c r="C110" s="1" t="n">
        <v>45637</v>
      </c>
      <c r="D110" t="inlineStr">
        <is>
          <t>NORRBOTTENS LÄN</t>
        </is>
      </c>
      <c r="E110" t="inlineStr">
        <is>
          <t>JOKKMOKK</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29447-2019</t>
        </is>
      </c>
      <c r="B111" s="1" t="n">
        <v>43626</v>
      </c>
      <c r="C111" s="1" t="n">
        <v>45637</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30042-2019</t>
        </is>
      </c>
      <c r="B112" s="1" t="n">
        <v>43633</v>
      </c>
      <c r="C112" s="1" t="n">
        <v>45637</v>
      </c>
      <c r="D112" t="inlineStr">
        <is>
          <t>NORRBOTTENS LÄN</t>
        </is>
      </c>
      <c r="E112" t="inlineStr">
        <is>
          <t>JOKKMOKK</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30264-2019</t>
        </is>
      </c>
      <c r="B113" s="1" t="n">
        <v>43633</v>
      </c>
      <c r="C113" s="1" t="n">
        <v>45637</v>
      </c>
      <c r="D113" t="inlineStr">
        <is>
          <t>NORRBOTTENS LÄN</t>
        </is>
      </c>
      <c r="E113" t="inlineStr">
        <is>
          <t>JOKKMOKK</t>
        </is>
      </c>
      <c r="G113" t="n">
        <v>1.4</v>
      </c>
      <c r="H113" t="n">
        <v>0</v>
      </c>
      <c r="I113" t="n">
        <v>0</v>
      </c>
      <c r="J113" t="n">
        <v>0</v>
      </c>
      <c r="K113" t="n">
        <v>0</v>
      </c>
      <c r="L113" t="n">
        <v>0</v>
      </c>
      <c r="M113" t="n">
        <v>0</v>
      </c>
      <c r="N113" t="n">
        <v>0</v>
      </c>
      <c r="O113" t="n">
        <v>0</v>
      </c>
      <c r="P113" t="n">
        <v>0</v>
      </c>
      <c r="Q113" t="n">
        <v>0</v>
      </c>
      <c r="R113" s="2" t="inlineStr"/>
    </row>
    <row r="114" ht="15" customHeight="1">
      <c r="A114" t="inlineStr">
        <is>
          <t>A 31895-2019</t>
        </is>
      </c>
      <c r="B114" s="1" t="n">
        <v>43642</v>
      </c>
      <c r="C114" s="1" t="n">
        <v>45637</v>
      </c>
      <c r="D114" t="inlineStr">
        <is>
          <t>NORRBOTTENS LÄN</t>
        </is>
      </c>
      <c r="E114" t="inlineStr">
        <is>
          <t>JOKKMOKK</t>
        </is>
      </c>
      <c r="G114" t="n">
        <v>0.8</v>
      </c>
      <c r="H114" t="n">
        <v>0</v>
      </c>
      <c r="I114" t="n">
        <v>0</v>
      </c>
      <c r="J114" t="n">
        <v>0</v>
      </c>
      <c r="K114" t="n">
        <v>0</v>
      </c>
      <c r="L114" t="n">
        <v>0</v>
      </c>
      <c r="M114" t="n">
        <v>0</v>
      </c>
      <c r="N114" t="n">
        <v>0</v>
      </c>
      <c r="O114" t="n">
        <v>0</v>
      </c>
      <c r="P114" t="n">
        <v>0</v>
      </c>
      <c r="Q114" t="n">
        <v>0</v>
      </c>
      <c r="R114" s="2" t="inlineStr"/>
    </row>
    <row r="115" ht="15" customHeight="1">
      <c r="A115" t="inlineStr">
        <is>
          <t>A 31896-2019</t>
        </is>
      </c>
      <c r="B115" s="1" t="n">
        <v>43642</v>
      </c>
      <c r="C115" s="1" t="n">
        <v>45637</v>
      </c>
      <c r="D115" t="inlineStr">
        <is>
          <t>NORRBOTTENS LÄN</t>
        </is>
      </c>
      <c r="E115" t="inlineStr">
        <is>
          <t>JOKKMOKK</t>
        </is>
      </c>
      <c r="G115" t="n">
        <v>7.1</v>
      </c>
      <c r="H115" t="n">
        <v>0</v>
      </c>
      <c r="I115" t="n">
        <v>0</v>
      </c>
      <c r="J115" t="n">
        <v>0</v>
      </c>
      <c r="K115" t="n">
        <v>0</v>
      </c>
      <c r="L115" t="n">
        <v>0</v>
      </c>
      <c r="M115" t="n">
        <v>0</v>
      </c>
      <c r="N115" t="n">
        <v>0</v>
      </c>
      <c r="O115" t="n">
        <v>0</v>
      </c>
      <c r="P115" t="n">
        <v>0</v>
      </c>
      <c r="Q115" t="n">
        <v>0</v>
      </c>
      <c r="R115" s="2" t="inlineStr"/>
    </row>
    <row r="116" ht="15" customHeight="1">
      <c r="A116" t="inlineStr">
        <is>
          <t>A 32476-2019</t>
        </is>
      </c>
      <c r="B116" s="1" t="n">
        <v>43644</v>
      </c>
      <c r="C116" s="1" t="n">
        <v>45637</v>
      </c>
      <c r="D116" t="inlineStr">
        <is>
          <t>NORRBOTTENS LÄN</t>
        </is>
      </c>
      <c r="E116" t="inlineStr">
        <is>
          <t>JOKKMOKK</t>
        </is>
      </c>
      <c r="F116" t="inlineStr">
        <is>
          <t>Naturvårdsverket</t>
        </is>
      </c>
      <c r="G116" t="n">
        <v>13.1</v>
      </c>
      <c r="H116" t="n">
        <v>0</v>
      </c>
      <c r="I116" t="n">
        <v>0</v>
      </c>
      <c r="J116" t="n">
        <v>0</v>
      </c>
      <c r="K116" t="n">
        <v>0</v>
      </c>
      <c r="L116" t="n">
        <v>0</v>
      </c>
      <c r="M116" t="n">
        <v>0</v>
      </c>
      <c r="N116" t="n">
        <v>0</v>
      </c>
      <c r="O116" t="n">
        <v>0</v>
      </c>
      <c r="P116" t="n">
        <v>0</v>
      </c>
      <c r="Q116" t="n">
        <v>0</v>
      </c>
      <c r="R116" s="2" t="inlineStr"/>
    </row>
    <row r="117" ht="15" customHeight="1">
      <c r="A117" t="inlineStr">
        <is>
          <t>A 33212-2019</t>
        </is>
      </c>
      <c r="B117" s="1" t="n">
        <v>43649</v>
      </c>
      <c r="C117" s="1" t="n">
        <v>45637</v>
      </c>
      <c r="D117" t="inlineStr">
        <is>
          <t>NORRBOTTENS LÄN</t>
        </is>
      </c>
      <c r="E117" t="inlineStr">
        <is>
          <t>JOKKMOKK</t>
        </is>
      </c>
      <c r="G117" t="n">
        <v>7.3</v>
      </c>
      <c r="H117" t="n">
        <v>0</v>
      </c>
      <c r="I117" t="n">
        <v>0</v>
      </c>
      <c r="J117" t="n">
        <v>0</v>
      </c>
      <c r="K117" t="n">
        <v>0</v>
      </c>
      <c r="L117" t="n">
        <v>0</v>
      </c>
      <c r="M117" t="n">
        <v>0</v>
      </c>
      <c r="N117" t="n">
        <v>0</v>
      </c>
      <c r="O117" t="n">
        <v>0</v>
      </c>
      <c r="P117" t="n">
        <v>0</v>
      </c>
      <c r="Q117" t="n">
        <v>0</v>
      </c>
      <c r="R117" s="2" t="inlineStr"/>
    </row>
    <row r="118" ht="15" customHeight="1">
      <c r="A118" t="inlineStr">
        <is>
          <t>A 33211-2019</t>
        </is>
      </c>
      <c r="B118" s="1" t="n">
        <v>43649</v>
      </c>
      <c r="C118" s="1" t="n">
        <v>45637</v>
      </c>
      <c r="D118" t="inlineStr">
        <is>
          <t>NORRBOTTENS LÄN</t>
        </is>
      </c>
      <c r="E118" t="inlineStr">
        <is>
          <t>JOKKMOKK</t>
        </is>
      </c>
      <c r="G118" t="n">
        <v>7.6</v>
      </c>
      <c r="H118" t="n">
        <v>0</v>
      </c>
      <c r="I118" t="n">
        <v>0</v>
      </c>
      <c r="J118" t="n">
        <v>0</v>
      </c>
      <c r="K118" t="n">
        <v>0</v>
      </c>
      <c r="L118" t="n">
        <v>0</v>
      </c>
      <c r="M118" t="n">
        <v>0</v>
      </c>
      <c r="N118" t="n">
        <v>0</v>
      </c>
      <c r="O118" t="n">
        <v>0</v>
      </c>
      <c r="P118" t="n">
        <v>0</v>
      </c>
      <c r="Q118" t="n">
        <v>0</v>
      </c>
      <c r="R118" s="2" t="inlineStr"/>
    </row>
    <row r="119" ht="15" customHeight="1">
      <c r="A119" t="inlineStr">
        <is>
          <t>A 33756-2019</t>
        </is>
      </c>
      <c r="B119" s="1" t="n">
        <v>43651</v>
      </c>
      <c r="C119" s="1" t="n">
        <v>45637</v>
      </c>
      <c r="D119" t="inlineStr">
        <is>
          <t>NORRBOTTENS LÄN</t>
        </is>
      </c>
      <c r="E119" t="inlineStr">
        <is>
          <t>JOKKMOKK</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33821-2019</t>
        </is>
      </c>
      <c r="B120" s="1" t="n">
        <v>43651</v>
      </c>
      <c r="C120" s="1" t="n">
        <v>45637</v>
      </c>
      <c r="D120" t="inlineStr">
        <is>
          <t>NORRBOTTENS LÄN</t>
        </is>
      </c>
      <c r="E120" t="inlineStr">
        <is>
          <t>JOKKMOKK</t>
        </is>
      </c>
      <c r="F120" t="inlineStr">
        <is>
          <t>SCA</t>
        </is>
      </c>
      <c r="G120" t="n">
        <v>1.9</v>
      </c>
      <c r="H120" t="n">
        <v>0</v>
      </c>
      <c r="I120" t="n">
        <v>0</v>
      </c>
      <c r="J120" t="n">
        <v>0</v>
      </c>
      <c r="K120" t="n">
        <v>0</v>
      </c>
      <c r="L120" t="n">
        <v>0</v>
      </c>
      <c r="M120" t="n">
        <v>0</v>
      </c>
      <c r="N120" t="n">
        <v>0</v>
      </c>
      <c r="O120" t="n">
        <v>0</v>
      </c>
      <c r="P120" t="n">
        <v>0</v>
      </c>
      <c r="Q120" t="n">
        <v>0</v>
      </c>
      <c r="R120" s="2" t="inlineStr"/>
    </row>
    <row r="121" ht="15" customHeight="1">
      <c r="A121" t="inlineStr">
        <is>
          <t>A 34046-2019</t>
        </is>
      </c>
      <c r="B121" s="1" t="n">
        <v>43654</v>
      </c>
      <c r="C121" s="1" t="n">
        <v>45637</v>
      </c>
      <c r="D121" t="inlineStr">
        <is>
          <t>NORRBOTTENS LÄN</t>
        </is>
      </c>
      <c r="E121" t="inlineStr">
        <is>
          <t>JOKKMOKK</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34586-2019</t>
        </is>
      </c>
      <c r="B122" s="1" t="n">
        <v>43657</v>
      </c>
      <c r="C122" s="1" t="n">
        <v>45637</v>
      </c>
      <c r="D122" t="inlineStr">
        <is>
          <t>NORRBOTTENS LÄN</t>
        </is>
      </c>
      <c r="E122" t="inlineStr">
        <is>
          <t>JOKKMOKK</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34571-2019</t>
        </is>
      </c>
      <c r="B123" s="1" t="n">
        <v>43657</v>
      </c>
      <c r="C123" s="1" t="n">
        <v>45637</v>
      </c>
      <c r="D123" t="inlineStr">
        <is>
          <t>NORRBOTTENS LÄN</t>
        </is>
      </c>
      <c r="E123" t="inlineStr">
        <is>
          <t>JOKKMOKK</t>
        </is>
      </c>
      <c r="F123" t="inlineStr">
        <is>
          <t>Sveaskog</t>
        </is>
      </c>
      <c r="G123" t="n">
        <v>2.6</v>
      </c>
      <c r="H123" t="n">
        <v>0</v>
      </c>
      <c r="I123" t="n">
        <v>0</v>
      </c>
      <c r="J123" t="n">
        <v>0</v>
      </c>
      <c r="K123" t="n">
        <v>0</v>
      </c>
      <c r="L123" t="n">
        <v>0</v>
      </c>
      <c r="M123" t="n">
        <v>0</v>
      </c>
      <c r="N123" t="n">
        <v>0</v>
      </c>
      <c r="O123" t="n">
        <v>0</v>
      </c>
      <c r="P123" t="n">
        <v>0</v>
      </c>
      <c r="Q123" t="n">
        <v>0</v>
      </c>
      <c r="R123" s="2" t="inlineStr"/>
    </row>
    <row r="124" ht="15" customHeight="1">
      <c r="A124" t="inlineStr">
        <is>
          <t>A 34590-2019</t>
        </is>
      </c>
      <c r="B124" s="1" t="n">
        <v>43657</v>
      </c>
      <c r="C124" s="1" t="n">
        <v>45637</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36821-2019</t>
        </is>
      </c>
      <c r="B125" s="1" t="n">
        <v>43673</v>
      </c>
      <c r="C125" s="1" t="n">
        <v>45637</v>
      </c>
      <c r="D125" t="inlineStr">
        <is>
          <t>NORRBOTTENS LÄN</t>
        </is>
      </c>
      <c r="E125" t="inlineStr">
        <is>
          <t>JOKKMOKK</t>
        </is>
      </c>
      <c r="G125" t="n">
        <v>0.3</v>
      </c>
      <c r="H125" t="n">
        <v>0</v>
      </c>
      <c r="I125" t="n">
        <v>0</v>
      </c>
      <c r="J125" t="n">
        <v>0</v>
      </c>
      <c r="K125" t="n">
        <v>0</v>
      </c>
      <c r="L125" t="n">
        <v>0</v>
      </c>
      <c r="M125" t="n">
        <v>0</v>
      </c>
      <c r="N125" t="n">
        <v>0</v>
      </c>
      <c r="O125" t="n">
        <v>0</v>
      </c>
      <c r="P125" t="n">
        <v>0</v>
      </c>
      <c r="Q125" t="n">
        <v>0</v>
      </c>
      <c r="R125" s="2" t="inlineStr"/>
    </row>
    <row r="126" ht="15" customHeight="1">
      <c r="A126" t="inlineStr">
        <is>
          <t>A 38093-2019</t>
        </is>
      </c>
      <c r="B126" s="1" t="n">
        <v>43677</v>
      </c>
      <c r="C126" s="1" t="n">
        <v>45637</v>
      </c>
      <c r="D126" t="inlineStr">
        <is>
          <t>NORRBOTTENS LÄN</t>
        </is>
      </c>
      <c r="E126" t="inlineStr">
        <is>
          <t>JOKKMOKK</t>
        </is>
      </c>
      <c r="F126" t="inlineStr">
        <is>
          <t>Övriga Aktiebolag</t>
        </is>
      </c>
      <c r="G126" t="n">
        <v>1.1</v>
      </c>
      <c r="H126" t="n">
        <v>0</v>
      </c>
      <c r="I126" t="n">
        <v>0</v>
      </c>
      <c r="J126" t="n">
        <v>0</v>
      </c>
      <c r="K126" t="n">
        <v>0</v>
      </c>
      <c r="L126" t="n">
        <v>0</v>
      </c>
      <c r="M126" t="n">
        <v>0</v>
      </c>
      <c r="N126" t="n">
        <v>0</v>
      </c>
      <c r="O126" t="n">
        <v>0</v>
      </c>
      <c r="P126" t="n">
        <v>0</v>
      </c>
      <c r="Q126" t="n">
        <v>0</v>
      </c>
      <c r="R126" s="2" t="inlineStr"/>
    </row>
    <row r="127" ht="15" customHeight="1">
      <c r="A127" t="inlineStr">
        <is>
          <t>A 38089-2019</t>
        </is>
      </c>
      <c r="B127" s="1" t="n">
        <v>43677</v>
      </c>
      <c r="C127" s="1" t="n">
        <v>45637</v>
      </c>
      <c r="D127" t="inlineStr">
        <is>
          <t>NORRBOTTENS LÄN</t>
        </is>
      </c>
      <c r="E127" t="inlineStr">
        <is>
          <t>JOKKMOKK</t>
        </is>
      </c>
      <c r="F127" t="inlineStr">
        <is>
          <t>Övriga Aktiebolag</t>
        </is>
      </c>
      <c r="G127" t="n">
        <v>8.6</v>
      </c>
      <c r="H127" t="n">
        <v>0</v>
      </c>
      <c r="I127" t="n">
        <v>0</v>
      </c>
      <c r="J127" t="n">
        <v>0</v>
      </c>
      <c r="K127" t="n">
        <v>0</v>
      </c>
      <c r="L127" t="n">
        <v>0</v>
      </c>
      <c r="M127" t="n">
        <v>0</v>
      </c>
      <c r="N127" t="n">
        <v>0</v>
      </c>
      <c r="O127" t="n">
        <v>0</v>
      </c>
      <c r="P127" t="n">
        <v>0</v>
      </c>
      <c r="Q127" t="n">
        <v>0</v>
      </c>
      <c r="R127" s="2" t="inlineStr"/>
    </row>
    <row r="128" ht="15" customHeight="1">
      <c r="A128" t="inlineStr">
        <is>
          <t>A 38092-2019</t>
        </is>
      </c>
      <c r="B128" s="1" t="n">
        <v>43677</v>
      </c>
      <c r="C128" s="1" t="n">
        <v>45637</v>
      </c>
      <c r="D128" t="inlineStr">
        <is>
          <t>NORRBOTTENS LÄN</t>
        </is>
      </c>
      <c r="E128" t="inlineStr">
        <is>
          <t>JOKKMOKK</t>
        </is>
      </c>
      <c r="F128" t="inlineStr">
        <is>
          <t>Övriga Aktiebolag</t>
        </is>
      </c>
      <c r="G128" t="n">
        <v>1</v>
      </c>
      <c r="H128" t="n">
        <v>0</v>
      </c>
      <c r="I128" t="n">
        <v>0</v>
      </c>
      <c r="J128" t="n">
        <v>0</v>
      </c>
      <c r="K128" t="n">
        <v>0</v>
      </c>
      <c r="L128" t="n">
        <v>0</v>
      </c>
      <c r="M128" t="n">
        <v>0</v>
      </c>
      <c r="N128" t="n">
        <v>0</v>
      </c>
      <c r="O128" t="n">
        <v>0</v>
      </c>
      <c r="P128" t="n">
        <v>0</v>
      </c>
      <c r="Q128" t="n">
        <v>0</v>
      </c>
      <c r="R128" s="2" t="inlineStr"/>
    </row>
    <row r="129" ht="15" customHeight="1">
      <c r="A129" t="inlineStr">
        <is>
          <t>A 38005-2019</t>
        </is>
      </c>
      <c r="B129" s="1" t="n">
        <v>43683</v>
      </c>
      <c r="C129" s="1" t="n">
        <v>45637</v>
      </c>
      <c r="D129" t="inlineStr">
        <is>
          <t>NORRBOTTENS LÄN</t>
        </is>
      </c>
      <c r="E129" t="inlineStr">
        <is>
          <t>JOKKMOKK</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38006-2019</t>
        </is>
      </c>
      <c r="B130" s="1" t="n">
        <v>43683</v>
      </c>
      <c r="C130" s="1" t="n">
        <v>45637</v>
      </c>
      <c r="D130" t="inlineStr">
        <is>
          <t>NORRBOTTENS LÄN</t>
        </is>
      </c>
      <c r="E130" t="inlineStr">
        <is>
          <t>JOKKMOKK</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38659-2019</t>
        </is>
      </c>
      <c r="B131" s="1" t="n">
        <v>43684</v>
      </c>
      <c r="C131" s="1" t="n">
        <v>45637</v>
      </c>
      <c r="D131" t="inlineStr">
        <is>
          <t>NORRBOTTENS LÄN</t>
        </is>
      </c>
      <c r="E131" t="inlineStr">
        <is>
          <t>JOKKMOKK</t>
        </is>
      </c>
      <c r="F131" t="inlineStr">
        <is>
          <t>Övriga Aktiebolag</t>
        </is>
      </c>
      <c r="G131" t="n">
        <v>4.7</v>
      </c>
      <c r="H131" t="n">
        <v>0</v>
      </c>
      <c r="I131" t="n">
        <v>0</v>
      </c>
      <c r="J131" t="n">
        <v>0</v>
      </c>
      <c r="K131" t="n">
        <v>0</v>
      </c>
      <c r="L131" t="n">
        <v>0</v>
      </c>
      <c r="M131" t="n">
        <v>0</v>
      </c>
      <c r="N131" t="n">
        <v>0</v>
      </c>
      <c r="O131" t="n">
        <v>0</v>
      </c>
      <c r="P131" t="n">
        <v>0</v>
      </c>
      <c r="Q131" t="n">
        <v>0</v>
      </c>
      <c r="R131" s="2" t="inlineStr"/>
    </row>
    <row r="132" ht="15" customHeight="1">
      <c r="A132" t="inlineStr">
        <is>
          <t>A 39710-2019</t>
        </is>
      </c>
      <c r="B132" s="1" t="n">
        <v>43689</v>
      </c>
      <c r="C132" s="1" t="n">
        <v>45637</v>
      </c>
      <c r="D132" t="inlineStr">
        <is>
          <t>NORRBOTTENS LÄN</t>
        </is>
      </c>
      <c r="E132" t="inlineStr">
        <is>
          <t>JOKKMOKK</t>
        </is>
      </c>
      <c r="F132" t="inlineStr">
        <is>
          <t>Allmännings- och besparingsskogar</t>
        </is>
      </c>
      <c r="G132" t="n">
        <v>18.7</v>
      </c>
      <c r="H132" t="n">
        <v>0</v>
      </c>
      <c r="I132" t="n">
        <v>0</v>
      </c>
      <c r="J132" t="n">
        <v>0</v>
      </c>
      <c r="K132" t="n">
        <v>0</v>
      </c>
      <c r="L132" t="n">
        <v>0</v>
      </c>
      <c r="M132" t="n">
        <v>0</v>
      </c>
      <c r="N132" t="n">
        <v>0</v>
      </c>
      <c r="O132" t="n">
        <v>0</v>
      </c>
      <c r="P132" t="n">
        <v>0</v>
      </c>
      <c r="Q132" t="n">
        <v>0</v>
      </c>
      <c r="R132" s="2" t="inlineStr"/>
    </row>
    <row r="133" ht="15" customHeight="1">
      <c r="A133" t="inlineStr">
        <is>
          <t>A 39398-2019</t>
        </is>
      </c>
      <c r="B133" s="1" t="n">
        <v>43690</v>
      </c>
      <c r="C133" s="1" t="n">
        <v>45637</v>
      </c>
      <c r="D133" t="inlineStr">
        <is>
          <t>NORRBOTTENS LÄN</t>
        </is>
      </c>
      <c r="E133" t="inlineStr">
        <is>
          <t>JOKKMOKK</t>
        </is>
      </c>
      <c r="F133" t="inlineStr">
        <is>
          <t>SCA</t>
        </is>
      </c>
      <c r="G133" t="n">
        <v>9.4</v>
      </c>
      <c r="H133" t="n">
        <v>0</v>
      </c>
      <c r="I133" t="n">
        <v>0</v>
      </c>
      <c r="J133" t="n">
        <v>0</v>
      </c>
      <c r="K133" t="n">
        <v>0</v>
      </c>
      <c r="L133" t="n">
        <v>0</v>
      </c>
      <c r="M133" t="n">
        <v>0</v>
      </c>
      <c r="N133" t="n">
        <v>0</v>
      </c>
      <c r="O133" t="n">
        <v>0</v>
      </c>
      <c r="P133" t="n">
        <v>0</v>
      </c>
      <c r="Q133" t="n">
        <v>0</v>
      </c>
      <c r="R133" s="2" t="inlineStr"/>
    </row>
    <row r="134" ht="15" customHeight="1">
      <c r="A134" t="inlineStr">
        <is>
          <t>A 40418-2019</t>
        </is>
      </c>
      <c r="B134" s="1" t="n">
        <v>43696</v>
      </c>
      <c r="C134" s="1" t="n">
        <v>45637</v>
      </c>
      <c r="D134" t="inlineStr">
        <is>
          <t>NORRBOTTENS LÄN</t>
        </is>
      </c>
      <c r="E134" t="inlineStr">
        <is>
          <t>JOKKMOKK</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42020-2019</t>
        </is>
      </c>
      <c r="B135" s="1" t="n">
        <v>43700</v>
      </c>
      <c r="C135" s="1" t="n">
        <v>45637</v>
      </c>
      <c r="D135" t="inlineStr">
        <is>
          <t>NORRBOTTENS LÄN</t>
        </is>
      </c>
      <c r="E135" t="inlineStr">
        <is>
          <t>JOKKMOKK</t>
        </is>
      </c>
      <c r="G135" t="n">
        <v>3.2</v>
      </c>
      <c r="H135" t="n">
        <v>0</v>
      </c>
      <c r="I135" t="n">
        <v>0</v>
      </c>
      <c r="J135" t="n">
        <v>0</v>
      </c>
      <c r="K135" t="n">
        <v>0</v>
      </c>
      <c r="L135" t="n">
        <v>0</v>
      </c>
      <c r="M135" t="n">
        <v>0</v>
      </c>
      <c r="N135" t="n">
        <v>0</v>
      </c>
      <c r="O135" t="n">
        <v>0</v>
      </c>
      <c r="P135" t="n">
        <v>0</v>
      </c>
      <c r="Q135" t="n">
        <v>0</v>
      </c>
      <c r="R135" s="2" t="inlineStr"/>
    </row>
    <row r="136" ht="15" customHeight="1">
      <c r="A136" t="inlineStr">
        <is>
          <t>A 42300-2019</t>
        </is>
      </c>
      <c r="B136" s="1" t="n">
        <v>43703</v>
      </c>
      <c r="C136" s="1" t="n">
        <v>45637</v>
      </c>
      <c r="D136" t="inlineStr">
        <is>
          <t>NORRBOTTENS LÄN</t>
        </is>
      </c>
      <c r="E136" t="inlineStr">
        <is>
          <t>JOKKMOKK</t>
        </is>
      </c>
      <c r="F136" t="inlineStr">
        <is>
          <t>Sveaskog</t>
        </is>
      </c>
      <c r="G136" t="n">
        <v>10.2</v>
      </c>
      <c r="H136" t="n">
        <v>0</v>
      </c>
      <c r="I136" t="n">
        <v>0</v>
      </c>
      <c r="J136" t="n">
        <v>0</v>
      </c>
      <c r="K136" t="n">
        <v>0</v>
      </c>
      <c r="L136" t="n">
        <v>0</v>
      </c>
      <c r="M136" t="n">
        <v>0</v>
      </c>
      <c r="N136" t="n">
        <v>0</v>
      </c>
      <c r="O136" t="n">
        <v>0</v>
      </c>
      <c r="P136" t="n">
        <v>0</v>
      </c>
      <c r="Q136" t="n">
        <v>0</v>
      </c>
      <c r="R136" s="2" t="inlineStr"/>
    </row>
    <row r="137" ht="15" customHeight="1">
      <c r="A137" t="inlineStr">
        <is>
          <t>A 42413-2019</t>
        </is>
      </c>
      <c r="B137" s="1" t="n">
        <v>43703</v>
      </c>
      <c r="C137" s="1" t="n">
        <v>45637</v>
      </c>
      <c r="D137" t="inlineStr">
        <is>
          <t>NORRBOTTENS LÄN</t>
        </is>
      </c>
      <c r="E137" t="inlineStr">
        <is>
          <t>JOKKMOKK</t>
        </is>
      </c>
      <c r="G137" t="n">
        <v>17.5</v>
      </c>
      <c r="H137" t="n">
        <v>0</v>
      </c>
      <c r="I137" t="n">
        <v>0</v>
      </c>
      <c r="J137" t="n">
        <v>0</v>
      </c>
      <c r="K137" t="n">
        <v>0</v>
      </c>
      <c r="L137" t="n">
        <v>0</v>
      </c>
      <c r="M137" t="n">
        <v>0</v>
      </c>
      <c r="N137" t="n">
        <v>0</v>
      </c>
      <c r="O137" t="n">
        <v>0</v>
      </c>
      <c r="P137" t="n">
        <v>0</v>
      </c>
      <c r="Q137" t="n">
        <v>0</v>
      </c>
      <c r="R137" s="2" t="inlineStr"/>
    </row>
    <row r="138" ht="15" customHeight="1">
      <c r="A138" t="inlineStr">
        <is>
          <t>A 44269-2019</t>
        </is>
      </c>
      <c r="B138" s="1" t="n">
        <v>43704</v>
      </c>
      <c r="C138" s="1" t="n">
        <v>45637</v>
      </c>
      <c r="D138" t="inlineStr">
        <is>
          <t>NORRBOTTENS LÄN</t>
        </is>
      </c>
      <c r="E138" t="inlineStr">
        <is>
          <t>JOKKMOKK</t>
        </is>
      </c>
      <c r="F138" t="inlineStr">
        <is>
          <t>SCA</t>
        </is>
      </c>
      <c r="G138" t="n">
        <v>2.1</v>
      </c>
      <c r="H138" t="n">
        <v>0</v>
      </c>
      <c r="I138" t="n">
        <v>0</v>
      </c>
      <c r="J138" t="n">
        <v>0</v>
      </c>
      <c r="K138" t="n">
        <v>0</v>
      </c>
      <c r="L138" t="n">
        <v>0</v>
      </c>
      <c r="M138" t="n">
        <v>0</v>
      </c>
      <c r="N138" t="n">
        <v>0</v>
      </c>
      <c r="O138" t="n">
        <v>0</v>
      </c>
      <c r="P138" t="n">
        <v>0</v>
      </c>
      <c r="Q138" t="n">
        <v>0</v>
      </c>
      <c r="R138" s="2" t="inlineStr"/>
    </row>
    <row r="139" ht="15" customHeight="1">
      <c r="A139" t="inlineStr">
        <is>
          <t>A 44263-2019</t>
        </is>
      </c>
      <c r="B139" s="1" t="n">
        <v>43704</v>
      </c>
      <c r="C139" s="1" t="n">
        <v>45637</v>
      </c>
      <c r="D139" t="inlineStr">
        <is>
          <t>NORRBOTTENS LÄN</t>
        </is>
      </c>
      <c r="E139" t="inlineStr">
        <is>
          <t>JOKKMOKK</t>
        </is>
      </c>
      <c r="F139" t="inlineStr">
        <is>
          <t>SCA</t>
        </is>
      </c>
      <c r="G139" t="n">
        <v>1</v>
      </c>
      <c r="H139" t="n">
        <v>0</v>
      </c>
      <c r="I139" t="n">
        <v>0</v>
      </c>
      <c r="J139" t="n">
        <v>0</v>
      </c>
      <c r="K139" t="n">
        <v>0</v>
      </c>
      <c r="L139" t="n">
        <v>0</v>
      </c>
      <c r="M139" t="n">
        <v>0</v>
      </c>
      <c r="N139" t="n">
        <v>0</v>
      </c>
      <c r="O139" t="n">
        <v>0</v>
      </c>
      <c r="P139" t="n">
        <v>0</v>
      </c>
      <c r="Q139" t="n">
        <v>0</v>
      </c>
      <c r="R139" s="2" t="inlineStr"/>
    </row>
    <row r="140" ht="15" customHeight="1">
      <c r="A140" t="inlineStr">
        <is>
          <t>A 44171-2019</t>
        </is>
      </c>
      <c r="B140" s="1" t="n">
        <v>43710</v>
      </c>
      <c r="C140" s="1" t="n">
        <v>45637</v>
      </c>
      <c r="D140" t="inlineStr">
        <is>
          <t>NORRBOTTENS LÄN</t>
        </is>
      </c>
      <c r="E140" t="inlineStr">
        <is>
          <t>JOKKMOKK</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45452-2019</t>
        </is>
      </c>
      <c r="B141" s="1" t="n">
        <v>43714</v>
      </c>
      <c r="C141" s="1" t="n">
        <v>45637</v>
      </c>
      <c r="D141" t="inlineStr">
        <is>
          <t>NORRBOTTENS LÄN</t>
        </is>
      </c>
      <c r="E141" t="inlineStr">
        <is>
          <t>JOKKMOKK</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47456-2019</t>
        </is>
      </c>
      <c r="B142" s="1" t="n">
        <v>43721</v>
      </c>
      <c r="C142" s="1" t="n">
        <v>45637</v>
      </c>
      <c r="D142" t="inlineStr">
        <is>
          <t>NORRBOTTENS LÄN</t>
        </is>
      </c>
      <c r="E142" t="inlineStr">
        <is>
          <t>JOKKMOKK</t>
        </is>
      </c>
      <c r="F142" t="inlineStr">
        <is>
          <t>Övriga Aktiebolag</t>
        </is>
      </c>
      <c r="G142" t="n">
        <v>14.2</v>
      </c>
      <c r="H142" t="n">
        <v>0</v>
      </c>
      <c r="I142" t="n">
        <v>0</v>
      </c>
      <c r="J142" t="n">
        <v>0</v>
      </c>
      <c r="K142" t="n">
        <v>0</v>
      </c>
      <c r="L142" t="n">
        <v>0</v>
      </c>
      <c r="M142" t="n">
        <v>0</v>
      </c>
      <c r="N142" t="n">
        <v>0</v>
      </c>
      <c r="O142" t="n">
        <v>0</v>
      </c>
      <c r="P142" t="n">
        <v>0</v>
      </c>
      <c r="Q142" t="n">
        <v>0</v>
      </c>
      <c r="R142" s="2" t="inlineStr"/>
    </row>
    <row r="143" ht="15" customHeight="1">
      <c r="A143" t="inlineStr">
        <is>
          <t>A 50288-2019</t>
        </is>
      </c>
      <c r="B143" s="1" t="n">
        <v>43734</v>
      </c>
      <c r="C143" s="1" t="n">
        <v>45637</v>
      </c>
      <c r="D143" t="inlineStr">
        <is>
          <t>NORRBOTTENS LÄN</t>
        </is>
      </c>
      <c r="E143" t="inlineStr">
        <is>
          <t>JOKKMOKK</t>
        </is>
      </c>
      <c r="G143" t="n">
        <v>6.1</v>
      </c>
      <c r="H143" t="n">
        <v>0</v>
      </c>
      <c r="I143" t="n">
        <v>0</v>
      </c>
      <c r="J143" t="n">
        <v>0</v>
      </c>
      <c r="K143" t="n">
        <v>0</v>
      </c>
      <c r="L143" t="n">
        <v>0</v>
      </c>
      <c r="M143" t="n">
        <v>0</v>
      </c>
      <c r="N143" t="n">
        <v>0</v>
      </c>
      <c r="O143" t="n">
        <v>0</v>
      </c>
      <c r="P143" t="n">
        <v>0</v>
      </c>
      <c r="Q143" t="n">
        <v>0</v>
      </c>
      <c r="R143" s="2" t="inlineStr"/>
    </row>
    <row r="144" ht="15" customHeight="1">
      <c r="A144" t="inlineStr">
        <is>
          <t>A 50287-2019</t>
        </is>
      </c>
      <c r="B144" s="1" t="n">
        <v>43734</v>
      </c>
      <c r="C144" s="1" t="n">
        <v>45637</v>
      </c>
      <c r="D144" t="inlineStr">
        <is>
          <t>NORRBOTTENS LÄN</t>
        </is>
      </c>
      <c r="E144" t="inlineStr">
        <is>
          <t>JOKKMOKK</t>
        </is>
      </c>
      <c r="G144" t="n">
        <v>3.5</v>
      </c>
      <c r="H144" t="n">
        <v>0</v>
      </c>
      <c r="I144" t="n">
        <v>0</v>
      </c>
      <c r="J144" t="n">
        <v>0</v>
      </c>
      <c r="K144" t="n">
        <v>0</v>
      </c>
      <c r="L144" t="n">
        <v>0</v>
      </c>
      <c r="M144" t="n">
        <v>0</v>
      </c>
      <c r="N144" t="n">
        <v>0</v>
      </c>
      <c r="O144" t="n">
        <v>0</v>
      </c>
      <c r="P144" t="n">
        <v>0</v>
      </c>
      <c r="Q144" t="n">
        <v>0</v>
      </c>
      <c r="R144" s="2" t="inlineStr"/>
    </row>
    <row r="145" ht="15" customHeight="1">
      <c r="A145" t="inlineStr">
        <is>
          <t>A 51840-2019</t>
        </is>
      </c>
      <c r="B145" s="1" t="n">
        <v>43734</v>
      </c>
      <c r="C145" s="1" t="n">
        <v>45637</v>
      </c>
      <c r="D145" t="inlineStr">
        <is>
          <t>NORRBOTTENS LÄN</t>
        </is>
      </c>
      <c r="E145" t="inlineStr">
        <is>
          <t>JOKKMOKK</t>
        </is>
      </c>
      <c r="G145" t="n">
        <v>10.2</v>
      </c>
      <c r="H145" t="n">
        <v>0</v>
      </c>
      <c r="I145" t="n">
        <v>0</v>
      </c>
      <c r="J145" t="n">
        <v>0</v>
      </c>
      <c r="K145" t="n">
        <v>0</v>
      </c>
      <c r="L145" t="n">
        <v>0</v>
      </c>
      <c r="M145" t="n">
        <v>0</v>
      </c>
      <c r="N145" t="n">
        <v>0</v>
      </c>
      <c r="O145" t="n">
        <v>0</v>
      </c>
      <c r="P145" t="n">
        <v>0</v>
      </c>
      <c r="Q145" t="n">
        <v>0</v>
      </c>
      <c r="R145" s="2" t="inlineStr"/>
    </row>
    <row r="146" ht="15" customHeight="1">
      <c r="A146" t="inlineStr">
        <is>
          <t>A 51829-2019</t>
        </is>
      </c>
      <c r="B146" s="1" t="n">
        <v>43734</v>
      </c>
      <c r="C146" s="1" t="n">
        <v>45637</v>
      </c>
      <c r="D146" t="inlineStr">
        <is>
          <t>NORRBOTTENS LÄN</t>
        </is>
      </c>
      <c r="E146" t="inlineStr">
        <is>
          <t>JOKKMOKK</t>
        </is>
      </c>
      <c r="G146" t="n">
        <v>13.7</v>
      </c>
      <c r="H146" t="n">
        <v>0</v>
      </c>
      <c r="I146" t="n">
        <v>0</v>
      </c>
      <c r="J146" t="n">
        <v>0</v>
      </c>
      <c r="K146" t="n">
        <v>0</v>
      </c>
      <c r="L146" t="n">
        <v>0</v>
      </c>
      <c r="M146" t="n">
        <v>0</v>
      </c>
      <c r="N146" t="n">
        <v>0</v>
      </c>
      <c r="O146" t="n">
        <v>0</v>
      </c>
      <c r="P146" t="n">
        <v>0</v>
      </c>
      <c r="Q146" t="n">
        <v>0</v>
      </c>
      <c r="R146" s="2" t="inlineStr"/>
    </row>
    <row r="147" ht="15" customHeight="1">
      <c r="A147" t="inlineStr">
        <is>
          <t>A 50289-2019</t>
        </is>
      </c>
      <c r="B147" s="1" t="n">
        <v>43734</v>
      </c>
      <c r="C147" s="1" t="n">
        <v>45637</v>
      </c>
      <c r="D147" t="inlineStr">
        <is>
          <t>NORRBOTTENS LÄN</t>
        </is>
      </c>
      <c r="E147" t="inlineStr">
        <is>
          <t>JOKKMOKK</t>
        </is>
      </c>
      <c r="G147" t="n">
        <v>10.4</v>
      </c>
      <c r="H147" t="n">
        <v>0</v>
      </c>
      <c r="I147" t="n">
        <v>0</v>
      </c>
      <c r="J147" t="n">
        <v>0</v>
      </c>
      <c r="K147" t="n">
        <v>0</v>
      </c>
      <c r="L147" t="n">
        <v>0</v>
      </c>
      <c r="M147" t="n">
        <v>0</v>
      </c>
      <c r="N147" t="n">
        <v>0</v>
      </c>
      <c r="O147" t="n">
        <v>0</v>
      </c>
      <c r="P147" t="n">
        <v>0</v>
      </c>
      <c r="Q147" t="n">
        <v>0</v>
      </c>
      <c r="R147" s="2" t="inlineStr"/>
    </row>
    <row r="148" ht="15" customHeight="1">
      <c r="A148" t="inlineStr">
        <is>
          <t>A 51863-2019</t>
        </is>
      </c>
      <c r="B148" s="1" t="n">
        <v>43734</v>
      </c>
      <c r="C148" s="1" t="n">
        <v>45637</v>
      </c>
      <c r="D148" t="inlineStr">
        <is>
          <t>NORRBOTTENS LÄN</t>
        </is>
      </c>
      <c r="E148" t="inlineStr">
        <is>
          <t>JOKKMOKK</t>
        </is>
      </c>
      <c r="G148" t="n">
        <v>6.5</v>
      </c>
      <c r="H148" t="n">
        <v>0</v>
      </c>
      <c r="I148" t="n">
        <v>0</v>
      </c>
      <c r="J148" t="n">
        <v>0</v>
      </c>
      <c r="K148" t="n">
        <v>0</v>
      </c>
      <c r="L148" t="n">
        <v>0</v>
      </c>
      <c r="M148" t="n">
        <v>0</v>
      </c>
      <c r="N148" t="n">
        <v>0</v>
      </c>
      <c r="O148" t="n">
        <v>0</v>
      </c>
      <c r="P148" t="n">
        <v>0</v>
      </c>
      <c r="Q148" t="n">
        <v>0</v>
      </c>
      <c r="R148" s="2" t="inlineStr"/>
    </row>
    <row r="149" ht="15" customHeight="1">
      <c r="A149" t="inlineStr">
        <is>
          <t>A 52089-2019</t>
        </is>
      </c>
      <c r="B149" s="1" t="n">
        <v>43735</v>
      </c>
      <c r="C149" s="1" t="n">
        <v>45637</v>
      </c>
      <c r="D149" t="inlineStr">
        <is>
          <t>NORRBOTTENS LÄN</t>
        </is>
      </c>
      <c r="E149" t="inlineStr">
        <is>
          <t>JOKKMOKK</t>
        </is>
      </c>
      <c r="G149" t="n">
        <v>6.5</v>
      </c>
      <c r="H149" t="n">
        <v>0</v>
      </c>
      <c r="I149" t="n">
        <v>0</v>
      </c>
      <c r="J149" t="n">
        <v>0</v>
      </c>
      <c r="K149" t="n">
        <v>0</v>
      </c>
      <c r="L149" t="n">
        <v>0</v>
      </c>
      <c r="M149" t="n">
        <v>0</v>
      </c>
      <c r="N149" t="n">
        <v>0</v>
      </c>
      <c r="O149" t="n">
        <v>0</v>
      </c>
      <c r="P149" t="n">
        <v>0</v>
      </c>
      <c r="Q149" t="n">
        <v>0</v>
      </c>
      <c r="R149" s="2" t="inlineStr"/>
    </row>
    <row r="150" ht="15" customHeight="1">
      <c r="A150" t="inlineStr">
        <is>
          <t>A 59173-2019</t>
        </is>
      </c>
      <c r="B150" s="1" t="n">
        <v>43738</v>
      </c>
      <c r="C150" s="1" t="n">
        <v>45637</v>
      </c>
      <c r="D150" t="inlineStr">
        <is>
          <t>NORRBOTTENS LÄN</t>
        </is>
      </c>
      <c r="E150" t="inlineStr">
        <is>
          <t>JOKKMOKK</t>
        </is>
      </c>
      <c r="F150" t="inlineStr">
        <is>
          <t>Övriga statliga verk och myndigheter</t>
        </is>
      </c>
      <c r="G150" t="n">
        <v>167.3</v>
      </c>
      <c r="H150" t="n">
        <v>0</v>
      </c>
      <c r="I150" t="n">
        <v>0</v>
      </c>
      <c r="J150" t="n">
        <v>0</v>
      </c>
      <c r="K150" t="n">
        <v>0</v>
      </c>
      <c r="L150" t="n">
        <v>0</v>
      </c>
      <c r="M150" t="n">
        <v>0</v>
      </c>
      <c r="N150" t="n">
        <v>0</v>
      </c>
      <c r="O150" t="n">
        <v>0</v>
      </c>
      <c r="P150" t="n">
        <v>0</v>
      </c>
      <c r="Q150" t="n">
        <v>0</v>
      </c>
      <c r="R150" s="2" t="inlineStr"/>
    </row>
    <row r="151" ht="15" customHeight="1">
      <c r="A151" t="inlineStr">
        <is>
          <t>A 54036-2019</t>
        </is>
      </c>
      <c r="B151" s="1" t="n">
        <v>43752</v>
      </c>
      <c r="C151" s="1" t="n">
        <v>45637</v>
      </c>
      <c r="D151" t="inlineStr">
        <is>
          <t>NORRBOTTENS LÄN</t>
        </is>
      </c>
      <c r="E151" t="inlineStr">
        <is>
          <t>JOKKMOKK</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55731-2019</t>
        </is>
      </c>
      <c r="B152" s="1" t="n">
        <v>43760</v>
      </c>
      <c r="C152" s="1" t="n">
        <v>45637</v>
      </c>
      <c r="D152" t="inlineStr">
        <is>
          <t>NORRBOTTENS LÄN</t>
        </is>
      </c>
      <c r="E152" t="inlineStr">
        <is>
          <t>JOKKMOKK</t>
        </is>
      </c>
      <c r="G152" t="n">
        <v>1.3</v>
      </c>
      <c r="H152" t="n">
        <v>0</v>
      </c>
      <c r="I152" t="n">
        <v>0</v>
      </c>
      <c r="J152" t="n">
        <v>0</v>
      </c>
      <c r="K152" t="n">
        <v>0</v>
      </c>
      <c r="L152" t="n">
        <v>0</v>
      </c>
      <c r="M152" t="n">
        <v>0</v>
      </c>
      <c r="N152" t="n">
        <v>0</v>
      </c>
      <c r="O152" t="n">
        <v>0</v>
      </c>
      <c r="P152" t="n">
        <v>0</v>
      </c>
      <c r="Q152" t="n">
        <v>0</v>
      </c>
      <c r="R152" s="2" t="inlineStr"/>
    </row>
    <row r="153" ht="15" customHeight="1">
      <c r="A153" t="inlineStr">
        <is>
          <t>A 56588-2019</t>
        </is>
      </c>
      <c r="B153" s="1" t="n">
        <v>43762</v>
      </c>
      <c r="C153" s="1" t="n">
        <v>45637</v>
      </c>
      <c r="D153" t="inlineStr">
        <is>
          <t>NORRBOTTENS LÄN</t>
        </is>
      </c>
      <c r="E153" t="inlineStr">
        <is>
          <t>JOKKMOKK</t>
        </is>
      </c>
      <c r="F153" t="inlineStr">
        <is>
          <t>Allmännings- och besparingsskogar</t>
        </is>
      </c>
      <c r="G153" t="n">
        <v>175.4</v>
      </c>
      <c r="H153" t="n">
        <v>0</v>
      </c>
      <c r="I153" t="n">
        <v>0</v>
      </c>
      <c r="J153" t="n">
        <v>0</v>
      </c>
      <c r="K153" t="n">
        <v>0</v>
      </c>
      <c r="L153" t="n">
        <v>0</v>
      </c>
      <c r="M153" t="n">
        <v>0</v>
      </c>
      <c r="N153" t="n">
        <v>0</v>
      </c>
      <c r="O153" t="n">
        <v>0</v>
      </c>
      <c r="P153" t="n">
        <v>0</v>
      </c>
      <c r="Q153" t="n">
        <v>0</v>
      </c>
      <c r="R153" s="2" t="inlineStr"/>
    </row>
    <row r="154" ht="15" customHeight="1">
      <c r="A154" t="inlineStr">
        <is>
          <t>A 62190-2019</t>
        </is>
      </c>
      <c r="B154" s="1" t="n">
        <v>43787</v>
      </c>
      <c r="C154" s="1" t="n">
        <v>45637</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62191-2019</t>
        </is>
      </c>
      <c r="B155" s="1" t="n">
        <v>43787</v>
      </c>
      <c r="C155" s="1" t="n">
        <v>45637</v>
      </c>
      <c r="D155" t="inlineStr">
        <is>
          <t>NORRBOTTENS LÄN</t>
        </is>
      </c>
      <c r="E155" t="inlineStr">
        <is>
          <t>JOKKMOKK</t>
        </is>
      </c>
      <c r="G155" t="n">
        <v>2.6</v>
      </c>
      <c r="H155" t="n">
        <v>0</v>
      </c>
      <c r="I155" t="n">
        <v>0</v>
      </c>
      <c r="J155" t="n">
        <v>0</v>
      </c>
      <c r="K155" t="n">
        <v>0</v>
      </c>
      <c r="L155" t="n">
        <v>0</v>
      </c>
      <c r="M155" t="n">
        <v>0</v>
      </c>
      <c r="N155" t="n">
        <v>0</v>
      </c>
      <c r="O155" t="n">
        <v>0</v>
      </c>
      <c r="P155" t="n">
        <v>0</v>
      </c>
      <c r="Q155" t="n">
        <v>0</v>
      </c>
      <c r="R155" s="2" t="inlineStr"/>
    </row>
    <row r="156" ht="15" customHeight="1">
      <c r="A156" t="inlineStr">
        <is>
          <t>A 63349-2019</t>
        </is>
      </c>
      <c r="B156" s="1" t="n">
        <v>43787</v>
      </c>
      <c r="C156" s="1" t="n">
        <v>45637</v>
      </c>
      <c r="D156" t="inlineStr">
        <is>
          <t>NORRBOTTENS LÄN</t>
        </is>
      </c>
      <c r="E156" t="inlineStr">
        <is>
          <t>JOKKMOKK</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62461-2019</t>
        </is>
      </c>
      <c r="B157" s="1" t="n">
        <v>43788</v>
      </c>
      <c r="C157" s="1" t="n">
        <v>45637</v>
      </c>
      <c r="D157" t="inlineStr">
        <is>
          <t>NORRBOTTENS LÄN</t>
        </is>
      </c>
      <c r="E157" t="inlineStr">
        <is>
          <t>JOKKMOKK</t>
        </is>
      </c>
      <c r="G157" t="n">
        <v>3.6</v>
      </c>
      <c r="H157" t="n">
        <v>0</v>
      </c>
      <c r="I157" t="n">
        <v>0</v>
      </c>
      <c r="J157" t="n">
        <v>0</v>
      </c>
      <c r="K157" t="n">
        <v>0</v>
      </c>
      <c r="L157" t="n">
        <v>0</v>
      </c>
      <c r="M157" t="n">
        <v>0</v>
      </c>
      <c r="N157" t="n">
        <v>0</v>
      </c>
      <c r="O157" t="n">
        <v>0</v>
      </c>
      <c r="P157" t="n">
        <v>0</v>
      </c>
      <c r="Q157" t="n">
        <v>0</v>
      </c>
      <c r="R157" s="2" t="inlineStr"/>
    </row>
    <row r="158" ht="15" customHeight="1">
      <c r="A158" t="inlineStr">
        <is>
          <t>A 62480-2019</t>
        </is>
      </c>
      <c r="B158" s="1" t="n">
        <v>43788</v>
      </c>
      <c r="C158" s="1" t="n">
        <v>45637</v>
      </c>
      <c r="D158" t="inlineStr">
        <is>
          <t>NORRBOTTENS LÄN</t>
        </is>
      </c>
      <c r="E158" t="inlineStr">
        <is>
          <t>JOKKMOKK</t>
        </is>
      </c>
      <c r="G158" t="n">
        <v>3</v>
      </c>
      <c r="H158" t="n">
        <v>0</v>
      </c>
      <c r="I158" t="n">
        <v>0</v>
      </c>
      <c r="J158" t="n">
        <v>0</v>
      </c>
      <c r="K158" t="n">
        <v>0</v>
      </c>
      <c r="L158" t="n">
        <v>0</v>
      </c>
      <c r="M158" t="n">
        <v>0</v>
      </c>
      <c r="N158" t="n">
        <v>0</v>
      </c>
      <c r="O158" t="n">
        <v>0</v>
      </c>
      <c r="P158" t="n">
        <v>0</v>
      </c>
      <c r="Q158" t="n">
        <v>0</v>
      </c>
      <c r="R158" s="2" t="inlineStr"/>
    </row>
    <row r="159" ht="15" customHeight="1">
      <c r="A159" t="inlineStr">
        <is>
          <t>A 62481-2019</t>
        </is>
      </c>
      <c r="B159" s="1" t="n">
        <v>43788</v>
      </c>
      <c r="C159" s="1" t="n">
        <v>45637</v>
      </c>
      <c r="D159" t="inlineStr">
        <is>
          <t>NORRBOTTENS LÄN</t>
        </is>
      </c>
      <c r="E159" t="inlineStr">
        <is>
          <t>JOKKMOKK</t>
        </is>
      </c>
      <c r="G159" t="n">
        <v>6.2</v>
      </c>
      <c r="H159" t="n">
        <v>0</v>
      </c>
      <c r="I159" t="n">
        <v>0</v>
      </c>
      <c r="J159" t="n">
        <v>0</v>
      </c>
      <c r="K159" t="n">
        <v>0</v>
      </c>
      <c r="L159" t="n">
        <v>0</v>
      </c>
      <c r="M159" t="n">
        <v>0</v>
      </c>
      <c r="N159" t="n">
        <v>0</v>
      </c>
      <c r="O159" t="n">
        <v>0</v>
      </c>
      <c r="P159" t="n">
        <v>0</v>
      </c>
      <c r="Q159" t="n">
        <v>0</v>
      </c>
      <c r="R159" s="2" t="inlineStr"/>
    </row>
    <row r="160" ht="15" customHeight="1">
      <c r="A160" t="inlineStr">
        <is>
          <t>A 63390-2019</t>
        </is>
      </c>
      <c r="B160" s="1" t="n">
        <v>43790</v>
      </c>
      <c r="C160" s="1" t="n">
        <v>45637</v>
      </c>
      <c r="D160" t="inlineStr">
        <is>
          <t>NORRBOTTENS LÄN</t>
        </is>
      </c>
      <c r="E160" t="inlineStr">
        <is>
          <t>JOKKMOKK</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63219-2019</t>
        </is>
      </c>
      <c r="B161" s="1" t="n">
        <v>43791</v>
      </c>
      <c r="C161" s="1" t="n">
        <v>45637</v>
      </c>
      <c r="D161" t="inlineStr">
        <is>
          <t>NORRBOTTENS LÄN</t>
        </is>
      </c>
      <c r="E161" t="inlineStr">
        <is>
          <t>JOKKMOKK</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63243-2019</t>
        </is>
      </c>
      <c r="B162" s="1" t="n">
        <v>43792</v>
      </c>
      <c r="C162" s="1" t="n">
        <v>45637</v>
      </c>
      <c r="D162" t="inlineStr">
        <is>
          <t>NORRBOTTENS LÄN</t>
        </is>
      </c>
      <c r="E162" t="inlineStr">
        <is>
          <t>JOKKMOKK</t>
        </is>
      </c>
      <c r="G162" t="n">
        <v>0.6</v>
      </c>
      <c r="H162" t="n">
        <v>0</v>
      </c>
      <c r="I162" t="n">
        <v>0</v>
      </c>
      <c r="J162" t="n">
        <v>0</v>
      </c>
      <c r="K162" t="n">
        <v>0</v>
      </c>
      <c r="L162" t="n">
        <v>0</v>
      </c>
      <c r="M162" t="n">
        <v>0</v>
      </c>
      <c r="N162" t="n">
        <v>0</v>
      </c>
      <c r="O162" t="n">
        <v>0</v>
      </c>
      <c r="P162" t="n">
        <v>0</v>
      </c>
      <c r="Q162" t="n">
        <v>0</v>
      </c>
      <c r="R162" s="2" t="inlineStr"/>
    </row>
    <row r="163" ht="15" customHeight="1">
      <c r="A163" t="inlineStr">
        <is>
          <t>A 63261-2019</t>
        </is>
      </c>
      <c r="B163" s="1" t="n">
        <v>43793</v>
      </c>
      <c r="C163" s="1" t="n">
        <v>45637</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67227-2019</t>
        </is>
      </c>
      <c r="B164" s="1" t="n">
        <v>43811</v>
      </c>
      <c r="C164" s="1" t="n">
        <v>45637</v>
      </c>
      <c r="D164" t="inlineStr">
        <is>
          <t>NORRBOTTENS LÄN</t>
        </is>
      </c>
      <c r="E164" t="inlineStr">
        <is>
          <t>JOKKMOKK</t>
        </is>
      </c>
      <c r="G164" t="n">
        <v>3.7</v>
      </c>
      <c r="H164" t="n">
        <v>0</v>
      </c>
      <c r="I164" t="n">
        <v>0</v>
      </c>
      <c r="J164" t="n">
        <v>0</v>
      </c>
      <c r="K164" t="n">
        <v>0</v>
      </c>
      <c r="L164" t="n">
        <v>0</v>
      </c>
      <c r="M164" t="n">
        <v>0</v>
      </c>
      <c r="N164" t="n">
        <v>0</v>
      </c>
      <c r="O164" t="n">
        <v>0</v>
      </c>
      <c r="P164" t="n">
        <v>0</v>
      </c>
      <c r="Q164" t="n">
        <v>0</v>
      </c>
      <c r="R164" s="2" t="inlineStr"/>
    </row>
    <row r="165" ht="15" customHeight="1">
      <c r="A165" t="inlineStr">
        <is>
          <t>A 67809-2019</t>
        </is>
      </c>
      <c r="B165" s="1" t="n">
        <v>43815</v>
      </c>
      <c r="C165" s="1" t="n">
        <v>45637</v>
      </c>
      <c r="D165" t="inlineStr">
        <is>
          <t>NORRBOTTENS LÄN</t>
        </is>
      </c>
      <c r="E165" t="inlineStr">
        <is>
          <t>JOKKMOKK</t>
        </is>
      </c>
      <c r="G165" t="n">
        <v>6</v>
      </c>
      <c r="H165" t="n">
        <v>0</v>
      </c>
      <c r="I165" t="n">
        <v>0</v>
      </c>
      <c r="J165" t="n">
        <v>0</v>
      </c>
      <c r="K165" t="n">
        <v>0</v>
      </c>
      <c r="L165" t="n">
        <v>0</v>
      </c>
      <c r="M165" t="n">
        <v>0</v>
      </c>
      <c r="N165" t="n">
        <v>0</v>
      </c>
      <c r="O165" t="n">
        <v>0</v>
      </c>
      <c r="P165" t="n">
        <v>0</v>
      </c>
      <c r="Q165" t="n">
        <v>0</v>
      </c>
      <c r="R165" s="2" t="inlineStr"/>
    </row>
    <row r="166" ht="15" customHeight="1">
      <c r="A166" t="inlineStr">
        <is>
          <t>A 68307-2019</t>
        </is>
      </c>
      <c r="B166" s="1" t="n">
        <v>43817</v>
      </c>
      <c r="C166" s="1" t="n">
        <v>45637</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68301-2019</t>
        </is>
      </c>
      <c r="B167" s="1" t="n">
        <v>43817</v>
      </c>
      <c r="C167" s="1" t="n">
        <v>45637</v>
      </c>
      <c r="D167" t="inlineStr">
        <is>
          <t>NORRBOTTENS LÄN</t>
        </is>
      </c>
      <c r="E167" t="inlineStr">
        <is>
          <t>JOKKMOKK</t>
        </is>
      </c>
      <c r="F167" t="inlineStr">
        <is>
          <t>SCA</t>
        </is>
      </c>
      <c r="G167" t="n">
        <v>4.3</v>
      </c>
      <c r="H167" t="n">
        <v>0</v>
      </c>
      <c r="I167" t="n">
        <v>0</v>
      </c>
      <c r="J167" t="n">
        <v>0</v>
      </c>
      <c r="K167" t="n">
        <v>0</v>
      </c>
      <c r="L167" t="n">
        <v>0</v>
      </c>
      <c r="M167" t="n">
        <v>0</v>
      </c>
      <c r="N167" t="n">
        <v>0</v>
      </c>
      <c r="O167" t="n">
        <v>0</v>
      </c>
      <c r="P167" t="n">
        <v>0</v>
      </c>
      <c r="Q167" t="n">
        <v>0</v>
      </c>
      <c r="R167" s="2" t="inlineStr"/>
    </row>
    <row r="168" ht="15" customHeight="1">
      <c r="A168" t="inlineStr">
        <is>
          <t>A 68310-2019</t>
        </is>
      </c>
      <c r="B168" s="1" t="n">
        <v>43817</v>
      </c>
      <c r="C168" s="1" t="n">
        <v>45637</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995-2020</t>
        </is>
      </c>
      <c r="B169" s="1" t="n">
        <v>43819</v>
      </c>
      <c r="C169" s="1" t="n">
        <v>45637</v>
      </c>
      <c r="D169" t="inlineStr">
        <is>
          <t>NORRBOTTENS LÄN</t>
        </is>
      </c>
      <c r="E169" t="inlineStr">
        <is>
          <t>JOKKMOKK</t>
        </is>
      </c>
      <c r="G169" t="n">
        <v>23.9</v>
      </c>
      <c r="H169" t="n">
        <v>0</v>
      </c>
      <c r="I169" t="n">
        <v>0</v>
      </c>
      <c r="J169" t="n">
        <v>0</v>
      </c>
      <c r="K169" t="n">
        <v>0</v>
      </c>
      <c r="L169" t="n">
        <v>0</v>
      </c>
      <c r="M169" t="n">
        <v>0</v>
      </c>
      <c r="N169" t="n">
        <v>0</v>
      </c>
      <c r="O169" t="n">
        <v>0</v>
      </c>
      <c r="P169" t="n">
        <v>0</v>
      </c>
      <c r="Q169" t="n">
        <v>0</v>
      </c>
      <c r="R169" s="2" t="inlineStr"/>
    </row>
    <row r="170" ht="15" customHeight="1">
      <c r="A170" t="inlineStr">
        <is>
          <t>A 4680-2020</t>
        </is>
      </c>
      <c r="B170" s="1" t="n">
        <v>43852</v>
      </c>
      <c r="C170" s="1" t="n">
        <v>45637</v>
      </c>
      <c r="D170" t="inlineStr">
        <is>
          <t>NORRBOTTENS LÄN</t>
        </is>
      </c>
      <c r="E170" t="inlineStr">
        <is>
          <t>JOKKMOKK</t>
        </is>
      </c>
      <c r="G170" t="n">
        <v>48</v>
      </c>
      <c r="H170" t="n">
        <v>0</v>
      </c>
      <c r="I170" t="n">
        <v>0</v>
      </c>
      <c r="J170" t="n">
        <v>0</v>
      </c>
      <c r="K170" t="n">
        <v>0</v>
      </c>
      <c r="L170" t="n">
        <v>0</v>
      </c>
      <c r="M170" t="n">
        <v>0</v>
      </c>
      <c r="N170" t="n">
        <v>0</v>
      </c>
      <c r="O170" t="n">
        <v>0</v>
      </c>
      <c r="P170" t="n">
        <v>0</v>
      </c>
      <c r="Q170" t="n">
        <v>0</v>
      </c>
      <c r="R170" s="2" t="inlineStr"/>
    </row>
    <row r="171" ht="15" customHeight="1">
      <c r="A171" t="inlineStr">
        <is>
          <t>A 18992-2020</t>
        </is>
      </c>
      <c r="B171" s="1" t="n">
        <v>43935</v>
      </c>
      <c r="C171" s="1" t="n">
        <v>45637</v>
      </c>
      <c r="D171" t="inlineStr">
        <is>
          <t>NORRBOTTENS LÄN</t>
        </is>
      </c>
      <c r="E171" t="inlineStr">
        <is>
          <t>JOKKMOKK</t>
        </is>
      </c>
      <c r="F171" t="inlineStr">
        <is>
          <t>SCA</t>
        </is>
      </c>
      <c r="G171" t="n">
        <v>3.9</v>
      </c>
      <c r="H171" t="n">
        <v>0</v>
      </c>
      <c r="I171" t="n">
        <v>0</v>
      </c>
      <c r="J171" t="n">
        <v>0</v>
      </c>
      <c r="K171" t="n">
        <v>0</v>
      </c>
      <c r="L171" t="n">
        <v>0</v>
      </c>
      <c r="M171" t="n">
        <v>0</v>
      </c>
      <c r="N171" t="n">
        <v>0</v>
      </c>
      <c r="O171" t="n">
        <v>0</v>
      </c>
      <c r="P171" t="n">
        <v>0</v>
      </c>
      <c r="Q171" t="n">
        <v>0</v>
      </c>
      <c r="R171" s="2" t="inlineStr"/>
    </row>
    <row r="172" ht="15" customHeight="1">
      <c r="A172" t="inlineStr">
        <is>
          <t>A 19150-2020</t>
        </is>
      </c>
      <c r="B172" s="1" t="n">
        <v>43936</v>
      </c>
      <c r="C172" s="1" t="n">
        <v>45637</v>
      </c>
      <c r="D172" t="inlineStr">
        <is>
          <t>NORRBOTTENS LÄN</t>
        </is>
      </c>
      <c r="E172" t="inlineStr">
        <is>
          <t>JOKKMOKK</t>
        </is>
      </c>
      <c r="F172" t="inlineStr">
        <is>
          <t>Naturvårdsverket</t>
        </is>
      </c>
      <c r="G172" t="n">
        <v>1.7</v>
      </c>
      <c r="H172" t="n">
        <v>0</v>
      </c>
      <c r="I172" t="n">
        <v>0</v>
      </c>
      <c r="J172" t="n">
        <v>0</v>
      </c>
      <c r="K172" t="n">
        <v>0</v>
      </c>
      <c r="L172" t="n">
        <v>0</v>
      </c>
      <c r="M172" t="n">
        <v>0</v>
      </c>
      <c r="N172" t="n">
        <v>0</v>
      </c>
      <c r="O172" t="n">
        <v>0</v>
      </c>
      <c r="P172" t="n">
        <v>0</v>
      </c>
      <c r="Q172" t="n">
        <v>0</v>
      </c>
      <c r="R172" s="2" t="inlineStr"/>
    </row>
    <row r="173" ht="15" customHeight="1">
      <c r="A173" t="inlineStr">
        <is>
          <t>A 23337-2020</t>
        </is>
      </c>
      <c r="B173" s="1" t="n">
        <v>43966</v>
      </c>
      <c r="C173" s="1" t="n">
        <v>45637</v>
      </c>
      <c r="D173" t="inlineStr">
        <is>
          <t>NORRBOTTENS LÄN</t>
        </is>
      </c>
      <c r="E173" t="inlineStr">
        <is>
          <t>JOKKMOKK</t>
        </is>
      </c>
      <c r="F173" t="inlineStr">
        <is>
          <t>SCA</t>
        </is>
      </c>
      <c r="G173" t="n">
        <v>22.6</v>
      </c>
      <c r="H173" t="n">
        <v>0</v>
      </c>
      <c r="I173" t="n">
        <v>0</v>
      </c>
      <c r="J173" t="n">
        <v>0</v>
      </c>
      <c r="K173" t="n">
        <v>0</v>
      </c>
      <c r="L173" t="n">
        <v>0</v>
      </c>
      <c r="M173" t="n">
        <v>0</v>
      </c>
      <c r="N173" t="n">
        <v>0</v>
      </c>
      <c r="O173" t="n">
        <v>0</v>
      </c>
      <c r="P173" t="n">
        <v>0</v>
      </c>
      <c r="Q173" t="n">
        <v>0</v>
      </c>
      <c r="R173" s="2" t="inlineStr"/>
    </row>
    <row r="174" ht="15" customHeight="1">
      <c r="A174" t="inlineStr">
        <is>
          <t>A 24055-2020</t>
        </is>
      </c>
      <c r="B174" s="1" t="n">
        <v>43971</v>
      </c>
      <c r="C174" s="1" t="n">
        <v>45637</v>
      </c>
      <c r="D174" t="inlineStr">
        <is>
          <t>NORRBOTTENS LÄN</t>
        </is>
      </c>
      <c r="E174" t="inlineStr">
        <is>
          <t>JOKKMOKK</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24422-2020</t>
        </is>
      </c>
      <c r="B175" s="1" t="n">
        <v>43976</v>
      </c>
      <c r="C175" s="1" t="n">
        <v>45637</v>
      </c>
      <c r="D175" t="inlineStr">
        <is>
          <t>NORRBOTTENS LÄN</t>
        </is>
      </c>
      <c r="E175" t="inlineStr">
        <is>
          <t>JOKKMOKK</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25163-2020</t>
        </is>
      </c>
      <c r="B176" s="1" t="n">
        <v>43980</v>
      </c>
      <c r="C176" s="1" t="n">
        <v>45637</v>
      </c>
      <c r="D176" t="inlineStr">
        <is>
          <t>NORRBOTTENS LÄN</t>
        </is>
      </c>
      <c r="E176" t="inlineStr">
        <is>
          <t>JOKKMOKK</t>
        </is>
      </c>
      <c r="F176" t="inlineStr">
        <is>
          <t>Sveaskog</t>
        </is>
      </c>
      <c r="G176" t="n">
        <v>17.4</v>
      </c>
      <c r="H176" t="n">
        <v>0</v>
      </c>
      <c r="I176" t="n">
        <v>0</v>
      </c>
      <c r="J176" t="n">
        <v>0</v>
      </c>
      <c r="K176" t="n">
        <v>0</v>
      </c>
      <c r="L176" t="n">
        <v>0</v>
      </c>
      <c r="M176" t="n">
        <v>0</v>
      </c>
      <c r="N176" t="n">
        <v>0</v>
      </c>
      <c r="O176" t="n">
        <v>0</v>
      </c>
      <c r="P176" t="n">
        <v>0</v>
      </c>
      <c r="Q176" t="n">
        <v>0</v>
      </c>
      <c r="R176" s="2" t="inlineStr"/>
    </row>
    <row r="177" ht="15" customHeight="1">
      <c r="A177" t="inlineStr">
        <is>
          <t>A 25305-2020</t>
        </is>
      </c>
      <c r="B177" s="1" t="n">
        <v>43980</v>
      </c>
      <c r="C177" s="1" t="n">
        <v>45637</v>
      </c>
      <c r="D177" t="inlineStr">
        <is>
          <t>NORRBOTTENS LÄN</t>
        </is>
      </c>
      <c r="E177" t="inlineStr">
        <is>
          <t>JOKKMOKK</t>
        </is>
      </c>
      <c r="F177" t="inlineStr">
        <is>
          <t>Sveaskog</t>
        </is>
      </c>
      <c r="G177" t="n">
        <v>5</v>
      </c>
      <c r="H177" t="n">
        <v>0</v>
      </c>
      <c r="I177" t="n">
        <v>0</v>
      </c>
      <c r="J177" t="n">
        <v>0</v>
      </c>
      <c r="K177" t="n">
        <v>0</v>
      </c>
      <c r="L177" t="n">
        <v>0</v>
      </c>
      <c r="M177" t="n">
        <v>0</v>
      </c>
      <c r="N177" t="n">
        <v>0</v>
      </c>
      <c r="O177" t="n">
        <v>0</v>
      </c>
      <c r="P177" t="n">
        <v>0</v>
      </c>
      <c r="Q177" t="n">
        <v>0</v>
      </c>
      <c r="R177" s="2" t="inlineStr"/>
    </row>
    <row r="178" ht="15" customHeight="1">
      <c r="A178" t="inlineStr">
        <is>
          <t>A 27058-2020</t>
        </is>
      </c>
      <c r="B178" s="1" t="n">
        <v>43987</v>
      </c>
      <c r="C178" s="1" t="n">
        <v>45637</v>
      </c>
      <c r="D178" t="inlineStr">
        <is>
          <t>NORRBOTTENS LÄN</t>
        </is>
      </c>
      <c r="E178" t="inlineStr">
        <is>
          <t>JOKKMOKK</t>
        </is>
      </c>
      <c r="F178" t="inlineStr">
        <is>
          <t>Allmännings- och besparingsskogar</t>
        </is>
      </c>
      <c r="G178" t="n">
        <v>29</v>
      </c>
      <c r="H178" t="n">
        <v>0</v>
      </c>
      <c r="I178" t="n">
        <v>0</v>
      </c>
      <c r="J178" t="n">
        <v>0</v>
      </c>
      <c r="K178" t="n">
        <v>0</v>
      </c>
      <c r="L178" t="n">
        <v>0</v>
      </c>
      <c r="M178" t="n">
        <v>0</v>
      </c>
      <c r="N178" t="n">
        <v>0</v>
      </c>
      <c r="O178" t="n">
        <v>0</v>
      </c>
      <c r="P178" t="n">
        <v>0</v>
      </c>
      <c r="Q178" t="n">
        <v>0</v>
      </c>
      <c r="R178" s="2" t="inlineStr"/>
    </row>
    <row r="179" ht="15" customHeight="1">
      <c r="A179" t="inlineStr">
        <is>
          <t>A 27165-2020</t>
        </is>
      </c>
      <c r="B179" s="1" t="n">
        <v>43991</v>
      </c>
      <c r="C179" s="1" t="n">
        <v>45637</v>
      </c>
      <c r="D179" t="inlineStr">
        <is>
          <t>NORRBOTTENS LÄN</t>
        </is>
      </c>
      <c r="E179" t="inlineStr">
        <is>
          <t>JOKKMOKK</t>
        </is>
      </c>
      <c r="F179" t="inlineStr">
        <is>
          <t>Sveaskog</t>
        </is>
      </c>
      <c r="G179" t="n">
        <v>10.3</v>
      </c>
      <c r="H179" t="n">
        <v>0</v>
      </c>
      <c r="I179" t="n">
        <v>0</v>
      </c>
      <c r="J179" t="n">
        <v>0</v>
      </c>
      <c r="K179" t="n">
        <v>0</v>
      </c>
      <c r="L179" t="n">
        <v>0</v>
      </c>
      <c r="M179" t="n">
        <v>0</v>
      </c>
      <c r="N179" t="n">
        <v>0</v>
      </c>
      <c r="O179" t="n">
        <v>0</v>
      </c>
      <c r="P179" t="n">
        <v>0</v>
      </c>
      <c r="Q179" t="n">
        <v>0</v>
      </c>
      <c r="R179" s="2" t="inlineStr"/>
    </row>
    <row r="180" ht="15" customHeight="1">
      <c r="A180" t="inlineStr">
        <is>
          <t>A 29798-2020</t>
        </is>
      </c>
      <c r="B180" s="1" t="n">
        <v>44005</v>
      </c>
      <c r="C180" s="1" t="n">
        <v>45637</v>
      </c>
      <c r="D180" t="inlineStr">
        <is>
          <t>NORRBOTTENS LÄN</t>
        </is>
      </c>
      <c r="E180" t="inlineStr">
        <is>
          <t>JOKKMOKK</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30809-2020</t>
        </is>
      </c>
      <c r="B181" s="1" t="n">
        <v>44011</v>
      </c>
      <c r="C181" s="1" t="n">
        <v>45637</v>
      </c>
      <c r="D181" t="inlineStr">
        <is>
          <t>NORRBOTTENS LÄN</t>
        </is>
      </c>
      <c r="E181" t="inlineStr">
        <is>
          <t>JOKKMOKK</t>
        </is>
      </c>
      <c r="F181" t="inlineStr">
        <is>
          <t>Sveaskog</t>
        </is>
      </c>
      <c r="G181" t="n">
        <v>0.4</v>
      </c>
      <c r="H181" t="n">
        <v>0</v>
      </c>
      <c r="I181" t="n">
        <v>0</v>
      </c>
      <c r="J181" t="n">
        <v>0</v>
      </c>
      <c r="K181" t="n">
        <v>0</v>
      </c>
      <c r="L181" t="n">
        <v>0</v>
      </c>
      <c r="M181" t="n">
        <v>0</v>
      </c>
      <c r="N181" t="n">
        <v>0</v>
      </c>
      <c r="O181" t="n">
        <v>0</v>
      </c>
      <c r="P181" t="n">
        <v>0</v>
      </c>
      <c r="Q181" t="n">
        <v>0</v>
      </c>
      <c r="R181" s="2" t="inlineStr"/>
    </row>
    <row r="182" ht="15" customHeight="1">
      <c r="A182" t="inlineStr">
        <is>
          <t>A 33730-2020</t>
        </is>
      </c>
      <c r="B182" s="1" t="n">
        <v>44022</v>
      </c>
      <c r="C182" s="1" t="n">
        <v>45637</v>
      </c>
      <c r="D182" t="inlineStr">
        <is>
          <t>NORRBOTTENS LÄN</t>
        </is>
      </c>
      <c r="E182" t="inlineStr">
        <is>
          <t>JOKKMOKK</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34445-2020</t>
        </is>
      </c>
      <c r="B183" s="1" t="n">
        <v>44029</v>
      </c>
      <c r="C183" s="1" t="n">
        <v>45637</v>
      </c>
      <c r="D183" t="inlineStr">
        <is>
          <t>NORRBOTTENS LÄN</t>
        </is>
      </c>
      <c r="E183" t="inlineStr">
        <is>
          <t>JOKKMOKK</t>
        </is>
      </c>
      <c r="G183" t="n">
        <v>2</v>
      </c>
      <c r="H183" t="n">
        <v>0</v>
      </c>
      <c r="I183" t="n">
        <v>0</v>
      </c>
      <c r="J183" t="n">
        <v>0</v>
      </c>
      <c r="K183" t="n">
        <v>0</v>
      </c>
      <c r="L183" t="n">
        <v>0</v>
      </c>
      <c r="M183" t="n">
        <v>0</v>
      </c>
      <c r="N183" t="n">
        <v>0</v>
      </c>
      <c r="O183" t="n">
        <v>0</v>
      </c>
      <c r="P183" t="n">
        <v>0</v>
      </c>
      <c r="Q183" t="n">
        <v>0</v>
      </c>
      <c r="R183" s="2" t="inlineStr"/>
    </row>
    <row r="184" ht="15" customHeight="1">
      <c r="A184" t="inlineStr">
        <is>
          <t>A 38254-2020</t>
        </is>
      </c>
      <c r="B184" s="1" t="n">
        <v>44060</v>
      </c>
      <c r="C184" s="1" t="n">
        <v>45637</v>
      </c>
      <c r="D184" t="inlineStr">
        <is>
          <t>NORRBOTTENS LÄN</t>
        </is>
      </c>
      <c r="E184" t="inlineStr">
        <is>
          <t>JOKKMOKK</t>
        </is>
      </c>
      <c r="F184" t="inlineStr">
        <is>
          <t>Allmännings- och besparingsskogar</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38638-2020</t>
        </is>
      </c>
      <c r="B185" s="1" t="n">
        <v>44061</v>
      </c>
      <c r="C185" s="1" t="n">
        <v>45637</v>
      </c>
      <c r="D185" t="inlineStr">
        <is>
          <t>NORRBOTTENS LÄN</t>
        </is>
      </c>
      <c r="E185" t="inlineStr">
        <is>
          <t>JOKKMOKK</t>
        </is>
      </c>
      <c r="F185" t="inlineStr">
        <is>
          <t>Övriga Aktiebolag</t>
        </is>
      </c>
      <c r="G185" t="n">
        <v>22.2</v>
      </c>
      <c r="H185" t="n">
        <v>0</v>
      </c>
      <c r="I185" t="n">
        <v>0</v>
      </c>
      <c r="J185" t="n">
        <v>0</v>
      </c>
      <c r="K185" t="n">
        <v>0</v>
      </c>
      <c r="L185" t="n">
        <v>0</v>
      </c>
      <c r="M185" t="n">
        <v>0</v>
      </c>
      <c r="N185" t="n">
        <v>0</v>
      </c>
      <c r="O185" t="n">
        <v>0</v>
      </c>
      <c r="P185" t="n">
        <v>0</v>
      </c>
      <c r="Q185" t="n">
        <v>0</v>
      </c>
      <c r="R185" s="2" t="inlineStr"/>
    </row>
    <row r="186" ht="15" customHeight="1">
      <c r="A186" t="inlineStr">
        <is>
          <t>A 38711-2020</t>
        </is>
      </c>
      <c r="B186" s="1" t="n">
        <v>44061</v>
      </c>
      <c r="C186" s="1" t="n">
        <v>45637</v>
      </c>
      <c r="D186" t="inlineStr">
        <is>
          <t>NORRBOTTENS LÄN</t>
        </is>
      </c>
      <c r="E186" t="inlineStr">
        <is>
          <t>JOKKMOKK</t>
        </is>
      </c>
      <c r="F186" t="inlineStr">
        <is>
          <t>Övriga statliga verk och myndigheter</t>
        </is>
      </c>
      <c r="G186" t="n">
        <v>16.1</v>
      </c>
      <c r="H186" t="n">
        <v>0</v>
      </c>
      <c r="I186" t="n">
        <v>0</v>
      </c>
      <c r="J186" t="n">
        <v>0</v>
      </c>
      <c r="K186" t="n">
        <v>0</v>
      </c>
      <c r="L186" t="n">
        <v>0</v>
      </c>
      <c r="M186" t="n">
        <v>0</v>
      </c>
      <c r="N186" t="n">
        <v>0</v>
      </c>
      <c r="O186" t="n">
        <v>0</v>
      </c>
      <c r="P186" t="n">
        <v>0</v>
      </c>
      <c r="Q186" t="n">
        <v>0</v>
      </c>
      <c r="R186" s="2" t="inlineStr"/>
    </row>
    <row r="187" ht="15" customHeight="1">
      <c r="A187" t="inlineStr">
        <is>
          <t>A 39085-2020</t>
        </is>
      </c>
      <c r="B187" s="1" t="n">
        <v>44062</v>
      </c>
      <c r="C187" s="1" t="n">
        <v>45637</v>
      </c>
      <c r="D187" t="inlineStr">
        <is>
          <t>NORRBOTTENS LÄN</t>
        </is>
      </c>
      <c r="E187" t="inlineStr">
        <is>
          <t>JOKKMOKK</t>
        </is>
      </c>
      <c r="F187" t="inlineStr">
        <is>
          <t>SCA</t>
        </is>
      </c>
      <c r="G187" t="n">
        <v>6.9</v>
      </c>
      <c r="H187" t="n">
        <v>0</v>
      </c>
      <c r="I187" t="n">
        <v>0</v>
      </c>
      <c r="J187" t="n">
        <v>0</v>
      </c>
      <c r="K187" t="n">
        <v>0</v>
      </c>
      <c r="L187" t="n">
        <v>0</v>
      </c>
      <c r="M187" t="n">
        <v>0</v>
      </c>
      <c r="N187" t="n">
        <v>0</v>
      </c>
      <c r="O187" t="n">
        <v>0</v>
      </c>
      <c r="P187" t="n">
        <v>0</v>
      </c>
      <c r="Q187" t="n">
        <v>0</v>
      </c>
      <c r="R187" s="2" t="inlineStr"/>
    </row>
    <row r="188" ht="15" customHeight="1">
      <c r="A188" t="inlineStr">
        <is>
          <t>A 40110-2020</t>
        </is>
      </c>
      <c r="B188" s="1" t="n">
        <v>44067</v>
      </c>
      <c r="C188" s="1" t="n">
        <v>45637</v>
      </c>
      <c r="D188" t="inlineStr">
        <is>
          <t>NORRBOTTENS LÄN</t>
        </is>
      </c>
      <c r="E188" t="inlineStr">
        <is>
          <t>JOKKMOKK</t>
        </is>
      </c>
      <c r="F188" t="inlineStr">
        <is>
          <t>Övriga Aktiebolag</t>
        </is>
      </c>
      <c r="G188" t="n">
        <v>14.4</v>
      </c>
      <c r="H188" t="n">
        <v>0</v>
      </c>
      <c r="I188" t="n">
        <v>0</v>
      </c>
      <c r="J188" t="n">
        <v>0</v>
      </c>
      <c r="K188" t="n">
        <v>0</v>
      </c>
      <c r="L188" t="n">
        <v>0</v>
      </c>
      <c r="M188" t="n">
        <v>0</v>
      </c>
      <c r="N188" t="n">
        <v>0</v>
      </c>
      <c r="O188" t="n">
        <v>0</v>
      </c>
      <c r="P188" t="n">
        <v>0</v>
      </c>
      <c r="Q188" t="n">
        <v>0</v>
      </c>
      <c r="R188" s="2" t="inlineStr"/>
    </row>
    <row r="189" ht="15" customHeight="1">
      <c r="A189" t="inlineStr">
        <is>
          <t>A 46097-2020</t>
        </is>
      </c>
      <c r="B189" s="1" t="n">
        <v>44088</v>
      </c>
      <c r="C189" s="1" t="n">
        <v>45637</v>
      </c>
      <c r="D189" t="inlineStr">
        <is>
          <t>NORRBOTTENS LÄN</t>
        </is>
      </c>
      <c r="E189" t="inlineStr">
        <is>
          <t>JOKKMOKK</t>
        </is>
      </c>
      <c r="F189" t="inlineStr">
        <is>
          <t>Övriga Aktiebolag</t>
        </is>
      </c>
      <c r="G189" t="n">
        <v>2</v>
      </c>
      <c r="H189" t="n">
        <v>0</v>
      </c>
      <c r="I189" t="n">
        <v>0</v>
      </c>
      <c r="J189" t="n">
        <v>0</v>
      </c>
      <c r="K189" t="n">
        <v>0</v>
      </c>
      <c r="L189" t="n">
        <v>0</v>
      </c>
      <c r="M189" t="n">
        <v>0</v>
      </c>
      <c r="N189" t="n">
        <v>0</v>
      </c>
      <c r="O189" t="n">
        <v>0</v>
      </c>
      <c r="P189" t="n">
        <v>0</v>
      </c>
      <c r="Q189" t="n">
        <v>0</v>
      </c>
      <c r="R189" s="2" t="inlineStr"/>
    </row>
    <row r="190" ht="15" customHeight="1">
      <c r="A190" t="inlineStr">
        <is>
          <t>A 46779-2020</t>
        </is>
      </c>
      <c r="B190" s="1" t="n">
        <v>44090</v>
      </c>
      <c r="C190" s="1" t="n">
        <v>45637</v>
      </c>
      <c r="D190" t="inlineStr">
        <is>
          <t>NORRBOTTENS LÄN</t>
        </is>
      </c>
      <c r="E190" t="inlineStr">
        <is>
          <t>JOKKMOKK</t>
        </is>
      </c>
      <c r="F190" t="inlineStr">
        <is>
          <t>Allmännings- och besparingsskogar</t>
        </is>
      </c>
      <c r="G190" t="n">
        <v>21.7</v>
      </c>
      <c r="H190" t="n">
        <v>0</v>
      </c>
      <c r="I190" t="n">
        <v>0</v>
      </c>
      <c r="J190" t="n">
        <v>0</v>
      </c>
      <c r="K190" t="n">
        <v>0</v>
      </c>
      <c r="L190" t="n">
        <v>0</v>
      </c>
      <c r="M190" t="n">
        <v>0</v>
      </c>
      <c r="N190" t="n">
        <v>0</v>
      </c>
      <c r="O190" t="n">
        <v>0</v>
      </c>
      <c r="P190" t="n">
        <v>0</v>
      </c>
      <c r="Q190" t="n">
        <v>0</v>
      </c>
      <c r="R190" s="2" t="inlineStr"/>
    </row>
    <row r="191" ht="15" customHeight="1">
      <c r="A191" t="inlineStr">
        <is>
          <t>A 46375-2020</t>
        </is>
      </c>
      <c r="B191" s="1" t="n">
        <v>44092</v>
      </c>
      <c r="C191" s="1" t="n">
        <v>45637</v>
      </c>
      <c r="D191" t="inlineStr">
        <is>
          <t>NORRBOTTENS LÄN</t>
        </is>
      </c>
      <c r="E191" t="inlineStr">
        <is>
          <t>JOKKMOKK</t>
        </is>
      </c>
      <c r="F191" t="inlineStr">
        <is>
          <t>SCA</t>
        </is>
      </c>
      <c r="G191" t="n">
        <v>25.4</v>
      </c>
      <c r="H191" t="n">
        <v>0</v>
      </c>
      <c r="I191" t="n">
        <v>0</v>
      </c>
      <c r="J191" t="n">
        <v>0</v>
      </c>
      <c r="K191" t="n">
        <v>0</v>
      </c>
      <c r="L191" t="n">
        <v>0</v>
      </c>
      <c r="M191" t="n">
        <v>0</v>
      </c>
      <c r="N191" t="n">
        <v>0</v>
      </c>
      <c r="O191" t="n">
        <v>0</v>
      </c>
      <c r="P191" t="n">
        <v>0</v>
      </c>
      <c r="Q191" t="n">
        <v>0</v>
      </c>
      <c r="R191" s="2" t="inlineStr"/>
    </row>
    <row r="192" ht="15" customHeight="1">
      <c r="A192" t="inlineStr">
        <is>
          <t>A 47397-2020</t>
        </is>
      </c>
      <c r="B192" s="1" t="n">
        <v>44095</v>
      </c>
      <c r="C192" s="1" t="n">
        <v>45637</v>
      </c>
      <c r="D192" t="inlineStr">
        <is>
          <t>NORRBOTTENS LÄN</t>
        </is>
      </c>
      <c r="E192" t="inlineStr">
        <is>
          <t>JOKKMOKK</t>
        </is>
      </c>
      <c r="F192" t="inlineStr">
        <is>
          <t>Allmännings- och besparingsskogar</t>
        </is>
      </c>
      <c r="G192" t="n">
        <v>3.5</v>
      </c>
      <c r="H192" t="n">
        <v>0</v>
      </c>
      <c r="I192" t="n">
        <v>0</v>
      </c>
      <c r="J192" t="n">
        <v>0</v>
      </c>
      <c r="K192" t="n">
        <v>0</v>
      </c>
      <c r="L192" t="n">
        <v>0</v>
      </c>
      <c r="M192" t="n">
        <v>0</v>
      </c>
      <c r="N192" t="n">
        <v>0</v>
      </c>
      <c r="O192" t="n">
        <v>0</v>
      </c>
      <c r="P192" t="n">
        <v>0</v>
      </c>
      <c r="Q192" t="n">
        <v>0</v>
      </c>
      <c r="R192" s="2" t="inlineStr"/>
    </row>
    <row r="193" ht="15" customHeight="1">
      <c r="A193" t="inlineStr">
        <is>
          <t>A 47252-2020</t>
        </is>
      </c>
      <c r="B193" s="1" t="n">
        <v>44096</v>
      </c>
      <c r="C193" s="1" t="n">
        <v>45637</v>
      </c>
      <c r="D193" t="inlineStr">
        <is>
          <t>NORRBOTTENS LÄN</t>
        </is>
      </c>
      <c r="E193" t="inlineStr">
        <is>
          <t>JOKKMOKK</t>
        </is>
      </c>
      <c r="F193" t="inlineStr">
        <is>
          <t>Övriga Aktiebolag</t>
        </is>
      </c>
      <c r="G193" t="n">
        <v>3.5</v>
      </c>
      <c r="H193" t="n">
        <v>0</v>
      </c>
      <c r="I193" t="n">
        <v>0</v>
      </c>
      <c r="J193" t="n">
        <v>0</v>
      </c>
      <c r="K193" t="n">
        <v>0</v>
      </c>
      <c r="L193" t="n">
        <v>0</v>
      </c>
      <c r="M193" t="n">
        <v>0</v>
      </c>
      <c r="N193" t="n">
        <v>0</v>
      </c>
      <c r="O193" t="n">
        <v>0</v>
      </c>
      <c r="P193" t="n">
        <v>0</v>
      </c>
      <c r="Q193" t="n">
        <v>0</v>
      </c>
      <c r="R193" s="2" t="inlineStr"/>
    </row>
    <row r="194" ht="15" customHeight="1">
      <c r="A194" t="inlineStr">
        <is>
          <t>A 48338-2020</t>
        </is>
      </c>
      <c r="B194" s="1" t="n">
        <v>44098</v>
      </c>
      <c r="C194" s="1" t="n">
        <v>45637</v>
      </c>
      <c r="D194" t="inlineStr">
        <is>
          <t>NORRBOTTENS LÄN</t>
        </is>
      </c>
      <c r="E194" t="inlineStr">
        <is>
          <t>JOKKMOKK</t>
        </is>
      </c>
      <c r="F194" t="inlineStr">
        <is>
          <t>Allmännings- och besparingsskogar</t>
        </is>
      </c>
      <c r="G194" t="n">
        <v>3.4</v>
      </c>
      <c r="H194" t="n">
        <v>0</v>
      </c>
      <c r="I194" t="n">
        <v>0</v>
      </c>
      <c r="J194" t="n">
        <v>0</v>
      </c>
      <c r="K194" t="n">
        <v>0</v>
      </c>
      <c r="L194" t="n">
        <v>0</v>
      </c>
      <c r="M194" t="n">
        <v>0</v>
      </c>
      <c r="N194" t="n">
        <v>0</v>
      </c>
      <c r="O194" t="n">
        <v>0</v>
      </c>
      <c r="P194" t="n">
        <v>0</v>
      </c>
      <c r="Q194" t="n">
        <v>0</v>
      </c>
      <c r="R194" s="2" t="inlineStr"/>
    </row>
    <row r="195" ht="15" customHeight="1">
      <c r="A195" t="inlineStr">
        <is>
          <t>A 48463-2020</t>
        </is>
      </c>
      <c r="B195" s="1" t="n">
        <v>44102</v>
      </c>
      <c r="C195" s="1" t="n">
        <v>45637</v>
      </c>
      <c r="D195" t="inlineStr">
        <is>
          <t>NORRBOTTENS LÄN</t>
        </is>
      </c>
      <c r="E195" t="inlineStr">
        <is>
          <t>JOKKMOKK</t>
        </is>
      </c>
      <c r="G195" t="n">
        <v>7.5</v>
      </c>
      <c r="H195" t="n">
        <v>0</v>
      </c>
      <c r="I195" t="n">
        <v>0</v>
      </c>
      <c r="J195" t="n">
        <v>0</v>
      </c>
      <c r="K195" t="n">
        <v>0</v>
      </c>
      <c r="L195" t="n">
        <v>0</v>
      </c>
      <c r="M195" t="n">
        <v>0</v>
      </c>
      <c r="N195" t="n">
        <v>0</v>
      </c>
      <c r="O195" t="n">
        <v>0</v>
      </c>
      <c r="P195" t="n">
        <v>0</v>
      </c>
      <c r="Q195" t="n">
        <v>0</v>
      </c>
      <c r="R195" s="2" t="inlineStr"/>
    </row>
    <row r="196" ht="15" customHeight="1">
      <c r="A196" t="inlineStr">
        <is>
          <t>A 51438-2020</t>
        </is>
      </c>
      <c r="B196" s="1" t="n">
        <v>44113</v>
      </c>
      <c r="C196" s="1" t="n">
        <v>45637</v>
      </c>
      <c r="D196" t="inlineStr">
        <is>
          <t>NORRBOTTENS LÄN</t>
        </is>
      </c>
      <c r="E196" t="inlineStr">
        <is>
          <t>JOKKMOKK</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51436-2020</t>
        </is>
      </c>
      <c r="B197" s="1" t="n">
        <v>44113</v>
      </c>
      <c r="C197" s="1" t="n">
        <v>45637</v>
      </c>
      <c r="D197" t="inlineStr">
        <is>
          <t>NORRBOTTENS LÄN</t>
        </is>
      </c>
      <c r="E197" t="inlineStr">
        <is>
          <t>JOKKMOKK</t>
        </is>
      </c>
      <c r="F197" t="inlineStr">
        <is>
          <t>Sveaskog</t>
        </is>
      </c>
      <c r="G197" t="n">
        <v>10.7</v>
      </c>
      <c r="H197" t="n">
        <v>0</v>
      </c>
      <c r="I197" t="n">
        <v>0</v>
      </c>
      <c r="J197" t="n">
        <v>0</v>
      </c>
      <c r="K197" t="n">
        <v>0</v>
      </c>
      <c r="L197" t="n">
        <v>0</v>
      </c>
      <c r="M197" t="n">
        <v>0</v>
      </c>
      <c r="N197" t="n">
        <v>0</v>
      </c>
      <c r="O197" t="n">
        <v>0</v>
      </c>
      <c r="P197" t="n">
        <v>0</v>
      </c>
      <c r="Q197" t="n">
        <v>0</v>
      </c>
      <c r="R197" s="2" t="inlineStr"/>
    </row>
    <row r="198" ht="15" customHeight="1">
      <c r="A198" t="inlineStr">
        <is>
          <t>A 52043-2020</t>
        </is>
      </c>
      <c r="B198" s="1" t="n">
        <v>44116</v>
      </c>
      <c r="C198" s="1" t="n">
        <v>45637</v>
      </c>
      <c r="D198" t="inlineStr">
        <is>
          <t>NORRBOTTENS LÄN</t>
        </is>
      </c>
      <c r="E198" t="inlineStr">
        <is>
          <t>JOKKMOKK</t>
        </is>
      </c>
      <c r="F198" t="inlineStr">
        <is>
          <t>SCA</t>
        </is>
      </c>
      <c r="G198" t="n">
        <v>2.1</v>
      </c>
      <c r="H198" t="n">
        <v>0</v>
      </c>
      <c r="I198" t="n">
        <v>0</v>
      </c>
      <c r="J198" t="n">
        <v>0</v>
      </c>
      <c r="K198" t="n">
        <v>0</v>
      </c>
      <c r="L198" t="n">
        <v>0</v>
      </c>
      <c r="M198" t="n">
        <v>0</v>
      </c>
      <c r="N198" t="n">
        <v>0</v>
      </c>
      <c r="O198" t="n">
        <v>0</v>
      </c>
      <c r="P198" t="n">
        <v>0</v>
      </c>
      <c r="Q198" t="n">
        <v>0</v>
      </c>
      <c r="R198" s="2" t="inlineStr"/>
    </row>
    <row r="199" ht="15" customHeight="1">
      <c r="A199" t="inlineStr">
        <is>
          <t>A 52047-2020</t>
        </is>
      </c>
      <c r="B199" s="1" t="n">
        <v>44117</v>
      </c>
      <c r="C199" s="1" t="n">
        <v>45637</v>
      </c>
      <c r="D199" t="inlineStr">
        <is>
          <t>NORRBOTTENS LÄN</t>
        </is>
      </c>
      <c r="E199" t="inlineStr">
        <is>
          <t>JOKKMOKK</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54863-2020</t>
        </is>
      </c>
      <c r="B200" s="1" t="n">
        <v>44126</v>
      </c>
      <c r="C200" s="1" t="n">
        <v>45637</v>
      </c>
      <c r="D200" t="inlineStr">
        <is>
          <t>NORRBOTTENS LÄN</t>
        </is>
      </c>
      <c r="E200" t="inlineStr">
        <is>
          <t>JOKKMOKK</t>
        </is>
      </c>
      <c r="F200" t="inlineStr">
        <is>
          <t>Allmännings- och besparingsskogar</t>
        </is>
      </c>
      <c r="G200" t="n">
        <v>43.3</v>
      </c>
      <c r="H200" t="n">
        <v>0</v>
      </c>
      <c r="I200" t="n">
        <v>0</v>
      </c>
      <c r="J200" t="n">
        <v>0</v>
      </c>
      <c r="K200" t="n">
        <v>0</v>
      </c>
      <c r="L200" t="n">
        <v>0</v>
      </c>
      <c r="M200" t="n">
        <v>0</v>
      </c>
      <c r="N200" t="n">
        <v>0</v>
      </c>
      <c r="O200" t="n">
        <v>0</v>
      </c>
      <c r="P200" t="n">
        <v>0</v>
      </c>
      <c r="Q200" t="n">
        <v>0</v>
      </c>
      <c r="R200" s="2" t="inlineStr"/>
    </row>
    <row r="201" ht="15" customHeight="1">
      <c r="A201" t="inlineStr">
        <is>
          <t>A 56851-2020</t>
        </is>
      </c>
      <c r="B201" s="1" t="n">
        <v>44133</v>
      </c>
      <c r="C201" s="1" t="n">
        <v>45637</v>
      </c>
      <c r="D201" t="inlineStr">
        <is>
          <t>NORRBOTTENS LÄN</t>
        </is>
      </c>
      <c r="E201" t="inlineStr">
        <is>
          <t>JOKKMOKK</t>
        </is>
      </c>
      <c r="F201" t="inlineStr">
        <is>
          <t>Övriga Aktiebolag</t>
        </is>
      </c>
      <c r="G201" t="n">
        <v>10.7</v>
      </c>
      <c r="H201" t="n">
        <v>0</v>
      </c>
      <c r="I201" t="n">
        <v>0</v>
      </c>
      <c r="J201" t="n">
        <v>0</v>
      </c>
      <c r="K201" t="n">
        <v>0</v>
      </c>
      <c r="L201" t="n">
        <v>0</v>
      </c>
      <c r="M201" t="n">
        <v>0</v>
      </c>
      <c r="N201" t="n">
        <v>0</v>
      </c>
      <c r="O201" t="n">
        <v>0</v>
      </c>
      <c r="P201" t="n">
        <v>0</v>
      </c>
      <c r="Q201" t="n">
        <v>0</v>
      </c>
      <c r="R201" s="2" t="inlineStr"/>
    </row>
    <row r="202" ht="15" customHeight="1">
      <c r="A202" t="inlineStr">
        <is>
          <t>A 57183-2020</t>
        </is>
      </c>
      <c r="B202" s="1" t="n">
        <v>44138</v>
      </c>
      <c r="C202" s="1" t="n">
        <v>45637</v>
      </c>
      <c r="D202" t="inlineStr">
        <is>
          <t>NORRBOTTENS LÄN</t>
        </is>
      </c>
      <c r="E202" t="inlineStr">
        <is>
          <t>JOKKMOKK</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57737-2020</t>
        </is>
      </c>
      <c r="B203" s="1" t="n">
        <v>44140</v>
      </c>
      <c r="C203" s="1" t="n">
        <v>45637</v>
      </c>
      <c r="D203" t="inlineStr">
        <is>
          <t>NORRBOTTENS LÄN</t>
        </is>
      </c>
      <c r="E203" t="inlineStr">
        <is>
          <t>JOKKMOKK</t>
        </is>
      </c>
      <c r="F203" t="inlineStr">
        <is>
          <t>SCA</t>
        </is>
      </c>
      <c r="G203" t="n">
        <v>4.7</v>
      </c>
      <c r="H203" t="n">
        <v>0</v>
      </c>
      <c r="I203" t="n">
        <v>0</v>
      </c>
      <c r="J203" t="n">
        <v>0</v>
      </c>
      <c r="K203" t="n">
        <v>0</v>
      </c>
      <c r="L203" t="n">
        <v>0</v>
      </c>
      <c r="M203" t="n">
        <v>0</v>
      </c>
      <c r="N203" t="n">
        <v>0</v>
      </c>
      <c r="O203" t="n">
        <v>0</v>
      </c>
      <c r="P203" t="n">
        <v>0</v>
      </c>
      <c r="Q203" t="n">
        <v>0</v>
      </c>
      <c r="R203" s="2" t="inlineStr"/>
    </row>
    <row r="204" ht="15" customHeight="1">
      <c r="A204" t="inlineStr">
        <is>
          <t>A 58578-2020</t>
        </is>
      </c>
      <c r="B204" s="1" t="n">
        <v>44144</v>
      </c>
      <c r="C204" s="1" t="n">
        <v>45637</v>
      </c>
      <c r="D204" t="inlineStr">
        <is>
          <t>NORRBOTTENS LÄN</t>
        </is>
      </c>
      <c r="E204" t="inlineStr">
        <is>
          <t>JOKKMOKK</t>
        </is>
      </c>
      <c r="F204" t="inlineStr">
        <is>
          <t>Övriga statliga verk och myndigheter</t>
        </is>
      </c>
      <c r="G204" t="n">
        <v>20.4</v>
      </c>
      <c r="H204" t="n">
        <v>0</v>
      </c>
      <c r="I204" t="n">
        <v>0</v>
      </c>
      <c r="J204" t="n">
        <v>0</v>
      </c>
      <c r="K204" t="n">
        <v>0</v>
      </c>
      <c r="L204" t="n">
        <v>0</v>
      </c>
      <c r="M204" t="n">
        <v>0</v>
      </c>
      <c r="N204" t="n">
        <v>0</v>
      </c>
      <c r="O204" t="n">
        <v>0</v>
      </c>
      <c r="P204" t="n">
        <v>0</v>
      </c>
      <c r="Q204" t="n">
        <v>0</v>
      </c>
      <c r="R204" s="2" t="inlineStr"/>
    </row>
    <row r="205" ht="15" customHeight="1">
      <c r="A205" t="inlineStr">
        <is>
          <t>A 59103-2020</t>
        </is>
      </c>
      <c r="B205" s="1" t="n">
        <v>44147</v>
      </c>
      <c r="C205" s="1" t="n">
        <v>45637</v>
      </c>
      <c r="D205" t="inlineStr">
        <is>
          <t>NORRBOTTENS LÄN</t>
        </is>
      </c>
      <c r="E205" t="inlineStr">
        <is>
          <t>JOKKMOKK</t>
        </is>
      </c>
      <c r="F205" t="inlineStr">
        <is>
          <t>Allmännings- och besparingsskogar</t>
        </is>
      </c>
      <c r="G205" t="n">
        <v>1</v>
      </c>
      <c r="H205" t="n">
        <v>0</v>
      </c>
      <c r="I205" t="n">
        <v>0</v>
      </c>
      <c r="J205" t="n">
        <v>0</v>
      </c>
      <c r="K205" t="n">
        <v>0</v>
      </c>
      <c r="L205" t="n">
        <v>0</v>
      </c>
      <c r="M205" t="n">
        <v>0</v>
      </c>
      <c r="N205" t="n">
        <v>0</v>
      </c>
      <c r="O205" t="n">
        <v>0</v>
      </c>
      <c r="P205" t="n">
        <v>0</v>
      </c>
      <c r="Q205" t="n">
        <v>0</v>
      </c>
      <c r="R205" s="2" t="inlineStr"/>
    </row>
    <row r="206" ht="15" customHeight="1">
      <c r="A206" t="inlineStr">
        <is>
          <t>A 60142-2020</t>
        </is>
      </c>
      <c r="B206" s="1" t="n">
        <v>44151</v>
      </c>
      <c r="C206" s="1" t="n">
        <v>45637</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62038-2020</t>
        </is>
      </c>
      <c r="B207" s="1" t="n">
        <v>44158</v>
      </c>
      <c r="C207" s="1" t="n">
        <v>45637</v>
      </c>
      <c r="D207" t="inlineStr">
        <is>
          <t>NORRBOTTENS LÄN</t>
        </is>
      </c>
      <c r="E207" t="inlineStr">
        <is>
          <t>JOKKMOKK</t>
        </is>
      </c>
      <c r="F207" t="inlineStr">
        <is>
          <t>Övriga Aktiebolag</t>
        </is>
      </c>
      <c r="G207" t="n">
        <v>7.3</v>
      </c>
      <c r="H207" t="n">
        <v>0</v>
      </c>
      <c r="I207" t="n">
        <v>0</v>
      </c>
      <c r="J207" t="n">
        <v>0</v>
      </c>
      <c r="K207" t="n">
        <v>0</v>
      </c>
      <c r="L207" t="n">
        <v>0</v>
      </c>
      <c r="M207" t="n">
        <v>0</v>
      </c>
      <c r="N207" t="n">
        <v>0</v>
      </c>
      <c r="O207" t="n">
        <v>0</v>
      </c>
      <c r="P207" t="n">
        <v>0</v>
      </c>
      <c r="Q207" t="n">
        <v>0</v>
      </c>
      <c r="R207" s="2" t="inlineStr"/>
    </row>
    <row r="208" ht="15" customHeight="1">
      <c r="A208" t="inlineStr">
        <is>
          <t>A 62233-2020</t>
        </is>
      </c>
      <c r="B208" s="1" t="n">
        <v>44159</v>
      </c>
      <c r="C208" s="1" t="n">
        <v>45637</v>
      </c>
      <c r="D208" t="inlineStr">
        <is>
          <t>NORRBOTTENS LÄN</t>
        </is>
      </c>
      <c r="E208" t="inlineStr">
        <is>
          <t>JOKKMOKK</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62757-2020</t>
        </is>
      </c>
      <c r="B209" s="1" t="n">
        <v>44161</v>
      </c>
      <c r="C209" s="1" t="n">
        <v>45637</v>
      </c>
      <c r="D209" t="inlineStr">
        <is>
          <t>NORRBOTTENS LÄN</t>
        </is>
      </c>
      <c r="E209" t="inlineStr">
        <is>
          <t>JOKKMOKK</t>
        </is>
      </c>
      <c r="F209" t="inlineStr">
        <is>
          <t>Sveaskog</t>
        </is>
      </c>
      <c r="G209" t="n">
        <v>3.4</v>
      </c>
      <c r="H209" t="n">
        <v>0</v>
      </c>
      <c r="I209" t="n">
        <v>0</v>
      </c>
      <c r="J209" t="n">
        <v>0</v>
      </c>
      <c r="K209" t="n">
        <v>0</v>
      </c>
      <c r="L209" t="n">
        <v>0</v>
      </c>
      <c r="M209" t="n">
        <v>0</v>
      </c>
      <c r="N209" t="n">
        <v>0</v>
      </c>
      <c r="O209" t="n">
        <v>0</v>
      </c>
      <c r="P209" t="n">
        <v>0</v>
      </c>
      <c r="Q209" t="n">
        <v>0</v>
      </c>
      <c r="R209" s="2" t="inlineStr"/>
    </row>
    <row r="210" ht="15" customHeight="1">
      <c r="A210" t="inlineStr">
        <is>
          <t>A 62759-2020</t>
        </is>
      </c>
      <c r="B210" s="1" t="n">
        <v>44161</v>
      </c>
      <c r="C210" s="1" t="n">
        <v>45637</v>
      </c>
      <c r="D210" t="inlineStr">
        <is>
          <t>NORRBOTTENS LÄN</t>
        </is>
      </c>
      <c r="E210" t="inlineStr">
        <is>
          <t>JOKKMOKK</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65652-2020</t>
        </is>
      </c>
      <c r="B211" s="1" t="n">
        <v>44172</v>
      </c>
      <c r="C211" s="1" t="n">
        <v>45637</v>
      </c>
      <c r="D211" t="inlineStr">
        <is>
          <t>NORRBOTTENS LÄN</t>
        </is>
      </c>
      <c r="E211" t="inlineStr">
        <is>
          <t>JOKKMOKK</t>
        </is>
      </c>
      <c r="G211" t="n">
        <v>6.2</v>
      </c>
      <c r="H211" t="n">
        <v>0</v>
      </c>
      <c r="I211" t="n">
        <v>0</v>
      </c>
      <c r="J211" t="n">
        <v>0</v>
      </c>
      <c r="K211" t="n">
        <v>0</v>
      </c>
      <c r="L211" t="n">
        <v>0</v>
      </c>
      <c r="M211" t="n">
        <v>0</v>
      </c>
      <c r="N211" t="n">
        <v>0</v>
      </c>
      <c r="O211" t="n">
        <v>0</v>
      </c>
      <c r="P211" t="n">
        <v>0</v>
      </c>
      <c r="Q211" t="n">
        <v>0</v>
      </c>
      <c r="R211" s="2" t="inlineStr"/>
    </row>
    <row r="212" ht="15" customHeight="1">
      <c r="A212" t="inlineStr">
        <is>
          <t>A 65648-2020</t>
        </is>
      </c>
      <c r="B212" s="1" t="n">
        <v>44172</v>
      </c>
      <c r="C212" s="1" t="n">
        <v>45637</v>
      </c>
      <c r="D212" t="inlineStr">
        <is>
          <t>NORRBOTTENS LÄN</t>
        </is>
      </c>
      <c r="E212" t="inlineStr">
        <is>
          <t>JOKKMOKK</t>
        </is>
      </c>
      <c r="G212" t="n">
        <v>1.8</v>
      </c>
      <c r="H212" t="n">
        <v>0</v>
      </c>
      <c r="I212" t="n">
        <v>0</v>
      </c>
      <c r="J212" t="n">
        <v>0</v>
      </c>
      <c r="K212" t="n">
        <v>0</v>
      </c>
      <c r="L212" t="n">
        <v>0</v>
      </c>
      <c r="M212" t="n">
        <v>0</v>
      </c>
      <c r="N212" t="n">
        <v>0</v>
      </c>
      <c r="O212" t="n">
        <v>0</v>
      </c>
      <c r="P212" t="n">
        <v>0</v>
      </c>
      <c r="Q212" t="n">
        <v>0</v>
      </c>
      <c r="R212" s="2" t="inlineStr"/>
    </row>
    <row r="213" ht="15" customHeight="1">
      <c r="A213" t="inlineStr">
        <is>
          <t>A 65343-2020</t>
        </is>
      </c>
      <c r="B213" s="1" t="n">
        <v>44173</v>
      </c>
      <c r="C213" s="1" t="n">
        <v>45637</v>
      </c>
      <c r="D213" t="inlineStr">
        <is>
          <t>NORRBOTTENS LÄN</t>
        </is>
      </c>
      <c r="E213" t="inlineStr">
        <is>
          <t>JOKKMOKK</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65542-2020</t>
        </is>
      </c>
      <c r="B214" s="1" t="n">
        <v>44173</v>
      </c>
      <c r="C214" s="1" t="n">
        <v>45637</v>
      </c>
      <c r="D214" t="inlineStr">
        <is>
          <t>NORRBOTTENS LÄN</t>
        </is>
      </c>
      <c r="E214" t="inlineStr">
        <is>
          <t>JOKKMOKK</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68583-2020</t>
        </is>
      </c>
      <c r="B215" s="1" t="n">
        <v>44186</v>
      </c>
      <c r="C215" s="1" t="n">
        <v>45637</v>
      </c>
      <c r="D215" t="inlineStr">
        <is>
          <t>NORRBOTTENS LÄN</t>
        </is>
      </c>
      <c r="E215" t="inlineStr">
        <is>
          <t>JOKKMOKK</t>
        </is>
      </c>
      <c r="F215" t="inlineStr">
        <is>
          <t>Sveaskog</t>
        </is>
      </c>
      <c r="G215" t="n">
        <v>12.5</v>
      </c>
      <c r="H215" t="n">
        <v>0</v>
      </c>
      <c r="I215" t="n">
        <v>0</v>
      </c>
      <c r="J215" t="n">
        <v>0</v>
      </c>
      <c r="K215" t="n">
        <v>0</v>
      </c>
      <c r="L215" t="n">
        <v>0</v>
      </c>
      <c r="M215" t="n">
        <v>0</v>
      </c>
      <c r="N215" t="n">
        <v>0</v>
      </c>
      <c r="O215" t="n">
        <v>0</v>
      </c>
      <c r="P215" t="n">
        <v>0</v>
      </c>
      <c r="Q215" t="n">
        <v>0</v>
      </c>
      <c r="R215" s="2" t="inlineStr"/>
    </row>
    <row r="216" ht="15" customHeight="1">
      <c r="A216" t="inlineStr">
        <is>
          <t>A 68636-2020</t>
        </is>
      </c>
      <c r="B216" s="1" t="n">
        <v>44186</v>
      </c>
      <c r="C216" s="1" t="n">
        <v>45637</v>
      </c>
      <c r="D216" t="inlineStr">
        <is>
          <t>NORRBOTTENS LÄN</t>
        </is>
      </c>
      <c r="E216" t="inlineStr">
        <is>
          <t>JOKKMOKK</t>
        </is>
      </c>
      <c r="F216" t="inlineStr">
        <is>
          <t>SCA</t>
        </is>
      </c>
      <c r="G216" t="n">
        <v>42.3</v>
      </c>
      <c r="H216" t="n">
        <v>0</v>
      </c>
      <c r="I216" t="n">
        <v>0</v>
      </c>
      <c r="J216" t="n">
        <v>0</v>
      </c>
      <c r="K216" t="n">
        <v>0</v>
      </c>
      <c r="L216" t="n">
        <v>0</v>
      </c>
      <c r="M216" t="n">
        <v>0</v>
      </c>
      <c r="N216" t="n">
        <v>0</v>
      </c>
      <c r="O216" t="n">
        <v>0</v>
      </c>
      <c r="P216" t="n">
        <v>0</v>
      </c>
      <c r="Q216" t="n">
        <v>0</v>
      </c>
      <c r="R216" s="2" t="inlineStr"/>
    </row>
    <row r="217" ht="15" customHeight="1">
      <c r="A217" t="inlineStr">
        <is>
          <t>A 7273-2021</t>
        </is>
      </c>
      <c r="B217" s="1" t="n">
        <v>44238</v>
      </c>
      <c r="C217" s="1" t="n">
        <v>45637</v>
      </c>
      <c r="D217" t="inlineStr">
        <is>
          <t>NORRBOTTENS LÄN</t>
        </is>
      </c>
      <c r="E217" t="inlineStr">
        <is>
          <t>JOKKMOKK</t>
        </is>
      </c>
      <c r="F217" t="inlineStr">
        <is>
          <t>Övriga statliga verk och myndigheter</t>
        </is>
      </c>
      <c r="G217" t="n">
        <v>19.8</v>
      </c>
      <c r="H217" t="n">
        <v>0</v>
      </c>
      <c r="I217" t="n">
        <v>0</v>
      </c>
      <c r="J217" t="n">
        <v>0</v>
      </c>
      <c r="K217" t="n">
        <v>0</v>
      </c>
      <c r="L217" t="n">
        <v>0</v>
      </c>
      <c r="M217" t="n">
        <v>0</v>
      </c>
      <c r="N217" t="n">
        <v>0</v>
      </c>
      <c r="O217" t="n">
        <v>0</v>
      </c>
      <c r="P217" t="n">
        <v>0</v>
      </c>
      <c r="Q217" t="n">
        <v>0</v>
      </c>
      <c r="R217" s="2" t="inlineStr"/>
    </row>
    <row r="218" ht="15" customHeight="1">
      <c r="A218" t="inlineStr">
        <is>
          <t>A 8350-2021</t>
        </is>
      </c>
      <c r="B218" s="1" t="n">
        <v>44244</v>
      </c>
      <c r="C218" s="1" t="n">
        <v>45637</v>
      </c>
      <c r="D218" t="inlineStr">
        <is>
          <t>NORRBOTTENS LÄN</t>
        </is>
      </c>
      <c r="E218" t="inlineStr">
        <is>
          <t>JOKKMOKK</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8357-2021</t>
        </is>
      </c>
      <c r="B219" s="1" t="n">
        <v>44244</v>
      </c>
      <c r="C219" s="1" t="n">
        <v>45637</v>
      </c>
      <c r="D219" t="inlineStr">
        <is>
          <t>NORRBOTTENS LÄN</t>
        </is>
      </c>
      <c r="E219" t="inlineStr">
        <is>
          <t>JOKKMOKK</t>
        </is>
      </c>
      <c r="F219" t="inlineStr">
        <is>
          <t>SCA</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8358-2021</t>
        </is>
      </c>
      <c r="B220" s="1" t="n">
        <v>44244</v>
      </c>
      <c r="C220" s="1" t="n">
        <v>45637</v>
      </c>
      <c r="D220" t="inlineStr">
        <is>
          <t>NORRBOTTENS LÄN</t>
        </is>
      </c>
      <c r="E220" t="inlineStr">
        <is>
          <t>JOKKMOKK</t>
        </is>
      </c>
      <c r="F220" t="inlineStr">
        <is>
          <t>SCA</t>
        </is>
      </c>
      <c r="G220" t="n">
        <v>4.5</v>
      </c>
      <c r="H220" t="n">
        <v>0</v>
      </c>
      <c r="I220" t="n">
        <v>0</v>
      </c>
      <c r="J220" t="n">
        <v>0</v>
      </c>
      <c r="K220" t="n">
        <v>0</v>
      </c>
      <c r="L220" t="n">
        <v>0</v>
      </c>
      <c r="M220" t="n">
        <v>0</v>
      </c>
      <c r="N220" t="n">
        <v>0</v>
      </c>
      <c r="O220" t="n">
        <v>0</v>
      </c>
      <c r="P220" t="n">
        <v>0</v>
      </c>
      <c r="Q220" t="n">
        <v>0</v>
      </c>
      <c r="R220" s="2" t="inlineStr"/>
    </row>
    <row r="221" ht="15" customHeight="1">
      <c r="A221" t="inlineStr">
        <is>
          <t>A 8360-2021</t>
        </is>
      </c>
      <c r="B221" s="1" t="n">
        <v>44244</v>
      </c>
      <c r="C221" s="1" t="n">
        <v>45637</v>
      </c>
      <c r="D221" t="inlineStr">
        <is>
          <t>NORRBOTTENS LÄN</t>
        </is>
      </c>
      <c r="E221" t="inlineStr">
        <is>
          <t>JOKKMOKK</t>
        </is>
      </c>
      <c r="F221" t="inlineStr">
        <is>
          <t>SCA</t>
        </is>
      </c>
      <c r="G221" t="n">
        <v>5</v>
      </c>
      <c r="H221" t="n">
        <v>0</v>
      </c>
      <c r="I221" t="n">
        <v>0</v>
      </c>
      <c r="J221" t="n">
        <v>0</v>
      </c>
      <c r="K221" t="n">
        <v>0</v>
      </c>
      <c r="L221" t="n">
        <v>0</v>
      </c>
      <c r="M221" t="n">
        <v>0</v>
      </c>
      <c r="N221" t="n">
        <v>0</v>
      </c>
      <c r="O221" t="n">
        <v>0</v>
      </c>
      <c r="P221" t="n">
        <v>0</v>
      </c>
      <c r="Q221" t="n">
        <v>0</v>
      </c>
      <c r="R221" s="2" t="inlineStr"/>
    </row>
    <row r="222" ht="15" customHeight="1">
      <c r="A222" t="inlineStr">
        <is>
          <t>A 8354-2021</t>
        </is>
      </c>
      <c r="B222" s="1" t="n">
        <v>44244</v>
      </c>
      <c r="C222" s="1" t="n">
        <v>45637</v>
      </c>
      <c r="D222" t="inlineStr">
        <is>
          <t>NORRBOTTENS LÄN</t>
        </is>
      </c>
      <c r="E222" t="inlineStr">
        <is>
          <t>JOKKMOKK</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8641-2021</t>
        </is>
      </c>
      <c r="B223" s="1" t="n">
        <v>44245</v>
      </c>
      <c r="C223" s="1" t="n">
        <v>45637</v>
      </c>
      <c r="D223" t="inlineStr">
        <is>
          <t>NORRBOTTENS LÄN</t>
        </is>
      </c>
      <c r="E223" t="inlineStr">
        <is>
          <t>JOKKMOKK</t>
        </is>
      </c>
      <c r="F223" t="inlineStr">
        <is>
          <t>SCA</t>
        </is>
      </c>
      <c r="G223" t="n">
        <v>5.7</v>
      </c>
      <c r="H223" t="n">
        <v>0</v>
      </c>
      <c r="I223" t="n">
        <v>0</v>
      </c>
      <c r="J223" t="n">
        <v>0</v>
      </c>
      <c r="K223" t="n">
        <v>0</v>
      </c>
      <c r="L223" t="n">
        <v>0</v>
      </c>
      <c r="M223" t="n">
        <v>0</v>
      </c>
      <c r="N223" t="n">
        <v>0</v>
      </c>
      <c r="O223" t="n">
        <v>0</v>
      </c>
      <c r="P223" t="n">
        <v>0</v>
      </c>
      <c r="Q223" t="n">
        <v>0</v>
      </c>
      <c r="R223" s="2" t="inlineStr"/>
    </row>
    <row r="224" ht="15" customHeight="1">
      <c r="A224" t="inlineStr">
        <is>
          <t>A 8855-2021</t>
        </is>
      </c>
      <c r="B224" s="1" t="n">
        <v>44246</v>
      </c>
      <c r="C224" s="1" t="n">
        <v>45637</v>
      </c>
      <c r="D224" t="inlineStr">
        <is>
          <t>NORRBOTTENS LÄN</t>
        </is>
      </c>
      <c r="E224" t="inlineStr">
        <is>
          <t>JOKKMOKK</t>
        </is>
      </c>
      <c r="F224" t="inlineStr">
        <is>
          <t>SCA</t>
        </is>
      </c>
      <c r="G224" t="n">
        <v>14.3</v>
      </c>
      <c r="H224" t="n">
        <v>0</v>
      </c>
      <c r="I224" t="n">
        <v>0</v>
      </c>
      <c r="J224" t="n">
        <v>0</v>
      </c>
      <c r="K224" t="n">
        <v>0</v>
      </c>
      <c r="L224" t="n">
        <v>0</v>
      </c>
      <c r="M224" t="n">
        <v>0</v>
      </c>
      <c r="N224" t="n">
        <v>0</v>
      </c>
      <c r="O224" t="n">
        <v>0</v>
      </c>
      <c r="P224" t="n">
        <v>0</v>
      </c>
      <c r="Q224" t="n">
        <v>0</v>
      </c>
      <c r="R224" s="2" t="inlineStr"/>
    </row>
    <row r="225" ht="15" customHeight="1">
      <c r="A225" t="inlineStr">
        <is>
          <t>A 28319-2021</t>
        </is>
      </c>
      <c r="B225" s="1" t="n">
        <v>44355</v>
      </c>
      <c r="C225" s="1" t="n">
        <v>45637</v>
      </c>
      <c r="D225" t="inlineStr">
        <is>
          <t>NORRBOTTENS LÄN</t>
        </is>
      </c>
      <c r="E225" t="inlineStr">
        <is>
          <t>JOKKMOKK</t>
        </is>
      </c>
      <c r="F225" t="inlineStr">
        <is>
          <t>Övriga statliga verk och myndigheter</t>
        </is>
      </c>
      <c r="G225" t="n">
        <v>40</v>
      </c>
      <c r="H225" t="n">
        <v>0</v>
      </c>
      <c r="I225" t="n">
        <v>0</v>
      </c>
      <c r="J225" t="n">
        <v>0</v>
      </c>
      <c r="K225" t="n">
        <v>0</v>
      </c>
      <c r="L225" t="n">
        <v>0</v>
      </c>
      <c r="M225" t="n">
        <v>0</v>
      </c>
      <c r="N225" t="n">
        <v>0</v>
      </c>
      <c r="O225" t="n">
        <v>0</v>
      </c>
      <c r="P225" t="n">
        <v>0</v>
      </c>
      <c r="Q225" t="n">
        <v>0</v>
      </c>
      <c r="R225" s="2" t="inlineStr"/>
    </row>
    <row r="226" ht="15" customHeight="1">
      <c r="A226" t="inlineStr">
        <is>
          <t>A 29073-2021</t>
        </is>
      </c>
      <c r="B226" s="1" t="n">
        <v>44358</v>
      </c>
      <c r="C226" s="1" t="n">
        <v>45637</v>
      </c>
      <c r="D226" t="inlineStr">
        <is>
          <t>NORRBOTTENS LÄN</t>
        </is>
      </c>
      <c r="E226" t="inlineStr">
        <is>
          <t>JOKKMOKK</t>
        </is>
      </c>
      <c r="F226" t="inlineStr">
        <is>
          <t>Sveaskog</t>
        </is>
      </c>
      <c r="G226" t="n">
        <v>9.6</v>
      </c>
      <c r="H226" t="n">
        <v>0</v>
      </c>
      <c r="I226" t="n">
        <v>0</v>
      </c>
      <c r="J226" t="n">
        <v>0</v>
      </c>
      <c r="K226" t="n">
        <v>0</v>
      </c>
      <c r="L226" t="n">
        <v>0</v>
      </c>
      <c r="M226" t="n">
        <v>0</v>
      </c>
      <c r="N226" t="n">
        <v>0</v>
      </c>
      <c r="O226" t="n">
        <v>0</v>
      </c>
      <c r="P226" t="n">
        <v>0</v>
      </c>
      <c r="Q226" t="n">
        <v>0</v>
      </c>
      <c r="R226" s="2" t="inlineStr"/>
    </row>
    <row r="227" ht="15" customHeight="1">
      <c r="A227" t="inlineStr">
        <is>
          <t>A 29955-2021</t>
        </is>
      </c>
      <c r="B227" s="1" t="n">
        <v>44362</v>
      </c>
      <c r="C227" s="1" t="n">
        <v>45637</v>
      </c>
      <c r="D227" t="inlineStr">
        <is>
          <t>NORRBOTTENS LÄN</t>
        </is>
      </c>
      <c r="E227" t="inlineStr">
        <is>
          <t>JOKKMOKK</t>
        </is>
      </c>
      <c r="G227" t="n">
        <v>14.1</v>
      </c>
      <c r="H227" t="n">
        <v>0</v>
      </c>
      <c r="I227" t="n">
        <v>0</v>
      </c>
      <c r="J227" t="n">
        <v>0</v>
      </c>
      <c r="K227" t="n">
        <v>0</v>
      </c>
      <c r="L227" t="n">
        <v>0</v>
      </c>
      <c r="M227" t="n">
        <v>0</v>
      </c>
      <c r="N227" t="n">
        <v>0</v>
      </c>
      <c r="O227" t="n">
        <v>0</v>
      </c>
      <c r="P227" t="n">
        <v>0</v>
      </c>
      <c r="Q227" t="n">
        <v>0</v>
      </c>
      <c r="R227" s="2" t="inlineStr"/>
    </row>
    <row r="228" ht="15" customHeight="1">
      <c r="A228" t="inlineStr">
        <is>
          <t>A 31767-2021</t>
        </is>
      </c>
      <c r="B228" s="1" t="n">
        <v>44369</v>
      </c>
      <c r="C228" s="1" t="n">
        <v>45637</v>
      </c>
      <c r="D228" t="inlineStr">
        <is>
          <t>NORRBOTTENS LÄN</t>
        </is>
      </c>
      <c r="E228" t="inlineStr">
        <is>
          <t>JOKKMOKK</t>
        </is>
      </c>
      <c r="F228" t="inlineStr">
        <is>
          <t>Övriga statliga verk och myndigheter</t>
        </is>
      </c>
      <c r="G228" t="n">
        <v>12.1</v>
      </c>
      <c r="H228" t="n">
        <v>0</v>
      </c>
      <c r="I228" t="n">
        <v>0</v>
      </c>
      <c r="J228" t="n">
        <v>0</v>
      </c>
      <c r="K228" t="n">
        <v>0</v>
      </c>
      <c r="L228" t="n">
        <v>0</v>
      </c>
      <c r="M228" t="n">
        <v>0</v>
      </c>
      <c r="N228" t="n">
        <v>0</v>
      </c>
      <c r="O228" t="n">
        <v>0</v>
      </c>
      <c r="P228" t="n">
        <v>0</v>
      </c>
      <c r="Q228" t="n">
        <v>0</v>
      </c>
      <c r="R228" s="2" t="inlineStr"/>
    </row>
    <row r="229" ht="15" customHeight="1">
      <c r="A229" t="inlineStr">
        <is>
          <t>A 31902-2021</t>
        </is>
      </c>
      <c r="B229" s="1" t="n">
        <v>44370</v>
      </c>
      <c r="C229" s="1" t="n">
        <v>45637</v>
      </c>
      <c r="D229" t="inlineStr">
        <is>
          <t>NORRBOTTENS LÄN</t>
        </is>
      </c>
      <c r="E229" t="inlineStr">
        <is>
          <t>JOKKMOKK</t>
        </is>
      </c>
      <c r="G229" t="n">
        <v>20</v>
      </c>
      <c r="H229" t="n">
        <v>0</v>
      </c>
      <c r="I229" t="n">
        <v>0</v>
      </c>
      <c r="J229" t="n">
        <v>0</v>
      </c>
      <c r="K229" t="n">
        <v>0</v>
      </c>
      <c r="L229" t="n">
        <v>0</v>
      </c>
      <c r="M229" t="n">
        <v>0</v>
      </c>
      <c r="N229" t="n">
        <v>0</v>
      </c>
      <c r="O229" t="n">
        <v>0</v>
      </c>
      <c r="P229" t="n">
        <v>0</v>
      </c>
      <c r="Q229" t="n">
        <v>0</v>
      </c>
      <c r="R229" s="2" t="inlineStr"/>
    </row>
    <row r="230" ht="15" customHeight="1">
      <c r="A230" t="inlineStr">
        <is>
          <t>A 32751-2021</t>
        </is>
      </c>
      <c r="B230" s="1" t="n">
        <v>44375</v>
      </c>
      <c r="C230" s="1" t="n">
        <v>45637</v>
      </c>
      <c r="D230" t="inlineStr">
        <is>
          <t>NORRBOTTENS LÄN</t>
        </is>
      </c>
      <c r="E230" t="inlineStr">
        <is>
          <t>JOKKMOKK</t>
        </is>
      </c>
      <c r="F230" t="inlineStr">
        <is>
          <t>Övriga statliga verk och myndigheter</t>
        </is>
      </c>
      <c r="G230" t="n">
        <v>17</v>
      </c>
      <c r="H230" t="n">
        <v>0</v>
      </c>
      <c r="I230" t="n">
        <v>0</v>
      </c>
      <c r="J230" t="n">
        <v>0</v>
      </c>
      <c r="K230" t="n">
        <v>0</v>
      </c>
      <c r="L230" t="n">
        <v>0</v>
      </c>
      <c r="M230" t="n">
        <v>0</v>
      </c>
      <c r="N230" t="n">
        <v>0</v>
      </c>
      <c r="O230" t="n">
        <v>0</v>
      </c>
      <c r="P230" t="n">
        <v>0</v>
      </c>
      <c r="Q230" t="n">
        <v>0</v>
      </c>
      <c r="R230" s="2" t="inlineStr"/>
    </row>
    <row r="231" ht="15" customHeight="1">
      <c r="A231" t="inlineStr">
        <is>
          <t>A 34062-2021</t>
        </is>
      </c>
      <c r="B231" s="1" t="n">
        <v>44378</v>
      </c>
      <c r="C231" s="1" t="n">
        <v>45637</v>
      </c>
      <c r="D231" t="inlineStr">
        <is>
          <t>NORRBOTTENS LÄN</t>
        </is>
      </c>
      <c r="E231" t="inlineStr">
        <is>
          <t>JOKKMOKK</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34084-2021</t>
        </is>
      </c>
      <c r="B232" s="1" t="n">
        <v>44378</v>
      </c>
      <c r="C232" s="1" t="n">
        <v>45637</v>
      </c>
      <c r="D232" t="inlineStr">
        <is>
          <t>NORRBOTTENS LÄN</t>
        </is>
      </c>
      <c r="E232" t="inlineStr">
        <is>
          <t>JOKKMOKK</t>
        </is>
      </c>
      <c r="G232" t="n">
        <v>9.6</v>
      </c>
      <c r="H232" t="n">
        <v>0</v>
      </c>
      <c r="I232" t="n">
        <v>0</v>
      </c>
      <c r="J232" t="n">
        <v>0</v>
      </c>
      <c r="K232" t="n">
        <v>0</v>
      </c>
      <c r="L232" t="n">
        <v>0</v>
      </c>
      <c r="M232" t="n">
        <v>0</v>
      </c>
      <c r="N232" t="n">
        <v>0</v>
      </c>
      <c r="O232" t="n">
        <v>0</v>
      </c>
      <c r="P232" t="n">
        <v>0</v>
      </c>
      <c r="Q232" t="n">
        <v>0</v>
      </c>
      <c r="R232" s="2" t="inlineStr"/>
    </row>
    <row r="233" ht="15" customHeight="1">
      <c r="A233" t="inlineStr">
        <is>
          <t>A 34752-2021</t>
        </is>
      </c>
      <c r="B233" s="1" t="n">
        <v>44382</v>
      </c>
      <c r="C233" s="1" t="n">
        <v>45637</v>
      </c>
      <c r="D233" t="inlineStr">
        <is>
          <t>NORRBOTTENS LÄN</t>
        </is>
      </c>
      <c r="E233" t="inlineStr">
        <is>
          <t>JOKKMOKK</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36607-2021</t>
        </is>
      </c>
      <c r="B234" s="1" t="n">
        <v>44391</v>
      </c>
      <c r="C234" s="1" t="n">
        <v>45637</v>
      </c>
      <c r="D234" t="inlineStr">
        <is>
          <t>NORRBOTTENS LÄN</t>
        </is>
      </c>
      <c r="E234" t="inlineStr">
        <is>
          <t>JOKKMOKK</t>
        </is>
      </c>
      <c r="F234" t="inlineStr">
        <is>
          <t>Allmännings- och besparingsskogar</t>
        </is>
      </c>
      <c r="G234" t="n">
        <v>9.5</v>
      </c>
      <c r="H234" t="n">
        <v>0</v>
      </c>
      <c r="I234" t="n">
        <v>0</v>
      </c>
      <c r="J234" t="n">
        <v>0</v>
      </c>
      <c r="K234" t="n">
        <v>0</v>
      </c>
      <c r="L234" t="n">
        <v>0</v>
      </c>
      <c r="M234" t="n">
        <v>0</v>
      </c>
      <c r="N234" t="n">
        <v>0</v>
      </c>
      <c r="O234" t="n">
        <v>0</v>
      </c>
      <c r="P234" t="n">
        <v>0</v>
      </c>
      <c r="Q234" t="n">
        <v>0</v>
      </c>
      <c r="R234" s="2" t="inlineStr"/>
    </row>
    <row r="235" ht="15" customHeight="1">
      <c r="A235" t="inlineStr">
        <is>
          <t>A 37114-2021</t>
        </is>
      </c>
      <c r="B235" s="1" t="n">
        <v>44393</v>
      </c>
      <c r="C235" s="1" t="n">
        <v>45637</v>
      </c>
      <c r="D235" t="inlineStr">
        <is>
          <t>NORRBOTTENS LÄN</t>
        </is>
      </c>
      <c r="E235" t="inlineStr">
        <is>
          <t>JOKKMOKK</t>
        </is>
      </c>
      <c r="F235" t="inlineStr">
        <is>
          <t>Övriga statliga verk och myndigheter</t>
        </is>
      </c>
      <c r="G235" t="n">
        <v>30</v>
      </c>
      <c r="H235" t="n">
        <v>0</v>
      </c>
      <c r="I235" t="n">
        <v>0</v>
      </c>
      <c r="J235" t="n">
        <v>0</v>
      </c>
      <c r="K235" t="n">
        <v>0</v>
      </c>
      <c r="L235" t="n">
        <v>0</v>
      </c>
      <c r="M235" t="n">
        <v>0</v>
      </c>
      <c r="N235" t="n">
        <v>0</v>
      </c>
      <c r="O235" t="n">
        <v>0</v>
      </c>
      <c r="P235" t="n">
        <v>0</v>
      </c>
      <c r="Q235" t="n">
        <v>0</v>
      </c>
      <c r="R235" s="2" t="inlineStr"/>
    </row>
    <row r="236" ht="15" customHeight="1">
      <c r="A236" t="inlineStr">
        <is>
          <t>A 38039-2021</t>
        </is>
      </c>
      <c r="B236" s="1" t="n">
        <v>44404</v>
      </c>
      <c r="C236" s="1" t="n">
        <v>45637</v>
      </c>
      <c r="D236" t="inlineStr">
        <is>
          <t>NORRBOTTENS LÄN</t>
        </is>
      </c>
      <c r="E236" t="inlineStr">
        <is>
          <t>JOKKMOKK</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39784-2021</t>
        </is>
      </c>
      <c r="B237" s="1" t="n">
        <v>44417</v>
      </c>
      <c r="C237" s="1" t="n">
        <v>45637</v>
      </c>
      <c r="D237" t="inlineStr">
        <is>
          <t>NORRBOTTENS LÄN</t>
        </is>
      </c>
      <c r="E237" t="inlineStr">
        <is>
          <t>JOKKMOKK</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41923-2021</t>
        </is>
      </c>
      <c r="B238" s="1" t="n">
        <v>44425</v>
      </c>
      <c r="C238" s="1" t="n">
        <v>45637</v>
      </c>
      <c r="D238" t="inlineStr">
        <is>
          <t>NORRBOTTENS LÄN</t>
        </is>
      </c>
      <c r="E238" t="inlineStr">
        <is>
          <t>JOKKMOKK</t>
        </is>
      </c>
      <c r="F238" t="inlineStr">
        <is>
          <t>Övriga statliga verk och myndigheter</t>
        </is>
      </c>
      <c r="G238" t="n">
        <v>22</v>
      </c>
      <c r="H238" t="n">
        <v>0</v>
      </c>
      <c r="I238" t="n">
        <v>0</v>
      </c>
      <c r="J238" t="n">
        <v>0</v>
      </c>
      <c r="K238" t="n">
        <v>0</v>
      </c>
      <c r="L238" t="n">
        <v>0</v>
      </c>
      <c r="M238" t="n">
        <v>0</v>
      </c>
      <c r="N238" t="n">
        <v>0</v>
      </c>
      <c r="O238" t="n">
        <v>0</v>
      </c>
      <c r="P238" t="n">
        <v>0</v>
      </c>
      <c r="Q238" t="n">
        <v>0</v>
      </c>
      <c r="R238" s="2" t="inlineStr"/>
    </row>
    <row r="239" ht="15" customHeight="1">
      <c r="A239" t="inlineStr">
        <is>
          <t>A 43014-2021</t>
        </is>
      </c>
      <c r="B239" s="1" t="n">
        <v>44431</v>
      </c>
      <c r="C239" s="1" t="n">
        <v>45637</v>
      </c>
      <c r="D239" t="inlineStr">
        <is>
          <t>NORRBOTTENS LÄN</t>
        </is>
      </c>
      <c r="E239" t="inlineStr">
        <is>
          <t>JOKKMOKK</t>
        </is>
      </c>
      <c r="G239" t="n">
        <v>2.8</v>
      </c>
      <c r="H239" t="n">
        <v>0</v>
      </c>
      <c r="I239" t="n">
        <v>0</v>
      </c>
      <c r="J239" t="n">
        <v>0</v>
      </c>
      <c r="K239" t="n">
        <v>0</v>
      </c>
      <c r="L239" t="n">
        <v>0</v>
      </c>
      <c r="M239" t="n">
        <v>0</v>
      </c>
      <c r="N239" t="n">
        <v>0</v>
      </c>
      <c r="O239" t="n">
        <v>0</v>
      </c>
      <c r="P239" t="n">
        <v>0</v>
      </c>
      <c r="Q239" t="n">
        <v>0</v>
      </c>
      <c r="R239" s="2" t="inlineStr"/>
    </row>
    <row r="240" ht="15" customHeight="1">
      <c r="A240" t="inlineStr">
        <is>
          <t>A 43720-2021</t>
        </is>
      </c>
      <c r="B240" s="1" t="n">
        <v>44433</v>
      </c>
      <c r="C240" s="1" t="n">
        <v>45637</v>
      </c>
      <c r="D240" t="inlineStr">
        <is>
          <t>NORRBOTTENS LÄN</t>
        </is>
      </c>
      <c r="E240" t="inlineStr">
        <is>
          <t>JOKKMOKK</t>
        </is>
      </c>
      <c r="F240" t="inlineStr">
        <is>
          <t>Sveaskog</t>
        </is>
      </c>
      <c r="G240" t="n">
        <v>8</v>
      </c>
      <c r="H240" t="n">
        <v>0</v>
      </c>
      <c r="I240" t="n">
        <v>0</v>
      </c>
      <c r="J240" t="n">
        <v>0</v>
      </c>
      <c r="K240" t="n">
        <v>0</v>
      </c>
      <c r="L240" t="n">
        <v>0</v>
      </c>
      <c r="M240" t="n">
        <v>0</v>
      </c>
      <c r="N240" t="n">
        <v>0</v>
      </c>
      <c r="O240" t="n">
        <v>0</v>
      </c>
      <c r="P240" t="n">
        <v>0</v>
      </c>
      <c r="Q240" t="n">
        <v>0</v>
      </c>
      <c r="R240" s="2" t="inlineStr"/>
    </row>
    <row r="241" ht="15" customHeight="1">
      <c r="A241" t="inlineStr">
        <is>
          <t>A 43780-2021</t>
        </is>
      </c>
      <c r="B241" s="1" t="n">
        <v>44433</v>
      </c>
      <c r="C241" s="1" t="n">
        <v>45637</v>
      </c>
      <c r="D241" t="inlineStr">
        <is>
          <t>NORRBOTTENS LÄN</t>
        </is>
      </c>
      <c r="E241" t="inlineStr">
        <is>
          <t>JOKKMOKK</t>
        </is>
      </c>
      <c r="G241" t="n">
        <v>2.7</v>
      </c>
      <c r="H241" t="n">
        <v>0</v>
      </c>
      <c r="I241" t="n">
        <v>0</v>
      </c>
      <c r="J241" t="n">
        <v>0</v>
      </c>
      <c r="K241" t="n">
        <v>0</v>
      </c>
      <c r="L241" t="n">
        <v>0</v>
      </c>
      <c r="M241" t="n">
        <v>0</v>
      </c>
      <c r="N241" t="n">
        <v>0</v>
      </c>
      <c r="O241" t="n">
        <v>0</v>
      </c>
      <c r="P241" t="n">
        <v>0</v>
      </c>
      <c r="Q241" t="n">
        <v>0</v>
      </c>
      <c r="R241" s="2" t="inlineStr"/>
    </row>
    <row r="242" ht="15" customHeight="1">
      <c r="A242" t="inlineStr">
        <is>
          <t>A 43785-2021</t>
        </is>
      </c>
      <c r="B242" s="1" t="n">
        <v>44433</v>
      </c>
      <c r="C242" s="1" t="n">
        <v>45637</v>
      </c>
      <c r="D242" t="inlineStr">
        <is>
          <t>NORRBOTTENS LÄN</t>
        </is>
      </c>
      <c r="E242" t="inlineStr">
        <is>
          <t>JOKKMOKK</t>
        </is>
      </c>
      <c r="G242" t="n">
        <v>3.8</v>
      </c>
      <c r="H242" t="n">
        <v>0</v>
      </c>
      <c r="I242" t="n">
        <v>0</v>
      </c>
      <c r="J242" t="n">
        <v>0</v>
      </c>
      <c r="K242" t="n">
        <v>0</v>
      </c>
      <c r="L242" t="n">
        <v>0</v>
      </c>
      <c r="M242" t="n">
        <v>0</v>
      </c>
      <c r="N242" t="n">
        <v>0</v>
      </c>
      <c r="O242" t="n">
        <v>0</v>
      </c>
      <c r="P242" t="n">
        <v>0</v>
      </c>
      <c r="Q242" t="n">
        <v>0</v>
      </c>
      <c r="R242" s="2" t="inlineStr"/>
    </row>
    <row r="243" ht="15" customHeight="1">
      <c r="A243" t="inlineStr">
        <is>
          <t>A 43783-2021</t>
        </is>
      </c>
      <c r="B243" s="1" t="n">
        <v>44433</v>
      </c>
      <c r="C243" s="1" t="n">
        <v>45637</v>
      </c>
      <c r="D243" t="inlineStr">
        <is>
          <t>NORRBOTTENS LÄN</t>
        </is>
      </c>
      <c r="E243" t="inlineStr">
        <is>
          <t>JOKKMOKK</t>
        </is>
      </c>
      <c r="G243" t="n">
        <v>2.3</v>
      </c>
      <c r="H243" t="n">
        <v>0</v>
      </c>
      <c r="I243" t="n">
        <v>0</v>
      </c>
      <c r="J243" t="n">
        <v>0</v>
      </c>
      <c r="K243" t="n">
        <v>0</v>
      </c>
      <c r="L243" t="n">
        <v>0</v>
      </c>
      <c r="M243" t="n">
        <v>0</v>
      </c>
      <c r="N243" t="n">
        <v>0</v>
      </c>
      <c r="O243" t="n">
        <v>0</v>
      </c>
      <c r="P243" t="n">
        <v>0</v>
      </c>
      <c r="Q243" t="n">
        <v>0</v>
      </c>
      <c r="R243" s="2" t="inlineStr"/>
    </row>
    <row r="244" ht="15" customHeight="1">
      <c r="A244" t="inlineStr">
        <is>
          <t>A 43781-2021</t>
        </is>
      </c>
      <c r="B244" s="1" t="n">
        <v>44433</v>
      </c>
      <c r="C244" s="1" t="n">
        <v>45637</v>
      </c>
      <c r="D244" t="inlineStr">
        <is>
          <t>NORRBOTTENS LÄN</t>
        </is>
      </c>
      <c r="E244" t="inlineStr">
        <is>
          <t>JOKKMOKK</t>
        </is>
      </c>
      <c r="G244" t="n">
        <v>1.7</v>
      </c>
      <c r="H244" t="n">
        <v>0</v>
      </c>
      <c r="I244" t="n">
        <v>0</v>
      </c>
      <c r="J244" t="n">
        <v>0</v>
      </c>
      <c r="K244" t="n">
        <v>0</v>
      </c>
      <c r="L244" t="n">
        <v>0</v>
      </c>
      <c r="M244" t="n">
        <v>0</v>
      </c>
      <c r="N244" t="n">
        <v>0</v>
      </c>
      <c r="O244" t="n">
        <v>0</v>
      </c>
      <c r="P244" t="n">
        <v>0</v>
      </c>
      <c r="Q244" t="n">
        <v>0</v>
      </c>
      <c r="R244" s="2" t="inlineStr"/>
    </row>
    <row r="245" ht="15" customHeight="1">
      <c r="A245" t="inlineStr">
        <is>
          <t>A 44646-2021</t>
        </is>
      </c>
      <c r="B245" s="1" t="n">
        <v>44437</v>
      </c>
      <c r="C245" s="1" t="n">
        <v>45637</v>
      </c>
      <c r="D245" t="inlineStr">
        <is>
          <t>NORRBOTTENS LÄN</t>
        </is>
      </c>
      <c r="E245" t="inlineStr">
        <is>
          <t>JOKKMOKK</t>
        </is>
      </c>
      <c r="G245" t="n">
        <v>10</v>
      </c>
      <c r="H245" t="n">
        <v>0</v>
      </c>
      <c r="I245" t="n">
        <v>0</v>
      </c>
      <c r="J245" t="n">
        <v>0</v>
      </c>
      <c r="K245" t="n">
        <v>0</v>
      </c>
      <c r="L245" t="n">
        <v>0</v>
      </c>
      <c r="M245" t="n">
        <v>0</v>
      </c>
      <c r="N245" t="n">
        <v>0</v>
      </c>
      <c r="O245" t="n">
        <v>0</v>
      </c>
      <c r="P245" t="n">
        <v>0</v>
      </c>
      <c r="Q245" t="n">
        <v>0</v>
      </c>
      <c r="R245" s="2" t="inlineStr"/>
    </row>
    <row r="246" ht="15" customHeight="1">
      <c r="A246" t="inlineStr">
        <is>
          <t>A 49483-2021</t>
        </is>
      </c>
      <c r="B246" s="1" t="n">
        <v>44454</v>
      </c>
      <c r="C246" s="1" t="n">
        <v>45637</v>
      </c>
      <c r="D246" t="inlineStr">
        <is>
          <t>NORRBOTTENS LÄN</t>
        </is>
      </c>
      <c r="E246" t="inlineStr">
        <is>
          <t>JOKKMOKK</t>
        </is>
      </c>
      <c r="F246" t="inlineStr">
        <is>
          <t>SCA</t>
        </is>
      </c>
      <c r="G246" t="n">
        <v>24.2</v>
      </c>
      <c r="H246" t="n">
        <v>0</v>
      </c>
      <c r="I246" t="n">
        <v>0</v>
      </c>
      <c r="J246" t="n">
        <v>0</v>
      </c>
      <c r="K246" t="n">
        <v>0</v>
      </c>
      <c r="L246" t="n">
        <v>0</v>
      </c>
      <c r="M246" t="n">
        <v>0</v>
      </c>
      <c r="N246" t="n">
        <v>0</v>
      </c>
      <c r="O246" t="n">
        <v>0</v>
      </c>
      <c r="P246" t="n">
        <v>0</v>
      </c>
      <c r="Q246" t="n">
        <v>0</v>
      </c>
      <c r="R246" s="2" t="inlineStr"/>
    </row>
    <row r="247" ht="15" customHeight="1">
      <c r="A247" t="inlineStr">
        <is>
          <t>A 49482-2021</t>
        </is>
      </c>
      <c r="B247" s="1" t="n">
        <v>44454</v>
      </c>
      <c r="C247" s="1" t="n">
        <v>45637</v>
      </c>
      <c r="D247" t="inlineStr">
        <is>
          <t>NORRBOTTENS LÄN</t>
        </is>
      </c>
      <c r="E247" t="inlineStr">
        <is>
          <t>JOKKMOKK</t>
        </is>
      </c>
      <c r="F247" t="inlineStr">
        <is>
          <t>SCA</t>
        </is>
      </c>
      <c r="G247" t="n">
        <v>20.4</v>
      </c>
      <c r="H247" t="n">
        <v>0</v>
      </c>
      <c r="I247" t="n">
        <v>0</v>
      </c>
      <c r="J247" t="n">
        <v>0</v>
      </c>
      <c r="K247" t="n">
        <v>0</v>
      </c>
      <c r="L247" t="n">
        <v>0</v>
      </c>
      <c r="M247" t="n">
        <v>0</v>
      </c>
      <c r="N247" t="n">
        <v>0</v>
      </c>
      <c r="O247" t="n">
        <v>0</v>
      </c>
      <c r="P247" t="n">
        <v>0</v>
      </c>
      <c r="Q247" t="n">
        <v>0</v>
      </c>
      <c r="R247" s="2" t="inlineStr"/>
    </row>
    <row r="248" ht="15" customHeight="1">
      <c r="A248" t="inlineStr">
        <is>
          <t>A 52280-2021</t>
        </is>
      </c>
      <c r="B248" s="1" t="n">
        <v>44462</v>
      </c>
      <c r="C248" s="1" t="n">
        <v>45637</v>
      </c>
      <c r="D248" t="inlineStr">
        <is>
          <t>NORRBOTTENS LÄN</t>
        </is>
      </c>
      <c r="E248" t="inlineStr">
        <is>
          <t>JOKKMOKK</t>
        </is>
      </c>
      <c r="F248" t="inlineStr">
        <is>
          <t>Övriga statliga verk och myndigheter</t>
        </is>
      </c>
      <c r="G248" t="n">
        <v>25.9</v>
      </c>
      <c r="H248" t="n">
        <v>0</v>
      </c>
      <c r="I248" t="n">
        <v>0</v>
      </c>
      <c r="J248" t="n">
        <v>0</v>
      </c>
      <c r="K248" t="n">
        <v>0</v>
      </c>
      <c r="L248" t="n">
        <v>0</v>
      </c>
      <c r="M248" t="n">
        <v>0</v>
      </c>
      <c r="N248" t="n">
        <v>0</v>
      </c>
      <c r="O248" t="n">
        <v>0</v>
      </c>
      <c r="P248" t="n">
        <v>0</v>
      </c>
      <c r="Q248" t="n">
        <v>0</v>
      </c>
      <c r="R248" s="2" t="inlineStr"/>
    </row>
    <row r="249" ht="15" customHeight="1">
      <c r="A249" t="inlineStr">
        <is>
          <t>A 56199-2021</t>
        </is>
      </c>
      <c r="B249" s="1" t="n">
        <v>44477</v>
      </c>
      <c r="C249" s="1" t="n">
        <v>45637</v>
      </c>
      <c r="D249" t="inlineStr">
        <is>
          <t>NORRBOTTENS LÄN</t>
        </is>
      </c>
      <c r="E249" t="inlineStr">
        <is>
          <t>JOKKMOKK</t>
        </is>
      </c>
      <c r="G249" t="n">
        <v>1</v>
      </c>
      <c r="H249" t="n">
        <v>0</v>
      </c>
      <c r="I249" t="n">
        <v>0</v>
      </c>
      <c r="J249" t="n">
        <v>0</v>
      </c>
      <c r="K249" t="n">
        <v>0</v>
      </c>
      <c r="L249" t="n">
        <v>0</v>
      </c>
      <c r="M249" t="n">
        <v>0</v>
      </c>
      <c r="N249" t="n">
        <v>0</v>
      </c>
      <c r="O249" t="n">
        <v>0</v>
      </c>
      <c r="P249" t="n">
        <v>0</v>
      </c>
      <c r="Q249" t="n">
        <v>0</v>
      </c>
      <c r="R249" s="2" t="inlineStr"/>
    </row>
    <row r="250" ht="15" customHeight="1">
      <c r="A250" t="inlineStr">
        <is>
          <t>A 56412-2021</t>
        </is>
      </c>
      <c r="B250" s="1" t="n">
        <v>44477</v>
      </c>
      <c r="C250" s="1" t="n">
        <v>45637</v>
      </c>
      <c r="D250" t="inlineStr">
        <is>
          <t>NORRBOTTENS LÄN</t>
        </is>
      </c>
      <c r="E250" t="inlineStr">
        <is>
          <t>JOKKMOKK</t>
        </is>
      </c>
      <c r="G250" t="n">
        <v>2.5</v>
      </c>
      <c r="H250" t="n">
        <v>0</v>
      </c>
      <c r="I250" t="n">
        <v>0</v>
      </c>
      <c r="J250" t="n">
        <v>0</v>
      </c>
      <c r="K250" t="n">
        <v>0</v>
      </c>
      <c r="L250" t="n">
        <v>0</v>
      </c>
      <c r="M250" t="n">
        <v>0</v>
      </c>
      <c r="N250" t="n">
        <v>0</v>
      </c>
      <c r="O250" t="n">
        <v>0</v>
      </c>
      <c r="P250" t="n">
        <v>0</v>
      </c>
      <c r="Q250" t="n">
        <v>0</v>
      </c>
      <c r="R250" s="2" t="inlineStr"/>
    </row>
    <row r="251" ht="15" customHeight="1">
      <c r="A251" t="inlineStr">
        <is>
          <t>A 56523-2021</t>
        </is>
      </c>
      <c r="B251" s="1" t="n">
        <v>44477</v>
      </c>
      <c r="C251" s="1" t="n">
        <v>45637</v>
      </c>
      <c r="D251" t="inlineStr">
        <is>
          <t>NORRBOTTENS LÄN</t>
        </is>
      </c>
      <c r="E251" t="inlineStr">
        <is>
          <t>JOKKMOKK</t>
        </is>
      </c>
      <c r="G251" t="n">
        <v>6.6</v>
      </c>
      <c r="H251" t="n">
        <v>0</v>
      </c>
      <c r="I251" t="n">
        <v>0</v>
      </c>
      <c r="J251" t="n">
        <v>0</v>
      </c>
      <c r="K251" t="n">
        <v>0</v>
      </c>
      <c r="L251" t="n">
        <v>0</v>
      </c>
      <c r="M251" t="n">
        <v>0</v>
      </c>
      <c r="N251" t="n">
        <v>0</v>
      </c>
      <c r="O251" t="n">
        <v>0</v>
      </c>
      <c r="P251" t="n">
        <v>0</v>
      </c>
      <c r="Q251" t="n">
        <v>0</v>
      </c>
      <c r="R251" s="2" t="inlineStr"/>
    </row>
    <row r="252" ht="15" customHeight="1">
      <c r="A252" t="inlineStr">
        <is>
          <t>A 59189-2021</t>
        </is>
      </c>
      <c r="B252" s="1" t="n">
        <v>44490</v>
      </c>
      <c r="C252" s="1" t="n">
        <v>45637</v>
      </c>
      <c r="D252" t="inlineStr">
        <is>
          <t>NORRBOTTENS LÄN</t>
        </is>
      </c>
      <c r="E252" t="inlineStr">
        <is>
          <t>JOKKMOKK</t>
        </is>
      </c>
      <c r="F252" t="inlineStr">
        <is>
          <t>Sveaskog</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59849-2021</t>
        </is>
      </c>
      <c r="B253" s="1" t="n">
        <v>44493</v>
      </c>
      <c r="C253" s="1" t="n">
        <v>45637</v>
      </c>
      <c r="D253" t="inlineStr">
        <is>
          <t>NORRBOTTENS LÄN</t>
        </is>
      </c>
      <c r="E253" t="inlineStr">
        <is>
          <t>JOKKMOKK</t>
        </is>
      </c>
      <c r="F253" t="inlineStr">
        <is>
          <t>Övriga Aktiebolag</t>
        </is>
      </c>
      <c r="G253" t="n">
        <v>11.7</v>
      </c>
      <c r="H253" t="n">
        <v>0</v>
      </c>
      <c r="I253" t="n">
        <v>0</v>
      </c>
      <c r="J253" t="n">
        <v>0</v>
      </c>
      <c r="K253" t="n">
        <v>0</v>
      </c>
      <c r="L253" t="n">
        <v>0</v>
      </c>
      <c r="M253" t="n">
        <v>0</v>
      </c>
      <c r="N253" t="n">
        <v>0</v>
      </c>
      <c r="O253" t="n">
        <v>0</v>
      </c>
      <c r="P253" t="n">
        <v>0</v>
      </c>
      <c r="Q253" t="n">
        <v>0</v>
      </c>
      <c r="R253" s="2" t="inlineStr"/>
    </row>
    <row r="254" ht="15" customHeight="1">
      <c r="A254" t="inlineStr">
        <is>
          <t>A 68780-2021</t>
        </is>
      </c>
      <c r="B254" s="1" t="n">
        <v>44529</v>
      </c>
      <c r="C254" s="1" t="n">
        <v>45637</v>
      </c>
      <c r="D254" t="inlineStr">
        <is>
          <t>NORRBOTTENS LÄN</t>
        </is>
      </c>
      <c r="E254" t="inlineStr">
        <is>
          <t>JOKKMOKK</t>
        </is>
      </c>
      <c r="F254" t="inlineStr">
        <is>
          <t>SCA</t>
        </is>
      </c>
      <c r="G254" t="n">
        <v>4</v>
      </c>
      <c r="H254" t="n">
        <v>0</v>
      </c>
      <c r="I254" t="n">
        <v>0</v>
      </c>
      <c r="J254" t="n">
        <v>0</v>
      </c>
      <c r="K254" t="n">
        <v>0</v>
      </c>
      <c r="L254" t="n">
        <v>0</v>
      </c>
      <c r="M254" t="n">
        <v>0</v>
      </c>
      <c r="N254" t="n">
        <v>0</v>
      </c>
      <c r="O254" t="n">
        <v>0</v>
      </c>
      <c r="P254" t="n">
        <v>0</v>
      </c>
      <c r="Q254" t="n">
        <v>0</v>
      </c>
      <c r="R254" s="2" t="inlineStr"/>
    </row>
    <row r="255" ht="15" customHeight="1">
      <c r="A255" t="inlineStr">
        <is>
          <t>A 69883-2021</t>
        </is>
      </c>
      <c r="B255" s="1" t="n">
        <v>44532</v>
      </c>
      <c r="C255" s="1" t="n">
        <v>45637</v>
      </c>
      <c r="D255" t="inlineStr">
        <is>
          <t>NORRBOTTENS LÄN</t>
        </is>
      </c>
      <c r="E255" t="inlineStr">
        <is>
          <t>JOKKMOKK</t>
        </is>
      </c>
      <c r="G255" t="n">
        <v>12.5</v>
      </c>
      <c r="H255" t="n">
        <v>0</v>
      </c>
      <c r="I255" t="n">
        <v>0</v>
      </c>
      <c r="J255" t="n">
        <v>0</v>
      </c>
      <c r="K255" t="n">
        <v>0</v>
      </c>
      <c r="L255" t="n">
        <v>0</v>
      </c>
      <c r="M255" t="n">
        <v>0</v>
      </c>
      <c r="N255" t="n">
        <v>0</v>
      </c>
      <c r="O255" t="n">
        <v>0</v>
      </c>
      <c r="P255" t="n">
        <v>0</v>
      </c>
      <c r="Q255" t="n">
        <v>0</v>
      </c>
      <c r="R255" s="2" t="inlineStr"/>
    </row>
    <row r="256" ht="15" customHeight="1">
      <c r="A256" t="inlineStr">
        <is>
          <t>A 71368-2021</t>
        </is>
      </c>
      <c r="B256" s="1" t="n">
        <v>44539</v>
      </c>
      <c r="C256" s="1" t="n">
        <v>45637</v>
      </c>
      <c r="D256" t="inlineStr">
        <is>
          <t>NORRBOTTENS LÄN</t>
        </is>
      </c>
      <c r="E256" t="inlineStr">
        <is>
          <t>JOKKMOKK</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71374-2021</t>
        </is>
      </c>
      <c r="B257" s="1" t="n">
        <v>44539</v>
      </c>
      <c r="C257" s="1" t="n">
        <v>45637</v>
      </c>
      <c r="D257" t="inlineStr">
        <is>
          <t>NORRBOTTENS LÄN</t>
        </is>
      </c>
      <c r="E257" t="inlineStr">
        <is>
          <t>JOKKMOKK</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71369-2021</t>
        </is>
      </c>
      <c r="B258" s="1" t="n">
        <v>44539</v>
      </c>
      <c r="C258" s="1" t="n">
        <v>45637</v>
      </c>
      <c r="D258" t="inlineStr">
        <is>
          <t>NORRBOTTENS LÄN</t>
        </is>
      </c>
      <c r="E258" t="inlineStr">
        <is>
          <t>JOKKMOKK</t>
        </is>
      </c>
      <c r="F258" t="inlineStr">
        <is>
          <t>SCA</t>
        </is>
      </c>
      <c r="G258" t="n">
        <v>15.7</v>
      </c>
      <c r="H258" t="n">
        <v>0</v>
      </c>
      <c r="I258" t="n">
        <v>0</v>
      </c>
      <c r="J258" t="n">
        <v>0</v>
      </c>
      <c r="K258" t="n">
        <v>0</v>
      </c>
      <c r="L258" t="n">
        <v>0</v>
      </c>
      <c r="M258" t="n">
        <v>0</v>
      </c>
      <c r="N258" t="n">
        <v>0</v>
      </c>
      <c r="O258" t="n">
        <v>0</v>
      </c>
      <c r="P258" t="n">
        <v>0</v>
      </c>
      <c r="Q258" t="n">
        <v>0</v>
      </c>
      <c r="R258" s="2" t="inlineStr"/>
    </row>
    <row r="259" ht="15" customHeight="1">
      <c r="A259" t="inlineStr">
        <is>
          <t>A 71370-2021</t>
        </is>
      </c>
      <c r="B259" s="1" t="n">
        <v>44539</v>
      </c>
      <c r="C259" s="1" t="n">
        <v>45637</v>
      </c>
      <c r="D259" t="inlineStr">
        <is>
          <t>NORRBOTTENS LÄN</t>
        </is>
      </c>
      <c r="E259" t="inlineStr">
        <is>
          <t>JOKKMOKK</t>
        </is>
      </c>
      <c r="F259" t="inlineStr">
        <is>
          <t>SCA</t>
        </is>
      </c>
      <c r="G259" t="n">
        <v>2.9</v>
      </c>
      <c r="H259" t="n">
        <v>0</v>
      </c>
      <c r="I259" t="n">
        <v>0</v>
      </c>
      <c r="J259" t="n">
        <v>0</v>
      </c>
      <c r="K259" t="n">
        <v>0</v>
      </c>
      <c r="L259" t="n">
        <v>0</v>
      </c>
      <c r="M259" t="n">
        <v>0</v>
      </c>
      <c r="N259" t="n">
        <v>0</v>
      </c>
      <c r="O259" t="n">
        <v>0</v>
      </c>
      <c r="P259" t="n">
        <v>0</v>
      </c>
      <c r="Q259" t="n">
        <v>0</v>
      </c>
      <c r="R259" s="2" t="inlineStr"/>
    </row>
    <row r="260" ht="15" customHeight="1">
      <c r="A260" t="inlineStr">
        <is>
          <t>A 71371-2021</t>
        </is>
      </c>
      <c r="B260" s="1" t="n">
        <v>44539</v>
      </c>
      <c r="C260" s="1" t="n">
        <v>45637</v>
      </c>
      <c r="D260" t="inlineStr">
        <is>
          <t>NORRBOTTENS LÄN</t>
        </is>
      </c>
      <c r="E260" t="inlineStr">
        <is>
          <t>JOKKMOKK</t>
        </is>
      </c>
      <c r="F260" t="inlineStr">
        <is>
          <t>SCA</t>
        </is>
      </c>
      <c r="G260" t="n">
        <v>4</v>
      </c>
      <c r="H260" t="n">
        <v>0</v>
      </c>
      <c r="I260" t="n">
        <v>0</v>
      </c>
      <c r="J260" t="n">
        <v>0</v>
      </c>
      <c r="K260" t="n">
        <v>0</v>
      </c>
      <c r="L260" t="n">
        <v>0</v>
      </c>
      <c r="M260" t="n">
        <v>0</v>
      </c>
      <c r="N260" t="n">
        <v>0</v>
      </c>
      <c r="O260" t="n">
        <v>0</v>
      </c>
      <c r="P260" t="n">
        <v>0</v>
      </c>
      <c r="Q260" t="n">
        <v>0</v>
      </c>
      <c r="R260" s="2" t="inlineStr"/>
    </row>
    <row r="261" ht="15" customHeight="1">
      <c r="A261" t="inlineStr">
        <is>
          <t>A 71402-2021</t>
        </is>
      </c>
      <c r="B261" s="1" t="n">
        <v>44540</v>
      </c>
      <c r="C261" s="1" t="n">
        <v>45637</v>
      </c>
      <c r="D261" t="inlineStr">
        <is>
          <t>NORRBOTTENS LÄN</t>
        </is>
      </c>
      <c r="E261" t="inlineStr">
        <is>
          <t>JOKKMOKK</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71921-2021</t>
        </is>
      </c>
      <c r="B262" s="1" t="n">
        <v>44543</v>
      </c>
      <c r="C262" s="1" t="n">
        <v>45637</v>
      </c>
      <c r="D262" t="inlineStr">
        <is>
          <t>NORRBOTTENS LÄN</t>
        </is>
      </c>
      <c r="E262" t="inlineStr">
        <is>
          <t>JOKKMOKK</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71932-2021</t>
        </is>
      </c>
      <c r="B263" s="1" t="n">
        <v>44543</v>
      </c>
      <c r="C263" s="1" t="n">
        <v>45637</v>
      </c>
      <c r="D263" t="inlineStr">
        <is>
          <t>NORRBOTTENS LÄN</t>
        </is>
      </c>
      <c r="E263" t="inlineStr">
        <is>
          <t>JOKKMOKK</t>
        </is>
      </c>
      <c r="G263" t="n">
        <v>2</v>
      </c>
      <c r="H263" t="n">
        <v>0</v>
      </c>
      <c r="I263" t="n">
        <v>0</v>
      </c>
      <c r="J263" t="n">
        <v>0</v>
      </c>
      <c r="K263" t="n">
        <v>0</v>
      </c>
      <c r="L263" t="n">
        <v>0</v>
      </c>
      <c r="M263" t="n">
        <v>0</v>
      </c>
      <c r="N263" t="n">
        <v>0</v>
      </c>
      <c r="O263" t="n">
        <v>0</v>
      </c>
      <c r="P263" t="n">
        <v>0</v>
      </c>
      <c r="Q263" t="n">
        <v>0</v>
      </c>
      <c r="R263" s="2" t="inlineStr"/>
    </row>
    <row r="264" ht="15" customHeight="1">
      <c r="A264" t="inlineStr">
        <is>
          <t>A 71937-2021</t>
        </is>
      </c>
      <c r="B264" s="1" t="n">
        <v>44543</v>
      </c>
      <c r="C264" s="1" t="n">
        <v>45637</v>
      </c>
      <c r="D264" t="inlineStr">
        <is>
          <t>NORRBOTTENS LÄN</t>
        </is>
      </c>
      <c r="E264" t="inlineStr">
        <is>
          <t>JOKKMOKK</t>
        </is>
      </c>
      <c r="F264" t="inlineStr">
        <is>
          <t>Naturvårdsverket</t>
        </is>
      </c>
      <c r="G264" t="n">
        <v>11</v>
      </c>
      <c r="H264" t="n">
        <v>0</v>
      </c>
      <c r="I264" t="n">
        <v>0</v>
      </c>
      <c r="J264" t="n">
        <v>0</v>
      </c>
      <c r="K264" t="n">
        <v>0</v>
      </c>
      <c r="L264" t="n">
        <v>0</v>
      </c>
      <c r="M264" t="n">
        <v>0</v>
      </c>
      <c r="N264" t="n">
        <v>0</v>
      </c>
      <c r="O264" t="n">
        <v>0</v>
      </c>
      <c r="P264" t="n">
        <v>0</v>
      </c>
      <c r="Q264" t="n">
        <v>0</v>
      </c>
      <c r="R264" s="2" t="inlineStr"/>
    </row>
    <row r="265" ht="15" customHeight="1">
      <c r="A265" t="inlineStr">
        <is>
          <t>A 71948-2021</t>
        </is>
      </c>
      <c r="B265" s="1" t="n">
        <v>44543</v>
      </c>
      <c r="C265" s="1" t="n">
        <v>45637</v>
      </c>
      <c r="D265" t="inlineStr">
        <is>
          <t>NORRBOTTENS LÄN</t>
        </is>
      </c>
      <c r="E265" t="inlineStr">
        <is>
          <t>JOKKMOKK</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71955-2021</t>
        </is>
      </c>
      <c r="B266" s="1" t="n">
        <v>44543</v>
      </c>
      <c r="C266" s="1" t="n">
        <v>45637</v>
      </c>
      <c r="D266" t="inlineStr">
        <is>
          <t>NORRBOTTENS LÄN</t>
        </is>
      </c>
      <c r="E266" t="inlineStr">
        <is>
          <t>JOKKMOKK</t>
        </is>
      </c>
      <c r="F266" t="inlineStr">
        <is>
          <t>SCA</t>
        </is>
      </c>
      <c r="G266" t="n">
        <v>6.9</v>
      </c>
      <c r="H266" t="n">
        <v>0</v>
      </c>
      <c r="I266" t="n">
        <v>0</v>
      </c>
      <c r="J266" t="n">
        <v>0</v>
      </c>
      <c r="K266" t="n">
        <v>0</v>
      </c>
      <c r="L266" t="n">
        <v>0</v>
      </c>
      <c r="M266" t="n">
        <v>0</v>
      </c>
      <c r="N266" t="n">
        <v>0</v>
      </c>
      <c r="O266" t="n">
        <v>0</v>
      </c>
      <c r="P266" t="n">
        <v>0</v>
      </c>
      <c r="Q266" t="n">
        <v>0</v>
      </c>
      <c r="R266" s="2" t="inlineStr"/>
    </row>
    <row r="267" ht="15" customHeight="1">
      <c r="A267" t="inlineStr">
        <is>
          <t>A 71927-2021</t>
        </is>
      </c>
      <c r="B267" s="1" t="n">
        <v>44543</v>
      </c>
      <c r="C267" s="1" t="n">
        <v>45637</v>
      </c>
      <c r="D267" t="inlineStr">
        <is>
          <t>NORRBOTTENS LÄN</t>
        </is>
      </c>
      <c r="E267" t="inlineStr">
        <is>
          <t>JOKKMOKK</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71936-2021</t>
        </is>
      </c>
      <c r="B268" s="1" t="n">
        <v>44543</v>
      </c>
      <c r="C268" s="1" t="n">
        <v>45637</v>
      </c>
      <c r="D268" t="inlineStr">
        <is>
          <t>NORRBOTTENS LÄN</t>
        </is>
      </c>
      <c r="E268" t="inlineStr">
        <is>
          <t>JOKKMOKK</t>
        </is>
      </c>
      <c r="F268" t="inlineStr">
        <is>
          <t>SCA</t>
        </is>
      </c>
      <c r="G268" t="n">
        <v>6.9</v>
      </c>
      <c r="H268" t="n">
        <v>0</v>
      </c>
      <c r="I268" t="n">
        <v>0</v>
      </c>
      <c r="J268" t="n">
        <v>0</v>
      </c>
      <c r="K268" t="n">
        <v>0</v>
      </c>
      <c r="L268" t="n">
        <v>0</v>
      </c>
      <c r="M268" t="n">
        <v>0</v>
      </c>
      <c r="N268" t="n">
        <v>0</v>
      </c>
      <c r="O268" t="n">
        <v>0</v>
      </c>
      <c r="P268" t="n">
        <v>0</v>
      </c>
      <c r="Q268" t="n">
        <v>0</v>
      </c>
      <c r="R268" s="2" t="inlineStr"/>
    </row>
    <row r="269" ht="15" customHeight="1">
      <c r="A269" t="inlineStr">
        <is>
          <t>A 71947-2021</t>
        </is>
      </c>
      <c r="B269" s="1" t="n">
        <v>44543</v>
      </c>
      <c r="C269" s="1" t="n">
        <v>45637</v>
      </c>
      <c r="D269" t="inlineStr">
        <is>
          <t>NORRBOTTENS LÄN</t>
        </is>
      </c>
      <c r="E269" t="inlineStr">
        <is>
          <t>JOKKMOKK</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71954-2021</t>
        </is>
      </c>
      <c r="B270" s="1" t="n">
        <v>44543</v>
      </c>
      <c r="C270" s="1" t="n">
        <v>45637</v>
      </c>
      <c r="D270" t="inlineStr">
        <is>
          <t>NORRBOTTENS LÄN</t>
        </is>
      </c>
      <c r="E270" t="inlineStr">
        <is>
          <t>JOKKMOKK</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71922-2021</t>
        </is>
      </c>
      <c r="B271" s="1" t="n">
        <v>44543</v>
      </c>
      <c r="C271" s="1" t="n">
        <v>45637</v>
      </c>
      <c r="D271" t="inlineStr">
        <is>
          <t>NORRBOTTENS LÄN</t>
        </is>
      </c>
      <c r="E271" t="inlineStr">
        <is>
          <t>JOKKMOKK</t>
        </is>
      </c>
      <c r="F271" t="inlineStr">
        <is>
          <t>SCA</t>
        </is>
      </c>
      <c r="G271" t="n">
        <v>6.8</v>
      </c>
      <c r="H271" t="n">
        <v>0</v>
      </c>
      <c r="I271" t="n">
        <v>0</v>
      </c>
      <c r="J271" t="n">
        <v>0</v>
      </c>
      <c r="K271" t="n">
        <v>0</v>
      </c>
      <c r="L271" t="n">
        <v>0</v>
      </c>
      <c r="M271" t="n">
        <v>0</v>
      </c>
      <c r="N271" t="n">
        <v>0</v>
      </c>
      <c r="O271" t="n">
        <v>0</v>
      </c>
      <c r="P271" t="n">
        <v>0</v>
      </c>
      <c r="Q271" t="n">
        <v>0</v>
      </c>
      <c r="R271" s="2" t="inlineStr"/>
    </row>
    <row r="272" ht="15" customHeight="1">
      <c r="A272" t="inlineStr">
        <is>
          <t>A 71926-2021</t>
        </is>
      </c>
      <c r="B272" s="1" t="n">
        <v>44543</v>
      </c>
      <c r="C272" s="1" t="n">
        <v>45637</v>
      </c>
      <c r="D272" t="inlineStr">
        <is>
          <t>NORRBOTTENS LÄN</t>
        </is>
      </c>
      <c r="E272" t="inlineStr">
        <is>
          <t>JOKKMOKK</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71944-2021</t>
        </is>
      </c>
      <c r="B273" s="1" t="n">
        <v>44543</v>
      </c>
      <c r="C273" s="1" t="n">
        <v>45637</v>
      </c>
      <c r="D273" t="inlineStr">
        <is>
          <t>NORRBOTTENS LÄN</t>
        </is>
      </c>
      <c r="E273" t="inlineStr">
        <is>
          <t>JOKKMOKK</t>
        </is>
      </c>
      <c r="G273" t="n">
        <v>1.2</v>
      </c>
      <c r="H273" t="n">
        <v>0</v>
      </c>
      <c r="I273" t="n">
        <v>0</v>
      </c>
      <c r="J273" t="n">
        <v>0</v>
      </c>
      <c r="K273" t="n">
        <v>0</v>
      </c>
      <c r="L273" t="n">
        <v>0</v>
      </c>
      <c r="M273" t="n">
        <v>0</v>
      </c>
      <c r="N273" t="n">
        <v>0</v>
      </c>
      <c r="O273" t="n">
        <v>0</v>
      </c>
      <c r="P273" t="n">
        <v>0</v>
      </c>
      <c r="Q273" t="n">
        <v>0</v>
      </c>
      <c r="R273" s="2" t="inlineStr"/>
    </row>
    <row r="274" ht="15" customHeight="1">
      <c r="A274" t="inlineStr">
        <is>
          <t>A 71950-2021</t>
        </is>
      </c>
      <c r="B274" s="1" t="n">
        <v>44543</v>
      </c>
      <c r="C274" s="1" t="n">
        <v>45637</v>
      </c>
      <c r="D274" t="inlineStr">
        <is>
          <t>NORRBOTTENS LÄN</t>
        </is>
      </c>
      <c r="E274" t="inlineStr">
        <is>
          <t>JOKKMOKK</t>
        </is>
      </c>
      <c r="F274" t="inlineStr">
        <is>
          <t>Naturvårdsverket</t>
        </is>
      </c>
      <c r="G274" t="n">
        <v>13.3</v>
      </c>
      <c r="H274" t="n">
        <v>0</v>
      </c>
      <c r="I274" t="n">
        <v>0</v>
      </c>
      <c r="J274" t="n">
        <v>0</v>
      </c>
      <c r="K274" t="n">
        <v>0</v>
      </c>
      <c r="L274" t="n">
        <v>0</v>
      </c>
      <c r="M274" t="n">
        <v>0</v>
      </c>
      <c r="N274" t="n">
        <v>0</v>
      </c>
      <c r="O274" t="n">
        <v>0</v>
      </c>
      <c r="P274" t="n">
        <v>0</v>
      </c>
      <c r="Q274" t="n">
        <v>0</v>
      </c>
      <c r="R274" s="2" t="inlineStr"/>
    </row>
    <row r="275" ht="15" customHeight="1">
      <c r="A275" t="inlineStr">
        <is>
          <t>A 72242-2021</t>
        </is>
      </c>
      <c r="B275" s="1" t="n">
        <v>44544</v>
      </c>
      <c r="C275" s="1" t="n">
        <v>45637</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73393-2021</t>
        </is>
      </c>
      <c r="B276" s="1" t="n">
        <v>44550</v>
      </c>
      <c r="C276" s="1" t="n">
        <v>45637</v>
      </c>
      <c r="D276" t="inlineStr">
        <is>
          <t>NORRBOTTENS LÄN</t>
        </is>
      </c>
      <c r="E276" t="inlineStr">
        <is>
          <t>JOKKMOKK</t>
        </is>
      </c>
      <c r="G276" t="n">
        <v>0.8</v>
      </c>
      <c r="H276" t="n">
        <v>0</v>
      </c>
      <c r="I276" t="n">
        <v>0</v>
      </c>
      <c r="J276" t="n">
        <v>0</v>
      </c>
      <c r="K276" t="n">
        <v>0</v>
      </c>
      <c r="L276" t="n">
        <v>0</v>
      </c>
      <c r="M276" t="n">
        <v>0</v>
      </c>
      <c r="N276" t="n">
        <v>0</v>
      </c>
      <c r="O276" t="n">
        <v>0</v>
      </c>
      <c r="P276" t="n">
        <v>0</v>
      </c>
      <c r="Q276" t="n">
        <v>0</v>
      </c>
      <c r="R276" s="2" t="inlineStr"/>
    </row>
    <row r="277" ht="15" customHeight="1">
      <c r="A277" t="inlineStr">
        <is>
          <t>A 1633-2022</t>
        </is>
      </c>
      <c r="B277" s="1" t="n">
        <v>44573</v>
      </c>
      <c r="C277" s="1" t="n">
        <v>45637</v>
      </c>
      <c r="D277" t="inlineStr">
        <is>
          <t>NORRBOTTENS LÄN</t>
        </is>
      </c>
      <c r="E277" t="inlineStr">
        <is>
          <t>JOKKMOKK</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1631-2022</t>
        </is>
      </c>
      <c r="B278" s="1" t="n">
        <v>44573</v>
      </c>
      <c r="C278" s="1" t="n">
        <v>45637</v>
      </c>
      <c r="D278" t="inlineStr">
        <is>
          <t>NORRBOTTENS LÄN</t>
        </is>
      </c>
      <c r="E278" t="inlineStr">
        <is>
          <t>JOKKMOKK</t>
        </is>
      </c>
      <c r="F278" t="inlineStr">
        <is>
          <t>SCA</t>
        </is>
      </c>
      <c r="G278" t="n">
        <v>7.1</v>
      </c>
      <c r="H278" t="n">
        <v>0</v>
      </c>
      <c r="I278" t="n">
        <v>0</v>
      </c>
      <c r="J278" t="n">
        <v>0</v>
      </c>
      <c r="K278" t="n">
        <v>0</v>
      </c>
      <c r="L278" t="n">
        <v>0</v>
      </c>
      <c r="M278" t="n">
        <v>0</v>
      </c>
      <c r="N278" t="n">
        <v>0</v>
      </c>
      <c r="O278" t="n">
        <v>0</v>
      </c>
      <c r="P278" t="n">
        <v>0</v>
      </c>
      <c r="Q278" t="n">
        <v>0</v>
      </c>
      <c r="R278" s="2" t="inlineStr"/>
    </row>
    <row r="279" ht="15" customHeight="1">
      <c r="A279" t="inlineStr">
        <is>
          <t>A 1872-2022</t>
        </is>
      </c>
      <c r="B279" s="1" t="n">
        <v>44574</v>
      </c>
      <c r="C279" s="1" t="n">
        <v>45637</v>
      </c>
      <c r="D279" t="inlineStr">
        <is>
          <t>NORRBOTTENS LÄN</t>
        </is>
      </c>
      <c r="E279" t="inlineStr">
        <is>
          <t>JOKKMOKK</t>
        </is>
      </c>
      <c r="F279" t="inlineStr">
        <is>
          <t>SCA</t>
        </is>
      </c>
      <c r="G279" t="n">
        <v>10.4</v>
      </c>
      <c r="H279" t="n">
        <v>0</v>
      </c>
      <c r="I279" t="n">
        <v>0</v>
      </c>
      <c r="J279" t="n">
        <v>0</v>
      </c>
      <c r="K279" t="n">
        <v>0</v>
      </c>
      <c r="L279" t="n">
        <v>0</v>
      </c>
      <c r="M279" t="n">
        <v>0</v>
      </c>
      <c r="N279" t="n">
        <v>0</v>
      </c>
      <c r="O279" t="n">
        <v>0</v>
      </c>
      <c r="P279" t="n">
        <v>0</v>
      </c>
      <c r="Q279" t="n">
        <v>0</v>
      </c>
      <c r="R279" s="2" t="inlineStr"/>
    </row>
    <row r="280" ht="15" customHeight="1">
      <c r="A280" t="inlineStr">
        <is>
          <t>A 3772-2022</t>
        </is>
      </c>
      <c r="B280" s="1" t="n">
        <v>44586</v>
      </c>
      <c r="C280" s="1" t="n">
        <v>45637</v>
      </c>
      <c r="D280" t="inlineStr">
        <is>
          <t>NORRBOTTENS LÄN</t>
        </is>
      </c>
      <c r="E280" t="inlineStr">
        <is>
          <t>JOKKMOKK</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3771-2022</t>
        </is>
      </c>
      <c r="B281" s="1" t="n">
        <v>44586</v>
      </c>
      <c r="C281" s="1" t="n">
        <v>45637</v>
      </c>
      <c r="D281" t="inlineStr">
        <is>
          <t>NORRBOTTENS LÄN</t>
        </is>
      </c>
      <c r="E281" t="inlineStr">
        <is>
          <t>JOKKMOKK</t>
        </is>
      </c>
      <c r="F281" t="inlineStr">
        <is>
          <t>SCA</t>
        </is>
      </c>
      <c r="G281" t="n">
        <v>10</v>
      </c>
      <c r="H281" t="n">
        <v>0</v>
      </c>
      <c r="I281" t="n">
        <v>0</v>
      </c>
      <c r="J281" t="n">
        <v>0</v>
      </c>
      <c r="K281" t="n">
        <v>0</v>
      </c>
      <c r="L281" t="n">
        <v>0</v>
      </c>
      <c r="M281" t="n">
        <v>0</v>
      </c>
      <c r="N281" t="n">
        <v>0</v>
      </c>
      <c r="O281" t="n">
        <v>0</v>
      </c>
      <c r="P281" t="n">
        <v>0</v>
      </c>
      <c r="Q281" t="n">
        <v>0</v>
      </c>
      <c r="R281" s="2" t="inlineStr"/>
    </row>
    <row r="282" ht="15" customHeight="1">
      <c r="A282" t="inlineStr">
        <is>
          <t>A 3776-2022</t>
        </is>
      </c>
      <c r="B282" s="1" t="n">
        <v>44586</v>
      </c>
      <c r="C282" s="1" t="n">
        <v>45637</v>
      </c>
      <c r="D282" t="inlineStr">
        <is>
          <t>NORRBOTTENS LÄN</t>
        </is>
      </c>
      <c r="E282" t="inlineStr">
        <is>
          <t>JOKKMOKK</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3786-2022</t>
        </is>
      </c>
      <c r="B283" s="1" t="n">
        <v>44586</v>
      </c>
      <c r="C283" s="1" t="n">
        <v>45637</v>
      </c>
      <c r="D283" t="inlineStr">
        <is>
          <t>NORRBOTTENS LÄN</t>
        </is>
      </c>
      <c r="E283" t="inlineStr">
        <is>
          <t>JOKKMOKK</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3778-2022</t>
        </is>
      </c>
      <c r="B284" s="1" t="n">
        <v>44586</v>
      </c>
      <c r="C284" s="1" t="n">
        <v>45637</v>
      </c>
      <c r="D284" t="inlineStr">
        <is>
          <t>NORRBOTTENS LÄN</t>
        </is>
      </c>
      <c r="E284" t="inlineStr">
        <is>
          <t>JOKKMOKK</t>
        </is>
      </c>
      <c r="G284" t="n">
        <v>13.2</v>
      </c>
      <c r="H284" t="n">
        <v>0</v>
      </c>
      <c r="I284" t="n">
        <v>0</v>
      </c>
      <c r="J284" t="n">
        <v>0</v>
      </c>
      <c r="K284" t="n">
        <v>0</v>
      </c>
      <c r="L284" t="n">
        <v>0</v>
      </c>
      <c r="M284" t="n">
        <v>0</v>
      </c>
      <c r="N284" t="n">
        <v>0</v>
      </c>
      <c r="O284" t="n">
        <v>0</v>
      </c>
      <c r="P284" t="n">
        <v>0</v>
      </c>
      <c r="Q284" t="n">
        <v>0</v>
      </c>
      <c r="R284" s="2" t="inlineStr"/>
    </row>
    <row r="285" ht="15" customHeight="1">
      <c r="A285" t="inlineStr">
        <is>
          <t>A 3787-2022</t>
        </is>
      </c>
      <c r="B285" s="1" t="n">
        <v>44586</v>
      </c>
      <c r="C285" s="1" t="n">
        <v>45637</v>
      </c>
      <c r="D285" t="inlineStr">
        <is>
          <t>NORRBOTTENS LÄN</t>
        </is>
      </c>
      <c r="E285" t="inlineStr">
        <is>
          <t>JOKKMOKK</t>
        </is>
      </c>
      <c r="F285" t="inlineStr">
        <is>
          <t>SCA</t>
        </is>
      </c>
      <c r="G285" t="n">
        <v>6.2</v>
      </c>
      <c r="H285" t="n">
        <v>0</v>
      </c>
      <c r="I285" t="n">
        <v>0</v>
      </c>
      <c r="J285" t="n">
        <v>0</v>
      </c>
      <c r="K285" t="n">
        <v>0</v>
      </c>
      <c r="L285" t="n">
        <v>0</v>
      </c>
      <c r="M285" t="n">
        <v>0</v>
      </c>
      <c r="N285" t="n">
        <v>0</v>
      </c>
      <c r="O285" t="n">
        <v>0</v>
      </c>
      <c r="P285" t="n">
        <v>0</v>
      </c>
      <c r="Q285" t="n">
        <v>0</v>
      </c>
      <c r="R285" s="2" t="inlineStr"/>
    </row>
    <row r="286" ht="15" customHeight="1">
      <c r="A286" t="inlineStr">
        <is>
          <t>A 3783-2022</t>
        </is>
      </c>
      <c r="B286" s="1" t="n">
        <v>44586</v>
      </c>
      <c r="C286" s="1" t="n">
        <v>45637</v>
      </c>
      <c r="D286" t="inlineStr">
        <is>
          <t>NORRBOTTENS LÄN</t>
        </is>
      </c>
      <c r="E286" t="inlineStr">
        <is>
          <t>JOKKMOKK</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3784-2022</t>
        </is>
      </c>
      <c r="B287" s="1" t="n">
        <v>44586</v>
      </c>
      <c r="C287" s="1" t="n">
        <v>45637</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4022-2022</t>
        </is>
      </c>
      <c r="B288" s="1" t="n">
        <v>44587</v>
      </c>
      <c r="C288" s="1" t="n">
        <v>45637</v>
      </c>
      <c r="D288" t="inlineStr">
        <is>
          <t>NORRBOTTENS LÄN</t>
        </is>
      </c>
      <c r="E288" t="inlineStr">
        <is>
          <t>JOKKMOKK</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4517-2022</t>
        </is>
      </c>
      <c r="B289" s="1" t="n">
        <v>44589</v>
      </c>
      <c r="C289" s="1" t="n">
        <v>45637</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4661-2022</t>
        </is>
      </c>
      <c r="B290" s="1" t="n">
        <v>44589</v>
      </c>
      <c r="C290" s="1" t="n">
        <v>45637</v>
      </c>
      <c r="D290" t="inlineStr">
        <is>
          <t>NORRBOTTENS LÄN</t>
        </is>
      </c>
      <c r="E290" t="inlineStr">
        <is>
          <t>JOKKMOKK</t>
        </is>
      </c>
      <c r="G290" t="n">
        <v>39.5</v>
      </c>
      <c r="H290" t="n">
        <v>0</v>
      </c>
      <c r="I290" t="n">
        <v>0</v>
      </c>
      <c r="J290" t="n">
        <v>0</v>
      </c>
      <c r="K290" t="n">
        <v>0</v>
      </c>
      <c r="L290" t="n">
        <v>0</v>
      </c>
      <c r="M290" t="n">
        <v>0</v>
      </c>
      <c r="N290" t="n">
        <v>0</v>
      </c>
      <c r="O290" t="n">
        <v>0</v>
      </c>
      <c r="P290" t="n">
        <v>0</v>
      </c>
      <c r="Q290" t="n">
        <v>0</v>
      </c>
      <c r="R290" s="2" t="inlineStr"/>
    </row>
    <row r="291" ht="15" customHeight="1">
      <c r="A291" t="inlineStr">
        <is>
          <t>A 12576-2022</t>
        </is>
      </c>
      <c r="B291" s="1" t="n">
        <v>44638</v>
      </c>
      <c r="C291" s="1" t="n">
        <v>45637</v>
      </c>
      <c r="D291" t="inlineStr">
        <is>
          <t>NORRBOTTENS LÄN</t>
        </is>
      </c>
      <c r="E291" t="inlineStr">
        <is>
          <t>JOKKMOKK</t>
        </is>
      </c>
      <c r="F291" t="inlineStr">
        <is>
          <t>SCA</t>
        </is>
      </c>
      <c r="G291" t="n">
        <v>5.1</v>
      </c>
      <c r="H291" t="n">
        <v>0</v>
      </c>
      <c r="I291" t="n">
        <v>0</v>
      </c>
      <c r="J291" t="n">
        <v>0</v>
      </c>
      <c r="K291" t="n">
        <v>0</v>
      </c>
      <c r="L291" t="n">
        <v>0</v>
      </c>
      <c r="M291" t="n">
        <v>0</v>
      </c>
      <c r="N291" t="n">
        <v>0</v>
      </c>
      <c r="O291" t="n">
        <v>0</v>
      </c>
      <c r="P291" t="n">
        <v>0</v>
      </c>
      <c r="Q291" t="n">
        <v>0</v>
      </c>
      <c r="R291" s="2" t="inlineStr"/>
    </row>
    <row r="292" ht="15" customHeight="1">
      <c r="A292" t="inlineStr">
        <is>
          <t>A 15714-2022</t>
        </is>
      </c>
      <c r="B292" s="1" t="n">
        <v>44663</v>
      </c>
      <c r="C292" s="1" t="n">
        <v>45637</v>
      </c>
      <c r="D292" t="inlineStr">
        <is>
          <t>NORRBOTTENS LÄN</t>
        </is>
      </c>
      <c r="E292" t="inlineStr">
        <is>
          <t>JOKKMOKK</t>
        </is>
      </c>
      <c r="G292" t="n">
        <v>1.6</v>
      </c>
      <c r="H292" t="n">
        <v>0</v>
      </c>
      <c r="I292" t="n">
        <v>0</v>
      </c>
      <c r="J292" t="n">
        <v>0</v>
      </c>
      <c r="K292" t="n">
        <v>0</v>
      </c>
      <c r="L292" t="n">
        <v>0</v>
      </c>
      <c r="M292" t="n">
        <v>0</v>
      </c>
      <c r="N292" t="n">
        <v>0</v>
      </c>
      <c r="O292" t="n">
        <v>0</v>
      </c>
      <c r="P292" t="n">
        <v>0</v>
      </c>
      <c r="Q292" t="n">
        <v>0</v>
      </c>
      <c r="R292" s="2" t="inlineStr"/>
    </row>
    <row r="293" ht="15" customHeight="1">
      <c r="A293" t="inlineStr">
        <is>
          <t>A 17000-2022</t>
        </is>
      </c>
      <c r="B293" s="1" t="n">
        <v>44676</v>
      </c>
      <c r="C293" s="1" t="n">
        <v>45637</v>
      </c>
      <c r="D293" t="inlineStr">
        <is>
          <t>NORRBOTTENS LÄN</t>
        </is>
      </c>
      <c r="E293" t="inlineStr">
        <is>
          <t>JOKKMOKK</t>
        </is>
      </c>
      <c r="G293" t="n">
        <v>36.6</v>
      </c>
      <c r="H293" t="n">
        <v>0</v>
      </c>
      <c r="I293" t="n">
        <v>0</v>
      </c>
      <c r="J293" t="n">
        <v>0</v>
      </c>
      <c r="K293" t="n">
        <v>0</v>
      </c>
      <c r="L293" t="n">
        <v>0</v>
      </c>
      <c r="M293" t="n">
        <v>0</v>
      </c>
      <c r="N293" t="n">
        <v>0</v>
      </c>
      <c r="O293" t="n">
        <v>0</v>
      </c>
      <c r="P293" t="n">
        <v>0</v>
      </c>
      <c r="Q293" t="n">
        <v>0</v>
      </c>
      <c r="R293" s="2" t="inlineStr"/>
    </row>
    <row r="294" ht="15" customHeight="1">
      <c r="A294" t="inlineStr">
        <is>
          <t>A 18248-2022</t>
        </is>
      </c>
      <c r="B294" s="1" t="n">
        <v>44685</v>
      </c>
      <c r="C294" s="1" t="n">
        <v>45637</v>
      </c>
      <c r="D294" t="inlineStr">
        <is>
          <t>NORRBOTTENS LÄN</t>
        </is>
      </c>
      <c r="E294" t="inlineStr">
        <is>
          <t>JOKKMOKK</t>
        </is>
      </c>
      <c r="F294" t="inlineStr">
        <is>
          <t>Övriga statliga verk och myndigheter</t>
        </is>
      </c>
      <c r="G294" t="n">
        <v>1</v>
      </c>
      <c r="H294" t="n">
        <v>0</v>
      </c>
      <c r="I294" t="n">
        <v>0</v>
      </c>
      <c r="J294" t="n">
        <v>0</v>
      </c>
      <c r="K294" t="n">
        <v>0</v>
      </c>
      <c r="L294" t="n">
        <v>0</v>
      </c>
      <c r="M294" t="n">
        <v>0</v>
      </c>
      <c r="N294" t="n">
        <v>0</v>
      </c>
      <c r="O294" t="n">
        <v>0</v>
      </c>
      <c r="P294" t="n">
        <v>0</v>
      </c>
      <c r="Q294" t="n">
        <v>0</v>
      </c>
      <c r="R294" s="2" t="inlineStr"/>
    </row>
    <row r="295" ht="15" customHeight="1">
      <c r="A295" t="inlineStr">
        <is>
          <t>A 21236-2022</t>
        </is>
      </c>
      <c r="B295" s="1" t="n">
        <v>44705</v>
      </c>
      <c r="C295" s="1" t="n">
        <v>45637</v>
      </c>
      <c r="D295" t="inlineStr">
        <is>
          <t>NORRBOTTENS LÄN</t>
        </is>
      </c>
      <c r="E295" t="inlineStr">
        <is>
          <t>JOKKMOKK</t>
        </is>
      </c>
      <c r="G295" t="n">
        <v>2.2</v>
      </c>
      <c r="H295" t="n">
        <v>0</v>
      </c>
      <c r="I295" t="n">
        <v>0</v>
      </c>
      <c r="J295" t="n">
        <v>0</v>
      </c>
      <c r="K295" t="n">
        <v>0</v>
      </c>
      <c r="L295" t="n">
        <v>0</v>
      </c>
      <c r="M295" t="n">
        <v>0</v>
      </c>
      <c r="N295" t="n">
        <v>0</v>
      </c>
      <c r="O295" t="n">
        <v>0</v>
      </c>
      <c r="P295" t="n">
        <v>0</v>
      </c>
      <c r="Q295" t="n">
        <v>0</v>
      </c>
      <c r="R295" s="2" t="inlineStr"/>
    </row>
    <row r="296" ht="15" customHeight="1">
      <c r="A296" t="inlineStr">
        <is>
          <t>A 27781-2022</t>
        </is>
      </c>
      <c r="B296" s="1" t="n">
        <v>44743</v>
      </c>
      <c r="C296" s="1" t="n">
        <v>45637</v>
      </c>
      <c r="D296" t="inlineStr">
        <is>
          <t>NORRBOTTENS LÄN</t>
        </is>
      </c>
      <c r="E296" t="inlineStr">
        <is>
          <t>JOKKMOKK</t>
        </is>
      </c>
      <c r="F296" t="inlineStr">
        <is>
          <t>Sveaskog</t>
        </is>
      </c>
      <c r="G296" t="n">
        <v>0.1</v>
      </c>
      <c r="H296" t="n">
        <v>0</v>
      </c>
      <c r="I296" t="n">
        <v>0</v>
      </c>
      <c r="J296" t="n">
        <v>0</v>
      </c>
      <c r="K296" t="n">
        <v>0</v>
      </c>
      <c r="L296" t="n">
        <v>0</v>
      </c>
      <c r="M296" t="n">
        <v>0</v>
      </c>
      <c r="N296" t="n">
        <v>0</v>
      </c>
      <c r="O296" t="n">
        <v>0</v>
      </c>
      <c r="P296" t="n">
        <v>0</v>
      </c>
      <c r="Q296" t="n">
        <v>0</v>
      </c>
      <c r="R296" s="2" t="inlineStr"/>
    </row>
    <row r="297" ht="15" customHeight="1">
      <c r="A297" t="inlineStr">
        <is>
          <t>A 28079-2022</t>
        </is>
      </c>
      <c r="B297" s="1" t="n">
        <v>44746</v>
      </c>
      <c r="C297" s="1" t="n">
        <v>45637</v>
      </c>
      <c r="D297" t="inlineStr">
        <is>
          <t>NORRBOTTENS LÄN</t>
        </is>
      </c>
      <c r="E297" t="inlineStr">
        <is>
          <t>JOKKMOKK</t>
        </is>
      </c>
      <c r="G297" t="n">
        <v>17.6</v>
      </c>
      <c r="H297" t="n">
        <v>0</v>
      </c>
      <c r="I297" t="n">
        <v>0</v>
      </c>
      <c r="J297" t="n">
        <v>0</v>
      </c>
      <c r="K297" t="n">
        <v>0</v>
      </c>
      <c r="L297" t="n">
        <v>0</v>
      </c>
      <c r="M297" t="n">
        <v>0</v>
      </c>
      <c r="N297" t="n">
        <v>0</v>
      </c>
      <c r="O297" t="n">
        <v>0</v>
      </c>
      <c r="P297" t="n">
        <v>0</v>
      </c>
      <c r="Q297" t="n">
        <v>0</v>
      </c>
      <c r="R297" s="2" t="inlineStr"/>
    </row>
    <row r="298" ht="15" customHeight="1">
      <c r="A298" t="inlineStr">
        <is>
          <t>A 28370-2022</t>
        </is>
      </c>
      <c r="B298" s="1" t="n">
        <v>44747</v>
      </c>
      <c r="C298" s="1" t="n">
        <v>45637</v>
      </c>
      <c r="D298" t="inlineStr">
        <is>
          <t>NORRBOTTENS LÄN</t>
        </is>
      </c>
      <c r="E298" t="inlineStr">
        <is>
          <t>JOKKMOKK</t>
        </is>
      </c>
      <c r="F298" t="inlineStr">
        <is>
          <t>Övriga Aktiebolag</t>
        </is>
      </c>
      <c r="G298" t="n">
        <v>10.2</v>
      </c>
      <c r="H298" t="n">
        <v>0</v>
      </c>
      <c r="I298" t="n">
        <v>0</v>
      </c>
      <c r="J298" t="n">
        <v>0</v>
      </c>
      <c r="K298" t="n">
        <v>0</v>
      </c>
      <c r="L298" t="n">
        <v>0</v>
      </c>
      <c r="M298" t="n">
        <v>0</v>
      </c>
      <c r="N298" t="n">
        <v>0</v>
      </c>
      <c r="O298" t="n">
        <v>0</v>
      </c>
      <c r="P298" t="n">
        <v>0</v>
      </c>
      <c r="Q298" t="n">
        <v>0</v>
      </c>
      <c r="R298" s="2" t="inlineStr"/>
    </row>
    <row r="299" ht="15" customHeight="1">
      <c r="A299" t="inlineStr">
        <is>
          <t>A 28350-2022</t>
        </is>
      </c>
      <c r="B299" s="1" t="n">
        <v>44747</v>
      </c>
      <c r="C299" s="1" t="n">
        <v>45637</v>
      </c>
      <c r="D299" t="inlineStr">
        <is>
          <t>NORRBOTTENS LÄN</t>
        </is>
      </c>
      <c r="E299" t="inlineStr">
        <is>
          <t>JOKKMOKK</t>
        </is>
      </c>
      <c r="F299" t="inlineStr">
        <is>
          <t>Övriga Aktiebolag</t>
        </is>
      </c>
      <c r="G299" t="n">
        <v>48.8</v>
      </c>
      <c r="H299" t="n">
        <v>0</v>
      </c>
      <c r="I299" t="n">
        <v>0</v>
      </c>
      <c r="J299" t="n">
        <v>0</v>
      </c>
      <c r="K299" t="n">
        <v>0</v>
      </c>
      <c r="L299" t="n">
        <v>0</v>
      </c>
      <c r="M299" t="n">
        <v>0</v>
      </c>
      <c r="N299" t="n">
        <v>0</v>
      </c>
      <c r="O299" t="n">
        <v>0</v>
      </c>
      <c r="P299" t="n">
        <v>0</v>
      </c>
      <c r="Q299" t="n">
        <v>0</v>
      </c>
      <c r="R299" s="2" t="inlineStr"/>
    </row>
    <row r="300" ht="15" customHeight="1">
      <c r="A300" t="inlineStr">
        <is>
          <t>A 30588-2022</t>
        </is>
      </c>
      <c r="B300" s="1" t="n">
        <v>44762</v>
      </c>
      <c r="C300" s="1" t="n">
        <v>45637</v>
      </c>
      <c r="D300" t="inlineStr">
        <is>
          <t>NORRBOTTENS LÄN</t>
        </is>
      </c>
      <c r="E300" t="inlineStr">
        <is>
          <t>JOKKMOKK</t>
        </is>
      </c>
      <c r="F300" t="inlineStr">
        <is>
          <t>Övriga statliga verk och myndigheter</t>
        </is>
      </c>
      <c r="G300" t="n">
        <v>11.7</v>
      </c>
      <c r="H300" t="n">
        <v>0</v>
      </c>
      <c r="I300" t="n">
        <v>0</v>
      </c>
      <c r="J300" t="n">
        <v>0</v>
      </c>
      <c r="K300" t="n">
        <v>0</v>
      </c>
      <c r="L300" t="n">
        <v>0</v>
      </c>
      <c r="M300" t="n">
        <v>0</v>
      </c>
      <c r="N300" t="n">
        <v>0</v>
      </c>
      <c r="O300" t="n">
        <v>0</v>
      </c>
      <c r="P300" t="n">
        <v>0</v>
      </c>
      <c r="Q300" t="n">
        <v>0</v>
      </c>
      <c r="R300" s="2" t="inlineStr"/>
    </row>
    <row r="301" ht="15" customHeight="1">
      <c r="A301" t="inlineStr">
        <is>
          <t>A 30679-2022</t>
        </is>
      </c>
      <c r="B301" s="1" t="n">
        <v>44762</v>
      </c>
      <c r="C301" s="1" t="n">
        <v>45637</v>
      </c>
      <c r="D301" t="inlineStr">
        <is>
          <t>NORRBOTTENS LÄN</t>
        </is>
      </c>
      <c r="E301" t="inlineStr">
        <is>
          <t>JOKKMOKK</t>
        </is>
      </c>
      <c r="F301" t="inlineStr">
        <is>
          <t>Övriga statliga verk och myndigheter</t>
        </is>
      </c>
      <c r="G301" t="n">
        <v>3.3</v>
      </c>
      <c r="H301" t="n">
        <v>0</v>
      </c>
      <c r="I301" t="n">
        <v>0</v>
      </c>
      <c r="J301" t="n">
        <v>0</v>
      </c>
      <c r="K301" t="n">
        <v>0</v>
      </c>
      <c r="L301" t="n">
        <v>0</v>
      </c>
      <c r="M301" t="n">
        <v>0</v>
      </c>
      <c r="N301" t="n">
        <v>0</v>
      </c>
      <c r="O301" t="n">
        <v>0</v>
      </c>
      <c r="P301" t="n">
        <v>0</v>
      </c>
      <c r="Q301" t="n">
        <v>0</v>
      </c>
      <c r="R301" s="2" t="inlineStr"/>
    </row>
    <row r="302" ht="15" customHeight="1">
      <c r="A302" t="inlineStr">
        <is>
          <t>A 30610-2022</t>
        </is>
      </c>
      <c r="B302" s="1" t="n">
        <v>44762</v>
      </c>
      <c r="C302" s="1" t="n">
        <v>45637</v>
      </c>
      <c r="D302" t="inlineStr">
        <is>
          <t>NORRBOTTENS LÄN</t>
        </is>
      </c>
      <c r="E302" t="inlineStr">
        <is>
          <t>JOKKMOKK</t>
        </is>
      </c>
      <c r="F302" t="inlineStr">
        <is>
          <t>Övriga statliga verk och myndigheter</t>
        </is>
      </c>
      <c r="G302" t="n">
        <v>43.3</v>
      </c>
      <c r="H302" t="n">
        <v>0</v>
      </c>
      <c r="I302" t="n">
        <v>0</v>
      </c>
      <c r="J302" t="n">
        <v>0</v>
      </c>
      <c r="K302" t="n">
        <v>0</v>
      </c>
      <c r="L302" t="n">
        <v>0</v>
      </c>
      <c r="M302" t="n">
        <v>0</v>
      </c>
      <c r="N302" t="n">
        <v>0</v>
      </c>
      <c r="O302" t="n">
        <v>0</v>
      </c>
      <c r="P302" t="n">
        <v>0</v>
      </c>
      <c r="Q302" t="n">
        <v>0</v>
      </c>
      <c r="R302" s="2" t="inlineStr"/>
    </row>
    <row r="303" ht="15" customHeight="1">
      <c r="A303" t="inlineStr">
        <is>
          <t>A 31643-2022</t>
        </is>
      </c>
      <c r="B303" s="1" t="n">
        <v>44775</v>
      </c>
      <c r="C303" s="1" t="n">
        <v>45637</v>
      </c>
      <c r="D303" t="inlineStr">
        <is>
          <t>NORRBOTTENS LÄN</t>
        </is>
      </c>
      <c r="E303" t="inlineStr">
        <is>
          <t>JOKKMOKK</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34548-2022</t>
        </is>
      </c>
      <c r="B304" s="1" t="n">
        <v>44794</v>
      </c>
      <c r="C304" s="1" t="n">
        <v>45637</v>
      </c>
      <c r="D304" t="inlineStr">
        <is>
          <t>NORRBOTTENS LÄN</t>
        </is>
      </c>
      <c r="E304" t="inlineStr">
        <is>
          <t>JOKKMOKK</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35876-2022</t>
        </is>
      </c>
      <c r="B305" s="1" t="n">
        <v>44802</v>
      </c>
      <c r="C305" s="1" t="n">
        <v>45637</v>
      </c>
      <c r="D305" t="inlineStr">
        <is>
          <t>NORRBOTTENS LÄN</t>
        </is>
      </c>
      <c r="E305" t="inlineStr">
        <is>
          <t>JOKKMOKK</t>
        </is>
      </c>
      <c r="G305" t="n">
        <v>9.5</v>
      </c>
      <c r="H305" t="n">
        <v>0</v>
      </c>
      <c r="I305" t="n">
        <v>0</v>
      </c>
      <c r="J305" t="n">
        <v>0</v>
      </c>
      <c r="K305" t="n">
        <v>0</v>
      </c>
      <c r="L305" t="n">
        <v>0</v>
      </c>
      <c r="M305" t="n">
        <v>0</v>
      </c>
      <c r="N305" t="n">
        <v>0</v>
      </c>
      <c r="O305" t="n">
        <v>0</v>
      </c>
      <c r="P305" t="n">
        <v>0</v>
      </c>
      <c r="Q305" t="n">
        <v>0</v>
      </c>
      <c r="R305" s="2" t="inlineStr"/>
    </row>
    <row r="306" ht="15" customHeight="1">
      <c r="A306" t="inlineStr">
        <is>
          <t>A 37798-2022</t>
        </is>
      </c>
      <c r="B306" s="1" t="n">
        <v>44810</v>
      </c>
      <c r="C306" s="1" t="n">
        <v>45637</v>
      </c>
      <c r="D306" t="inlineStr">
        <is>
          <t>NORRBOTTENS LÄN</t>
        </is>
      </c>
      <c r="E306" t="inlineStr">
        <is>
          <t>JOKKMOKK</t>
        </is>
      </c>
      <c r="G306" t="n">
        <v>0.3</v>
      </c>
      <c r="H306" t="n">
        <v>0</v>
      </c>
      <c r="I306" t="n">
        <v>0</v>
      </c>
      <c r="J306" t="n">
        <v>0</v>
      </c>
      <c r="K306" t="n">
        <v>0</v>
      </c>
      <c r="L306" t="n">
        <v>0</v>
      </c>
      <c r="M306" t="n">
        <v>0</v>
      </c>
      <c r="N306" t="n">
        <v>0</v>
      </c>
      <c r="O306" t="n">
        <v>0</v>
      </c>
      <c r="P306" t="n">
        <v>0</v>
      </c>
      <c r="Q306" t="n">
        <v>0</v>
      </c>
      <c r="R306" s="2" t="inlineStr"/>
    </row>
    <row r="307" ht="15" customHeight="1">
      <c r="A307" t="inlineStr">
        <is>
          <t>A 40473-2022</t>
        </is>
      </c>
      <c r="B307" s="1" t="n">
        <v>44819</v>
      </c>
      <c r="C307" s="1" t="n">
        <v>45637</v>
      </c>
      <c r="D307" t="inlineStr">
        <is>
          <t>NORRBOTTENS LÄN</t>
        </is>
      </c>
      <c r="E307" t="inlineStr">
        <is>
          <t>JOKKMOKK</t>
        </is>
      </c>
      <c r="G307" t="n">
        <v>3.5</v>
      </c>
      <c r="H307" t="n">
        <v>0</v>
      </c>
      <c r="I307" t="n">
        <v>0</v>
      </c>
      <c r="J307" t="n">
        <v>0</v>
      </c>
      <c r="K307" t="n">
        <v>0</v>
      </c>
      <c r="L307" t="n">
        <v>0</v>
      </c>
      <c r="M307" t="n">
        <v>0</v>
      </c>
      <c r="N307" t="n">
        <v>0</v>
      </c>
      <c r="O307" t="n">
        <v>0</v>
      </c>
      <c r="P307" t="n">
        <v>0</v>
      </c>
      <c r="Q307" t="n">
        <v>0</v>
      </c>
      <c r="R307" s="2" t="inlineStr"/>
    </row>
    <row r="308" ht="15" customHeight="1">
      <c r="A308" t="inlineStr">
        <is>
          <t>A 40129-2022</t>
        </is>
      </c>
      <c r="B308" s="1" t="n">
        <v>44820</v>
      </c>
      <c r="C308" s="1" t="n">
        <v>45637</v>
      </c>
      <c r="D308" t="inlineStr">
        <is>
          <t>NORRBOTTENS LÄN</t>
        </is>
      </c>
      <c r="E308" t="inlineStr">
        <is>
          <t>JOKKMOKK</t>
        </is>
      </c>
      <c r="F308" t="inlineStr">
        <is>
          <t>Sveaskog</t>
        </is>
      </c>
      <c r="G308" t="n">
        <v>0.4</v>
      </c>
      <c r="H308" t="n">
        <v>0</v>
      </c>
      <c r="I308" t="n">
        <v>0</v>
      </c>
      <c r="J308" t="n">
        <v>0</v>
      </c>
      <c r="K308" t="n">
        <v>0</v>
      </c>
      <c r="L308" t="n">
        <v>0</v>
      </c>
      <c r="M308" t="n">
        <v>0</v>
      </c>
      <c r="N308" t="n">
        <v>0</v>
      </c>
      <c r="O308" t="n">
        <v>0</v>
      </c>
      <c r="P308" t="n">
        <v>0</v>
      </c>
      <c r="Q308" t="n">
        <v>0</v>
      </c>
      <c r="R308" s="2" t="inlineStr"/>
    </row>
    <row r="309" ht="15" customHeight="1">
      <c r="A309" t="inlineStr">
        <is>
          <t>A 40248-2022</t>
        </is>
      </c>
      <c r="B309" s="1" t="n">
        <v>44820</v>
      </c>
      <c r="C309" s="1" t="n">
        <v>45637</v>
      </c>
      <c r="D309" t="inlineStr">
        <is>
          <t>NORRBOTTENS LÄN</t>
        </is>
      </c>
      <c r="E309" t="inlineStr">
        <is>
          <t>JOKKMOKK</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40251-2022</t>
        </is>
      </c>
      <c r="B310" s="1" t="n">
        <v>44820</v>
      </c>
      <c r="C310" s="1" t="n">
        <v>45637</v>
      </c>
      <c r="D310" t="inlineStr">
        <is>
          <t>NORRBOTTENS LÄN</t>
        </is>
      </c>
      <c r="E310" t="inlineStr">
        <is>
          <t>JOKKMOKK</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40836-2022</t>
        </is>
      </c>
      <c r="B311" s="1" t="n">
        <v>44824</v>
      </c>
      <c r="C311" s="1" t="n">
        <v>45637</v>
      </c>
      <c r="D311" t="inlineStr">
        <is>
          <t>NORRBOTTENS LÄN</t>
        </is>
      </c>
      <c r="E311" t="inlineStr">
        <is>
          <t>JOKKMOKK</t>
        </is>
      </c>
      <c r="F311" t="inlineStr">
        <is>
          <t>SCA</t>
        </is>
      </c>
      <c r="G311" t="n">
        <v>229.8</v>
      </c>
      <c r="H311" t="n">
        <v>0</v>
      </c>
      <c r="I311" t="n">
        <v>0</v>
      </c>
      <c r="J311" t="n">
        <v>0</v>
      </c>
      <c r="K311" t="n">
        <v>0</v>
      </c>
      <c r="L311" t="n">
        <v>0</v>
      </c>
      <c r="M311" t="n">
        <v>0</v>
      </c>
      <c r="N311" t="n">
        <v>0</v>
      </c>
      <c r="O311" t="n">
        <v>0</v>
      </c>
      <c r="P311" t="n">
        <v>0</v>
      </c>
      <c r="Q311" t="n">
        <v>0</v>
      </c>
      <c r="R311" s="2" t="inlineStr"/>
    </row>
    <row r="312" ht="15" customHeight="1">
      <c r="A312" t="inlineStr">
        <is>
          <t>A 40833-2022</t>
        </is>
      </c>
      <c r="B312" s="1" t="n">
        <v>44824</v>
      </c>
      <c r="C312" s="1" t="n">
        <v>45637</v>
      </c>
      <c r="D312" t="inlineStr">
        <is>
          <t>NORRBOTTENS LÄN</t>
        </is>
      </c>
      <c r="E312" t="inlineStr">
        <is>
          <t>JOKKMOKK</t>
        </is>
      </c>
      <c r="F312" t="inlineStr">
        <is>
          <t>SCA</t>
        </is>
      </c>
      <c r="G312" t="n">
        <v>122.1</v>
      </c>
      <c r="H312" t="n">
        <v>0</v>
      </c>
      <c r="I312" t="n">
        <v>0</v>
      </c>
      <c r="J312" t="n">
        <v>0</v>
      </c>
      <c r="K312" t="n">
        <v>0</v>
      </c>
      <c r="L312" t="n">
        <v>0</v>
      </c>
      <c r="M312" t="n">
        <v>0</v>
      </c>
      <c r="N312" t="n">
        <v>0</v>
      </c>
      <c r="O312" t="n">
        <v>0</v>
      </c>
      <c r="P312" t="n">
        <v>0</v>
      </c>
      <c r="Q312" t="n">
        <v>0</v>
      </c>
      <c r="R312" s="2" t="inlineStr"/>
    </row>
    <row r="313" ht="15" customHeight="1">
      <c r="A313" t="inlineStr">
        <is>
          <t>A 41030-2022</t>
        </is>
      </c>
      <c r="B313" s="1" t="n">
        <v>44824</v>
      </c>
      <c r="C313" s="1" t="n">
        <v>45637</v>
      </c>
      <c r="D313" t="inlineStr">
        <is>
          <t>NORRBOTTENS LÄN</t>
        </is>
      </c>
      <c r="E313" t="inlineStr">
        <is>
          <t>JOKKMOKK</t>
        </is>
      </c>
      <c r="F313" t="inlineStr">
        <is>
          <t>Övriga Aktiebolag</t>
        </is>
      </c>
      <c r="G313" t="n">
        <v>11.3</v>
      </c>
      <c r="H313" t="n">
        <v>0</v>
      </c>
      <c r="I313" t="n">
        <v>0</v>
      </c>
      <c r="J313" t="n">
        <v>0</v>
      </c>
      <c r="K313" t="n">
        <v>0</v>
      </c>
      <c r="L313" t="n">
        <v>0</v>
      </c>
      <c r="M313" t="n">
        <v>0</v>
      </c>
      <c r="N313" t="n">
        <v>0</v>
      </c>
      <c r="O313" t="n">
        <v>0</v>
      </c>
      <c r="P313" t="n">
        <v>0</v>
      </c>
      <c r="Q313" t="n">
        <v>0</v>
      </c>
      <c r="R313" s="2" t="inlineStr"/>
    </row>
    <row r="314" ht="15" customHeight="1">
      <c r="A314" t="inlineStr">
        <is>
          <t>A 40834-2022</t>
        </is>
      </c>
      <c r="B314" s="1" t="n">
        <v>44824</v>
      </c>
      <c r="C314" s="1" t="n">
        <v>45637</v>
      </c>
      <c r="D314" t="inlineStr">
        <is>
          <t>NORRBOTTENS LÄN</t>
        </is>
      </c>
      <c r="E314" t="inlineStr">
        <is>
          <t>JOKKMOKK</t>
        </is>
      </c>
      <c r="F314" t="inlineStr">
        <is>
          <t>SCA</t>
        </is>
      </c>
      <c r="G314" t="n">
        <v>106.1</v>
      </c>
      <c r="H314" t="n">
        <v>0</v>
      </c>
      <c r="I314" t="n">
        <v>0</v>
      </c>
      <c r="J314" t="n">
        <v>0</v>
      </c>
      <c r="K314" t="n">
        <v>0</v>
      </c>
      <c r="L314" t="n">
        <v>0</v>
      </c>
      <c r="M314" t="n">
        <v>0</v>
      </c>
      <c r="N314" t="n">
        <v>0</v>
      </c>
      <c r="O314" t="n">
        <v>0</v>
      </c>
      <c r="P314" t="n">
        <v>0</v>
      </c>
      <c r="Q314" t="n">
        <v>0</v>
      </c>
      <c r="R314" s="2" t="inlineStr"/>
    </row>
    <row r="315" ht="15" customHeight="1">
      <c r="A315" t="inlineStr">
        <is>
          <t>A 41579-2022</t>
        </is>
      </c>
      <c r="B315" s="1" t="n">
        <v>44827</v>
      </c>
      <c r="C315" s="1" t="n">
        <v>45637</v>
      </c>
      <c r="D315" t="inlineStr">
        <is>
          <t>NORRBOTTENS LÄN</t>
        </is>
      </c>
      <c r="E315" t="inlineStr">
        <is>
          <t>JOKKMOKK</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42258-2022</t>
        </is>
      </c>
      <c r="B316" s="1" t="n">
        <v>44831</v>
      </c>
      <c r="C316" s="1" t="n">
        <v>45637</v>
      </c>
      <c r="D316" t="inlineStr">
        <is>
          <t>NORRBOTTENS LÄN</t>
        </is>
      </c>
      <c r="E316" t="inlineStr">
        <is>
          <t>JOKKMOKK</t>
        </is>
      </c>
      <c r="F316" t="inlineStr">
        <is>
          <t>Allmännings- och besparingsskogar</t>
        </is>
      </c>
      <c r="G316" t="n">
        <v>0.5</v>
      </c>
      <c r="H316" t="n">
        <v>0</v>
      </c>
      <c r="I316" t="n">
        <v>0</v>
      </c>
      <c r="J316" t="n">
        <v>0</v>
      </c>
      <c r="K316" t="n">
        <v>0</v>
      </c>
      <c r="L316" t="n">
        <v>0</v>
      </c>
      <c r="M316" t="n">
        <v>0</v>
      </c>
      <c r="N316" t="n">
        <v>0</v>
      </c>
      <c r="O316" t="n">
        <v>0</v>
      </c>
      <c r="P316" t="n">
        <v>0</v>
      </c>
      <c r="Q316" t="n">
        <v>0</v>
      </c>
      <c r="R316" s="2" t="inlineStr"/>
    </row>
    <row r="317" ht="15" customHeight="1">
      <c r="A317" t="inlineStr">
        <is>
          <t>A 42256-2022</t>
        </is>
      </c>
      <c r="B317" s="1" t="n">
        <v>44831</v>
      </c>
      <c r="C317" s="1" t="n">
        <v>45637</v>
      </c>
      <c r="D317" t="inlineStr">
        <is>
          <t>NORRBOTTENS LÄN</t>
        </is>
      </c>
      <c r="E317" t="inlineStr">
        <is>
          <t>JOKKMOKK</t>
        </is>
      </c>
      <c r="F317" t="inlineStr">
        <is>
          <t>Allmännings- och besparingsskogar</t>
        </is>
      </c>
      <c r="G317" t="n">
        <v>0.7</v>
      </c>
      <c r="H317" t="n">
        <v>0</v>
      </c>
      <c r="I317" t="n">
        <v>0</v>
      </c>
      <c r="J317" t="n">
        <v>0</v>
      </c>
      <c r="K317" t="n">
        <v>0</v>
      </c>
      <c r="L317" t="n">
        <v>0</v>
      </c>
      <c r="M317" t="n">
        <v>0</v>
      </c>
      <c r="N317" t="n">
        <v>0</v>
      </c>
      <c r="O317" t="n">
        <v>0</v>
      </c>
      <c r="P317" t="n">
        <v>0</v>
      </c>
      <c r="Q317" t="n">
        <v>0</v>
      </c>
      <c r="R317" s="2" t="inlineStr"/>
    </row>
    <row r="318" ht="15" customHeight="1">
      <c r="A318" t="inlineStr">
        <is>
          <t>A 42257-2022</t>
        </is>
      </c>
      <c r="B318" s="1" t="n">
        <v>44831</v>
      </c>
      <c r="C318" s="1" t="n">
        <v>45637</v>
      </c>
      <c r="D318" t="inlineStr">
        <is>
          <t>NORRBOTTENS LÄN</t>
        </is>
      </c>
      <c r="E318" t="inlineStr">
        <is>
          <t>JOKKMOKK</t>
        </is>
      </c>
      <c r="F318" t="inlineStr">
        <is>
          <t>Allmännings- och besparingsskogar</t>
        </is>
      </c>
      <c r="G318" t="n">
        <v>1.8</v>
      </c>
      <c r="H318" t="n">
        <v>0</v>
      </c>
      <c r="I318" t="n">
        <v>0</v>
      </c>
      <c r="J318" t="n">
        <v>0</v>
      </c>
      <c r="K318" t="n">
        <v>0</v>
      </c>
      <c r="L318" t="n">
        <v>0</v>
      </c>
      <c r="M318" t="n">
        <v>0</v>
      </c>
      <c r="N318" t="n">
        <v>0</v>
      </c>
      <c r="O318" t="n">
        <v>0</v>
      </c>
      <c r="P318" t="n">
        <v>0</v>
      </c>
      <c r="Q318" t="n">
        <v>0</v>
      </c>
      <c r="R318" s="2" t="inlineStr"/>
    </row>
    <row r="319" ht="15" customHeight="1">
      <c r="A319" t="inlineStr">
        <is>
          <t>A 42263-2022</t>
        </is>
      </c>
      <c r="B319" s="1" t="n">
        <v>44830</v>
      </c>
      <c r="C319" s="1" t="n">
        <v>45637</v>
      </c>
      <c r="D319" t="inlineStr">
        <is>
          <t>NORRBOTTENS LÄN</t>
        </is>
      </c>
      <c r="E319" t="inlineStr">
        <is>
          <t>JOKKMOKK</t>
        </is>
      </c>
      <c r="F319" t="inlineStr">
        <is>
          <t>Allmännings- och besparingsskogar</t>
        </is>
      </c>
      <c r="G319" t="n">
        <v>10.6</v>
      </c>
      <c r="H319" t="n">
        <v>0</v>
      </c>
      <c r="I319" t="n">
        <v>0</v>
      </c>
      <c r="J319" t="n">
        <v>0</v>
      </c>
      <c r="K319" t="n">
        <v>0</v>
      </c>
      <c r="L319" t="n">
        <v>0</v>
      </c>
      <c r="M319" t="n">
        <v>0</v>
      </c>
      <c r="N319" t="n">
        <v>0</v>
      </c>
      <c r="O319" t="n">
        <v>0</v>
      </c>
      <c r="P319" t="n">
        <v>0</v>
      </c>
      <c r="Q319" t="n">
        <v>0</v>
      </c>
      <c r="R319" s="2" t="inlineStr"/>
    </row>
    <row r="320" ht="15" customHeight="1">
      <c r="A320" t="inlineStr">
        <is>
          <t>A 43878-2022</t>
        </is>
      </c>
      <c r="B320" s="1" t="n">
        <v>44838</v>
      </c>
      <c r="C320" s="1" t="n">
        <v>45637</v>
      </c>
      <c r="D320" t="inlineStr">
        <is>
          <t>NORRBOTTENS LÄN</t>
        </is>
      </c>
      <c r="E320" t="inlineStr">
        <is>
          <t>JOKKMOKK</t>
        </is>
      </c>
      <c r="F320" t="inlineStr">
        <is>
          <t>Allmännings- och besparingsskogar</t>
        </is>
      </c>
      <c r="G320" t="n">
        <v>30.9</v>
      </c>
      <c r="H320" t="n">
        <v>0</v>
      </c>
      <c r="I320" t="n">
        <v>0</v>
      </c>
      <c r="J320" t="n">
        <v>0</v>
      </c>
      <c r="K320" t="n">
        <v>0</v>
      </c>
      <c r="L320" t="n">
        <v>0</v>
      </c>
      <c r="M320" t="n">
        <v>0</v>
      </c>
      <c r="N320" t="n">
        <v>0</v>
      </c>
      <c r="O320" t="n">
        <v>0</v>
      </c>
      <c r="P320" t="n">
        <v>0</v>
      </c>
      <c r="Q320" t="n">
        <v>0</v>
      </c>
      <c r="R320" s="2" t="inlineStr"/>
    </row>
    <row r="321" ht="15" customHeight="1">
      <c r="A321" t="inlineStr">
        <is>
          <t>A 44335-2022</t>
        </is>
      </c>
      <c r="B321" s="1" t="n">
        <v>44839</v>
      </c>
      <c r="C321" s="1" t="n">
        <v>45637</v>
      </c>
      <c r="D321" t="inlineStr">
        <is>
          <t>NORRBOTTENS LÄN</t>
        </is>
      </c>
      <c r="E321" t="inlineStr">
        <is>
          <t>JOKKMOKK</t>
        </is>
      </c>
      <c r="F321" t="inlineStr">
        <is>
          <t>Allmännings- och besparingsskogar</t>
        </is>
      </c>
      <c r="G321" t="n">
        <v>8.4</v>
      </c>
      <c r="H321" t="n">
        <v>0</v>
      </c>
      <c r="I321" t="n">
        <v>0</v>
      </c>
      <c r="J321" t="n">
        <v>0</v>
      </c>
      <c r="K321" t="n">
        <v>0</v>
      </c>
      <c r="L321" t="n">
        <v>0</v>
      </c>
      <c r="M321" t="n">
        <v>0</v>
      </c>
      <c r="N321" t="n">
        <v>0</v>
      </c>
      <c r="O321" t="n">
        <v>0</v>
      </c>
      <c r="P321" t="n">
        <v>0</v>
      </c>
      <c r="Q321" t="n">
        <v>0</v>
      </c>
      <c r="R321" s="2" t="inlineStr"/>
    </row>
    <row r="322" ht="15" customHeight="1">
      <c r="A322" t="inlineStr">
        <is>
          <t>A 45468-2022</t>
        </is>
      </c>
      <c r="B322" s="1" t="n">
        <v>44841</v>
      </c>
      <c r="C322" s="1" t="n">
        <v>45637</v>
      </c>
      <c r="D322" t="inlineStr">
        <is>
          <t>NORRBOTTENS LÄN</t>
        </is>
      </c>
      <c r="E322" t="inlineStr">
        <is>
          <t>JOKKMOKK</t>
        </is>
      </c>
      <c r="F322" t="inlineStr">
        <is>
          <t>Övriga Aktiebolag</t>
        </is>
      </c>
      <c r="G322" t="n">
        <v>2.1</v>
      </c>
      <c r="H322" t="n">
        <v>0</v>
      </c>
      <c r="I322" t="n">
        <v>0</v>
      </c>
      <c r="J322" t="n">
        <v>0</v>
      </c>
      <c r="K322" t="n">
        <v>0</v>
      </c>
      <c r="L322" t="n">
        <v>0</v>
      </c>
      <c r="M322" t="n">
        <v>0</v>
      </c>
      <c r="N322" t="n">
        <v>0</v>
      </c>
      <c r="O322" t="n">
        <v>0</v>
      </c>
      <c r="P322" t="n">
        <v>0</v>
      </c>
      <c r="Q322" t="n">
        <v>0</v>
      </c>
      <c r="R322" s="2" t="inlineStr"/>
    </row>
    <row r="323" ht="15" customHeight="1">
      <c r="A323" t="inlineStr">
        <is>
          <t>A 45512-2022</t>
        </is>
      </c>
      <c r="B323" s="1" t="n">
        <v>44841</v>
      </c>
      <c r="C323" s="1" t="n">
        <v>45637</v>
      </c>
      <c r="D323" t="inlineStr">
        <is>
          <t>NORRBOTTENS LÄN</t>
        </is>
      </c>
      <c r="E323" t="inlineStr">
        <is>
          <t>JOKKMOKK</t>
        </is>
      </c>
      <c r="F323" t="inlineStr">
        <is>
          <t>Övriga Aktiebolag</t>
        </is>
      </c>
      <c r="G323" t="n">
        <v>0.6</v>
      </c>
      <c r="H323" t="n">
        <v>0</v>
      </c>
      <c r="I323" t="n">
        <v>0</v>
      </c>
      <c r="J323" t="n">
        <v>0</v>
      </c>
      <c r="K323" t="n">
        <v>0</v>
      </c>
      <c r="L323" t="n">
        <v>0</v>
      </c>
      <c r="M323" t="n">
        <v>0</v>
      </c>
      <c r="N323" t="n">
        <v>0</v>
      </c>
      <c r="O323" t="n">
        <v>0</v>
      </c>
      <c r="P323" t="n">
        <v>0</v>
      </c>
      <c r="Q323" t="n">
        <v>0</v>
      </c>
      <c r="R323" s="2" t="inlineStr"/>
    </row>
    <row r="324" ht="15" customHeight="1">
      <c r="A324" t="inlineStr">
        <is>
          <t>A 45469-2022</t>
        </is>
      </c>
      <c r="B324" s="1" t="n">
        <v>44841</v>
      </c>
      <c r="C324" s="1" t="n">
        <v>45637</v>
      </c>
      <c r="D324" t="inlineStr">
        <is>
          <t>NORRBOTTENS LÄN</t>
        </is>
      </c>
      <c r="E324" t="inlineStr">
        <is>
          <t>JOKKMOKK</t>
        </is>
      </c>
      <c r="F324" t="inlineStr">
        <is>
          <t>Övriga Aktiebolag</t>
        </is>
      </c>
      <c r="G324" t="n">
        <v>3.4</v>
      </c>
      <c r="H324" t="n">
        <v>0</v>
      </c>
      <c r="I324" t="n">
        <v>0</v>
      </c>
      <c r="J324" t="n">
        <v>0</v>
      </c>
      <c r="K324" t="n">
        <v>0</v>
      </c>
      <c r="L324" t="n">
        <v>0</v>
      </c>
      <c r="M324" t="n">
        <v>0</v>
      </c>
      <c r="N324" t="n">
        <v>0</v>
      </c>
      <c r="O324" t="n">
        <v>0</v>
      </c>
      <c r="P324" t="n">
        <v>0</v>
      </c>
      <c r="Q324" t="n">
        <v>0</v>
      </c>
      <c r="R324" s="2" t="inlineStr"/>
    </row>
    <row r="325" ht="15" customHeight="1">
      <c r="A325" t="inlineStr">
        <is>
          <t>A 45505-2022</t>
        </is>
      </c>
      <c r="B325" s="1" t="n">
        <v>44841</v>
      </c>
      <c r="C325" s="1" t="n">
        <v>45637</v>
      </c>
      <c r="D325" t="inlineStr">
        <is>
          <t>NORRBOTTENS LÄN</t>
        </is>
      </c>
      <c r="E325" t="inlineStr">
        <is>
          <t>JOKKMOKK</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45510-2022</t>
        </is>
      </c>
      <c r="B326" s="1" t="n">
        <v>44841</v>
      </c>
      <c r="C326" s="1" t="n">
        <v>45637</v>
      </c>
      <c r="D326" t="inlineStr">
        <is>
          <t>NORRBOTTENS LÄN</t>
        </is>
      </c>
      <c r="E326" t="inlineStr">
        <is>
          <t>JOKKMOKK</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46957-2022</t>
        </is>
      </c>
      <c r="B327" s="1" t="n">
        <v>44851</v>
      </c>
      <c r="C327" s="1" t="n">
        <v>45637</v>
      </c>
      <c r="D327" t="inlineStr">
        <is>
          <t>NORRBOTTENS LÄN</t>
        </is>
      </c>
      <c r="E327" t="inlineStr">
        <is>
          <t>JOKKMOKK</t>
        </is>
      </c>
      <c r="G327" t="n">
        <v>11.2</v>
      </c>
      <c r="H327" t="n">
        <v>0</v>
      </c>
      <c r="I327" t="n">
        <v>0</v>
      </c>
      <c r="J327" t="n">
        <v>0</v>
      </c>
      <c r="K327" t="n">
        <v>0</v>
      </c>
      <c r="L327" t="n">
        <v>0</v>
      </c>
      <c r="M327" t="n">
        <v>0</v>
      </c>
      <c r="N327" t="n">
        <v>0</v>
      </c>
      <c r="O327" t="n">
        <v>0</v>
      </c>
      <c r="P327" t="n">
        <v>0</v>
      </c>
      <c r="Q327" t="n">
        <v>0</v>
      </c>
      <c r="R327" s="2" t="inlineStr"/>
    </row>
    <row r="328" ht="15" customHeight="1">
      <c r="A328" t="inlineStr">
        <is>
          <t>A 47208-2022</t>
        </is>
      </c>
      <c r="B328" s="1" t="n">
        <v>44851</v>
      </c>
      <c r="C328" s="1" t="n">
        <v>45637</v>
      </c>
      <c r="D328" t="inlineStr">
        <is>
          <t>NORRBOTTENS LÄN</t>
        </is>
      </c>
      <c r="E328" t="inlineStr">
        <is>
          <t>JOKKMOKK</t>
        </is>
      </c>
      <c r="G328" t="n">
        <v>1.2</v>
      </c>
      <c r="H328" t="n">
        <v>0</v>
      </c>
      <c r="I328" t="n">
        <v>0</v>
      </c>
      <c r="J328" t="n">
        <v>0</v>
      </c>
      <c r="K328" t="n">
        <v>0</v>
      </c>
      <c r="L328" t="n">
        <v>0</v>
      </c>
      <c r="M328" t="n">
        <v>0</v>
      </c>
      <c r="N328" t="n">
        <v>0</v>
      </c>
      <c r="O328" t="n">
        <v>0</v>
      </c>
      <c r="P328" t="n">
        <v>0</v>
      </c>
      <c r="Q328" t="n">
        <v>0</v>
      </c>
      <c r="R328" s="2" t="inlineStr"/>
    </row>
    <row r="329" ht="15" customHeight="1">
      <c r="A329" t="inlineStr">
        <is>
          <t>A 48586-2022</t>
        </is>
      </c>
      <c r="B329" s="1" t="n">
        <v>44854</v>
      </c>
      <c r="C329" s="1" t="n">
        <v>45637</v>
      </c>
      <c r="D329" t="inlineStr">
        <is>
          <t>NORRBOTTENS LÄN</t>
        </is>
      </c>
      <c r="E329" t="inlineStr">
        <is>
          <t>JOKKMOKK</t>
        </is>
      </c>
      <c r="F329" t="inlineStr">
        <is>
          <t>Övriga statliga verk och myndigheter</t>
        </is>
      </c>
      <c r="G329" t="n">
        <v>26.1</v>
      </c>
      <c r="H329" t="n">
        <v>0</v>
      </c>
      <c r="I329" t="n">
        <v>0</v>
      </c>
      <c r="J329" t="n">
        <v>0</v>
      </c>
      <c r="K329" t="n">
        <v>0</v>
      </c>
      <c r="L329" t="n">
        <v>0</v>
      </c>
      <c r="M329" t="n">
        <v>0</v>
      </c>
      <c r="N329" t="n">
        <v>0</v>
      </c>
      <c r="O329" t="n">
        <v>0</v>
      </c>
      <c r="P329" t="n">
        <v>0</v>
      </c>
      <c r="Q329" t="n">
        <v>0</v>
      </c>
      <c r="R329" s="2" t="inlineStr"/>
    </row>
    <row r="330" ht="15" customHeight="1">
      <c r="A330" t="inlineStr">
        <is>
          <t>A 50716-2022</t>
        </is>
      </c>
      <c r="B330" s="1" t="n">
        <v>44862</v>
      </c>
      <c r="C330" s="1" t="n">
        <v>45637</v>
      </c>
      <c r="D330" t="inlineStr">
        <is>
          <t>NORRBOTTENS LÄN</t>
        </is>
      </c>
      <c r="E330" t="inlineStr">
        <is>
          <t>JOKKMOKK</t>
        </is>
      </c>
      <c r="G330" t="n">
        <v>30.2</v>
      </c>
      <c r="H330" t="n">
        <v>0</v>
      </c>
      <c r="I330" t="n">
        <v>0</v>
      </c>
      <c r="J330" t="n">
        <v>0</v>
      </c>
      <c r="K330" t="n">
        <v>0</v>
      </c>
      <c r="L330" t="n">
        <v>0</v>
      </c>
      <c r="M330" t="n">
        <v>0</v>
      </c>
      <c r="N330" t="n">
        <v>0</v>
      </c>
      <c r="O330" t="n">
        <v>0</v>
      </c>
      <c r="P330" t="n">
        <v>0</v>
      </c>
      <c r="Q330" t="n">
        <v>0</v>
      </c>
      <c r="R330" s="2" t="inlineStr"/>
    </row>
    <row r="331" ht="15" customHeight="1">
      <c r="A331" t="inlineStr">
        <is>
          <t>A 50568-2022</t>
        </is>
      </c>
      <c r="B331" s="1" t="n">
        <v>44866</v>
      </c>
      <c r="C331" s="1" t="n">
        <v>45637</v>
      </c>
      <c r="D331" t="inlineStr">
        <is>
          <t>NORRBOTTENS LÄN</t>
        </is>
      </c>
      <c r="E331" t="inlineStr">
        <is>
          <t>JOKKMOKK</t>
        </is>
      </c>
      <c r="F331" t="inlineStr">
        <is>
          <t>Sveaskog</t>
        </is>
      </c>
      <c r="G331" t="n">
        <v>6.2</v>
      </c>
      <c r="H331" t="n">
        <v>0</v>
      </c>
      <c r="I331" t="n">
        <v>0</v>
      </c>
      <c r="J331" t="n">
        <v>0</v>
      </c>
      <c r="K331" t="n">
        <v>0</v>
      </c>
      <c r="L331" t="n">
        <v>0</v>
      </c>
      <c r="M331" t="n">
        <v>0</v>
      </c>
      <c r="N331" t="n">
        <v>0</v>
      </c>
      <c r="O331" t="n">
        <v>0</v>
      </c>
      <c r="P331" t="n">
        <v>0</v>
      </c>
      <c r="Q331" t="n">
        <v>0</v>
      </c>
      <c r="R331" s="2" t="inlineStr"/>
    </row>
    <row r="332" ht="15" customHeight="1">
      <c r="A332" t="inlineStr">
        <is>
          <t>A 51304-2022</t>
        </is>
      </c>
      <c r="B332" s="1" t="n">
        <v>44868</v>
      </c>
      <c r="C332" s="1" t="n">
        <v>45637</v>
      </c>
      <c r="D332" t="inlineStr">
        <is>
          <t>NORRBOTTENS LÄN</t>
        </is>
      </c>
      <c r="E332" t="inlineStr">
        <is>
          <t>JOKKMOKK</t>
        </is>
      </c>
      <c r="G332" t="n">
        <v>1.5</v>
      </c>
      <c r="H332" t="n">
        <v>0</v>
      </c>
      <c r="I332" t="n">
        <v>0</v>
      </c>
      <c r="J332" t="n">
        <v>0</v>
      </c>
      <c r="K332" t="n">
        <v>0</v>
      </c>
      <c r="L332" t="n">
        <v>0</v>
      </c>
      <c r="M332" t="n">
        <v>0</v>
      </c>
      <c r="N332" t="n">
        <v>0</v>
      </c>
      <c r="O332" t="n">
        <v>0</v>
      </c>
      <c r="P332" t="n">
        <v>0</v>
      </c>
      <c r="Q332" t="n">
        <v>0</v>
      </c>
      <c r="R332" s="2" t="inlineStr"/>
    </row>
    <row r="333" ht="15" customHeight="1">
      <c r="A333" t="inlineStr">
        <is>
          <t>A 51220-2022</t>
        </is>
      </c>
      <c r="B333" s="1" t="n">
        <v>44868</v>
      </c>
      <c r="C333" s="1" t="n">
        <v>45637</v>
      </c>
      <c r="D333" t="inlineStr">
        <is>
          <t>NORRBOTTENS LÄN</t>
        </is>
      </c>
      <c r="E333" t="inlineStr">
        <is>
          <t>JOKKMOKK</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53100-2022</t>
        </is>
      </c>
      <c r="B334" s="1" t="n">
        <v>44873</v>
      </c>
      <c r="C334" s="1" t="n">
        <v>45637</v>
      </c>
      <c r="D334" t="inlineStr">
        <is>
          <t>NORRBOTTENS LÄN</t>
        </is>
      </c>
      <c r="E334" t="inlineStr">
        <is>
          <t>JOKKMOKK</t>
        </is>
      </c>
      <c r="F334" t="inlineStr">
        <is>
          <t>Övriga statliga verk och myndigheter</t>
        </is>
      </c>
      <c r="G334" t="n">
        <v>37.1</v>
      </c>
      <c r="H334" t="n">
        <v>0</v>
      </c>
      <c r="I334" t="n">
        <v>0</v>
      </c>
      <c r="J334" t="n">
        <v>0</v>
      </c>
      <c r="K334" t="n">
        <v>0</v>
      </c>
      <c r="L334" t="n">
        <v>0</v>
      </c>
      <c r="M334" t="n">
        <v>0</v>
      </c>
      <c r="N334" t="n">
        <v>0</v>
      </c>
      <c r="O334" t="n">
        <v>0</v>
      </c>
      <c r="P334" t="n">
        <v>0</v>
      </c>
      <c r="Q334" t="n">
        <v>0</v>
      </c>
      <c r="R334" s="2" t="inlineStr"/>
    </row>
    <row r="335" ht="15" customHeight="1">
      <c r="A335" t="inlineStr">
        <is>
          <t>A 52730-2022</t>
        </is>
      </c>
      <c r="B335" s="1" t="n">
        <v>44874</v>
      </c>
      <c r="C335" s="1" t="n">
        <v>45637</v>
      </c>
      <c r="D335" t="inlineStr">
        <is>
          <t>NORRBOTTENS LÄN</t>
        </is>
      </c>
      <c r="E335" t="inlineStr">
        <is>
          <t>JOKKMOKK</t>
        </is>
      </c>
      <c r="F335" t="inlineStr">
        <is>
          <t>SCA</t>
        </is>
      </c>
      <c r="G335" t="n">
        <v>29.2</v>
      </c>
      <c r="H335" t="n">
        <v>0</v>
      </c>
      <c r="I335" t="n">
        <v>0</v>
      </c>
      <c r="J335" t="n">
        <v>0</v>
      </c>
      <c r="K335" t="n">
        <v>0</v>
      </c>
      <c r="L335" t="n">
        <v>0</v>
      </c>
      <c r="M335" t="n">
        <v>0</v>
      </c>
      <c r="N335" t="n">
        <v>0</v>
      </c>
      <c r="O335" t="n">
        <v>0</v>
      </c>
      <c r="P335" t="n">
        <v>0</v>
      </c>
      <c r="Q335" t="n">
        <v>0</v>
      </c>
      <c r="R335" s="2" t="inlineStr"/>
    </row>
    <row r="336" ht="15" customHeight="1">
      <c r="A336" t="inlineStr">
        <is>
          <t>A 56168-2022</t>
        </is>
      </c>
      <c r="B336" s="1" t="n">
        <v>44889</v>
      </c>
      <c r="C336" s="1" t="n">
        <v>45637</v>
      </c>
      <c r="D336" t="inlineStr">
        <is>
          <t>NORRBOTTENS LÄN</t>
        </is>
      </c>
      <c r="E336" t="inlineStr">
        <is>
          <t>JOKKMOKK</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56691-2022</t>
        </is>
      </c>
      <c r="B337" s="1" t="n">
        <v>44893</v>
      </c>
      <c r="C337" s="1" t="n">
        <v>45637</v>
      </c>
      <c r="D337" t="inlineStr">
        <is>
          <t>NORRBOTTENS LÄN</t>
        </is>
      </c>
      <c r="E337" t="inlineStr">
        <is>
          <t>JOKKMOKK</t>
        </is>
      </c>
      <c r="F337" t="inlineStr">
        <is>
          <t>Sveaskog</t>
        </is>
      </c>
      <c r="G337" t="n">
        <v>10</v>
      </c>
      <c r="H337" t="n">
        <v>0</v>
      </c>
      <c r="I337" t="n">
        <v>0</v>
      </c>
      <c r="J337" t="n">
        <v>0</v>
      </c>
      <c r="K337" t="n">
        <v>0</v>
      </c>
      <c r="L337" t="n">
        <v>0</v>
      </c>
      <c r="M337" t="n">
        <v>0</v>
      </c>
      <c r="N337" t="n">
        <v>0</v>
      </c>
      <c r="O337" t="n">
        <v>0</v>
      </c>
      <c r="P337" t="n">
        <v>0</v>
      </c>
      <c r="Q337" t="n">
        <v>0</v>
      </c>
      <c r="R337" s="2" t="inlineStr"/>
    </row>
    <row r="338" ht="15" customHeight="1">
      <c r="A338" t="inlineStr">
        <is>
          <t>A 57672-2022</t>
        </is>
      </c>
      <c r="B338" s="1" t="n">
        <v>44897</v>
      </c>
      <c r="C338" s="1" t="n">
        <v>45637</v>
      </c>
      <c r="D338" t="inlineStr">
        <is>
          <t>NORRBOTTENS LÄN</t>
        </is>
      </c>
      <c r="E338" t="inlineStr">
        <is>
          <t>JOKKMOKK</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61531-2022</t>
        </is>
      </c>
      <c r="B339" s="1" t="n">
        <v>44916</v>
      </c>
      <c r="C339" s="1" t="n">
        <v>45637</v>
      </c>
      <c r="D339" t="inlineStr">
        <is>
          <t>NORRBOTTENS LÄN</t>
        </is>
      </c>
      <c r="E339" t="inlineStr">
        <is>
          <t>JOKKMOKK</t>
        </is>
      </c>
      <c r="F339" t="inlineStr">
        <is>
          <t>Sveaskog</t>
        </is>
      </c>
      <c r="G339" t="n">
        <v>4.5</v>
      </c>
      <c r="H339" t="n">
        <v>0</v>
      </c>
      <c r="I339" t="n">
        <v>0</v>
      </c>
      <c r="J339" t="n">
        <v>0</v>
      </c>
      <c r="K339" t="n">
        <v>0</v>
      </c>
      <c r="L339" t="n">
        <v>0</v>
      </c>
      <c r="M339" t="n">
        <v>0</v>
      </c>
      <c r="N339" t="n">
        <v>0</v>
      </c>
      <c r="O339" t="n">
        <v>0</v>
      </c>
      <c r="P339" t="n">
        <v>0</v>
      </c>
      <c r="Q339" t="n">
        <v>0</v>
      </c>
      <c r="R339" s="2" t="inlineStr"/>
    </row>
    <row r="340" ht="15" customHeight="1">
      <c r="A340" t="inlineStr">
        <is>
          <t>A 62078-2022</t>
        </is>
      </c>
      <c r="B340" s="1" t="n">
        <v>44918</v>
      </c>
      <c r="C340" s="1" t="n">
        <v>45637</v>
      </c>
      <c r="D340" t="inlineStr">
        <is>
          <t>NORRBOTTENS LÄN</t>
        </is>
      </c>
      <c r="E340" t="inlineStr">
        <is>
          <t>JOKKMOKK</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1119-2023</t>
        </is>
      </c>
      <c r="B341" s="1" t="n">
        <v>44930</v>
      </c>
      <c r="C341" s="1" t="n">
        <v>45637</v>
      </c>
      <c r="D341" t="inlineStr">
        <is>
          <t>NORRBOTTENS LÄN</t>
        </is>
      </c>
      <c r="E341" t="inlineStr">
        <is>
          <t>JOKKMOKK</t>
        </is>
      </c>
      <c r="F341" t="inlineStr">
        <is>
          <t>Sveaskog</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6464-2023</t>
        </is>
      </c>
      <c r="B342" s="1" t="n">
        <v>44965</v>
      </c>
      <c r="C342" s="1" t="n">
        <v>45637</v>
      </c>
      <c r="D342" t="inlineStr">
        <is>
          <t>NORRBOTTENS LÄN</t>
        </is>
      </c>
      <c r="E342" t="inlineStr">
        <is>
          <t>JOKKMOKK</t>
        </is>
      </c>
      <c r="G342" t="n">
        <v>8.4</v>
      </c>
      <c r="H342" t="n">
        <v>0</v>
      </c>
      <c r="I342" t="n">
        <v>0</v>
      </c>
      <c r="J342" t="n">
        <v>0</v>
      </c>
      <c r="K342" t="n">
        <v>0</v>
      </c>
      <c r="L342" t="n">
        <v>0</v>
      </c>
      <c r="M342" t="n">
        <v>0</v>
      </c>
      <c r="N342" t="n">
        <v>0</v>
      </c>
      <c r="O342" t="n">
        <v>0</v>
      </c>
      <c r="P342" t="n">
        <v>0</v>
      </c>
      <c r="Q342" t="n">
        <v>0</v>
      </c>
      <c r="R342" s="2" t="inlineStr"/>
    </row>
    <row r="343" ht="15" customHeight="1">
      <c r="A343" t="inlineStr">
        <is>
          <t>A 6779-2023</t>
        </is>
      </c>
      <c r="B343" s="1" t="n">
        <v>44966</v>
      </c>
      <c r="C343" s="1" t="n">
        <v>45637</v>
      </c>
      <c r="D343" t="inlineStr">
        <is>
          <t>NORRBOTTENS LÄN</t>
        </is>
      </c>
      <c r="E343" t="inlineStr">
        <is>
          <t>JOKKMOKK</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6778-2023</t>
        </is>
      </c>
      <c r="B344" s="1" t="n">
        <v>44966</v>
      </c>
      <c r="C344" s="1" t="n">
        <v>45637</v>
      </c>
      <c r="D344" t="inlineStr">
        <is>
          <t>NORRBOTTENS LÄN</t>
        </is>
      </c>
      <c r="E344" t="inlineStr">
        <is>
          <t>JOKKMOKK</t>
        </is>
      </c>
      <c r="F344" t="inlineStr">
        <is>
          <t>SCA</t>
        </is>
      </c>
      <c r="G344" t="n">
        <v>5</v>
      </c>
      <c r="H344" t="n">
        <v>0</v>
      </c>
      <c r="I344" t="n">
        <v>0</v>
      </c>
      <c r="J344" t="n">
        <v>0</v>
      </c>
      <c r="K344" t="n">
        <v>0</v>
      </c>
      <c r="L344" t="n">
        <v>0</v>
      </c>
      <c r="M344" t="n">
        <v>0</v>
      </c>
      <c r="N344" t="n">
        <v>0</v>
      </c>
      <c r="O344" t="n">
        <v>0</v>
      </c>
      <c r="P344" t="n">
        <v>0</v>
      </c>
      <c r="Q344" t="n">
        <v>0</v>
      </c>
      <c r="R344" s="2" t="inlineStr"/>
    </row>
    <row r="345" ht="15" customHeight="1">
      <c r="A345" t="inlineStr">
        <is>
          <t>A 6777-2023</t>
        </is>
      </c>
      <c r="B345" s="1" t="n">
        <v>44966</v>
      </c>
      <c r="C345" s="1" t="n">
        <v>45637</v>
      </c>
      <c r="D345" t="inlineStr">
        <is>
          <t>NORRBOTTENS LÄN</t>
        </is>
      </c>
      <c r="E345" t="inlineStr">
        <is>
          <t>JOKKMOKK</t>
        </is>
      </c>
      <c r="G345" t="n">
        <v>2.2</v>
      </c>
      <c r="H345" t="n">
        <v>0</v>
      </c>
      <c r="I345" t="n">
        <v>0</v>
      </c>
      <c r="J345" t="n">
        <v>0</v>
      </c>
      <c r="K345" t="n">
        <v>0</v>
      </c>
      <c r="L345" t="n">
        <v>0</v>
      </c>
      <c r="M345" t="n">
        <v>0</v>
      </c>
      <c r="N345" t="n">
        <v>0</v>
      </c>
      <c r="O345" t="n">
        <v>0</v>
      </c>
      <c r="P345" t="n">
        <v>0</v>
      </c>
      <c r="Q345" t="n">
        <v>0</v>
      </c>
      <c r="R345" s="2" t="inlineStr"/>
    </row>
    <row r="346" ht="15" customHeight="1">
      <c r="A346" t="inlineStr">
        <is>
          <t>A 8471-2023</t>
        </is>
      </c>
      <c r="B346" s="1" t="n">
        <v>44977</v>
      </c>
      <c r="C346" s="1" t="n">
        <v>45637</v>
      </c>
      <c r="D346" t="inlineStr">
        <is>
          <t>NORRBOTTENS LÄN</t>
        </is>
      </c>
      <c r="E346" t="inlineStr">
        <is>
          <t>JOKKMOKK</t>
        </is>
      </c>
      <c r="G346" t="n">
        <v>0.5</v>
      </c>
      <c r="H346" t="n">
        <v>0</v>
      </c>
      <c r="I346" t="n">
        <v>0</v>
      </c>
      <c r="J346" t="n">
        <v>0</v>
      </c>
      <c r="K346" t="n">
        <v>0</v>
      </c>
      <c r="L346" t="n">
        <v>0</v>
      </c>
      <c r="M346" t="n">
        <v>0</v>
      </c>
      <c r="N346" t="n">
        <v>0</v>
      </c>
      <c r="O346" t="n">
        <v>0</v>
      </c>
      <c r="P346" t="n">
        <v>0</v>
      </c>
      <c r="Q346" t="n">
        <v>0</v>
      </c>
      <c r="R346" s="2" t="inlineStr"/>
    </row>
    <row r="347" ht="15" customHeight="1">
      <c r="A347" t="inlineStr">
        <is>
          <t>A 8472-2023</t>
        </is>
      </c>
      <c r="B347" s="1" t="n">
        <v>44977</v>
      </c>
      <c r="C347" s="1" t="n">
        <v>45637</v>
      </c>
      <c r="D347" t="inlineStr">
        <is>
          <t>NORRBOTTENS LÄN</t>
        </is>
      </c>
      <c r="E347" t="inlineStr">
        <is>
          <t>JOKKMOKK</t>
        </is>
      </c>
      <c r="G347" t="n">
        <v>0.7</v>
      </c>
      <c r="H347" t="n">
        <v>0</v>
      </c>
      <c r="I347" t="n">
        <v>0</v>
      </c>
      <c r="J347" t="n">
        <v>0</v>
      </c>
      <c r="K347" t="n">
        <v>0</v>
      </c>
      <c r="L347" t="n">
        <v>0</v>
      </c>
      <c r="M347" t="n">
        <v>0</v>
      </c>
      <c r="N347" t="n">
        <v>0</v>
      </c>
      <c r="O347" t="n">
        <v>0</v>
      </c>
      <c r="P347" t="n">
        <v>0</v>
      </c>
      <c r="Q347" t="n">
        <v>0</v>
      </c>
      <c r="R347" s="2" t="inlineStr"/>
    </row>
    <row r="348" ht="15" customHeight="1">
      <c r="A348" t="inlineStr">
        <is>
          <t>A 9352-2023</t>
        </is>
      </c>
      <c r="B348" s="1" t="n">
        <v>44980</v>
      </c>
      <c r="C348" s="1" t="n">
        <v>45637</v>
      </c>
      <c r="D348" t="inlineStr">
        <is>
          <t>NORRBOTTENS LÄN</t>
        </is>
      </c>
      <c r="E348" t="inlineStr">
        <is>
          <t>JOKKMOKK</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9349-2023</t>
        </is>
      </c>
      <c r="B349" s="1" t="n">
        <v>44980</v>
      </c>
      <c r="C349" s="1" t="n">
        <v>45637</v>
      </c>
      <c r="D349" t="inlineStr">
        <is>
          <t>NORRBOTTENS LÄN</t>
        </is>
      </c>
      <c r="E349" t="inlineStr">
        <is>
          <t>JOKKMOKK</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9351-2023</t>
        </is>
      </c>
      <c r="B350" s="1" t="n">
        <v>44980</v>
      </c>
      <c r="C350" s="1" t="n">
        <v>45637</v>
      </c>
      <c r="D350" t="inlineStr">
        <is>
          <t>NORRBOTTENS LÄN</t>
        </is>
      </c>
      <c r="E350" t="inlineStr">
        <is>
          <t>JOKKMOKK</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10422-2023</t>
        </is>
      </c>
      <c r="B351" s="1" t="n">
        <v>44981</v>
      </c>
      <c r="C351" s="1" t="n">
        <v>45637</v>
      </c>
      <c r="D351" t="inlineStr">
        <is>
          <t>NORRBOTTENS LÄN</t>
        </is>
      </c>
      <c r="E351" t="inlineStr">
        <is>
          <t>JOKKMOKK</t>
        </is>
      </c>
      <c r="G351" t="n">
        <v>3.5</v>
      </c>
      <c r="H351" t="n">
        <v>0</v>
      </c>
      <c r="I351" t="n">
        <v>0</v>
      </c>
      <c r="J351" t="n">
        <v>0</v>
      </c>
      <c r="K351" t="n">
        <v>0</v>
      </c>
      <c r="L351" t="n">
        <v>0</v>
      </c>
      <c r="M351" t="n">
        <v>0</v>
      </c>
      <c r="N351" t="n">
        <v>0</v>
      </c>
      <c r="O351" t="n">
        <v>0</v>
      </c>
      <c r="P351" t="n">
        <v>0</v>
      </c>
      <c r="Q351" t="n">
        <v>0</v>
      </c>
      <c r="R351" s="2" t="inlineStr"/>
    </row>
    <row r="352" ht="15" customHeight="1">
      <c r="A352" t="inlineStr">
        <is>
          <t>A 9860-2023</t>
        </is>
      </c>
      <c r="B352" s="1" t="n">
        <v>44984</v>
      </c>
      <c r="C352" s="1" t="n">
        <v>45637</v>
      </c>
      <c r="D352" t="inlineStr">
        <is>
          <t>NORRBOTTENS LÄN</t>
        </is>
      </c>
      <c r="E352" t="inlineStr">
        <is>
          <t>JOKKMOKK</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9854-2023</t>
        </is>
      </c>
      <c r="B353" s="1" t="n">
        <v>44984</v>
      </c>
      <c r="C353" s="1" t="n">
        <v>45637</v>
      </c>
      <c r="D353" t="inlineStr">
        <is>
          <t>NORRBOTTENS LÄN</t>
        </is>
      </c>
      <c r="E353" t="inlineStr">
        <is>
          <t>JOKKMOKK</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9863-2023</t>
        </is>
      </c>
      <c r="B354" s="1" t="n">
        <v>44984</v>
      </c>
      <c r="C354" s="1" t="n">
        <v>45637</v>
      </c>
      <c r="D354" t="inlineStr">
        <is>
          <t>NORRBOTTENS LÄN</t>
        </is>
      </c>
      <c r="E354" t="inlineStr">
        <is>
          <t>JOKKMOKK</t>
        </is>
      </c>
      <c r="F354" t="inlineStr">
        <is>
          <t>SCA</t>
        </is>
      </c>
      <c r="G354" t="n">
        <v>14.4</v>
      </c>
      <c r="H354" t="n">
        <v>0</v>
      </c>
      <c r="I354" t="n">
        <v>0</v>
      </c>
      <c r="J354" t="n">
        <v>0</v>
      </c>
      <c r="K354" t="n">
        <v>0</v>
      </c>
      <c r="L354" t="n">
        <v>0</v>
      </c>
      <c r="M354" t="n">
        <v>0</v>
      </c>
      <c r="N354" t="n">
        <v>0</v>
      </c>
      <c r="O354" t="n">
        <v>0</v>
      </c>
      <c r="P354" t="n">
        <v>0</v>
      </c>
      <c r="Q354" t="n">
        <v>0</v>
      </c>
      <c r="R354" s="2" t="inlineStr"/>
    </row>
    <row r="355" ht="15" customHeight="1">
      <c r="A355" t="inlineStr">
        <is>
          <t>A 9870-2023</t>
        </is>
      </c>
      <c r="B355" s="1" t="n">
        <v>44984</v>
      </c>
      <c r="C355" s="1" t="n">
        <v>45637</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9865-2023</t>
        </is>
      </c>
      <c r="B356" s="1" t="n">
        <v>44984</v>
      </c>
      <c r="C356" s="1" t="n">
        <v>45637</v>
      </c>
      <c r="D356" t="inlineStr">
        <is>
          <t>NORRBOTTENS LÄN</t>
        </is>
      </c>
      <c r="E356" t="inlineStr">
        <is>
          <t>JOKKMOKK</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9872-2023</t>
        </is>
      </c>
      <c r="B357" s="1" t="n">
        <v>44984</v>
      </c>
      <c r="C357" s="1" t="n">
        <v>45637</v>
      </c>
      <c r="D357" t="inlineStr">
        <is>
          <t>NORRBOTTENS LÄN</t>
        </is>
      </c>
      <c r="E357" t="inlineStr">
        <is>
          <t>JOKKMOKK</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9877-2023</t>
        </is>
      </c>
      <c r="B358" s="1" t="n">
        <v>44984</v>
      </c>
      <c r="C358" s="1" t="n">
        <v>45637</v>
      </c>
      <c r="D358" t="inlineStr">
        <is>
          <t>NORRBOTTENS LÄN</t>
        </is>
      </c>
      <c r="E358" t="inlineStr">
        <is>
          <t>JOKKMOKK</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9874-2023</t>
        </is>
      </c>
      <c r="B359" s="1" t="n">
        <v>44984</v>
      </c>
      <c r="C359" s="1" t="n">
        <v>45637</v>
      </c>
      <c r="D359" t="inlineStr">
        <is>
          <t>NORRBOTTENS LÄN</t>
        </is>
      </c>
      <c r="E359" t="inlineStr">
        <is>
          <t>JOKKMOKK</t>
        </is>
      </c>
      <c r="G359" t="n">
        <v>1.7</v>
      </c>
      <c r="H359" t="n">
        <v>0</v>
      </c>
      <c r="I359" t="n">
        <v>0</v>
      </c>
      <c r="J359" t="n">
        <v>0</v>
      </c>
      <c r="K359" t="n">
        <v>0</v>
      </c>
      <c r="L359" t="n">
        <v>0</v>
      </c>
      <c r="M359" t="n">
        <v>0</v>
      </c>
      <c r="N359" t="n">
        <v>0</v>
      </c>
      <c r="O359" t="n">
        <v>0</v>
      </c>
      <c r="P359" t="n">
        <v>0</v>
      </c>
      <c r="Q359" t="n">
        <v>0</v>
      </c>
      <c r="R359" s="2" t="inlineStr"/>
    </row>
    <row r="360" ht="15" customHeight="1">
      <c r="A360" t="inlineStr">
        <is>
          <t>A 9852-2023</t>
        </is>
      </c>
      <c r="B360" s="1" t="n">
        <v>44984</v>
      </c>
      <c r="C360" s="1" t="n">
        <v>45637</v>
      </c>
      <c r="D360" t="inlineStr">
        <is>
          <t>NORRBOTTENS LÄN</t>
        </is>
      </c>
      <c r="E360" t="inlineStr">
        <is>
          <t>JOKKMOKK</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9866-2023</t>
        </is>
      </c>
      <c r="B361" s="1" t="n">
        <v>44984</v>
      </c>
      <c r="C361" s="1" t="n">
        <v>45637</v>
      </c>
      <c r="D361" t="inlineStr">
        <is>
          <t>NORRBOTTENS LÄN</t>
        </is>
      </c>
      <c r="E361" t="inlineStr">
        <is>
          <t>JOKKMOKK</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9869-2023</t>
        </is>
      </c>
      <c r="B362" s="1" t="n">
        <v>44984</v>
      </c>
      <c r="C362" s="1" t="n">
        <v>45637</v>
      </c>
      <c r="D362" t="inlineStr">
        <is>
          <t>NORRBOTTENS LÄN</t>
        </is>
      </c>
      <c r="E362" t="inlineStr">
        <is>
          <t>JOKKMOKK</t>
        </is>
      </c>
      <c r="G362" t="n">
        <v>8.4</v>
      </c>
      <c r="H362" t="n">
        <v>0</v>
      </c>
      <c r="I362" t="n">
        <v>0</v>
      </c>
      <c r="J362" t="n">
        <v>0</v>
      </c>
      <c r="K362" t="n">
        <v>0</v>
      </c>
      <c r="L362" t="n">
        <v>0</v>
      </c>
      <c r="M362" t="n">
        <v>0</v>
      </c>
      <c r="N362" t="n">
        <v>0</v>
      </c>
      <c r="O362" t="n">
        <v>0</v>
      </c>
      <c r="P362" t="n">
        <v>0</v>
      </c>
      <c r="Q362" t="n">
        <v>0</v>
      </c>
      <c r="R362" s="2" t="inlineStr"/>
    </row>
    <row r="363" ht="15" customHeight="1">
      <c r="A363" t="inlineStr">
        <is>
          <t>A 9873-2023</t>
        </is>
      </c>
      <c r="B363" s="1" t="n">
        <v>44984</v>
      </c>
      <c r="C363" s="1" t="n">
        <v>45637</v>
      </c>
      <c r="D363" t="inlineStr">
        <is>
          <t>NORRBOTTENS LÄN</t>
        </is>
      </c>
      <c r="E363" t="inlineStr">
        <is>
          <t>JOKKMOKK</t>
        </is>
      </c>
      <c r="G363" t="n">
        <v>1.6</v>
      </c>
      <c r="H363" t="n">
        <v>0</v>
      </c>
      <c r="I363" t="n">
        <v>0</v>
      </c>
      <c r="J363" t="n">
        <v>0</v>
      </c>
      <c r="K363" t="n">
        <v>0</v>
      </c>
      <c r="L363" t="n">
        <v>0</v>
      </c>
      <c r="M363" t="n">
        <v>0</v>
      </c>
      <c r="N363" t="n">
        <v>0</v>
      </c>
      <c r="O363" t="n">
        <v>0</v>
      </c>
      <c r="P363" t="n">
        <v>0</v>
      </c>
      <c r="Q363" t="n">
        <v>0</v>
      </c>
      <c r="R363" s="2" t="inlineStr"/>
    </row>
    <row r="364" ht="15" customHeight="1">
      <c r="A364" t="inlineStr">
        <is>
          <t>A 9878-2023</t>
        </is>
      </c>
      <c r="B364" s="1" t="n">
        <v>44984</v>
      </c>
      <c r="C364" s="1" t="n">
        <v>45637</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9859-2023</t>
        </is>
      </c>
      <c r="B365" s="1" t="n">
        <v>44984</v>
      </c>
      <c r="C365" s="1" t="n">
        <v>45637</v>
      </c>
      <c r="D365" t="inlineStr">
        <is>
          <t>NORRBOTTENS LÄN</t>
        </is>
      </c>
      <c r="E365" t="inlineStr">
        <is>
          <t>JOKKMOKK</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9864-2023</t>
        </is>
      </c>
      <c r="B366" s="1" t="n">
        <v>44984</v>
      </c>
      <c r="C366" s="1" t="n">
        <v>45637</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9875-2023</t>
        </is>
      </c>
      <c r="B367" s="1" t="n">
        <v>44984</v>
      </c>
      <c r="C367" s="1" t="n">
        <v>45637</v>
      </c>
      <c r="D367" t="inlineStr">
        <is>
          <t>NORRBOTTENS LÄN</t>
        </is>
      </c>
      <c r="E367" t="inlineStr">
        <is>
          <t>JOKKMOKK</t>
        </is>
      </c>
      <c r="G367" t="n">
        <v>0.6</v>
      </c>
      <c r="H367" t="n">
        <v>0</v>
      </c>
      <c r="I367" t="n">
        <v>0</v>
      </c>
      <c r="J367" t="n">
        <v>0</v>
      </c>
      <c r="K367" t="n">
        <v>0</v>
      </c>
      <c r="L367" t="n">
        <v>0</v>
      </c>
      <c r="M367" t="n">
        <v>0</v>
      </c>
      <c r="N367" t="n">
        <v>0</v>
      </c>
      <c r="O367" t="n">
        <v>0</v>
      </c>
      <c r="P367" t="n">
        <v>0</v>
      </c>
      <c r="Q367" t="n">
        <v>0</v>
      </c>
      <c r="R367" s="2" t="inlineStr"/>
    </row>
    <row r="368" ht="15" customHeight="1">
      <c r="A368" t="inlineStr">
        <is>
          <t>A 12686-2023</t>
        </is>
      </c>
      <c r="B368" s="1" t="n">
        <v>44999</v>
      </c>
      <c r="C368" s="1" t="n">
        <v>45637</v>
      </c>
      <c r="D368" t="inlineStr">
        <is>
          <t>NORRBOTTENS LÄN</t>
        </is>
      </c>
      <c r="E368" t="inlineStr">
        <is>
          <t>JOKKMOKK</t>
        </is>
      </c>
      <c r="G368" t="n">
        <v>36.7</v>
      </c>
      <c r="H368" t="n">
        <v>0</v>
      </c>
      <c r="I368" t="n">
        <v>0</v>
      </c>
      <c r="J368" t="n">
        <v>0</v>
      </c>
      <c r="K368" t="n">
        <v>0</v>
      </c>
      <c r="L368" t="n">
        <v>0</v>
      </c>
      <c r="M368" t="n">
        <v>0</v>
      </c>
      <c r="N368" t="n">
        <v>0</v>
      </c>
      <c r="O368" t="n">
        <v>0</v>
      </c>
      <c r="P368" t="n">
        <v>0</v>
      </c>
      <c r="Q368" t="n">
        <v>0</v>
      </c>
      <c r="R368" s="2" t="inlineStr"/>
    </row>
    <row r="369" ht="15" customHeight="1">
      <c r="A369" t="inlineStr">
        <is>
          <t>A 16336-2023</t>
        </is>
      </c>
      <c r="B369" s="1" t="n">
        <v>45022</v>
      </c>
      <c r="C369" s="1" t="n">
        <v>45637</v>
      </c>
      <c r="D369" t="inlineStr">
        <is>
          <t>NORRBOTTENS LÄN</t>
        </is>
      </c>
      <c r="E369" t="inlineStr">
        <is>
          <t>JOKKMOKK</t>
        </is>
      </c>
      <c r="F369" t="inlineStr">
        <is>
          <t>Övriga statliga verk och myndigheter</t>
        </is>
      </c>
      <c r="G369" t="n">
        <v>130.2</v>
      </c>
      <c r="H369" t="n">
        <v>0</v>
      </c>
      <c r="I369" t="n">
        <v>0</v>
      </c>
      <c r="J369" t="n">
        <v>0</v>
      </c>
      <c r="K369" t="n">
        <v>0</v>
      </c>
      <c r="L369" t="n">
        <v>0</v>
      </c>
      <c r="M369" t="n">
        <v>0</v>
      </c>
      <c r="N369" t="n">
        <v>0</v>
      </c>
      <c r="O369" t="n">
        <v>0</v>
      </c>
      <c r="P369" t="n">
        <v>0</v>
      </c>
      <c r="Q369" t="n">
        <v>0</v>
      </c>
      <c r="R369" s="2" t="inlineStr"/>
    </row>
    <row r="370" ht="15" customHeight="1">
      <c r="A370" t="inlineStr">
        <is>
          <t>A 16864-2023</t>
        </is>
      </c>
      <c r="B370" s="1" t="n">
        <v>45028</v>
      </c>
      <c r="C370" s="1" t="n">
        <v>45637</v>
      </c>
      <c r="D370" t="inlineStr">
        <is>
          <t>NORRBOTTENS LÄN</t>
        </is>
      </c>
      <c r="E370" t="inlineStr">
        <is>
          <t>JOKKMOKK</t>
        </is>
      </c>
      <c r="G370" t="n">
        <v>4</v>
      </c>
      <c r="H370" t="n">
        <v>0</v>
      </c>
      <c r="I370" t="n">
        <v>0</v>
      </c>
      <c r="J370" t="n">
        <v>0</v>
      </c>
      <c r="K370" t="n">
        <v>0</v>
      </c>
      <c r="L370" t="n">
        <v>0</v>
      </c>
      <c r="M370" t="n">
        <v>0</v>
      </c>
      <c r="N370" t="n">
        <v>0</v>
      </c>
      <c r="O370" t="n">
        <v>0</v>
      </c>
      <c r="P370" t="n">
        <v>0</v>
      </c>
      <c r="Q370" t="n">
        <v>0</v>
      </c>
      <c r="R370" s="2" t="inlineStr"/>
    </row>
    <row r="371" ht="15" customHeight="1">
      <c r="A371" t="inlineStr">
        <is>
          <t>A 16847-2023</t>
        </is>
      </c>
      <c r="B371" s="1" t="n">
        <v>45028</v>
      </c>
      <c r="C371" s="1" t="n">
        <v>45637</v>
      </c>
      <c r="D371" t="inlineStr">
        <is>
          <t>NORRBOTTENS LÄN</t>
        </is>
      </c>
      <c r="E371" t="inlineStr">
        <is>
          <t>JOKKMOKK</t>
        </is>
      </c>
      <c r="G371" t="n">
        <v>7.3</v>
      </c>
      <c r="H371" t="n">
        <v>0</v>
      </c>
      <c r="I371" t="n">
        <v>0</v>
      </c>
      <c r="J371" t="n">
        <v>0</v>
      </c>
      <c r="K371" t="n">
        <v>0</v>
      </c>
      <c r="L371" t="n">
        <v>0</v>
      </c>
      <c r="M371" t="n">
        <v>0</v>
      </c>
      <c r="N371" t="n">
        <v>0</v>
      </c>
      <c r="O371" t="n">
        <v>0</v>
      </c>
      <c r="P371" t="n">
        <v>0</v>
      </c>
      <c r="Q371" t="n">
        <v>0</v>
      </c>
      <c r="R371" s="2" t="inlineStr"/>
    </row>
    <row r="372" ht="15" customHeight="1">
      <c r="A372" t="inlineStr">
        <is>
          <t>A 18537-2023</t>
        </is>
      </c>
      <c r="B372" s="1" t="n">
        <v>45028</v>
      </c>
      <c r="C372" s="1" t="n">
        <v>45637</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17999-2023</t>
        </is>
      </c>
      <c r="B373" s="1" t="n">
        <v>45040</v>
      </c>
      <c r="C373" s="1" t="n">
        <v>45637</v>
      </c>
      <c r="D373" t="inlineStr">
        <is>
          <t>NORRBOTTENS LÄN</t>
        </is>
      </c>
      <c r="E373" t="inlineStr">
        <is>
          <t>JOKKMOKK</t>
        </is>
      </c>
      <c r="G373" t="n">
        <v>10.6</v>
      </c>
      <c r="H373" t="n">
        <v>0</v>
      </c>
      <c r="I373" t="n">
        <v>0</v>
      </c>
      <c r="J373" t="n">
        <v>0</v>
      </c>
      <c r="K373" t="n">
        <v>0</v>
      </c>
      <c r="L373" t="n">
        <v>0</v>
      </c>
      <c r="M373" t="n">
        <v>0</v>
      </c>
      <c r="N373" t="n">
        <v>0</v>
      </c>
      <c r="O373" t="n">
        <v>0</v>
      </c>
      <c r="P373" t="n">
        <v>0</v>
      </c>
      <c r="Q373" t="n">
        <v>0</v>
      </c>
      <c r="R373" s="2" t="inlineStr"/>
    </row>
    <row r="374" ht="15" customHeight="1">
      <c r="A374" t="inlineStr">
        <is>
          <t>A 18772-2023</t>
        </is>
      </c>
      <c r="B374" s="1" t="n">
        <v>45043</v>
      </c>
      <c r="C374" s="1" t="n">
        <v>45637</v>
      </c>
      <c r="D374" t="inlineStr">
        <is>
          <t>NORRBOTTENS LÄN</t>
        </is>
      </c>
      <c r="E374" t="inlineStr">
        <is>
          <t>JOKKMOKK</t>
        </is>
      </c>
      <c r="F374" t="inlineStr">
        <is>
          <t>SCA</t>
        </is>
      </c>
      <c r="G374" t="n">
        <v>11.9</v>
      </c>
      <c r="H374" t="n">
        <v>0</v>
      </c>
      <c r="I374" t="n">
        <v>0</v>
      </c>
      <c r="J374" t="n">
        <v>0</v>
      </c>
      <c r="K374" t="n">
        <v>0</v>
      </c>
      <c r="L374" t="n">
        <v>0</v>
      </c>
      <c r="M374" t="n">
        <v>0</v>
      </c>
      <c r="N374" t="n">
        <v>0</v>
      </c>
      <c r="O374" t="n">
        <v>0</v>
      </c>
      <c r="P374" t="n">
        <v>0</v>
      </c>
      <c r="Q374" t="n">
        <v>0</v>
      </c>
      <c r="R374" s="2" t="inlineStr"/>
    </row>
    <row r="375" ht="15" customHeight="1">
      <c r="A375" t="inlineStr">
        <is>
          <t>A 19611-2023</t>
        </is>
      </c>
      <c r="B375" s="1" t="n">
        <v>45050</v>
      </c>
      <c r="C375" s="1" t="n">
        <v>45637</v>
      </c>
      <c r="D375" t="inlineStr">
        <is>
          <t>NORRBOTTENS LÄN</t>
        </is>
      </c>
      <c r="E375" t="inlineStr">
        <is>
          <t>JOKKMOKK</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20480-2023</t>
        </is>
      </c>
      <c r="B376" s="1" t="n">
        <v>45057</v>
      </c>
      <c r="C376" s="1" t="n">
        <v>45637</v>
      </c>
      <c r="D376" t="inlineStr">
        <is>
          <t>NORRBOTTENS LÄN</t>
        </is>
      </c>
      <c r="E376" t="inlineStr">
        <is>
          <t>JOKKMOKK</t>
        </is>
      </c>
      <c r="G376" t="n">
        <v>19.5</v>
      </c>
      <c r="H376" t="n">
        <v>0</v>
      </c>
      <c r="I376" t="n">
        <v>0</v>
      </c>
      <c r="J376" t="n">
        <v>0</v>
      </c>
      <c r="K376" t="n">
        <v>0</v>
      </c>
      <c r="L376" t="n">
        <v>0</v>
      </c>
      <c r="M376" t="n">
        <v>0</v>
      </c>
      <c r="N376" t="n">
        <v>0</v>
      </c>
      <c r="O376" t="n">
        <v>0</v>
      </c>
      <c r="P376" t="n">
        <v>0</v>
      </c>
      <c r="Q376" t="n">
        <v>0</v>
      </c>
      <c r="R376" s="2" t="inlineStr"/>
    </row>
    <row r="377" ht="15" customHeight="1">
      <c r="A377" t="inlineStr">
        <is>
          <t>A 20593-2023</t>
        </is>
      </c>
      <c r="B377" s="1" t="n">
        <v>45057</v>
      </c>
      <c r="C377" s="1" t="n">
        <v>45637</v>
      </c>
      <c r="D377" t="inlineStr">
        <is>
          <t>NORRBOTTENS LÄN</t>
        </is>
      </c>
      <c r="E377" t="inlineStr">
        <is>
          <t>JOKKMOKK</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21924-2023</t>
        </is>
      </c>
      <c r="B378" s="1" t="n">
        <v>45067</v>
      </c>
      <c r="C378" s="1" t="n">
        <v>45637</v>
      </c>
      <c r="D378" t="inlineStr">
        <is>
          <t>NORRBOTTENS LÄN</t>
        </is>
      </c>
      <c r="E378" t="inlineStr">
        <is>
          <t>JOKKMOKK</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22685-2023</t>
        </is>
      </c>
      <c r="B379" s="1" t="n">
        <v>45071</v>
      </c>
      <c r="C379" s="1" t="n">
        <v>45637</v>
      </c>
      <c r="D379" t="inlineStr">
        <is>
          <t>NORRBOTTENS LÄN</t>
        </is>
      </c>
      <c r="E379" t="inlineStr">
        <is>
          <t>JOKKMOKK</t>
        </is>
      </c>
      <c r="F379" t="inlineStr">
        <is>
          <t>Sveaskog</t>
        </is>
      </c>
      <c r="G379" t="n">
        <v>3.6</v>
      </c>
      <c r="H379" t="n">
        <v>0</v>
      </c>
      <c r="I379" t="n">
        <v>0</v>
      </c>
      <c r="J379" t="n">
        <v>0</v>
      </c>
      <c r="K379" t="n">
        <v>0</v>
      </c>
      <c r="L379" t="n">
        <v>0</v>
      </c>
      <c r="M379" t="n">
        <v>0</v>
      </c>
      <c r="N379" t="n">
        <v>0</v>
      </c>
      <c r="O379" t="n">
        <v>0</v>
      </c>
      <c r="P379" t="n">
        <v>0</v>
      </c>
      <c r="Q379" t="n">
        <v>0</v>
      </c>
      <c r="R379" s="2" t="inlineStr"/>
    </row>
    <row r="380" ht="15" customHeight="1">
      <c r="A380" t="inlineStr">
        <is>
          <t>A 23022-2023</t>
        </is>
      </c>
      <c r="B380" s="1" t="n">
        <v>45074</v>
      </c>
      <c r="C380" s="1" t="n">
        <v>45637</v>
      </c>
      <c r="D380" t="inlineStr">
        <is>
          <t>NORRBOTTENS LÄN</t>
        </is>
      </c>
      <c r="E380" t="inlineStr">
        <is>
          <t>JOKKMOKK</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23021-2023</t>
        </is>
      </c>
      <c r="B381" s="1" t="n">
        <v>45074</v>
      </c>
      <c r="C381" s="1" t="n">
        <v>45637</v>
      </c>
      <c r="D381" t="inlineStr">
        <is>
          <t>NORRBOTTENS LÄN</t>
        </is>
      </c>
      <c r="E381" t="inlineStr">
        <is>
          <t>JOKKMOKK</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23019-2023</t>
        </is>
      </c>
      <c r="B382" s="1" t="n">
        <v>45073</v>
      </c>
      <c r="C382" s="1" t="n">
        <v>45637</v>
      </c>
      <c r="D382" t="inlineStr">
        <is>
          <t>NORRBOTTENS LÄN</t>
        </is>
      </c>
      <c r="E382" t="inlineStr">
        <is>
          <t>JOKKMOKK</t>
        </is>
      </c>
      <c r="F382" t="inlineStr">
        <is>
          <t>SCA</t>
        </is>
      </c>
      <c r="G382" t="n">
        <v>6.3</v>
      </c>
      <c r="H382" t="n">
        <v>0</v>
      </c>
      <c r="I382" t="n">
        <v>0</v>
      </c>
      <c r="J382" t="n">
        <v>0</v>
      </c>
      <c r="K382" t="n">
        <v>0</v>
      </c>
      <c r="L382" t="n">
        <v>0</v>
      </c>
      <c r="M382" t="n">
        <v>0</v>
      </c>
      <c r="N382" t="n">
        <v>0</v>
      </c>
      <c r="O382" t="n">
        <v>0</v>
      </c>
      <c r="P382" t="n">
        <v>0</v>
      </c>
      <c r="Q382" t="n">
        <v>0</v>
      </c>
      <c r="R382" s="2" t="inlineStr"/>
    </row>
    <row r="383" ht="15" customHeight="1">
      <c r="A383" t="inlineStr">
        <is>
          <t>A 23023-2023</t>
        </is>
      </c>
      <c r="B383" s="1" t="n">
        <v>45073</v>
      </c>
      <c r="C383" s="1" t="n">
        <v>45637</v>
      </c>
      <c r="D383" t="inlineStr">
        <is>
          <t>NORRBOTTENS LÄN</t>
        </is>
      </c>
      <c r="E383" t="inlineStr">
        <is>
          <t>JOKKMOKK</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24054-2023</t>
        </is>
      </c>
      <c r="B384" s="1" t="n">
        <v>45078</v>
      </c>
      <c r="C384" s="1" t="n">
        <v>45637</v>
      </c>
      <c r="D384" t="inlineStr">
        <is>
          <t>NORRBOTTENS LÄN</t>
        </is>
      </c>
      <c r="E384" t="inlineStr">
        <is>
          <t>JOKKMOKK</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24052-2023</t>
        </is>
      </c>
      <c r="B385" s="1" t="n">
        <v>45078</v>
      </c>
      <c r="C385" s="1" t="n">
        <v>45637</v>
      </c>
      <c r="D385" t="inlineStr">
        <is>
          <t>NORRBOTTENS LÄN</t>
        </is>
      </c>
      <c r="E385" t="inlineStr">
        <is>
          <t>JOKKMOKK</t>
        </is>
      </c>
      <c r="F385" t="inlineStr">
        <is>
          <t>Naturvårdsverket</t>
        </is>
      </c>
      <c r="G385" t="n">
        <v>58.1</v>
      </c>
      <c r="H385" t="n">
        <v>0</v>
      </c>
      <c r="I385" t="n">
        <v>0</v>
      </c>
      <c r="J385" t="n">
        <v>0</v>
      </c>
      <c r="K385" t="n">
        <v>0</v>
      </c>
      <c r="L385" t="n">
        <v>0</v>
      </c>
      <c r="M385" t="n">
        <v>0</v>
      </c>
      <c r="N385" t="n">
        <v>0</v>
      </c>
      <c r="O385" t="n">
        <v>0</v>
      </c>
      <c r="P385" t="n">
        <v>0</v>
      </c>
      <c r="Q385" t="n">
        <v>0</v>
      </c>
      <c r="R385" s="2" t="inlineStr"/>
    </row>
    <row r="386" ht="15" customHeight="1">
      <c r="A386" t="inlineStr">
        <is>
          <t>A 24056-2023</t>
        </is>
      </c>
      <c r="B386" s="1" t="n">
        <v>45079</v>
      </c>
      <c r="C386" s="1" t="n">
        <v>45637</v>
      </c>
      <c r="D386" t="inlineStr">
        <is>
          <t>NORRBOTTENS LÄN</t>
        </is>
      </c>
      <c r="E386" t="inlineStr">
        <is>
          <t>JOKKMOKK</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24053-2023</t>
        </is>
      </c>
      <c r="B387" s="1" t="n">
        <v>45078</v>
      </c>
      <c r="C387" s="1" t="n">
        <v>45637</v>
      </c>
      <c r="D387" t="inlineStr">
        <is>
          <t>NORRBOTTENS LÄN</t>
        </is>
      </c>
      <c r="E387" t="inlineStr">
        <is>
          <t>JOKKMOKK</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24057-2023</t>
        </is>
      </c>
      <c r="B388" s="1" t="n">
        <v>45078</v>
      </c>
      <c r="C388" s="1" t="n">
        <v>45637</v>
      </c>
      <c r="D388" t="inlineStr">
        <is>
          <t>NORRBOTTENS LÄN</t>
        </is>
      </c>
      <c r="E388" t="inlineStr">
        <is>
          <t>JOKKMOKK</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24065-2023</t>
        </is>
      </c>
      <c r="B389" s="1" t="n">
        <v>45079</v>
      </c>
      <c r="C389" s="1" t="n">
        <v>45637</v>
      </c>
      <c r="D389" t="inlineStr">
        <is>
          <t>NORRBOTTENS LÄN</t>
        </is>
      </c>
      <c r="E389" t="inlineStr">
        <is>
          <t>JOKKMOKK</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24120-2023</t>
        </is>
      </c>
      <c r="B390" s="1" t="n">
        <v>45079</v>
      </c>
      <c r="C390" s="1" t="n">
        <v>45637</v>
      </c>
      <c r="D390" t="inlineStr">
        <is>
          <t>NORRBOTTENS LÄN</t>
        </is>
      </c>
      <c r="E390" t="inlineStr">
        <is>
          <t>JOKKMOKK</t>
        </is>
      </c>
      <c r="F390" t="inlineStr">
        <is>
          <t>Sveaskog</t>
        </is>
      </c>
      <c r="G390" t="n">
        <v>5.8</v>
      </c>
      <c r="H390" t="n">
        <v>0</v>
      </c>
      <c r="I390" t="n">
        <v>0</v>
      </c>
      <c r="J390" t="n">
        <v>0</v>
      </c>
      <c r="K390" t="n">
        <v>0</v>
      </c>
      <c r="L390" t="n">
        <v>0</v>
      </c>
      <c r="M390" t="n">
        <v>0</v>
      </c>
      <c r="N390" t="n">
        <v>0</v>
      </c>
      <c r="O390" t="n">
        <v>0</v>
      </c>
      <c r="P390" t="n">
        <v>0</v>
      </c>
      <c r="Q390" t="n">
        <v>0</v>
      </c>
      <c r="R390" s="2" t="inlineStr"/>
    </row>
    <row r="391" ht="15" customHeight="1">
      <c r="A391" t="inlineStr">
        <is>
          <t>A 24109-2023</t>
        </is>
      </c>
      <c r="B391" s="1" t="n">
        <v>45079</v>
      </c>
      <c r="C391" s="1" t="n">
        <v>45637</v>
      </c>
      <c r="D391" t="inlineStr">
        <is>
          <t>NORRBOTTENS LÄN</t>
        </is>
      </c>
      <c r="E391" t="inlineStr">
        <is>
          <t>JOKKMOKK</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24603-2023</t>
        </is>
      </c>
      <c r="B392" s="1" t="n">
        <v>45083</v>
      </c>
      <c r="C392" s="1" t="n">
        <v>45637</v>
      </c>
      <c r="D392" t="inlineStr">
        <is>
          <t>NORRBOTTENS LÄN</t>
        </is>
      </c>
      <c r="E392" t="inlineStr">
        <is>
          <t>JOKKMOKK</t>
        </is>
      </c>
      <c r="F392" t="inlineStr">
        <is>
          <t>SCA</t>
        </is>
      </c>
      <c r="G392" t="n">
        <v>17.1</v>
      </c>
      <c r="H392" t="n">
        <v>0</v>
      </c>
      <c r="I392" t="n">
        <v>0</v>
      </c>
      <c r="J392" t="n">
        <v>0</v>
      </c>
      <c r="K392" t="n">
        <v>0</v>
      </c>
      <c r="L392" t="n">
        <v>0</v>
      </c>
      <c r="M392" t="n">
        <v>0</v>
      </c>
      <c r="N392" t="n">
        <v>0</v>
      </c>
      <c r="O392" t="n">
        <v>0</v>
      </c>
      <c r="P392" t="n">
        <v>0</v>
      </c>
      <c r="Q392" t="n">
        <v>0</v>
      </c>
      <c r="R392" s="2" t="inlineStr"/>
    </row>
    <row r="393" ht="15" customHeight="1">
      <c r="A393" t="inlineStr">
        <is>
          <t>A 26131-2023</t>
        </is>
      </c>
      <c r="B393" s="1" t="n">
        <v>45086</v>
      </c>
      <c r="C393" s="1" t="n">
        <v>45637</v>
      </c>
      <c r="D393" t="inlineStr">
        <is>
          <t>NORRBOTTENS LÄN</t>
        </is>
      </c>
      <c r="E393" t="inlineStr">
        <is>
          <t>JOKKMOKK</t>
        </is>
      </c>
      <c r="G393" t="n">
        <v>35.6</v>
      </c>
      <c r="H393" t="n">
        <v>0</v>
      </c>
      <c r="I393" t="n">
        <v>0</v>
      </c>
      <c r="J393" t="n">
        <v>0</v>
      </c>
      <c r="K393" t="n">
        <v>0</v>
      </c>
      <c r="L393" t="n">
        <v>0</v>
      </c>
      <c r="M393" t="n">
        <v>0</v>
      </c>
      <c r="N393" t="n">
        <v>0</v>
      </c>
      <c r="O393" t="n">
        <v>0</v>
      </c>
      <c r="P393" t="n">
        <v>0</v>
      </c>
      <c r="Q393" t="n">
        <v>0</v>
      </c>
      <c r="R393" s="2" t="inlineStr"/>
    </row>
    <row r="394" ht="15" customHeight="1">
      <c r="A394" t="inlineStr">
        <is>
          <t>A 25719-2023</t>
        </is>
      </c>
      <c r="B394" s="1" t="n">
        <v>45090</v>
      </c>
      <c r="C394" s="1" t="n">
        <v>45637</v>
      </c>
      <c r="D394" t="inlineStr">
        <is>
          <t>NORRBOTTENS LÄN</t>
        </is>
      </c>
      <c r="E394" t="inlineStr">
        <is>
          <t>JOKKMOKK</t>
        </is>
      </c>
      <c r="G394" t="n">
        <v>7.6</v>
      </c>
      <c r="H394" t="n">
        <v>0</v>
      </c>
      <c r="I394" t="n">
        <v>0</v>
      </c>
      <c r="J394" t="n">
        <v>0</v>
      </c>
      <c r="K394" t="n">
        <v>0</v>
      </c>
      <c r="L394" t="n">
        <v>0</v>
      </c>
      <c r="M394" t="n">
        <v>0</v>
      </c>
      <c r="N394" t="n">
        <v>0</v>
      </c>
      <c r="O394" t="n">
        <v>0</v>
      </c>
      <c r="P394" t="n">
        <v>0</v>
      </c>
      <c r="Q394" t="n">
        <v>0</v>
      </c>
      <c r="R394" s="2" t="inlineStr"/>
    </row>
    <row r="395" ht="15" customHeight="1">
      <c r="A395" t="inlineStr">
        <is>
          <t>A 25720-2023</t>
        </is>
      </c>
      <c r="B395" s="1" t="n">
        <v>45090</v>
      </c>
      <c r="C395" s="1" t="n">
        <v>45637</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26962-2023</t>
        </is>
      </c>
      <c r="B396" s="1" t="n">
        <v>45093</v>
      </c>
      <c r="C396" s="1" t="n">
        <v>45637</v>
      </c>
      <c r="D396" t="inlineStr">
        <is>
          <t>NORRBOTTENS LÄN</t>
        </is>
      </c>
      <c r="E396" t="inlineStr">
        <is>
          <t>JOKKMOKK</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27021-2023</t>
        </is>
      </c>
      <c r="B397" s="1" t="n">
        <v>45094</v>
      </c>
      <c r="C397" s="1" t="n">
        <v>45637</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27017-2023</t>
        </is>
      </c>
      <c r="B398" s="1" t="n">
        <v>45094</v>
      </c>
      <c r="C398" s="1" t="n">
        <v>45637</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27022-2023</t>
        </is>
      </c>
      <c r="B399" s="1" t="n">
        <v>45094</v>
      </c>
      <c r="C399" s="1" t="n">
        <v>45637</v>
      </c>
      <c r="D399" t="inlineStr">
        <is>
          <t>NORRBOTTENS LÄN</t>
        </is>
      </c>
      <c r="E399" t="inlineStr">
        <is>
          <t>JOKKMOKK</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27020-2023</t>
        </is>
      </c>
      <c r="B400" s="1" t="n">
        <v>45094</v>
      </c>
      <c r="C400" s="1" t="n">
        <v>45637</v>
      </c>
      <c r="D400" t="inlineStr">
        <is>
          <t>NORRBOTTENS LÄN</t>
        </is>
      </c>
      <c r="E400" t="inlineStr">
        <is>
          <t>JOKKMOKK</t>
        </is>
      </c>
      <c r="F400" t="inlineStr">
        <is>
          <t>SCA</t>
        </is>
      </c>
      <c r="G400" t="n">
        <v>4.7</v>
      </c>
      <c r="H400" t="n">
        <v>0</v>
      </c>
      <c r="I400" t="n">
        <v>0</v>
      </c>
      <c r="J400" t="n">
        <v>0</v>
      </c>
      <c r="K400" t="n">
        <v>0</v>
      </c>
      <c r="L400" t="n">
        <v>0</v>
      </c>
      <c r="M400" t="n">
        <v>0</v>
      </c>
      <c r="N400" t="n">
        <v>0</v>
      </c>
      <c r="O400" t="n">
        <v>0</v>
      </c>
      <c r="P400" t="n">
        <v>0</v>
      </c>
      <c r="Q400" t="n">
        <v>0</v>
      </c>
      <c r="R400" s="2" t="inlineStr"/>
    </row>
    <row r="401" ht="15" customHeight="1">
      <c r="A401" t="inlineStr">
        <is>
          <t>A 27095-2023</t>
        </is>
      </c>
      <c r="B401" s="1" t="n">
        <v>45096</v>
      </c>
      <c r="C401" s="1" t="n">
        <v>45637</v>
      </c>
      <c r="D401" t="inlineStr">
        <is>
          <t>NORRBOTTENS LÄN</t>
        </is>
      </c>
      <c r="E401" t="inlineStr">
        <is>
          <t>JOKKMOKK</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28090-2023</t>
        </is>
      </c>
      <c r="B402" s="1" t="n">
        <v>45099</v>
      </c>
      <c r="C402" s="1" t="n">
        <v>45637</v>
      </c>
      <c r="D402" t="inlineStr">
        <is>
          <t>NORRBOTTENS LÄN</t>
        </is>
      </c>
      <c r="E402" t="inlineStr">
        <is>
          <t>JOKKMOKK</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29626-2023</t>
        </is>
      </c>
      <c r="B403" s="1" t="n">
        <v>45107</v>
      </c>
      <c r="C403" s="1" t="n">
        <v>45637</v>
      </c>
      <c r="D403" t="inlineStr">
        <is>
          <t>NORRBOTTENS LÄN</t>
        </is>
      </c>
      <c r="E403" t="inlineStr">
        <is>
          <t>JOKKMOKK</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29624-2023</t>
        </is>
      </c>
      <c r="B404" s="1" t="n">
        <v>45107</v>
      </c>
      <c r="C404" s="1" t="n">
        <v>45637</v>
      </c>
      <c r="D404" t="inlineStr">
        <is>
          <t>NORRBOTTENS LÄN</t>
        </is>
      </c>
      <c r="E404" t="inlineStr">
        <is>
          <t>JOKKMOKK</t>
        </is>
      </c>
      <c r="F404" t="inlineStr">
        <is>
          <t>SCA</t>
        </is>
      </c>
      <c r="G404" t="n">
        <v>10.3</v>
      </c>
      <c r="H404" t="n">
        <v>0</v>
      </c>
      <c r="I404" t="n">
        <v>0</v>
      </c>
      <c r="J404" t="n">
        <v>0</v>
      </c>
      <c r="K404" t="n">
        <v>0</v>
      </c>
      <c r="L404" t="n">
        <v>0</v>
      </c>
      <c r="M404" t="n">
        <v>0</v>
      </c>
      <c r="N404" t="n">
        <v>0</v>
      </c>
      <c r="O404" t="n">
        <v>0</v>
      </c>
      <c r="P404" t="n">
        <v>0</v>
      </c>
      <c r="Q404" t="n">
        <v>0</v>
      </c>
      <c r="R404" s="2" t="inlineStr"/>
    </row>
    <row r="405" ht="15" customHeight="1">
      <c r="A405" t="inlineStr">
        <is>
          <t>A 29628-2023</t>
        </is>
      </c>
      <c r="B405" s="1" t="n">
        <v>45107</v>
      </c>
      <c r="C405" s="1" t="n">
        <v>45637</v>
      </c>
      <c r="D405" t="inlineStr">
        <is>
          <t>NORRBOTTENS LÄN</t>
        </is>
      </c>
      <c r="E405" t="inlineStr">
        <is>
          <t>JOKKMOKK</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29627-2023</t>
        </is>
      </c>
      <c r="B406" s="1" t="n">
        <v>45107</v>
      </c>
      <c r="C406" s="1" t="n">
        <v>45637</v>
      </c>
      <c r="D406" t="inlineStr">
        <is>
          <t>NORRBOTTENS LÄN</t>
        </is>
      </c>
      <c r="E406" t="inlineStr">
        <is>
          <t>JOKKMOKK</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29625-2023</t>
        </is>
      </c>
      <c r="B407" s="1" t="n">
        <v>45107</v>
      </c>
      <c r="C407" s="1" t="n">
        <v>45637</v>
      </c>
      <c r="D407" t="inlineStr">
        <is>
          <t>NORRBOTTENS LÄN</t>
        </is>
      </c>
      <c r="E407" t="inlineStr">
        <is>
          <t>JOKKMOKK</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30291-2023</t>
        </is>
      </c>
      <c r="B408" s="1" t="n">
        <v>45111</v>
      </c>
      <c r="C408" s="1" t="n">
        <v>45637</v>
      </c>
      <c r="D408" t="inlineStr">
        <is>
          <t>NORRBOTTENS LÄN</t>
        </is>
      </c>
      <c r="E408" t="inlineStr">
        <is>
          <t>JOKKMOKK</t>
        </is>
      </c>
      <c r="G408" t="n">
        <v>1.6</v>
      </c>
      <c r="H408" t="n">
        <v>0</v>
      </c>
      <c r="I408" t="n">
        <v>0</v>
      </c>
      <c r="J408" t="n">
        <v>0</v>
      </c>
      <c r="K408" t="n">
        <v>0</v>
      </c>
      <c r="L408" t="n">
        <v>0</v>
      </c>
      <c r="M408" t="n">
        <v>0</v>
      </c>
      <c r="N408" t="n">
        <v>0</v>
      </c>
      <c r="O408" t="n">
        <v>0</v>
      </c>
      <c r="P408" t="n">
        <v>0</v>
      </c>
      <c r="Q408" t="n">
        <v>0</v>
      </c>
      <c r="R408" s="2" t="inlineStr"/>
    </row>
    <row r="409" ht="15" customHeight="1">
      <c r="A409" t="inlineStr">
        <is>
          <t>A 30292-2023</t>
        </is>
      </c>
      <c r="B409" s="1" t="n">
        <v>45110</v>
      </c>
      <c r="C409" s="1" t="n">
        <v>45637</v>
      </c>
      <c r="D409" t="inlineStr">
        <is>
          <t>NORRBOTTENS LÄN</t>
        </is>
      </c>
      <c r="E409" t="inlineStr">
        <is>
          <t>JOKKMOKK</t>
        </is>
      </c>
      <c r="G409" t="n">
        <v>1.4</v>
      </c>
      <c r="H409" t="n">
        <v>0</v>
      </c>
      <c r="I409" t="n">
        <v>0</v>
      </c>
      <c r="J409" t="n">
        <v>0</v>
      </c>
      <c r="K409" t="n">
        <v>0</v>
      </c>
      <c r="L409" t="n">
        <v>0</v>
      </c>
      <c r="M409" t="n">
        <v>0</v>
      </c>
      <c r="N409" t="n">
        <v>0</v>
      </c>
      <c r="O409" t="n">
        <v>0</v>
      </c>
      <c r="P409" t="n">
        <v>0</v>
      </c>
      <c r="Q409" t="n">
        <v>0</v>
      </c>
      <c r="R409" s="2" t="inlineStr"/>
    </row>
    <row r="410" ht="15" customHeight="1">
      <c r="A410" t="inlineStr">
        <is>
          <t>A 32381-2023</t>
        </is>
      </c>
      <c r="B410" s="1" t="n">
        <v>45110</v>
      </c>
      <c r="C410" s="1" t="n">
        <v>45637</v>
      </c>
      <c r="D410" t="inlineStr">
        <is>
          <t>NORRBOTTENS LÄN</t>
        </is>
      </c>
      <c r="E410" t="inlineStr">
        <is>
          <t>JOKKMOKK</t>
        </is>
      </c>
      <c r="G410" t="n">
        <v>14.7</v>
      </c>
      <c r="H410" t="n">
        <v>0</v>
      </c>
      <c r="I410" t="n">
        <v>0</v>
      </c>
      <c r="J410" t="n">
        <v>0</v>
      </c>
      <c r="K410" t="n">
        <v>0</v>
      </c>
      <c r="L410" t="n">
        <v>0</v>
      </c>
      <c r="M410" t="n">
        <v>0</v>
      </c>
      <c r="N410" t="n">
        <v>0</v>
      </c>
      <c r="O410" t="n">
        <v>0</v>
      </c>
      <c r="P410" t="n">
        <v>0</v>
      </c>
      <c r="Q410" t="n">
        <v>0</v>
      </c>
      <c r="R410" s="2" t="inlineStr"/>
    </row>
    <row r="411" ht="15" customHeight="1">
      <c r="A411" t="inlineStr">
        <is>
          <t>A 30511-2023</t>
        </is>
      </c>
      <c r="B411" s="1" t="n">
        <v>45111</v>
      </c>
      <c r="C411" s="1" t="n">
        <v>45637</v>
      </c>
      <c r="D411" t="inlineStr">
        <is>
          <t>NORRBOTTENS LÄN</t>
        </is>
      </c>
      <c r="E411" t="inlineStr">
        <is>
          <t>JOKKMOKK</t>
        </is>
      </c>
      <c r="G411" t="n">
        <v>0.9</v>
      </c>
      <c r="H411" t="n">
        <v>0</v>
      </c>
      <c r="I411" t="n">
        <v>0</v>
      </c>
      <c r="J411" t="n">
        <v>0</v>
      </c>
      <c r="K411" t="n">
        <v>0</v>
      </c>
      <c r="L411" t="n">
        <v>0</v>
      </c>
      <c r="M411" t="n">
        <v>0</v>
      </c>
      <c r="N411" t="n">
        <v>0</v>
      </c>
      <c r="O411" t="n">
        <v>0</v>
      </c>
      <c r="P411" t="n">
        <v>0</v>
      </c>
      <c r="Q411" t="n">
        <v>0</v>
      </c>
      <c r="R411" s="2" t="inlineStr"/>
    </row>
    <row r="412" ht="15" customHeight="1">
      <c r="A412" t="inlineStr">
        <is>
          <t>A 31209-2023</t>
        </is>
      </c>
      <c r="B412" s="1" t="n">
        <v>45114</v>
      </c>
      <c r="C412" s="1" t="n">
        <v>45637</v>
      </c>
      <c r="D412" t="inlineStr">
        <is>
          <t>NORRBOTTENS LÄN</t>
        </is>
      </c>
      <c r="E412" t="inlineStr">
        <is>
          <t>JOKKMOKK</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31208-2023</t>
        </is>
      </c>
      <c r="B413" s="1" t="n">
        <v>45114</v>
      </c>
      <c r="C413" s="1" t="n">
        <v>45637</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32987-2023</t>
        </is>
      </c>
      <c r="B414" s="1" t="n">
        <v>45113</v>
      </c>
      <c r="C414" s="1" t="n">
        <v>45637</v>
      </c>
      <c r="D414" t="inlineStr">
        <is>
          <t>NORRBOTTENS LÄN</t>
        </is>
      </c>
      <c r="E414" t="inlineStr">
        <is>
          <t>JOKKMOKK</t>
        </is>
      </c>
      <c r="F414" t="inlineStr">
        <is>
          <t>Övriga statliga verk och myndigheter</t>
        </is>
      </c>
      <c r="G414" t="n">
        <v>15.1</v>
      </c>
      <c r="H414" t="n">
        <v>0</v>
      </c>
      <c r="I414" t="n">
        <v>0</v>
      </c>
      <c r="J414" t="n">
        <v>0</v>
      </c>
      <c r="K414" t="n">
        <v>0</v>
      </c>
      <c r="L414" t="n">
        <v>0</v>
      </c>
      <c r="M414" t="n">
        <v>0</v>
      </c>
      <c r="N414" t="n">
        <v>0</v>
      </c>
      <c r="O414" t="n">
        <v>0</v>
      </c>
      <c r="P414" t="n">
        <v>0</v>
      </c>
      <c r="Q414" t="n">
        <v>0</v>
      </c>
      <c r="R414" s="2" t="inlineStr"/>
    </row>
    <row r="415" ht="15" customHeight="1">
      <c r="A415" t="inlineStr">
        <is>
          <t>A 33014-2023</t>
        </is>
      </c>
      <c r="B415" s="1" t="n">
        <v>45113</v>
      </c>
      <c r="C415" s="1" t="n">
        <v>45637</v>
      </c>
      <c r="D415" t="inlineStr">
        <is>
          <t>NORRBOTTENS LÄN</t>
        </is>
      </c>
      <c r="E415" t="inlineStr">
        <is>
          <t>JOKKMOKK</t>
        </is>
      </c>
      <c r="F415" t="inlineStr">
        <is>
          <t>Övriga statliga verk och myndigheter</t>
        </is>
      </c>
      <c r="G415" t="n">
        <v>7.2</v>
      </c>
      <c r="H415" t="n">
        <v>0</v>
      </c>
      <c r="I415" t="n">
        <v>0</v>
      </c>
      <c r="J415" t="n">
        <v>0</v>
      </c>
      <c r="K415" t="n">
        <v>0</v>
      </c>
      <c r="L415" t="n">
        <v>0</v>
      </c>
      <c r="M415" t="n">
        <v>0</v>
      </c>
      <c r="N415" t="n">
        <v>0</v>
      </c>
      <c r="O415" t="n">
        <v>0</v>
      </c>
      <c r="P415" t="n">
        <v>0</v>
      </c>
      <c r="Q415" t="n">
        <v>0</v>
      </c>
      <c r="R415" s="2" t="inlineStr"/>
    </row>
    <row r="416" ht="15" customHeight="1">
      <c r="A416" t="inlineStr">
        <is>
          <t>A 33006-2023</t>
        </is>
      </c>
      <c r="B416" s="1" t="n">
        <v>45113</v>
      </c>
      <c r="C416" s="1" t="n">
        <v>45637</v>
      </c>
      <c r="D416" t="inlineStr">
        <is>
          <t>NORRBOTTENS LÄN</t>
        </is>
      </c>
      <c r="E416" t="inlineStr">
        <is>
          <t>JOKKMOKK</t>
        </is>
      </c>
      <c r="F416" t="inlineStr">
        <is>
          <t>Övriga statliga verk och myndigheter</t>
        </is>
      </c>
      <c r="G416" t="n">
        <v>19.1</v>
      </c>
      <c r="H416" t="n">
        <v>0</v>
      </c>
      <c r="I416" t="n">
        <v>0</v>
      </c>
      <c r="J416" t="n">
        <v>0</v>
      </c>
      <c r="K416" t="n">
        <v>0</v>
      </c>
      <c r="L416" t="n">
        <v>0</v>
      </c>
      <c r="M416" t="n">
        <v>0</v>
      </c>
      <c r="N416" t="n">
        <v>0</v>
      </c>
      <c r="O416" t="n">
        <v>0</v>
      </c>
      <c r="P416" t="n">
        <v>0</v>
      </c>
      <c r="Q416" t="n">
        <v>0</v>
      </c>
      <c r="R416" s="2" t="inlineStr"/>
    </row>
    <row r="417" ht="15" customHeight="1">
      <c r="A417" t="inlineStr">
        <is>
          <t>A 32899-2023</t>
        </is>
      </c>
      <c r="B417" s="1" t="n">
        <v>45124</v>
      </c>
      <c r="C417" s="1" t="n">
        <v>45637</v>
      </c>
      <c r="D417" t="inlineStr">
        <is>
          <t>NORRBOTTENS LÄN</t>
        </is>
      </c>
      <c r="E417" t="inlineStr">
        <is>
          <t>JOKKMOKK</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32915-2023</t>
        </is>
      </c>
      <c r="B418" s="1" t="n">
        <v>45125</v>
      </c>
      <c r="C418" s="1" t="n">
        <v>45637</v>
      </c>
      <c r="D418" t="inlineStr">
        <is>
          <t>NORRBOTTENS LÄN</t>
        </is>
      </c>
      <c r="E418" t="inlineStr">
        <is>
          <t>JOKKMOKK</t>
        </is>
      </c>
      <c r="F418" t="inlineStr">
        <is>
          <t>SCA</t>
        </is>
      </c>
      <c r="G418" t="n">
        <v>15.1</v>
      </c>
      <c r="H418" t="n">
        <v>0</v>
      </c>
      <c r="I418" t="n">
        <v>0</v>
      </c>
      <c r="J418" t="n">
        <v>0</v>
      </c>
      <c r="K418" t="n">
        <v>0</v>
      </c>
      <c r="L418" t="n">
        <v>0</v>
      </c>
      <c r="M418" t="n">
        <v>0</v>
      </c>
      <c r="N418" t="n">
        <v>0</v>
      </c>
      <c r="O418" t="n">
        <v>0</v>
      </c>
      <c r="P418" t="n">
        <v>0</v>
      </c>
      <c r="Q418" t="n">
        <v>0</v>
      </c>
      <c r="R418" s="2" t="inlineStr"/>
    </row>
    <row r="419" ht="15" customHeight="1">
      <c r="A419" t="inlineStr">
        <is>
          <t>A 32900-2023</t>
        </is>
      </c>
      <c r="B419" s="1" t="n">
        <v>45124</v>
      </c>
      <c r="C419" s="1" t="n">
        <v>45637</v>
      </c>
      <c r="D419" t="inlineStr">
        <is>
          <t>NORRBOTTENS LÄN</t>
        </is>
      </c>
      <c r="E419" t="inlineStr">
        <is>
          <t>JOKKMOKK</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32912-2023</t>
        </is>
      </c>
      <c r="B420" s="1" t="n">
        <v>45125</v>
      </c>
      <c r="C420" s="1" t="n">
        <v>45637</v>
      </c>
      <c r="D420" t="inlineStr">
        <is>
          <t>NORRBOTTENS LÄN</t>
        </is>
      </c>
      <c r="E420" t="inlineStr">
        <is>
          <t>JOKKMOKK</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32914-2023</t>
        </is>
      </c>
      <c r="B421" s="1" t="n">
        <v>45124</v>
      </c>
      <c r="C421" s="1" t="n">
        <v>45637</v>
      </c>
      <c r="D421" t="inlineStr">
        <is>
          <t>NORRBOTTENS LÄN</t>
        </is>
      </c>
      <c r="E421" t="inlineStr">
        <is>
          <t>JOKKMOKK</t>
        </is>
      </c>
      <c r="F421" t="inlineStr">
        <is>
          <t>SCA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35153-2023</t>
        </is>
      </c>
      <c r="B422" s="1" t="n">
        <v>45145</v>
      </c>
      <c r="C422" s="1" t="n">
        <v>45637</v>
      </c>
      <c r="D422" t="inlineStr">
        <is>
          <t>NORRBOTTENS LÄN</t>
        </is>
      </c>
      <c r="E422" t="inlineStr">
        <is>
          <t>JOKKMOKK</t>
        </is>
      </c>
      <c r="F422" t="inlineStr">
        <is>
          <t>Sveaskog</t>
        </is>
      </c>
      <c r="G422" t="n">
        <v>4</v>
      </c>
      <c r="H422" t="n">
        <v>0</v>
      </c>
      <c r="I422" t="n">
        <v>0</v>
      </c>
      <c r="J422" t="n">
        <v>0</v>
      </c>
      <c r="K422" t="n">
        <v>0</v>
      </c>
      <c r="L422" t="n">
        <v>0</v>
      </c>
      <c r="M422" t="n">
        <v>0</v>
      </c>
      <c r="N422" t="n">
        <v>0</v>
      </c>
      <c r="O422" t="n">
        <v>0</v>
      </c>
      <c r="P422" t="n">
        <v>0</v>
      </c>
      <c r="Q422" t="n">
        <v>0</v>
      </c>
      <c r="R422" s="2" t="inlineStr"/>
    </row>
    <row r="423" ht="15" customHeight="1">
      <c r="A423" t="inlineStr">
        <is>
          <t>A 36889-2023</t>
        </is>
      </c>
      <c r="B423" s="1" t="n">
        <v>45153</v>
      </c>
      <c r="C423" s="1" t="n">
        <v>45637</v>
      </c>
      <c r="D423" t="inlineStr">
        <is>
          <t>NORRBOTTENS LÄN</t>
        </is>
      </c>
      <c r="E423" t="inlineStr">
        <is>
          <t>JOKKMOKK</t>
        </is>
      </c>
      <c r="F423" t="inlineStr">
        <is>
          <t>Övriga statliga verk och myndigheter</t>
        </is>
      </c>
      <c r="G423" t="n">
        <v>16.7</v>
      </c>
      <c r="H423" t="n">
        <v>0</v>
      </c>
      <c r="I423" t="n">
        <v>0</v>
      </c>
      <c r="J423" t="n">
        <v>0</v>
      </c>
      <c r="K423" t="n">
        <v>0</v>
      </c>
      <c r="L423" t="n">
        <v>0</v>
      </c>
      <c r="M423" t="n">
        <v>0</v>
      </c>
      <c r="N423" t="n">
        <v>0</v>
      </c>
      <c r="O423" t="n">
        <v>0</v>
      </c>
      <c r="P423" t="n">
        <v>0</v>
      </c>
      <c r="Q423" t="n">
        <v>0</v>
      </c>
      <c r="R423" s="2" t="inlineStr"/>
    </row>
    <row r="424" ht="15" customHeight="1">
      <c r="A424" t="inlineStr">
        <is>
          <t>A 37162-2023</t>
        </is>
      </c>
      <c r="B424" s="1" t="n">
        <v>45155</v>
      </c>
      <c r="C424" s="1" t="n">
        <v>45637</v>
      </c>
      <c r="D424" t="inlineStr">
        <is>
          <t>NORRBOTTENS LÄN</t>
        </is>
      </c>
      <c r="E424" t="inlineStr">
        <is>
          <t>JOKKMOKK</t>
        </is>
      </c>
      <c r="F424" t="inlineStr">
        <is>
          <t>Sveaskog</t>
        </is>
      </c>
      <c r="G424" t="n">
        <v>6.2</v>
      </c>
      <c r="H424" t="n">
        <v>0</v>
      </c>
      <c r="I424" t="n">
        <v>0</v>
      </c>
      <c r="J424" t="n">
        <v>0</v>
      </c>
      <c r="K424" t="n">
        <v>0</v>
      </c>
      <c r="L424" t="n">
        <v>0</v>
      </c>
      <c r="M424" t="n">
        <v>0</v>
      </c>
      <c r="N424" t="n">
        <v>0</v>
      </c>
      <c r="O424" t="n">
        <v>0</v>
      </c>
      <c r="P424" t="n">
        <v>0</v>
      </c>
      <c r="Q424" t="n">
        <v>0</v>
      </c>
      <c r="R424" s="2" t="inlineStr"/>
    </row>
    <row r="425" ht="15" customHeight="1">
      <c r="A425" t="inlineStr">
        <is>
          <t>A 38369-2023</t>
        </is>
      </c>
      <c r="B425" s="1" t="n">
        <v>45162</v>
      </c>
      <c r="C425" s="1" t="n">
        <v>45637</v>
      </c>
      <c r="D425" t="inlineStr">
        <is>
          <t>NORRBOTTENS LÄN</t>
        </is>
      </c>
      <c r="E425" t="inlineStr">
        <is>
          <t>JOKKMOKK</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38373-2023</t>
        </is>
      </c>
      <c r="B426" s="1" t="n">
        <v>45161</v>
      </c>
      <c r="C426" s="1" t="n">
        <v>45637</v>
      </c>
      <c r="D426" t="inlineStr">
        <is>
          <t>NORRBOTTENS LÄN</t>
        </is>
      </c>
      <c r="E426" t="inlineStr">
        <is>
          <t>JOKKMOKK</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38528-2023</t>
        </is>
      </c>
      <c r="B427" s="1" t="n">
        <v>45162</v>
      </c>
      <c r="C427" s="1" t="n">
        <v>45637</v>
      </c>
      <c r="D427" t="inlineStr">
        <is>
          <t>NORRBOTTENS LÄN</t>
        </is>
      </c>
      <c r="E427" t="inlineStr">
        <is>
          <t>JOKKMOKK</t>
        </is>
      </c>
      <c r="F427" t="inlineStr">
        <is>
          <t>Sveaskog</t>
        </is>
      </c>
      <c r="G427" t="n">
        <v>10.4</v>
      </c>
      <c r="H427" t="n">
        <v>0</v>
      </c>
      <c r="I427" t="n">
        <v>0</v>
      </c>
      <c r="J427" t="n">
        <v>0</v>
      </c>
      <c r="K427" t="n">
        <v>0</v>
      </c>
      <c r="L427" t="n">
        <v>0</v>
      </c>
      <c r="M427" t="n">
        <v>0</v>
      </c>
      <c r="N427" t="n">
        <v>0</v>
      </c>
      <c r="O427" t="n">
        <v>0</v>
      </c>
      <c r="P427" t="n">
        <v>0</v>
      </c>
      <c r="Q427" t="n">
        <v>0</v>
      </c>
      <c r="R427" s="2" t="inlineStr"/>
    </row>
    <row r="428" ht="15" customHeight="1">
      <c r="A428" t="inlineStr">
        <is>
          <t>A 38680-2023</t>
        </is>
      </c>
      <c r="B428" s="1" t="n">
        <v>45163</v>
      </c>
      <c r="C428" s="1" t="n">
        <v>45637</v>
      </c>
      <c r="D428" t="inlineStr">
        <is>
          <t>NORRBOTTENS LÄN</t>
        </is>
      </c>
      <c r="E428" t="inlineStr">
        <is>
          <t>JOKKMOKK</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38681-2023</t>
        </is>
      </c>
      <c r="B429" s="1" t="n">
        <v>45162</v>
      </c>
      <c r="C429" s="1" t="n">
        <v>45637</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39061-2023</t>
        </is>
      </c>
      <c r="B430" s="1" t="n">
        <v>45164</v>
      </c>
      <c r="C430" s="1" t="n">
        <v>45637</v>
      </c>
      <c r="D430" t="inlineStr">
        <is>
          <t>NORRBOTTENS LÄN</t>
        </is>
      </c>
      <c r="E430" t="inlineStr">
        <is>
          <t>JOKKMOKK</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39062-2023</t>
        </is>
      </c>
      <c r="B431" s="1" t="n">
        <v>45164</v>
      </c>
      <c r="C431" s="1" t="n">
        <v>45637</v>
      </c>
      <c r="D431" t="inlineStr">
        <is>
          <t>NORRBOTTENS LÄN</t>
        </is>
      </c>
      <c r="E431" t="inlineStr">
        <is>
          <t>JOKKMOKK</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39504-2023</t>
        </is>
      </c>
      <c r="B432" s="1" t="n">
        <v>45166</v>
      </c>
      <c r="C432" s="1" t="n">
        <v>45637</v>
      </c>
      <c r="D432" t="inlineStr">
        <is>
          <t>NORRBOTTENS LÄN</t>
        </is>
      </c>
      <c r="E432" t="inlineStr">
        <is>
          <t>JOKKMOKK</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39502-2023</t>
        </is>
      </c>
      <c r="B433" s="1" t="n">
        <v>45167</v>
      </c>
      <c r="C433" s="1" t="n">
        <v>45637</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39684-2023</t>
        </is>
      </c>
      <c r="B434" s="1" t="n">
        <v>45166</v>
      </c>
      <c r="C434" s="1" t="n">
        <v>45637</v>
      </c>
      <c r="D434" t="inlineStr">
        <is>
          <t>NORRBOTTENS LÄN</t>
        </is>
      </c>
      <c r="E434" t="inlineStr">
        <is>
          <t>JOKKMOKK</t>
        </is>
      </c>
      <c r="G434" t="n">
        <v>6.8</v>
      </c>
      <c r="H434" t="n">
        <v>0</v>
      </c>
      <c r="I434" t="n">
        <v>0</v>
      </c>
      <c r="J434" t="n">
        <v>0</v>
      </c>
      <c r="K434" t="n">
        <v>0</v>
      </c>
      <c r="L434" t="n">
        <v>0</v>
      </c>
      <c r="M434" t="n">
        <v>0</v>
      </c>
      <c r="N434" t="n">
        <v>0</v>
      </c>
      <c r="O434" t="n">
        <v>0</v>
      </c>
      <c r="P434" t="n">
        <v>0</v>
      </c>
      <c r="Q434" t="n">
        <v>0</v>
      </c>
      <c r="R434" s="2" t="inlineStr"/>
    </row>
    <row r="435" ht="15" customHeight="1">
      <c r="A435" t="inlineStr">
        <is>
          <t>A 39505-2023</t>
        </is>
      </c>
      <c r="B435" s="1" t="n">
        <v>45167</v>
      </c>
      <c r="C435" s="1" t="n">
        <v>45637</v>
      </c>
      <c r="D435" t="inlineStr">
        <is>
          <t>NORRBOTTENS LÄN</t>
        </is>
      </c>
      <c r="E435" t="inlineStr">
        <is>
          <t>JOKKMOKK</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39503-2023</t>
        </is>
      </c>
      <c r="B436" s="1" t="n">
        <v>45167</v>
      </c>
      <c r="C436" s="1" t="n">
        <v>45637</v>
      </c>
      <c r="D436" t="inlineStr">
        <is>
          <t>NORRBOTTENS LÄN</t>
        </is>
      </c>
      <c r="E436" t="inlineStr">
        <is>
          <t>JOKKMOKK</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40093-2023</t>
        </is>
      </c>
      <c r="B437" s="1" t="n">
        <v>45168</v>
      </c>
      <c r="C437" s="1" t="n">
        <v>45637</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40106-2023</t>
        </is>
      </c>
      <c r="B438" s="1" t="n">
        <v>45169</v>
      </c>
      <c r="C438" s="1" t="n">
        <v>45637</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41011-2023</t>
        </is>
      </c>
      <c r="B439" s="1" t="n">
        <v>45169</v>
      </c>
      <c r="C439" s="1" t="n">
        <v>45637</v>
      </c>
      <c r="D439" t="inlineStr">
        <is>
          <t>NORRBOTTENS LÄN</t>
        </is>
      </c>
      <c r="E439" t="inlineStr">
        <is>
          <t>JOKKMOKK</t>
        </is>
      </c>
      <c r="F439" t="inlineStr">
        <is>
          <t>Allmännings- och besparingsskogar</t>
        </is>
      </c>
      <c r="G439" t="n">
        <v>6.5</v>
      </c>
      <c r="H439" t="n">
        <v>0</v>
      </c>
      <c r="I439" t="n">
        <v>0</v>
      </c>
      <c r="J439" t="n">
        <v>0</v>
      </c>
      <c r="K439" t="n">
        <v>0</v>
      </c>
      <c r="L439" t="n">
        <v>0</v>
      </c>
      <c r="M439" t="n">
        <v>0</v>
      </c>
      <c r="N439" t="n">
        <v>0</v>
      </c>
      <c r="O439" t="n">
        <v>0</v>
      </c>
      <c r="P439" t="n">
        <v>0</v>
      </c>
      <c r="Q439" t="n">
        <v>0</v>
      </c>
      <c r="R439" s="2" t="inlineStr"/>
    </row>
    <row r="440" ht="15" customHeight="1">
      <c r="A440" t="inlineStr">
        <is>
          <t>A 40750-2023</t>
        </is>
      </c>
      <c r="B440" s="1" t="n">
        <v>45171</v>
      </c>
      <c r="C440" s="1" t="n">
        <v>45637</v>
      </c>
      <c r="D440" t="inlineStr">
        <is>
          <t>NORRBOTTENS LÄN</t>
        </is>
      </c>
      <c r="E440" t="inlineStr">
        <is>
          <t>JOKKMOKK</t>
        </is>
      </c>
      <c r="F440" t="inlineStr">
        <is>
          <t>Allmännings- och besparingsskogar</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40770-2023</t>
        </is>
      </c>
      <c r="B441" s="1" t="n">
        <v>45170</v>
      </c>
      <c r="C441" s="1" t="n">
        <v>45637</v>
      </c>
      <c r="D441" t="inlineStr">
        <is>
          <t>NORRBOTTENS LÄN</t>
        </is>
      </c>
      <c r="E441" t="inlineStr">
        <is>
          <t>JOKKMOKK</t>
        </is>
      </c>
      <c r="F441" t="inlineStr">
        <is>
          <t>SCA</t>
        </is>
      </c>
      <c r="G441" t="n">
        <v>6.4</v>
      </c>
      <c r="H441" t="n">
        <v>0</v>
      </c>
      <c r="I441" t="n">
        <v>0</v>
      </c>
      <c r="J441" t="n">
        <v>0</v>
      </c>
      <c r="K441" t="n">
        <v>0</v>
      </c>
      <c r="L441" t="n">
        <v>0</v>
      </c>
      <c r="M441" t="n">
        <v>0</v>
      </c>
      <c r="N441" t="n">
        <v>0</v>
      </c>
      <c r="O441" t="n">
        <v>0</v>
      </c>
      <c r="P441" t="n">
        <v>0</v>
      </c>
      <c r="Q441" t="n">
        <v>0</v>
      </c>
      <c r="R441" s="2" t="inlineStr"/>
    </row>
    <row r="442" ht="15" customHeight="1">
      <c r="A442" t="inlineStr">
        <is>
          <t>A 40771-2023</t>
        </is>
      </c>
      <c r="B442" s="1" t="n">
        <v>45171</v>
      </c>
      <c r="C442" s="1" t="n">
        <v>45637</v>
      </c>
      <c r="D442" t="inlineStr">
        <is>
          <t>NORRBOTTENS LÄN</t>
        </is>
      </c>
      <c r="E442" t="inlineStr">
        <is>
          <t>JOKKMOKK</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41061-2023</t>
        </is>
      </c>
      <c r="B443" s="1" t="n">
        <v>45173</v>
      </c>
      <c r="C443" s="1" t="n">
        <v>45637</v>
      </c>
      <c r="D443" t="inlineStr">
        <is>
          <t>NORRBOTTENS LÄN</t>
        </is>
      </c>
      <c r="E443" t="inlineStr">
        <is>
          <t>JOKKMOKK</t>
        </is>
      </c>
      <c r="G443" t="n">
        <v>2.7</v>
      </c>
      <c r="H443" t="n">
        <v>0</v>
      </c>
      <c r="I443" t="n">
        <v>0</v>
      </c>
      <c r="J443" t="n">
        <v>0</v>
      </c>
      <c r="K443" t="n">
        <v>0</v>
      </c>
      <c r="L443" t="n">
        <v>0</v>
      </c>
      <c r="M443" t="n">
        <v>0</v>
      </c>
      <c r="N443" t="n">
        <v>0</v>
      </c>
      <c r="O443" t="n">
        <v>0</v>
      </c>
      <c r="P443" t="n">
        <v>0</v>
      </c>
      <c r="Q443" t="n">
        <v>0</v>
      </c>
      <c r="R443" s="2" t="inlineStr"/>
    </row>
    <row r="444" ht="15" customHeight="1">
      <c r="A444" t="inlineStr">
        <is>
          <t>A 46455-2023</t>
        </is>
      </c>
      <c r="B444" s="1" t="n">
        <v>45197</v>
      </c>
      <c r="C444" s="1" t="n">
        <v>45637</v>
      </c>
      <c r="D444" t="inlineStr">
        <is>
          <t>NORRBOTTENS LÄN</t>
        </is>
      </c>
      <c r="E444" t="inlineStr">
        <is>
          <t>JOKKMOKK</t>
        </is>
      </c>
      <c r="G444" t="n">
        <v>7.5</v>
      </c>
      <c r="H444" t="n">
        <v>0</v>
      </c>
      <c r="I444" t="n">
        <v>0</v>
      </c>
      <c r="J444" t="n">
        <v>0</v>
      </c>
      <c r="K444" t="n">
        <v>0</v>
      </c>
      <c r="L444" t="n">
        <v>0</v>
      </c>
      <c r="M444" t="n">
        <v>0</v>
      </c>
      <c r="N444" t="n">
        <v>0</v>
      </c>
      <c r="O444" t="n">
        <v>0</v>
      </c>
      <c r="P444" t="n">
        <v>0</v>
      </c>
      <c r="Q444" t="n">
        <v>0</v>
      </c>
      <c r="R444" s="2" t="inlineStr"/>
    </row>
    <row r="445" ht="15" customHeight="1">
      <c r="A445" t="inlineStr">
        <is>
          <t>A 46442-2023</t>
        </is>
      </c>
      <c r="B445" s="1" t="n">
        <v>45197</v>
      </c>
      <c r="C445" s="1" t="n">
        <v>45637</v>
      </c>
      <c r="D445" t="inlineStr">
        <is>
          <t>NORRBOTTENS LÄN</t>
        </is>
      </c>
      <c r="E445" t="inlineStr">
        <is>
          <t>JOKKMOKK</t>
        </is>
      </c>
      <c r="G445" t="n">
        <v>6.4</v>
      </c>
      <c r="H445" t="n">
        <v>0</v>
      </c>
      <c r="I445" t="n">
        <v>0</v>
      </c>
      <c r="J445" t="n">
        <v>0</v>
      </c>
      <c r="K445" t="n">
        <v>0</v>
      </c>
      <c r="L445" t="n">
        <v>0</v>
      </c>
      <c r="M445" t="n">
        <v>0</v>
      </c>
      <c r="N445" t="n">
        <v>0</v>
      </c>
      <c r="O445" t="n">
        <v>0</v>
      </c>
      <c r="P445" t="n">
        <v>0</v>
      </c>
      <c r="Q445" t="n">
        <v>0</v>
      </c>
      <c r="R445" s="2" t="inlineStr"/>
    </row>
    <row r="446" ht="15" customHeight="1">
      <c r="A446" t="inlineStr">
        <is>
          <t>A 46418-2023</t>
        </is>
      </c>
      <c r="B446" s="1" t="n">
        <v>45197</v>
      </c>
      <c r="C446" s="1" t="n">
        <v>45637</v>
      </c>
      <c r="D446" t="inlineStr">
        <is>
          <t>NORRBOTTENS LÄN</t>
        </is>
      </c>
      <c r="E446" t="inlineStr">
        <is>
          <t>JOKKMOKK</t>
        </is>
      </c>
      <c r="G446" t="n">
        <v>7.4</v>
      </c>
      <c r="H446" t="n">
        <v>0</v>
      </c>
      <c r="I446" t="n">
        <v>0</v>
      </c>
      <c r="J446" t="n">
        <v>0</v>
      </c>
      <c r="K446" t="n">
        <v>0</v>
      </c>
      <c r="L446" t="n">
        <v>0</v>
      </c>
      <c r="M446" t="n">
        <v>0</v>
      </c>
      <c r="N446" t="n">
        <v>0</v>
      </c>
      <c r="O446" t="n">
        <v>0</v>
      </c>
      <c r="P446" t="n">
        <v>0</v>
      </c>
      <c r="Q446" t="n">
        <v>0</v>
      </c>
      <c r="R446" s="2" t="inlineStr"/>
    </row>
    <row r="447" ht="15" customHeight="1">
      <c r="A447" t="inlineStr">
        <is>
          <t>A 48787-2023</t>
        </is>
      </c>
      <c r="B447" s="1" t="n">
        <v>45209</v>
      </c>
      <c r="C447" s="1" t="n">
        <v>45637</v>
      </c>
      <c r="D447" t="inlineStr">
        <is>
          <t>NORRBOTTENS LÄN</t>
        </is>
      </c>
      <c r="E447" t="inlineStr">
        <is>
          <t>JOKKMOKK</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48585-2023</t>
        </is>
      </c>
      <c r="B448" s="1" t="n">
        <v>45208</v>
      </c>
      <c r="C448" s="1" t="n">
        <v>45637</v>
      </c>
      <c r="D448" t="inlineStr">
        <is>
          <t>NORRBOTTENS LÄN</t>
        </is>
      </c>
      <c r="E448" t="inlineStr">
        <is>
          <t>JOKKMOKK</t>
        </is>
      </c>
      <c r="F448" t="inlineStr">
        <is>
          <t>Sveaskog</t>
        </is>
      </c>
      <c r="G448" t="n">
        <v>5.1</v>
      </c>
      <c r="H448" t="n">
        <v>0</v>
      </c>
      <c r="I448" t="n">
        <v>0</v>
      </c>
      <c r="J448" t="n">
        <v>0</v>
      </c>
      <c r="K448" t="n">
        <v>0</v>
      </c>
      <c r="L448" t="n">
        <v>0</v>
      </c>
      <c r="M448" t="n">
        <v>0</v>
      </c>
      <c r="N448" t="n">
        <v>0</v>
      </c>
      <c r="O448" t="n">
        <v>0</v>
      </c>
      <c r="P448" t="n">
        <v>0</v>
      </c>
      <c r="Q448" t="n">
        <v>0</v>
      </c>
      <c r="R448" s="2" t="inlineStr"/>
    </row>
    <row r="449" ht="15" customHeight="1">
      <c r="A449" t="inlineStr">
        <is>
          <t>A 49338-2023</t>
        </is>
      </c>
      <c r="B449" s="1" t="n">
        <v>45210</v>
      </c>
      <c r="C449" s="1" t="n">
        <v>45637</v>
      </c>
      <c r="D449" t="inlineStr">
        <is>
          <t>NORRBOTTENS LÄN</t>
        </is>
      </c>
      <c r="E449" t="inlineStr">
        <is>
          <t>JOKKMOKK</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49643-2023</t>
        </is>
      </c>
      <c r="B450" s="1" t="n">
        <v>45212</v>
      </c>
      <c r="C450" s="1" t="n">
        <v>45637</v>
      </c>
      <c r="D450" t="inlineStr">
        <is>
          <t>NORRBOTTENS LÄN</t>
        </is>
      </c>
      <c r="E450" t="inlineStr">
        <is>
          <t>JOKKMOKK</t>
        </is>
      </c>
      <c r="F450" t="inlineStr">
        <is>
          <t>SCA</t>
        </is>
      </c>
      <c r="G450" t="n">
        <v>7.6</v>
      </c>
      <c r="H450" t="n">
        <v>0</v>
      </c>
      <c r="I450" t="n">
        <v>0</v>
      </c>
      <c r="J450" t="n">
        <v>0</v>
      </c>
      <c r="K450" t="n">
        <v>0</v>
      </c>
      <c r="L450" t="n">
        <v>0</v>
      </c>
      <c r="M450" t="n">
        <v>0</v>
      </c>
      <c r="N450" t="n">
        <v>0</v>
      </c>
      <c r="O450" t="n">
        <v>0</v>
      </c>
      <c r="P450" t="n">
        <v>0</v>
      </c>
      <c r="Q450" t="n">
        <v>0</v>
      </c>
      <c r="R450" s="2" t="inlineStr"/>
    </row>
    <row r="451" ht="15" customHeight="1">
      <c r="A451" t="inlineStr">
        <is>
          <t>A 49644-2023</t>
        </is>
      </c>
      <c r="B451" s="1" t="n">
        <v>45212</v>
      </c>
      <c r="C451" s="1" t="n">
        <v>45637</v>
      </c>
      <c r="D451" t="inlineStr">
        <is>
          <t>NORRBOTTENS LÄN</t>
        </is>
      </c>
      <c r="E451" t="inlineStr">
        <is>
          <t>JOKKMOKK</t>
        </is>
      </c>
      <c r="F451" t="inlineStr">
        <is>
          <t>SCA</t>
        </is>
      </c>
      <c r="G451" t="n">
        <v>10.4</v>
      </c>
      <c r="H451" t="n">
        <v>0</v>
      </c>
      <c r="I451" t="n">
        <v>0</v>
      </c>
      <c r="J451" t="n">
        <v>0</v>
      </c>
      <c r="K451" t="n">
        <v>0</v>
      </c>
      <c r="L451" t="n">
        <v>0</v>
      </c>
      <c r="M451" t="n">
        <v>0</v>
      </c>
      <c r="N451" t="n">
        <v>0</v>
      </c>
      <c r="O451" t="n">
        <v>0</v>
      </c>
      <c r="P451" t="n">
        <v>0</v>
      </c>
      <c r="Q451" t="n">
        <v>0</v>
      </c>
      <c r="R451" s="2" t="inlineStr"/>
    </row>
    <row r="452" ht="15" customHeight="1">
      <c r="A452" t="inlineStr">
        <is>
          <t>A 50258-2023</t>
        </is>
      </c>
      <c r="B452" s="1" t="n">
        <v>45216</v>
      </c>
      <c r="C452" s="1" t="n">
        <v>45637</v>
      </c>
      <c r="D452" t="inlineStr">
        <is>
          <t>NORRBOTTENS LÄN</t>
        </is>
      </c>
      <c r="E452" t="inlineStr">
        <is>
          <t>JOKKMOKK</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50801-2023</t>
        </is>
      </c>
      <c r="B453" s="1" t="n">
        <v>45217</v>
      </c>
      <c r="C453" s="1" t="n">
        <v>45637</v>
      </c>
      <c r="D453" t="inlineStr">
        <is>
          <t>NORRBOTTENS LÄN</t>
        </is>
      </c>
      <c r="E453" t="inlineStr">
        <is>
          <t>JOKKMOKK</t>
        </is>
      </c>
      <c r="F453" t="inlineStr">
        <is>
          <t>Sveaskog</t>
        </is>
      </c>
      <c r="G453" t="n">
        <v>6.6</v>
      </c>
      <c r="H453" t="n">
        <v>0</v>
      </c>
      <c r="I453" t="n">
        <v>0</v>
      </c>
      <c r="J453" t="n">
        <v>0</v>
      </c>
      <c r="K453" t="n">
        <v>0</v>
      </c>
      <c r="L453" t="n">
        <v>0</v>
      </c>
      <c r="M453" t="n">
        <v>0</v>
      </c>
      <c r="N453" t="n">
        <v>0</v>
      </c>
      <c r="O453" t="n">
        <v>0</v>
      </c>
      <c r="P453" t="n">
        <v>0</v>
      </c>
      <c r="Q453" t="n">
        <v>0</v>
      </c>
      <c r="R453" s="2" t="inlineStr"/>
    </row>
    <row r="454" ht="15" customHeight="1">
      <c r="A454" t="inlineStr">
        <is>
          <t>A 52296-2023</t>
        </is>
      </c>
      <c r="B454" s="1" t="n">
        <v>45217</v>
      </c>
      <c r="C454" s="1" t="n">
        <v>45637</v>
      </c>
      <c r="D454" t="inlineStr">
        <is>
          <t>NORRBOTTENS LÄN</t>
        </is>
      </c>
      <c r="E454" t="inlineStr">
        <is>
          <t>JOKKMOKK</t>
        </is>
      </c>
      <c r="F454" t="inlineStr">
        <is>
          <t>Övriga statliga verk och myndigheter</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52314-2023</t>
        </is>
      </c>
      <c r="B455" s="1" t="n">
        <v>45217</v>
      </c>
      <c r="C455" s="1" t="n">
        <v>45637</v>
      </c>
      <c r="D455" t="inlineStr">
        <is>
          <t>NORRBOTTENS LÄN</t>
        </is>
      </c>
      <c r="E455" t="inlineStr">
        <is>
          <t>JOKKMOKK</t>
        </is>
      </c>
      <c r="F455" t="inlineStr">
        <is>
          <t>Övriga statliga verk och myndigheter</t>
        </is>
      </c>
      <c r="G455" t="n">
        <v>23.3</v>
      </c>
      <c r="H455" t="n">
        <v>0</v>
      </c>
      <c r="I455" t="n">
        <v>0</v>
      </c>
      <c r="J455" t="n">
        <v>0</v>
      </c>
      <c r="K455" t="n">
        <v>0</v>
      </c>
      <c r="L455" t="n">
        <v>0</v>
      </c>
      <c r="M455" t="n">
        <v>0</v>
      </c>
      <c r="N455" t="n">
        <v>0</v>
      </c>
      <c r="O455" t="n">
        <v>0</v>
      </c>
      <c r="P455" t="n">
        <v>0</v>
      </c>
      <c r="Q455" t="n">
        <v>0</v>
      </c>
      <c r="R455" s="2" t="inlineStr"/>
    </row>
    <row r="456" ht="15" customHeight="1">
      <c r="A456" t="inlineStr">
        <is>
          <t>A 52522-2023</t>
        </is>
      </c>
      <c r="B456" s="1" t="n">
        <v>45218</v>
      </c>
      <c r="C456" s="1" t="n">
        <v>45637</v>
      </c>
      <c r="D456" t="inlineStr">
        <is>
          <t>NORRBOTTENS LÄN</t>
        </is>
      </c>
      <c r="E456" t="inlineStr">
        <is>
          <t>JOKKMOKK</t>
        </is>
      </c>
      <c r="F456" t="inlineStr">
        <is>
          <t>Övriga statliga verk och myndigheter</t>
        </is>
      </c>
      <c r="G456" t="n">
        <v>32.4</v>
      </c>
      <c r="H456" t="n">
        <v>0</v>
      </c>
      <c r="I456" t="n">
        <v>0</v>
      </c>
      <c r="J456" t="n">
        <v>0</v>
      </c>
      <c r="K456" t="n">
        <v>0</v>
      </c>
      <c r="L456" t="n">
        <v>0</v>
      </c>
      <c r="M456" t="n">
        <v>0</v>
      </c>
      <c r="N456" t="n">
        <v>0</v>
      </c>
      <c r="O456" t="n">
        <v>0</v>
      </c>
      <c r="P456" t="n">
        <v>0</v>
      </c>
      <c r="Q456" t="n">
        <v>0</v>
      </c>
      <c r="R456" s="2" t="inlineStr"/>
    </row>
    <row r="457" ht="15" customHeight="1">
      <c r="A457" t="inlineStr">
        <is>
          <t>A 52543-2023</t>
        </is>
      </c>
      <c r="B457" s="1" t="n">
        <v>45218</v>
      </c>
      <c r="C457" s="1" t="n">
        <v>45637</v>
      </c>
      <c r="D457" t="inlineStr">
        <is>
          <t>NORRBOTTENS LÄN</t>
        </is>
      </c>
      <c r="E457" t="inlineStr">
        <is>
          <t>JOKKMOKK</t>
        </is>
      </c>
      <c r="F457" t="inlineStr">
        <is>
          <t>Övriga statliga verk och myndigheter</t>
        </is>
      </c>
      <c r="G457" t="n">
        <v>23.8</v>
      </c>
      <c r="H457" t="n">
        <v>0</v>
      </c>
      <c r="I457" t="n">
        <v>0</v>
      </c>
      <c r="J457" t="n">
        <v>0</v>
      </c>
      <c r="K457" t="n">
        <v>0</v>
      </c>
      <c r="L457" t="n">
        <v>0</v>
      </c>
      <c r="M457" t="n">
        <v>0</v>
      </c>
      <c r="N457" t="n">
        <v>0</v>
      </c>
      <c r="O457" t="n">
        <v>0</v>
      </c>
      <c r="P457" t="n">
        <v>0</v>
      </c>
      <c r="Q457" t="n">
        <v>0</v>
      </c>
      <c r="R457" s="2" t="inlineStr"/>
    </row>
    <row r="458" ht="15" customHeight="1">
      <c r="A458" t="inlineStr">
        <is>
          <t>A 52963-2023</t>
        </is>
      </c>
      <c r="B458" s="1" t="n">
        <v>45222</v>
      </c>
      <c r="C458" s="1" t="n">
        <v>45637</v>
      </c>
      <c r="D458" t="inlineStr">
        <is>
          <t>NORRBOTTENS LÄN</t>
        </is>
      </c>
      <c r="E458" t="inlineStr">
        <is>
          <t>JOKKMOKK</t>
        </is>
      </c>
      <c r="F458" t="inlineStr">
        <is>
          <t>Övriga statliga verk och myndigheter</t>
        </is>
      </c>
      <c r="G458" t="n">
        <v>46.3</v>
      </c>
      <c r="H458" t="n">
        <v>0</v>
      </c>
      <c r="I458" t="n">
        <v>0</v>
      </c>
      <c r="J458" t="n">
        <v>0</v>
      </c>
      <c r="K458" t="n">
        <v>0</v>
      </c>
      <c r="L458" t="n">
        <v>0</v>
      </c>
      <c r="M458" t="n">
        <v>0</v>
      </c>
      <c r="N458" t="n">
        <v>0</v>
      </c>
      <c r="O458" t="n">
        <v>0</v>
      </c>
      <c r="P458" t="n">
        <v>0</v>
      </c>
      <c r="Q458" t="n">
        <v>0</v>
      </c>
      <c r="R458" s="2" t="inlineStr"/>
    </row>
    <row r="459" ht="15" customHeight="1">
      <c r="A459" t="inlineStr">
        <is>
          <t>A 53157-2023</t>
        </is>
      </c>
      <c r="B459" s="1" t="n">
        <v>45222</v>
      </c>
      <c r="C459" s="1" t="n">
        <v>45637</v>
      </c>
      <c r="D459" t="inlineStr">
        <is>
          <t>NORRBOTTENS LÄN</t>
        </is>
      </c>
      <c r="E459" t="inlineStr">
        <is>
          <t>JOKKMOKK</t>
        </is>
      </c>
      <c r="F459" t="inlineStr">
        <is>
          <t>Övriga statliga verk och myndigheter</t>
        </is>
      </c>
      <c r="G459" t="n">
        <v>2.7</v>
      </c>
      <c r="H459" t="n">
        <v>0</v>
      </c>
      <c r="I459" t="n">
        <v>0</v>
      </c>
      <c r="J459" t="n">
        <v>0</v>
      </c>
      <c r="K459" t="n">
        <v>0</v>
      </c>
      <c r="L459" t="n">
        <v>0</v>
      </c>
      <c r="M459" t="n">
        <v>0</v>
      </c>
      <c r="N459" t="n">
        <v>0</v>
      </c>
      <c r="O459" t="n">
        <v>0</v>
      </c>
      <c r="P459" t="n">
        <v>0</v>
      </c>
      <c r="Q459" t="n">
        <v>0</v>
      </c>
      <c r="R459" s="2" t="inlineStr"/>
    </row>
    <row r="460" ht="15" customHeight="1">
      <c r="A460" t="inlineStr">
        <is>
          <t>A 53140-2023</t>
        </is>
      </c>
      <c r="B460" s="1" t="n">
        <v>45222</v>
      </c>
      <c r="C460" s="1" t="n">
        <v>45637</v>
      </c>
      <c r="D460" t="inlineStr">
        <is>
          <t>NORRBOTTENS LÄN</t>
        </is>
      </c>
      <c r="E460" t="inlineStr">
        <is>
          <t>JOKKMOKK</t>
        </is>
      </c>
      <c r="F460" t="inlineStr">
        <is>
          <t>Övriga statliga verk och myndigheter</t>
        </is>
      </c>
      <c r="G460" t="n">
        <v>44.1</v>
      </c>
      <c r="H460" t="n">
        <v>0</v>
      </c>
      <c r="I460" t="n">
        <v>0</v>
      </c>
      <c r="J460" t="n">
        <v>0</v>
      </c>
      <c r="K460" t="n">
        <v>0</v>
      </c>
      <c r="L460" t="n">
        <v>0</v>
      </c>
      <c r="M460" t="n">
        <v>0</v>
      </c>
      <c r="N460" t="n">
        <v>0</v>
      </c>
      <c r="O460" t="n">
        <v>0</v>
      </c>
      <c r="P460" t="n">
        <v>0</v>
      </c>
      <c r="Q460" t="n">
        <v>0</v>
      </c>
      <c r="R460" s="2" t="inlineStr"/>
    </row>
    <row r="461" ht="15" customHeight="1">
      <c r="A461" t="inlineStr">
        <is>
          <t>A 53205-2023</t>
        </is>
      </c>
      <c r="B461" s="1" t="n">
        <v>45222</v>
      </c>
      <c r="C461" s="1" t="n">
        <v>45637</v>
      </c>
      <c r="D461" t="inlineStr">
        <is>
          <t>NORRBOTTENS LÄN</t>
        </is>
      </c>
      <c r="E461" t="inlineStr">
        <is>
          <t>JOKKMOKK</t>
        </is>
      </c>
      <c r="F461" t="inlineStr">
        <is>
          <t>Övriga statliga verk och myndigheter</t>
        </is>
      </c>
      <c r="G461" t="n">
        <v>11.9</v>
      </c>
      <c r="H461" t="n">
        <v>0</v>
      </c>
      <c r="I461" t="n">
        <v>0</v>
      </c>
      <c r="J461" t="n">
        <v>0</v>
      </c>
      <c r="K461" t="n">
        <v>0</v>
      </c>
      <c r="L461" t="n">
        <v>0</v>
      </c>
      <c r="M461" t="n">
        <v>0</v>
      </c>
      <c r="N461" t="n">
        <v>0</v>
      </c>
      <c r="O461" t="n">
        <v>0</v>
      </c>
      <c r="P461" t="n">
        <v>0</v>
      </c>
      <c r="Q461" t="n">
        <v>0</v>
      </c>
      <c r="R461" s="2" t="inlineStr"/>
    </row>
    <row r="462" ht="15" customHeight="1">
      <c r="A462" t="inlineStr">
        <is>
          <t>A 53181-2023</t>
        </is>
      </c>
      <c r="B462" s="1" t="n">
        <v>45222</v>
      </c>
      <c r="C462" s="1" t="n">
        <v>45637</v>
      </c>
      <c r="D462" t="inlineStr">
        <is>
          <t>NORRBOTTENS LÄN</t>
        </is>
      </c>
      <c r="E462" t="inlineStr">
        <is>
          <t>JOKKMOKK</t>
        </is>
      </c>
      <c r="F462" t="inlineStr">
        <is>
          <t>Övriga statliga verk och myndigheter</t>
        </is>
      </c>
      <c r="G462" t="n">
        <v>9.9</v>
      </c>
      <c r="H462" t="n">
        <v>0</v>
      </c>
      <c r="I462" t="n">
        <v>0</v>
      </c>
      <c r="J462" t="n">
        <v>0</v>
      </c>
      <c r="K462" t="n">
        <v>0</v>
      </c>
      <c r="L462" t="n">
        <v>0</v>
      </c>
      <c r="M462" t="n">
        <v>0</v>
      </c>
      <c r="N462" t="n">
        <v>0</v>
      </c>
      <c r="O462" t="n">
        <v>0</v>
      </c>
      <c r="P462" t="n">
        <v>0</v>
      </c>
      <c r="Q462" t="n">
        <v>0</v>
      </c>
      <c r="R462" s="2" t="inlineStr"/>
    </row>
    <row r="463" ht="15" customHeight="1">
      <c r="A463" t="inlineStr">
        <is>
          <t>A 53195-2023</t>
        </is>
      </c>
      <c r="B463" s="1" t="n">
        <v>45222</v>
      </c>
      <c r="C463" s="1" t="n">
        <v>45637</v>
      </c>
      <c r="D463" t="inlineStr">
        <is>
          <t>NORRBOTTENS LÄN</t>
        </is>
      </c>
      <c r="E463" t="inlineStr">
        <is>
          <t>JOKKMOKK</t>
        </is>
      </c>
      <c r="F463" t="inlineStr">
        <is>
          <t>Övriga statliga verk och myndigheter</t>
        </is>
      </c>
      <c r="G463" t="n">
        <v>6</v>
      </c>
      <c r="H463" t="n">
        <v>0</v>
      </c>
      <c r="I463" t="n">
        <v>0</v>
      </c>
      <c r="J463" t="n">
        <v>0</v>
      </c>
      <c r="K463" t="n">
        <v>0</v>
      </c>
      <c r="L463" t="n">
        <v>0</v>
      </c>
      <c r="M463" t="n">
        <v>0</v>
      </c>
      <c r="N463" t="n">
        <v>0</v>
      </c>
      <c r="O463" t="n">
        <v>0</v>
      </c>
      <c r="P463" t="n">
        <v>0</v>
      </c>
      <c r="Q463" t="n">
        <v>0</v>
      </c>
      <c r="R463" s="2" t="inlineStr"/>
    </row>
    <row r="464" ht="15" customHeight="1">
      <c r="A464" t="inlineStr">
        <is>
          <t>A 52181-2023</t>
        </is>
      </c>
      <c r="B464" s="1" t="n">
        <v>45224</v>
      </c>
      <c r="C464" s="1" t="n">
        <v>45637</v>
      </c>
      <c r="D464" t="inlineStr">
        <is>
          <t>NORRBOTTENS LÄN</t>
        </is>
      </c>
      <c r="E464" t="inlineStr">
        <is>
          <t>JOKKMOKK</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53991-2023</t>
        </is>
      </c>
      <c r="B465" s="1" t="n">
        <v>45225</v>
      </c>
      <c r="C465" s="1" t="n">
        <v>45637</v>
      </c>
      <c r="D465" t="inlineStr">
        <is>
          <t>NORRBOTTENS LÄN</t>
        </is>
      </c>
      <c r="E465" t="inlineStr">
        <is>
          <t>JOKKMOKK</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54354-2023</t>
        </is>
      </c>
      <c r="B466" s="1" t="n">
        <v>45232</v>
      </c>
      <c r="C466" s="1" t="n">
        <v>45637</v>
      </c>
      <c r="D466" t="inlineStr">
        <is>
          <t>NORRBOTTENS LÄN</t>
        </is>
      </c>
      <c r="E466" t="inlineStr">
        <is>
          <t>JOKKMOKK</t>
        </is>
      </c>
      <c r="F466" t="inlineStr">
        <is>
          <t>SCA</t>
        </is>
      </c>
      <c r="G466" t="n">
        <v>7.8</v>
      </c>
      <c r="H466" t="n">
        <v>0</v>
      </c>
      <c r="I466" t="n">
        <v>0</v>
      </c>
      <c r="J466" t="n">
        <v>0</v>
      </c>
      <c r="K466" t="n">
        <v>0</v>
      </c>
      <c r="L466" t="n">
        <v>0</v>
      </c>
      <c r="M466" t="n">
        <v>0</v>
      </c>
      <c r="N466" t="n">
        <v>0</v>
      </c>
      <c r="O466" t="n">
        <v>0</v>
      </c>
      <c r="P466" t="n">
        <v>0</v>
      </c>
      <c r="Q466" t="n">
        <v>0</v>
      </c>
      <c r="R466" s="2" t="inlineStr"/>
    </row>
    <row r="467" ht="15" customHeight="1">
      <c r="A467" t="inlineStr">
        <is>
          <t>A 55198-2023</t>
        </is>
      </c>
      <c r="B467" s="1" t="n">
        <v>45237</v>
      </c>
      <c r="C467" s="1" t="n">
        <v>45637</v>
      </c>
      <c r="D467" t="inlineStr">
        <is>
          <t>NORRBOTTENS LÄN</t>
        </is>
      </c>
      <c r="E467" t="inlineStr">
        <is>
          <t>JOKKMOKK</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56540-2023</t>
        </is>
      </c>
      <c r="B468" s="1" t="n">
        <v>45243</v>
      </c>
      <c r="C468" s="1" t="n">
        <v>45637</v>
      </c>
      <c r="D468" t="inlineStr">
        <is>
          <t>NORRBOTTENS LÄN</t>
        </is>
      </c>
      <c r="E468" t="inlineStr">
        <is>
          <t>JOKKMOKK</t>
        </is>
      </c>
      <c r="G468" t="n">
        <v>19.4</v>
      </c>
      <c r="H468" t="n">
        <v>0</v>
      </c>
      <c r="I468" t="n">
        <v>0</v>
      </c>
      <c r="J468" t="n">
        <v>0</v>
      </c>
      <c r="K468" t="n">
        <v>0</v>
      </c>
      <c r="L468" t="n">
        <v>0</v>
      </c>
      <c r="M468" t="n">
        <v>0</v>
      </c>
      <c r="N468" t="n">
        <v>0</v>
      </c>
      <c r="O468" t="n">
        <v>0</v>
      </c>
      <c r="P468" t="n">
        <v>0</v>
      </c>
      <c r="Q468" t="n">
        <v>0</v>
      </c>
      <c r="R468" s="2" t="inlineStr"/>
    </row>
    <row r="469" ht="15" customHeight="1">
      <c r="A469" t="inlineStr">
        <is>
          <t>A 59865-2023</t>
        </is>
      </c>
      <c r="B469" s="1" t="n">
        <v>45257</v>
      </c>
      <c r="C469" s="1" t="n">
        <v>45637</v>
      </c>
      <c r="D469" t="inlineStr">
        <is>
          <t>NORRBOTTENS LÄN</t>
        </is>
      </c>
      <c r="E469" t="inlineStr">
        <is>
          <t>JOKKMOKK</t>
        </is>
      </c>
      <c r="F469" t="inlineStr">
        <is>
          <t>Allmännings- och besparingsskogar</t>
        </is>
      </c>
      <c r="G469" t="n">
        <v>2.8</v>
      </c>
      <c r="H469" t="n">
        <v>0</v>
      </c>
      <c r="I469" t="n">
        <v>0</v>
      </c>
      <c r="J469" t="n">
        <v>0</v>
      </c>
      <c r="K469" t="n">
        <v>0</v>
      </c>
      <c r="L469" t="n">
        <v>0</v>
      </c>
      <c r="M469" t="n">
        <v>0</v>
      </c>
      <c r="N469" t="n">
        <v>0</v>
      </c>
      <c r="O469" t="n">
        <v>0</v>
      </c>
      <c r="P469" t="n">
        <v>0</v>
      </c>
      <c r="Q469" t="n">
        <v>0</v>
      </c>
      <c r="R469" s="2" t="inlineStr"/>
    </row>
    <row r="470" ht="15" customHeight="1">
      <c r="A470" t="inlineStr">
        <is>
          <t>A 59849-2023</t>
        </is>
      </c>
      <c r="B470" s="1" t="n">
        <v>45257</v>
      </c>
      <c r="C470" s="1" t="n">
        <v>45637</v>
      </c>
      <c r="D470" t="inlineStr">
        <is>
          <t>NORRBOTTENS LÄN</t>
        </is>
      </c>
      <c r="E470" t="inlineStr">
        <is>
          <t>JOKKMOKK</t>
        </is>
      </c>
      <c r="F470" t="inlineStr">
        <is>
          <t>Allmännings- och besparingsskogar</t>
        </is>
      </c>
      <c r="G470" t="n">
        <v>12.7</v>
      </c>
      <c r="H470" t="n">
        <v>0</v>
      </c>
      <c r="I470" t="n">
        <v>0</v>
      </c>
      <c r="J470" t="n">
        <v>0</v>
      </c>
      <c r="K470" t="n">
        <v>0</v>
      </c>
      <c r="L470" t="n">
        <v>0</v>
      </c>
      <c r="M470" t="n">
        <v>0</v>
      </c>
      <c r="N470" t="n">
        <v>0</v>
      </c>
      <c r="O470" t="n">
        <v>0</v>
      </c>
      <c r="P470" t="n">
        <v>0</v>
      </c>
      <c r="Q470" t="n">
        <v>0</v>
      </c>
      <c r="R470" s="2" t="inlineStr"/>
    </row>
    <row r="471" ht="15" customHeight="1">
      <c r="A471" t="inlineStr">
        <is>
          <t>A 60201-2023</t>
        </is>
      </c>
      <c r="B471" s="1" t="n">
        <v>45258</v>
      </c>
      <c r="C471" s="1" t="n">
        <v>45637</v>
      </c>
      <c r="D471" t="inlineStr">
        <is>
          <t>NORRBOTTENS LÄN</t>
        </is>
      </c>
      <c r="E471" t="inlineStr">
        <is>
          <t>JOKKMOKK</t>
        </is>
      </c>
      <c r="F471" t="inlineStr">
        <is>
          <t>Allmännings- och besparingsskogar</t>
        </is>
      </c>
      <c r="G471" t="n">
        <v>22.8</v>
      </c>
      <c r="H471" t="n">
        <v>0</v>
      </c>
      <c r="I471" t="n">
        <v>0</v>
      </c>
      <c r="J471" t="n">
        <v>0</v>
      </c>
      <c r="K471" t="n">
        <v>0</v>
      </c>
      <c r="L471" t="n">
        <v>0</v>
      </c>
      <c r="M471" t="n">
        <v>0</v>
      </c>
      <c r="N471" t="n">
        <v>0</v>
      </c>
      <c r="O471" t="n">
        <v>0</v>
      </c>
      <c r="P471" t="n">
        <v>0</v>
      </c>
      <c r="Q471" t="n">
        <v>0</v>
      </c>
      <c r="R471" s="2" t="inlineStr"/>
    </row>
    <row r="472" ht="15" customHeight="1">
      <c r="A472" t="inlineStr">
        <is>
          <t>A 60251-2023</t>
        </is>
      </c>
      <c r="B472" s="1" t="n">
        <v>45258</v>
      </c>
      <c r="C472" s="1" t="n">
        <v>45637</v>
      </c>
      <c r="D472" t="inlineStr">
        <is>
          <t>NORRBOTTENS LÄN</t>
        </is>
      </c>
      <c r="E472" t="inlineStr">
        <is>
          <t>JOKKMOKK</t>
        </is>
      </c>
      <c r="F472" t="inlineStr">
        <is>
          <t>Allmännings- och besparingsskogar</t>
        </is>
      </c>
      <c r="G472" t="n">
        <v>12.9</v>
      </c>
      <c r="H472" t="n">
        <v>0</v>
      </c>
      <c r="I472" t="n">
        <v>0</v>
      </c>
      <c r="J472" t="n">
        <v>0</v>
      </c>
      <c r="K472" t="n">
        <v>0</v>
      </c>
      <c r="L472" t="n">
        <v>0</v>
      </c>
      <c r="M472" t="n">
        <v>0</v>
      </c>
      <c r="N472" t="n">
        <v>0</v>
      </c>
      <c r="O472" t="n">
        <v>0</v>
      </c>
      <c r="P472" t="n">
        <v>0</v>
      </c>
      <c r="Q472" t="n">
        <v>0</v>
      </c>
      <c r="R472" s="2" t="inlineStr"/>
    </row>
    <row r="473" ht="15" customHeight="1">
      <c r="A473" t="inlineStr">
        <is>
          <t>A 60193-2023</t>
        </is>
      </c>
      <c r="B473" s="1" t="n">
        <v>45258</v>
      </c>
      <c r="C473" s="1" t="n">
        <v>45637</v>
      </c>
      <c r="D473" t="inlineStr">
        <is>
          <t>NORRBOTTENS LÄN</t>
        </is>
      </c>
      <c r="E473" t="inlineStr">
        <is>
          <t>JOKKMOKK</t>
        </is>
      </c>
      <c r="F473" t="inlineStr">
        <is>
          <t>Allmännings- och besparingsskogar</t>
        </is>
      </c>
      <c r="G473" t="n">
        <v>11.1</v>
      </c>
      <c r="H473" t="n">
        <v>0</v>
      </c>
      <c r="I473" t="n">
        <v>0</v>
      </c>
      <c r="J473" t="n">
        <v>0</v>
      </c>
      <c r="K473" t="n">
        <v>0</v>
      </c>
      <c r="L473" t="n">
        <v>0</v>
      </c>
      <c r="M473" t="n">
        <v>0</v>
      </c>
      <c r="N473" t="n">
        <v>0</v>
      </c>
      <c r="O473" t="n">
        <v>0</v>
      </c>
      <c r="P473" t="n">
        <v>0</v>
      </c>
      <c r="Q473" t="n">
        <v>0</v>
      </c>
      <c r="R473" s="2" t="inlineStr"/>
    </row>
    <row r="474" ht="15" customHeight="1">
      <c r="A474" t="inlineStr">
        <is>
          <t>A 60215-2023</t>
        </is>
      </c>
      <c r="B474" s="1" t="n">
        <v>45258</v>
      </c>
      <c r="C474" s="1" t="n">
        <v>45637</v>
      </c>
      <c r="D474" t="inlineStr">
        <is>
          <t>NORRBOTTENS LÄN</t>
        </is>
      </c>
      <c r="E474" t="inlineStr">
        <is>
          <t>JOKKMOKK</t>
        </is>
      </c>
      <c r="F474" t="inlineStr">
        <is>
          <t>Allmännings- och besparingsskogar</t>
        </is>
      </c>
      <c r="G474" t="n">
        <v>7.8</v>
      </c>
      <c r="H474" t="n">
        <v>0</v>
      </c>
      <c r="I474" t="n">
        <v>0</v>
      </c>
      <c r="J474" t="n">
        <v>0</v>
      </c>
      <c r="K474" t="n">
        <v>0</v>
      </c>
      <c r="L474" t="n">
        <v>0</v>
      </c>
      <c r="M474" t="n">
        <v>0</v>
      </c>
      <c r="N474" t="n">
        <v>0</v>
      </c>
      <c r="O474" t="n">
        <v>0</v>
      </c>
      <c r="P474" t="n">
        <v>0</v>
      </c>
      <c r="Q474" t="n">
        <v>0</v>
      </c>
      <c r="R474" s="2" t="inlineStr"/>
    </row>
    <row r="475" ht="15" customHeight="1">
      <c r="A475" t="inlineStr">
        <is>
          <t>A 60242-2023</t>
        </is>
      </c>
      <c r="B475" s="1" t="n">
        <v>45258</v>
      </c>
      <c r="C475" s="1" t="n">
        <v>45637</v>
      </c>
      <c r="D475" t="inlineStr">
        <is>
          <t>NORRBOTTENS LÄN</t>
        </is>
      </c>
      <c r="E475" t="inlineStr">
        <is>
          <t>JOKKMOKK</t>
        </is>
      </c>
      <c r="F475" t="inlineStr">
        <is>
          <t>Allmännings- och besparingsskogar</t>
        </is>
      </c>
      <c r="G475" t="n">
        <v>9.4</v>
      </c>
      <c r="H475" t="n">
        <v>0</v>
      </c>
      <c r="I475" t="n">
        <v>0</v>
      </c>
      <c r="J475" t="n">
        <v>0</v>
      </c>
      <c r="K475" t="n">
        <v>0</v>
      </c>
      <c r="L475" t="n">
        <v>0</v>
      </c>
      <c r="M475" t="n">
        <v>0</v>
      </c>
      <c r="N475" t="n">
        <v>0</v>
      </c>
      <c r="O475" t="n">
        <v>0</v>
      </c>
      <c r="P475" t="n">
        <v>0</v>
      </c>
      <c r="Q475" t="n">
        <v>0</v>
      </c>
      <c r="R475" s="2" t="inlineStr"/>
    </row>
    <row r="476" ht="15" customHeight="1">
      <c r="A476" t="inlineStr">
        <is>
          <t>A 60259-2023</t>
        </is>
      </c>
      <c r="B476" s="1" t="n">
        <v>45258</v>
      </c>
      <c r="C476" s="1" t="n">
        <v>45637</v>
      </c>
      <c r="D476" t="inlineStr">
        <is>
          <t>NORRBOTTENS LÄN</t>
        </is>
      </c>
      <c r="E476" t="inlineStr">
        <is>
          <t>JOKKMOKK</t>
        </is>
      </c>
      <c r="F476" t="inlineStr">
        <is>
          <t>Allmännings- och besparingsskogar</t>
        </is>
      </c>
      <c r="G476" t="n">
        <v>5.2</v>
      </c>
      <c r="H476" t="n">
        <v>0</v>
      </c>
      <c r="I476" t="n">
        <v>0</v>
      </c>
      <c r="J476" t="n">
        <v>0</v>
      </c>
      <c r="K476" t="n">
        <v>0</v>
      </c>
      <c r="L476" t="n">
        <v>0</v>
      </c>
      <c r="M476" t="n">
        <v>0</v>
      </c>
      <c r="N476" t="n">
        <v>0</v>
      </c>
      <c r="O476" t="n">
        <v>0</v>
      </c>
      <c r="P476" t="n">
        <v>0</v>
      </c>
      <c r="Q476" t="n">
        <v>0</v>
      </c>
      <c r="R476" s="2" t="inlineStr"/>
    </row>
    <row r="477" ht="15" customHeight="1">
      <c r="A477" t="inlineStr">
        <is>
          <t>A 60164-2023</t>
        </is>
      </c>
      <c r="B477" s="1" t="n">
        <v>45258</v>
      </c>
      <c r="C477" s="1" t="n">
        <v>45637</v>
      </c>
      <c r="D477" t="inlineStr">
        <is>
          <t>NORRBOTTENS LÄN</t>
        </is>
      </c>
      <c r="E477" t="inlineStr">
        <is>
          <t>JOKKMOKK</t>
        </is>
      </c>
      <c r="F477" t="inlineStr">
        <is>
          <t>Allmännings- och besparingsskogar</t>
        </is>
      </c>
      <c r="G477" t="n">
        <v>14.3</v>
      </c>
      <c r="H477" t="n">
        <v>0</v>
      </c>
      <c r="I477" t="n">
        <v>0</v>
      </c>
      <c r="J477" t="n">
        <v>0</v>
      </c>
      <c r="K477" t="n">
        <v>0</v>
      </c>
      <c r="L477" t="n">
        <v>0</v>
      </c>
      <c r="M477" t="n">
        <v>0</v>
      </c>
      <c r="N477" t="n">
        <v>0</v>
      </c>
      <c r="O477" t="n">
        <v>0</v>
      </c>
      <c r="P477" t="n">
        <v>0</v>
      </c>
      <c r="Q477" t="n">
        <v>0</v>
      </c>
      <c r="R477" s="2" t="inlineStr"/>
    </row>
    <row r="478" ht="15" customHeight="1">
      <c r="A478" t="inlineStr">
        <is>
          <t>A 60275-2023</t>
        </is>
      </c>
      <c r="B478" s="1" t="n">
        <v>45258</v>
      </c>
      <c r="C478" s="1" t="n">
        <v>45637</v>
      </c>
      <c r="D478" t="inlineStr">
        <is>
          <t>NORRBOTTENS LÄN</t>
        </is>
      </c>
      <c r="E478" t="inlineStr">
        <is>
          <t>JOKKMOKK</t>
        </is>
      </c>
      <c r="G478" t="n">
        <v>3.2</v>
      </c>
      <c r="H478" t="n">
        <v>0</v>
      </c>
      <c r="I478" t="n">
        <v>0</v>
      </c>
      <c r="J478" t="n">
        <v>0</v>
      </c>
      <c r="K478" t="n">
        <v>0</v>
      </c>
      <c r="L478" t="n">
        <v>0</v>
      </c>
      <c r="M478" t="n">
        <v>0</v>
      </c>
      <c r="N478" t="n">
        <v>0</v>
      </c>
      <c r="O478" t="n">
        <v>0</v>
      </c>
      <c r="P478" t="n">
        <v>0</v>
      </c>
      <c r="Q478" t="n">
        <v>0</v>
      </c>
      <c r="R478" s="2" t="inlineStr"/>
    </row>
    <row r="479" ht="15" customHeight="1">
      <c r="A479" t="inlineStr">
        <is>
          <t>A 60271-2023</t>
        </is>
      </c>
      <c r="B479" s="1" t="n">
        <v>45258</v>
      </c>
      <c r="C479" s="1" t="n">
        <v>45637</v>
      </c>
      <c r="D479" t="inlineStr">
        <is>
          <t>NORRBOTTENS LÄN</t>
        </is>
      </c>
      <c r="E479" t="inlineStr">
        <is>
          <t>JOKKMOKK</t>
        </is>
      </c>
      <c r="F479" t="inlineStr">
        <is>
          <t>Allmännings- och besparingsskogar</t>
        </is>
      </c>
      <c r="G479" t="n">
        <v>12</v>
      </c>
      <c r="H479" t="n">
        <v>0</v>
      </c>
      <c r="I479" t="n">
        <v>0</v>
      </c>
      <c r="J479" t="n">
        <v>0</v>
      </c>
      <c r="K479" t="n">
        <v>0</v>
      </c>
      <c r="L479" t="n">
        <v>0</v>
      </c>
      <c r="M479" t="n">
        <v>0</v>
      </c>
      <c r="N479" t="n">
        <v>0</v>
      </c>
      <c r="O479" t="n">
        <v>0</v>
      </c>
      <c r="P479" t="n">
        <v>0</v>
      </c>
      <c r="Q479" t="n">
        <v>0</v>
      </c>
      <c r="R479" s="2" t="inlineStr"/>
    </row>
    <row r="480" ht="15" customHeight="1">
      <c r="A480" t="inlineStr">
        <is>
          <t>A 60383-2023</t>
        </is>
      </c>
      <c r="B480" s="1" t="n">
        <v>45259</v>
      </c>
      <c r="C480" s="1" t="n">
        <v>45637</v>
      </c>
      <c r="D480" t="inlineStr">
        <is>
          <t>NORRBOTTENS LÄN</t>
        </is>
      </c>
      <c r="E480" t="inlineStr">
        <is>
          <t>JOKKMOKK</t>
        </is>
      </c>
      <c r="F480" t="inlineStr">
        <is>
          <t>Sveaskog</t>
        </is>
      </c>
      <c r="G480" t="n">
        <v>7.3</v>
      </c>
      <c r="H480" t="n">
        <v>0</v>
      </c>
      <c r="I480" t="n">
        <v>0</v>
      </c>
      <c r="J480" t="n">
        <v>0</v>
      </c>
      <c r="K480" t="n">
        <v>0</v>
      </c>
      <c r="L480" t="n">
        <v>0</v>
      </c>
      <c r="M480" t="n">
        <v>0</v>
      </c>
      <c r="N480" t="n">
        <v>0</v>
      </c>
      <c r="O480" t="n">
        <v>0</v>
      </c>
      <c r="P480" t="n">
        <v>0</v>
      </c>
      <c r="Q480" t="n">
        <v>0</v>
      </c>
      <c r="R480" s="2" t="inlineStr"/>
    </row>
    <row r="481" ht="15" customHeight="1">
      <c r="A481" t="inlineStr">
        <is>
          <t>A 60418-2023</t>
        </is>
      </c>
      <c r="B481" s="1" t="n">
        <v>45259</v>
      </c>
      <c r="C481" s="1" t="n">
        <v>45637</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60370-2023</t>
        </is>
      </c>
      <c r="B482" s="1" t="n">
        <v>45259</v>
      </c>
      <c r="C482" s="1" t="n">
        <v>45637</v>
      </c>
      <c r="D482" t="inlineStr">
        <is>
          <t>NORRBOTTENS LÄN</t>
        </is>
      </c>
      <c r="E482" t="inlineStr">
        <is>
          <t>JOKKMOKK</t>
        </is>
      </c>
      <c r="F482" t="inlineStr">
        <is>
          <t>Sveaskog</t>
        </is>
      </c>
      <c r="G482" t="n">
        <v>11.9</v>
      </c>
      <c r="H482" t="n">
        <v>0</v>
      </c>
      <c r="I482" t="n">
        <v>0</v>
      </c>
      <c r="J482" t="n">
        <v>0</v>
      </c>
      <c r="K482" t="n">
        <v>0</v>
      </c>
      <c r="L482" t="n">
        <v>0</v>
      </c>
      <c r="M482" t="n">
        <v>0</v>
      </c>
      <c r="N482" t="n">
        <v>0</v>
      </c>
      <c r="O482" t="n">
        <v>0</v>
      </c>
      <c r="P482" t="n">
        <v>0</v>
      </c>
      <c r="Q482" t="n">
        <v>0</v>
      </c>
      <c r="R482" s="2" t="inlineStr"/>
    </row>
    <row r="483" ht="15" customHeight="1">
      <c r="A483" t="inlineStr">
        <is>
          <t>A 60374-2023</t>
        </is>
      </c>
      <c r="B483" s="1" t="n">
        <v>45259</v>
      </c>
      <c r="C483" s="1" t="n">
        <v>45637</v>
      </c>
      <c r="D483" t="inlineStr">
        <is>
          <t>NORRBOTTENS LÄN</t>
        </is>
      </c>
      <c r="E483" t="inlineStr">
        <is>
          <t>JOKKMOKK</t>
        </is>
      </c>
      <c r="F483" t="inlineStr">
        <is>
          <t>Sveaskog</t>
        </is>
      </c>
      <c r="G483" t="n">
        <v>7.1</v>
      </c>
      <c r="H483" t="n">
        <v>0</v>
      </c>
      <c r="I483" t="n">
        <v>0</v>
      </c>
      <c r="J483" t="n">
        <v>0</v>
      </c>
      <c r="K483" t="n">
        <v>0</v>
      </c>
      <c r="L483" t="n">
        <v>0</v>
      </c>
      <c r="M483" t="n">
        <v>0</v>
      </c>
      <c r="N483" t="n">
        <v>0</v>
      </c>
      <c r="O483" t="n">
        <v>0</v>
      </c>
      <c r="P483" t="n">
        <v>0</v>
      </c>
      <c r="Q483" t="n">
        <v>0</v>
      </c>
      <c r="R483" s="2" t="inlineStr"/>
    </row>
    <row r="484" ht="15" customHeight="1">
      <c r="A484" t="inlineStr">
        <is>
          <t>A 60408-2023</t>
        </is>
      </c>
      <c r="B484" s="1" t="n">
        <v>45259</v>
      </c>
      <c r="C484" s="1" t="n">
        <v>45637</v>
      </c>
      <c r="D484" t="inlineStr">
        <is>
          <t>NORRBOTTENS LÄN</t>
        </is>
      </c>
      <c r="E484" t="inlineStr">
        <is>
          <t>JOKKMOKK</t>
        </is>
      </c>
      <c r="F484" t="inlineStr">
        <is>
          <t>Allmännings- och besparingsskogar</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60376-2023</t>
        </is>
      </c>
      <c r="B485" s="1" t="n">
        <v>45259</v>
      </c>
      <c r="C485" s="1" t="n">
        <v>45637</v>
      </c>
      <c r="D485" t="inlineStr">
        <is>
          <t>NORRBOTTENS LÄN</t>
        </is>
      </c>
      <c r="E485" t="inlineStr">
        <is>
          <t>JOKKMOKK</t>
        </is>
      </c>
      <c r="F485" t="inlineStr">
        <is>
          <t>Allmännings- och besparingsskogar</t>
        </is>
      </c>
      <c r="G485" t="n">
        <v>13.3</v>
      </c>
      <c r="H485" t="n">
        <v>0</v>
      </c>
      <c r="I485" t="n">
        <v>0</v>
      </c>
      <c r="J485" t="n">
        <v>0</v>
      </c>
      <c r="K485" t="n">
        <v>0</v>
      </c>
      <c r="L485" t="n">
        <v>0</v>
      </c>
      <c r="M485" t="n">
        <v>0</v>
      </c>
      <c r="N485" t="n">
        <v>0</v>
      </c>
      <c r="O485" t="n">
        <v>0</v>
      </c>
      <c r="P485" t="n">
        <v>0</v>
      </c>
      <c r="Q485" t="n">
        <v>0</v>
      </c>
      <c r="R485" s="2" t="inlineStr"/>
    </row>
    <row r="486" ht="15" customHeight="1">
      <c r="A486" t="inlineStr">
        <is>
          <t>A 60390-2023</t>
        </is>
      </c>
      <c r="B486" s="1" t="n">
        <v>45259</v>
      </c>
      <c r="C486" s="1" t="n">
        <v>45637</v>
      </c>
      <c r="D486" t="inlineStr">
        <is>
          <t>NORRBOTTENS LÄN</t>
        </is>
      </c>
      <c r="E486" t="inlineStr">
        <is>
          <t>JOKKMOKK</t>
        </is>
      </c>
      <c r="F486" t="inlineStr">
        <is>
          <t>Sveaskog</t>
        </is>
      </c>
      <c r="G486" t="n">
        <v>10.9</v>
      </c>
      <c r="H486" t="n">
        <v>0</v>
      </c>
      <c r="I486" t="n">
        <v>0</v>
      </c>
      <c r="J486" t="n">
        <v>0</v>
      </c>
      <c r="K486" t="n">
        <v>0</v>
      </c>
      <c r="L486" t="n">
        <v>0</v>
      </c>
      <c r="M486" t="n">
        <v>0</v>
      </c>
      <c r="N486" t="n">
        <v>0</v>
      </c>
      <c r="O486" t="n">
        <v>0</v>
      </c>
      <c r="P486" t="n">
        <v>0</v>
      </c>
      <c r="Q486" t="n">
        <v>0</v>
      </c>
      <c r="R486" s="2" t="inlineStr"/>
    </row>
    <row r="487" ht="15" customHeight="1">
      <c r="A487" t="inlineStr">
        <is>
          <t>A 60406-2023</t>
        </is>
      </c>
      <c r="B487" s="1" t="n">
        <v>45259</v>
      </c>
      <c r="C487" s="1" t="n">
        <v>45637</v>
      </c>
      <c r="D487" t="inlineStr">
        <is>
          <t>NORRBOTTENS LÄN</t>
        </is>
      </c>
      <c r="E487" t="inlineStr">
        <is>
          <t>JOKKMOKK</t>
        </is>
      </c>
      <c r="F487" t="inlineStr">
        <is>
          <t>Allmännings- och besparingsskogar</t>
        </is>
      </c>
      <c r="G487" t="n">
        <v>2.5</v>
      </c>
      <c r="H487" t="n">
        <v>0</v>
      </c>
      <c r="I487" t="n">
        <v>0</v>
      </c>
      <c r="J487" t="n">
        <v>0</v>
      </c>
      <c r="K487" t="n">
        <v>0</v>
      </c>
      <c r="L487" t="n">
        <v>0</v>
      </c>
      <c r="M487" t="n">
        <v>0</v>
      </c>
      <c r="N487" t="n">
        <v>0</v>
      </c>
      <c r="O487" t="n">
        <v>0</v>
      </c>
      <c r="P487" t="n">
        <v>0</v>
      </c>
      <c r="Q487" t="n">
        <v>0</v>
      </c>
      <c r="R487" s="2" t="inlineStr"/>
    </row>
    <row r="488" ht="15" customHeight="1">
      <c r="A488" t="inlineStr">
        <is>
          <t>A 60401-2023</t>
        </is>
      </c>
      <c r="B488" s="1" t="n">
        <v>45259</v>
      </c>
      <c r="C488" s="1" t="n">
        <v>45637</v>
      </c>
      <c r="D488" t="inlineStr">
        <is>
          <t>NORRBOTTENS LÄN</t>
        </is>
      </c>
      <c r="E488" t="inlineStr">
        <is>
          <t>JOKKMOKK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60416-2023</t>
        </is>
      </c>
      <c r="B489" s="1" t="n">
        <v>45259</v>
      </c>
      <c r="C489" s="1" t="n">
        <v>45637</v>
      </c>
      <c r="D489" t="inlineStr">
        <is>
          <t>NORRBOTTENS LÄN</t>
        </is>
      </c>
      <c r="E489" t="inlineStr">
        <is>
          <t>JOKKMOKK</t>
        </is>
      </c>
      <c r="F489" t="inlineStr">
        <is>
          <t>Allmännings- och besparingsskogar</t>
        </is>
      </c>
      <c r="G489" t="n">
        <v>16.9</v>
      </c>
      <c r="H489" t="n">
        <v>0</v>
      </c>
      <c r="I489" t="n">
        <v>0</v>
      </c>
      <c r="J489" t="n">
        <v>0</v>
      </c>
      <c r="K489" t="n">
        <v>0</v>
      </c>
      <c r="L489" t="n">
        <v>0</v>
      </c>
      <c r="M489" t="n">
        <v>0</v>
      </c>
      <c r="N489" t="n">
        <v>0</v>
      </c>
      <c r="O489" t="n">
        <v>0</v>
      </c>
      <c r="P489" t="n">
        <v>0</v>
      </c>
      <c r="Q489" t="n">
        <v>0</v>
      </c>
      <c r="R489" s="2" t="inlineStr"/>
    </row>
    <row r="490" ht="15" customHeight="1">
      <c r="A490" t="inlineStr">
        <is>
          <t>A 60930-2023</t>
        </is>
      </c>
      <c r="B490" s="1" t="n">
        <v>45261</v>
      </c>
      <c r="C490" s="1" t="n">
        <v>45637</v>
      </c>
      <c r="D490" t="inlineStr">
        <is>
          <t>NORRBOTTENS LÄN</t>
        </is>
      </c>
      <c r="E490" t="inlineStr">
        <is>
          <t>JOKKMOKK</t>
        </is>
      </c>
      <c r="F490" t="inlineStr">
        <is>
          <t>Allmännings- och besparingsskogar</t>
        </is>
      </c>
      <c r="G490" t="n">
        <v>8.5</v>
      </c>
      <c r="H490" t="n">
        <v>0</v>
      </c>
      <c r="I490" t="n">
        <v>0</v>
      </c>
      <c r="J490" t="n">
        <v>0</v>
      </c>
      <c r="K490" t="n">
        <v>0</v>
      </c>
      <c r="L490" t="n">
        <v>0</v>
      </c>
      <c r="M490" t="n">
        <v>0</v>
      </c>
      <c r="N490" t="n">
        <v>0</v>
      </c>
      <c r="O490" t="n">
        <v>0</v>
      </c>
      <c r="P490" t="n">
        <v>0</v>
      </c>
      <c r="Q490" t="n">
        <v>0</v>
      </c>
      <c r="R490" s="2" t="inlineStr"/>
    </row>
    <row r="491" ht="15" customHeight="1">
      <c r="A491" t="inlineStr">
        <is>
          <t>A 63760-2023</t>
        </is>
      </c>
      <c r="B491" s="1" t="n">
        <v>45278</v>
      </c>
      <c r="C491" s="1" t="n">
        <v>45637</v>
      </c>
      <c r="D491" t="inlineStr">
        <is>
          <t>NORRBOTTENS LÄN</t>
        </is>
      </c>
      <c r="E491" t="inlineStr">
        <is>
          <t>JOKKMOKK</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63758-2023</t>
        </is>
      </c>
      <c r="B492" s="1" t="n">
        <v>45278</v>
      </c>
      <c r="C492" s="1" t="n">
        <v>45637</v>
      </c>
      <c r="D492" t="inlineStr">
        <is>
          <t>NORRBOTTENS LÄN</t>
        </is>
      </c>
      <c r="E492" t="inlineStr">
        <is>
          <t>JOKKMOKK</t>
        </is>
      </c>
      <c r="F492" t="inlineStr">
        <is>
          <t>Övriga Aktiebolag</t>
        </is>
      </c>
      <c r="G492" t="n">
        <v>4.4</v>
      </c>
      <c r="H492" t="n">
        <v>0</v>
      </c>
      <c r="I492" t="n">
        <v>0</v>
      </c>
      <c r="J492" t="n">
        <v>0</v>
      </c>
      <c r="K492" t="n">
        <v>0</v>
      </c>
      <c r="L492" t="n">
        <v>0</v>
      </c>
      <c r="M492" t="n">
        <v>0</v>
      </c>
      <c r="N492" t="n">
        <v>0</v>
      </c>
      <c r="O492" t="n">
        <v>0</v>
      </c>
      <c r="P492" t="n">
        <v>0</v>
      </c>
      <c r="Q492" t="n">
        <v>0</v>
      </c>
      <c r="R492" s="2" t="inlineStr"/>
    </row>
    <row r="493" ht="15" customHeight="1">
      <c r="A493" t="inlineStr">
        <is>
          <t>A 63938-2023</t>
        </is>
      </c>
      <c r="B493" s="1" t="n">
        <v>45278</v>
      </c>
      <c r="C493" s="1" t="n">
        <v>45637</v>
      </c>
      <c r="D493" t="inlineStr">
        <is>
          <t>NORRBOTTENS LÄN</t>
        </is>
      </c>
      <c r="E493" t="inlineStr">
        <is>
          <t>JOKKMOKK</t>
        </is>
      </c>
      <c r="F493" t="inlineStr">
        <is>
          <t>Sveaskog</t>
        </is>
      </c>
      <c r="G493" t="n">
        <v>40</v>
      </c>
      <c r="H493" t="n">
        <v>0</v>
      </c>
      <c r="I493" t="n">
        <v>0</v>
      </c>
      <c r="J493" t="n">
        <v>0</v>
      </c>
      <c r="K493" t="n">
        <v>0</v>
      </c>
      <c r="L493" t="n">
        <v>0</v>
      </c>
      <c r="M493" t="n">
        <v>0</v>
      </c>
      <c r="N493" t="n">
        <v>0</v>
      </c>
      <c r="O493" t="n">
        <v>0</v>
      </c>
      <c r="P493" t="n">
        <v>0</v>
      </c>
      <c r="Q493" t="n">
        <v>0</v>
      </c>
      <c r="R493" s="2" t="inlineStr"/>
    </row>
    <row r="494" ht="15" customHeight="1">
      <c r="A494" t="inlineStr">
        <is>
          <t>A 65233-2023</t>
        </is>
      </c>
      <c r="B494" s="1" t="n">
        <v>45289</v>
      </c>
      <c r="C494" s="1" t="n">
        <v>45637</v>
      </c>
      <c r="D494" t="inlineStr">
        <is>
          <t>NORRBOTTENS LÄN</t>
        </is>
      </c>
      <c r="E494" t="inlineStr">
        <is>
          <t>JOKKMOKK</t>
        </is>
      </c>
      <c r="G494" t="n">
        <v>37.3</v>
      </c>
      <c r="H494" t="n">
        <v>0</v>
      </c>
      <c r="I494" t="n">
        <v>0</v>
      </c>
      <c r="J494" t="n">
        <v>0</v>
      </c>
      <c r="K494" t="n">
        <v>0</v>
      </c>
      <c r="L494" t="n">
        <v>0</v>
      </c>
      <c r="M494" t="n">
        <v>0</v>
      </c>
      <c r="N494" t="n">
        <v>0</v>
      </c>
      <c r="O494" t="n">
        <v>0</v>
      </c>
      <c r="P494" t="n">
        <v>0</v>
      </c>
      <c r="Q494" t="n">
        <v>0</v>
      </c>
      <c r="R494" s="2" t="inlineStr"/>
    </row>
    <row r="495" ht="15" customHeight="1">
      <c r="A495" t="inlineStr">
        <is>
          <t>A 94-2024</t>
        </is>
      </c>
      <c r="B495" s="1" t="n">
        <v>45293</v>
      </c>
      <c r="C495" s="1" t="n">
        <v>45637</v>
      </c>
      <c r="D495" t="inlineStr">
        <is>
          <t>NORRBOTTENS LÄN</t>
        </is>
      </c>
      <c r="E495" t="inlineStr">
        <is>
          <t>JOKKMOKK</t>
        </is>
      </c>
      <c r="G495" t="n">
        <v>24.5</v>
      </c>
      <c r="H495" t="n">
        <v>0</v>
      </c>
      <c r="I495" t="n">
        <v>0</v>
      </c>
      <c r="J495" t="n">
        <v>0</v>
      </c>
      <c r="K495" t="n">
        <v>0</v>
      </c>
      <c r="L495" t="n">
        <v>0</v>
      </c>
      <c r="M495" t="n">
        <v>0</v>
      </c>
      <c r="N495" t="n">
        <v>0</v>
      </c>
      <c r="O495" t="n">
        <v>0</v>
      </c>
      <c r="P495" t="n">
        <v>0</v>
      </c>
      <c r="Q495" t="n">
        <v>0</v>
      </c>
      <c r="R495" s="2" t="inlineStr"/>
    </row>
    <row r="496" ht="15" customHeight="1">
      <c r="A496" t="inlineStr">
        <is>
          <t>A 116-2024</t>
        </is>
      </c>
      <c r="B496" s="1" t="n">
        <v>45294</v>
      </c>
      <c r="C496" s="1" t="n">
        <v>45637</v>
      </c>
      <c r="D496" t="inlineStr">
        <is>
          <t>NORRBOTTENS LÄN</t>
        </is>
      </c>
      <c r="E496" t="inlineStr">
        <is>
          <t>JOKKMOKK</t>
        </is>
      </c>
      <c r="F496" t="inlineStr">
        <is>
          <t>Sveaskog</t>
        </is>
      </c>
      <c r="G496" t="n">
        <v>4.5</v>
      </c>
      <c r="H496" t="n">
        <v>0</v>
      </c>
      <c r="I496" t="n">
        <v>0</v>
      </c>
      <c r="J496" t="n">
        <v>0</v>
      </c>
      <c r="K496" t="n">
        <v>0</v>
      </c>
      <c r="L496" t="n">
        <v>0</v>
      </c>
      <c r="M496" t="n">
        <v>0</v>
      </c>
      <c r="N496" t="n">
        <v>0</v>
      </c>
      <c r="O496" t="n">
        <v>0</v>
      </c>
      <c r="P496" t="n">
        <v>0</v>
      </c>
      <c r="Q496" t="n">
        <v>0</v>
      </c>
      <c r="R496" s="2" t="inlineStr"/>
    </row>
    <row r="497" ht="15" customHeight="1">
      <c r="A497" t="inlineStr">
        <is>
          <t>A 296-2024</t>
        </is>
      </c>
      <c r="B497" s="1" t="n">
        <v>45294</v>
      </c>
      <c r="C497" s="1" t="n">
        <v>45637</v>
      </c>
      <c r="D497" t="inlineStr">
        <is>
          <t>NORRBOTTENS LÄN</t>
        </is>
      </c>
      <c r="E497" t="inlineStr">
        <is>
          <t>JOKKMOKK</t>
        </is>
      </c>
      <c r="G497" t="n">
        <v>2.6</v>
      </c>
      <c r="H497" t="n">
        <v>0</v>
      </c>
      <c r="I497" t="n">
        <v>0</v>
      </c>
      <c r="J497" t="n">
        <v>0</v>
      </c>
      <c r="K497" t="n">
        <v>0</v>
      </c>
      <c r="L497" t="n">
        <v>0</v>
      </c>
      <c r="M497" t="n">
        <v>0</v>
      </c>
      <c r="N497" t="n">
        <v>0</v>
      </c>
      <c r="O497" t="n">
        <v>0</v>
      </c>
      <c r="P497" t="n">
        <v>0</v>
      </c>
      <c r="Q497" t="n">
        <v>0</v>
      </c>
      <c r="R497" s="2" t="inlineStr"/>
    </row>
    <row r="498" ht="15" customHeight="1">
      <c r="A498" t="inlineStr">
        <is>
          <t>A 1615-2024</t>
        </is>
      </c>
      <c r="B498" s="1" t="n">
        <v>45306</v>
      </c>
      <c r="C498" s="1" t="n">
        <v>45637</v>
      </c>
      <c r="D498" t="inlineStr">
        <is>
          <t>NORRBOTTENS LÄN</t>
        </is>
      </c>
      <c r="E498" t="inlineStr">
        <is>
          <t>JOKKMOKK</t>
        </is>
      </c>
      <c r="G498" t="n">
        <v>10.8</v>
      </c>
      <c r="H498" t="n">
        <v>0</v>
      </c>
      <c r="I498" t="n">
        <v>0</v>
      </c>
      <c r="J498" t="n">
        <v>0</v>
      </c>
      <c r="K498" t="n">
        <v>0</v>
      </c>
      <c r="L498" t="n">
        <v>0</v>
      </c>
      <c r="M498" t="n">
        <v>0</v>
      </c>
      <c r="N498" t="n">
        <v>0</v>
      </c>
      <c r="O498" t="n">
        <v>0</v>
      </c>
      <c r="P498" t="n">
        <v>0</v>
      </c>
      <c r="Q498" t="n">
        <v>0</v>
      </c>
      <c r="R498" s="2" t="inlineStr"/>
    </row>
    <row r="499" ht="15" customHeight="1">
      <c r="A499" t="inlineStr">
        <is>
          <t>A 4136-2024</t>
        </is>
      </c>
      <c r="B499" s="1" t="n">
        <v>45323</v>
      </c>
      <c r="C499" s="1" t="n">
        <v>45637</v>
      </c>
      <c r="D499" t="inlineStr">
        <is>
          <t>NORRBOTTENS LÄN</t>
        </is>
      </c>
      <c r="E499" t="inlineStr">
        <is>
          <t>JOKKMOKK</t>
        </is>
      </c>
      <c r="G499" t="n">
        <v>27.3</v>
      </c>
      <c r="H499" t="n">
        <v>0</v>
      </c>
      <c r="I499" t="n">
        <v>0</v>
      </c>
      <c r="J499" t="n">
        <v>0</v>
      </c>
      <c r="K499" t="n">
        <v>0</v>
      </c>
      <c r="L499" t="n">
        <v>0</v>
      </c>
      <c r="M499" t="n">
        <v>0</v>
      </c>
      <c r="N499" t="n">
        <v>0</v>
      </c>
      <c r="O499" t="n">
        <v>0</v>
      </c>
      <c r="P499" t="n">
        <v>0</v>
      </c>
      <c r="Q499" t="n">
        <v>0</v>
      </c>
      <c r="R499" s="2" t="inlineStr"/>
    </row>
    <row r="500" ht="15" customHeight="1">
      <c r="A500" t="inlineStr">
        <is>
          <t>A 7715-2024</t>
        </is>
      </c>
      <c r="B500" s="1" t="n">
        <v>45349</v>
      </c>
      <c r="C500" s="1" t="n">
        <v>45637</v>
      </c>
      <c r="D500" t="inlineStr">
        <is>
          <t>NORRBOTTENS LÄN</t>
        </is>
      </c>
      <c r="E500" t="inlineStr">
        <is>
          <t>JOKKMOKK</t>
        </is>
      </c>
      <c r="G500" t="n">
        <v>4.2</v>
      </c>
      <c r="H500" t="n">
        <v>0</v>
      </c>
      <c r="I500" t="n">
        <v>0</v>
      </c>
      <c r="J500" t="n">
        <v>0</v>
      </c>
      <c r="K500" t="n">
        <v>0</v>
      </c>
      <c r="L500" t="n">
        <v>0</v>
      </c>
      <c r="M500" t="n">
        <v>0</v>
      </c>
      <c r="N500" t="n">
        <v>0</v>
      </c>
      <c r="O500" t="n">
        <v>0</v>
      </c>
      <c r="P500" t="n">
        <v>0</v>
      </c>
      <c r="Q500" t="n">
        <v>0</v>
      </c>
      <c r="R500" s="2" t="inlineStr"/>
    </row>
    <row r="501" ht="15" customHeight="1">
      <c r="A501" t="inlineStr">
        <is>
          <t>A 7845-2024</t>
        </is>
      </c>
      <c r="B501" s="1" t="n">
        <v>45349</v>
      </c>
      <c r="C501" s="1" t="n">
        <v>45637</v>
      </c>
      <c r="D501" t="inlineStr">
        <is>
          <t>NORRBOTTENS LÄN</t>
        </is>
      </c>
      <c r="E501" t="inlineStr">
        <is>
          <t>JOKKMOKK</t>
        </is>
      </c>
      <c r="G501" t="n">
        <v>3</v>
      </c>
      <c r="H501" t="n">
        <v>0</v>
      </c>
      <c r="I501" t="n">
        <v>0</v>
      </c>
      <c r="J501" t="n">
        <v>0</v>
      </c>
      <c r="K501" t="n">
        <v>0</v>
      </c>
      <c r="L501" t="n">
        <v>0</v>
      </c>
      <c r="M501" t="n">
        <v>0</v>
      </c>
      <c r="N501" t="n">
        <v>0</v>
      </c>
      <c r="O501" t="n">
        <v>0</v>
      </c>
      <c r="P501" t="n">
        <v>0</v>
      </c>
      <c r="Q501" t="n">
        <v>0</v>
      </c>
      <c r="R501" s="2" t="inlineStr"/>
    </row>
    <row r="502" ht="15" customHeight="1">
      <c r="A502" t="inlineStr">
        <is>
          <t>A 8073-2024</t>
        </is>
      </c>
      <c r="B502" s="1" t="n">
        <v>45351</v>
      </c>
      <c r="C502" s="1" t="n">
        <v>45637</v>
      </c>
      <c r="D502" t="inlineStr">
        <is>
          <t>NORRBOTTENS LÄN</t>
        </is>
      </c>
      <c r="E502" t="inlineStr">
        <is>
          <t>JOKKMOKK</t>
        </is>
      </c>
      <c r="G502" t="n">
        <v>15.6</v>
      </c>
      <c r="H502" t="n">
        <v>0</v>
      </c>
      <c r="I502" t="n">
        <v>0</v>
      </c>
      <c r="J502" t="n">
        <v>0</v>
      </c>
      <c r="K502" t="n">
        <v>0</v>
      </c>
      <c r="L502" t="n">
        <v>0</v>
      </c>
      <c r="M502" t="n">
        <v>0</v>
      </c>
      <c r="N502" t="n">
        <v>0</v>
      </c>
      <c r="O502" t="n">
        <v>0</v>
      </c>
      <c r="P502" t="n">
        <v>0</v>
      </c>
      <c r="Q502" t="n">
        <v>0</v>
      </c>
      <c r="R502" s="2" t="inlineStr"/>
    </row>
    <row r="503" ht="15" customHeight="1">
      <c r="A503" t="inlineStr">
        <is>
          <t>A 8634-2024</t>
        </is>
      </c>
      <c r="B503" s="1" t="n">
        <v>45356</v>
      </c>
      <c r="C503" s="1" t="n">
        <v>45637</v>
      </c>
      <c r="D503" t="inlineStr">
        <is>
          <t>NORRBOTTENS LÄN</t>
        </is>
      </c>
      <c r="E503" t="inlineStr">
        <is>
          <t>JOKKMOKK</t>
        </is>
      </c>
      <c r="G503" t="n">
        <v>17.1</v>
      </c>
      <c r="H503" t="n">
        <v>0</v>
      </c>
      <c r="I503" t="n">
        <v>0</v>
      </c>
      <c r="J503" t="n">
        <v>0</v>
      </c>
      <c r="K503" t="n">
        <v>0</v>
      </c>
      <c r="L503" t="n">
        <v>0</v>
      </c>
      <c r="M503" t="n">
        <v>0</v>
      </c>
      <c r="N503" t="n">
        <v>0</v>
      </c>
      <c r="O503" t="n">
        <v>0</v>
      </c>
      <c r="P503" t="n">
        <v>0</v>
      </c>
      <c r="Q503" t="n">
        <v>0</v>
      </c>
      <c r="R503" s="2" t="inlineStr"/>
    </row>
    <row r="504" ht="15" customHeight="1">
      <c r="A504" t="inlineStr">
        <is>
          <t>A 11347-2024</t>
        </is>
      </c>
      <c r="B504" s="1" t="n">
        <v>45372</v>
      </c>
      <c r="C504" s="1" t="n">
        <v>45637</v>
      </c>
      <c r="D504" t="inlineStr">
        <is>
          <t>NORRBOTTENS LÄN</t>
        </is>
      </c>
      <c r="E504" t="inlineStr">
        <is>
          <t>JOKKMOKK</t>
        </is>
      </c>
      <c r="G504" t="n">
        <v>1.7</v>
      </c>
      <c r="H504" t="n">
        <v>0</v>
      </c>
      <c r="I504" t="n">
        <v>0</v>
      </c>
      <c r="J504" t="n">
        <v>0</v>
      </c>
      <c r="K504" t="n">
        <v>0</v>
      </c>
      <c r="L504" t="n">
        <v>0</v>
      </c>
      <c r="M504" t="n">
        <v>0</v>
      </c>
      <c r="N504" t="n">
        <v>0</v>
      </c>
      <c r="O504" t="n">
        <v>0</v>
      </c>
      <c r="P504" t="n">
        <v>0</v>
      </c>
      <c r="Q504" t="n">
        <v>0</v>
      </c>
      <c r="R504" s="2" t="inlineStr"/>
    </row>
    <row r="505" ht="15" customHeight="1">
      <c r="A505" t="inlineStr">
        <is>
          <t>A 11348-2024</t>
        </is>
      </c>
      <c r="B505" s="1" t="n">
        <v>45372</v>
      </c>
      <c r="C505" s="1" t="n">
        <v>45637</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11655-2024</t>
        </is>
      </c>
      <c r="B506" s="1" t="n">
        <v>45373</v>
      </c>
      <c r="C506" s="1" t="n">
        <v>45637</v>
      </c>
      <c r="D506" t="inlineStr">
        <is>
          <t>NORRBOTTENS LÄN</t>
        </is>
      </c>
      <c r="E506" t="inlineStr">
        <is>
          <t>JOKKMOKK</t>
        </is>
      </c>
      <c r="G506" t="n">
        <v>19</v>
      </c>
      <c r="H506" t="n">
        <v>0</v>
      </c>
      <c r="I506" t="n">
        <v>0</v>
      </c>
      <c r="J506" t="n">
        <v>0</v>
      </c>
      <c r="K506" t="n">
        <v>0</v>
      </c>
      <c r="L506" t="n">
        <v>0</v>
      </c>
      <c r="M506" t="n">
        <v>0</v>
      </c>
      <c r="N506" t="n">
        <v>0</v>
      </c>
      <c r="O506" t="n">
        <v>0</v>
      </c>
      <c r="P506" t="n">
        <v>0</v>
      </c>
      <c r="Q506" t="n">
        <v>0</v>
      </c>
      <c r="R506" s="2" t="inlineStr"/>
    </row>
    <row r="507" ht="15" customHeight="1">
      <c r="A507" t="inlineStr">
        <is>
          <t>A 11657-2024</t>
        </is>
      </c>
      <c r="B507" s="1" t="n">
        <v>45373</v>
      </c>
      <c r="C507" s="1" t="n">
        <v>45637</v>
      </c>
      <c r="D507" t="inlineStr">
        <is>
          <t>NORRBOTTENS LÄN</t>
        </is>
      </c>
      <c r="E507" t="inlineStr">
        <is>
          <t>JOKKMOKK</t>
        </is>
      </c>
      <c r="G507" t="n">
        <v>14.3</v>
      </c>
      <c r="H507" t="n">
        <v>0</v>
      </c>
      <c r="I507" t="n">
        <v>0</v>
      </c>
      <c r="J507" t="n">
        <v>0</v>
      </c>
      <c r="K507" t="n">
        <v>0</v>
      </c>
      <c r="L507" t="n">
        <v>0</v>
      </c>
      <c r="M507" t="n">
        <v>0</v>
      </c>
      <c r="N507" t="n">
        <v>0</v>
      </c>
      <c r="O507" t="n">
        <v>0</v>
      </c>
      <c r="P507" t="n">
        <v>0</v>
      </c>
      <c r="Q507" t="n">
        <v>0</v>
      </c>
      <c r="R507" s="2" t="inlineStr"/>
    </row>
    <row r="508" ht="15" customHeight="1">
      <c r="A508" t="inlineStr">
        <is>
          <t>A 14567-2024</t>
        </is>
      </c>
      <c r="B508" s="1" t="n">
        <v>45394</v>
      </c>
      <c r="C508" s="1" t="n">
        <v>45637</v>
      </c>
      <c r="D508" t="inlineStr">
        <is>
          <t>NORRBOTTENS LÄN</t>
        </is>
      </c>
      <c r="E508" t="inlineStr">
        <is>
          <t>JOKKMOKK</t>
        </is>
      </c>
      <c r="G508" t="n">
        <v>24.5</v>
      </c>
      <c r="H508" t="n">
        <v>0</v>
      </c>
      <c r="I508" t="n">
        <v>0</v>
      </c>
      <c r="J508" t="n">
        <v>0</v>
      </c>
      <c r="K508" t="n">
        <v>0</v>
      </c>
      <c r="L508" t="n">
        <v>0</v>
      </c>
      <c r="M508" t="n">
        <v>0</v>
      </c>
      <c r="N508" t="n">
        <v>0</v>
      </c>
      <c r="O508" t="n">
        <v>0</v>
      </c>
      <c r="P508" t="n">
        <v>0</v>
      </c>
      <c r="Q508" t="n">
        <v>0</v>
      </c>
      <c r="R508" s="2" t="inlineStr"/>
    </row>
    <row r="509" ht="15" customHeight="1">
      <c r="A509" t="inlineStr">
        <is>
          <t>A 14815-2024</t>
        </is>
      </c>
      <c r="B509" s="1" t="n">
        <v>45398</v>
      </c>
      <c r="C509" s="1" t="n">
        <v>45637</v>
      </c>
      <c r="D509" t="inlineStr">
        <is>
          <t>NORRBOTTENS LÄN</t>
        </is>
      </c>
      <c r="E509" t="inlineStr">
        <is>
          <t>JOKKMOKK</t>
        </is>
      </c>
      <c r="F509" t="inlineStr">
        <is>
          <t>SCA</t>
        </is>
      </c>
      <c r="G509" t="n">
        <v>54.1</v>
      </c>
      <c r="H509" t="n">
        <v>0</v>
      </c>
      <c r="I509" t="n">
        <v>0</v>
      </c>
      <c r="J509" t="n">
        <v>0</v>
      </c>
      <c r="K509" t="n">
        <v>0</v>
      </c>
      <c r="L509" t="n">
        <v>0</v>
      </c>
      <c r="M509" t="n">
        <v>0</v>
      </c>
      <c r="N509" t="n">
        <v>0</v>
      </c>
      <c r="O509" t="n">
        <v>0</v>
      </c>
      <c r="P509" t="n">
        <v>0</v>
      </c>
      <c r="Q509" t="n">
        <v>0</v>
      </c>
      <c r="R509" s="2" t="inlineStr"/>
    </row>
    <row r="510" ht="15" customHeight="1">
      <c r="A510" t="inlineStr">
        <is>
          <t>A 15355-2024</t>
        </is>
      </c>
      <c r="B510" s="1" t="n">
        <v>45400</v>
      </c>
      <c r="C510" s="1" t="n">
        <v>45637</v>
      </c>
      <c r="D510" t="inlineStr">
        <is>
          <t>NORRBOTTENS LÄN</t>
        </is>
      </c>
      <c r="E510" t="inlineStr">
        <is>
          <t>JOKKMOKK</t>
        </is>
      </c>
      <c r="G510" t="n">
        <v>2.9</v>
      </c>
      <c r="H510" t="n">
        <v>0</v>
      </c>
      <c r="I510" t="n">
        <v>0</v>
      </c>
      <c r="J510" t="n">
        <v>0</v>
      </c>
      <c r="K510" t="n">
        <v>0</v>
      </c>
      <c r="L510" t="n">
        <v>0</v>
      </c>
      <c r="M510" t="n">
        <v>0</v>
      </c>
      <c r="N510" t="n">
        <v>0</v>
      </c>
      <c r="O510" t="n">
        <v>0</v>
      </c>
      <c r="P510" t="n">
        <v>0</v>
      </c>
      <c r="Q510" t="n">
        <v>0</v>
      </c>
      <c r="R510" s="2" t="inlineStr"/>
    </row>
    <row r="511" ht="15" customHeight="1">
      <c r="A511" t="inlineStr">
        <is>
          <t>A 16018-2024</t>
        </is>
      </c>
      <c r="B511" s="1" t="n">
        <v>45405</v>
      </c>
      <c r="C511" s="1" t="n">
        <v>45637</v>
      </c>
      <c r="D511" t="inlineStr">
        <is>
          <t>NORRBOTTENS LÄN</t>
        </is>
      </c>
      <c r="E511" t="inlineStr">
        <is>
          <t>JOKKMOKK</t>
        </is>
      </c>
      <c r="G511" t="n">
        <v>1.8</v>
      </c>
      <c r="H511" t="n">
        <v>0</v>
      </c>
      <c r="I511" t="n">
        <v>0</v>
      </c>
      <c r="J511" t="n">
        <v>0</v>
      </c>
      <c r="K511" t="n">
        <v>0</v>
      </c>
      <c r="L511" t="n">
        <v>0</v>
      </c>
      <c r="M511" t="n">
        <v>0</v>
      </c>
      <c r="N511" t="n">
        <v>0</v>
      </c>
      <c r="O511" t="n">
        <v>0</v>
      </c>
      <c r="P511" t="n">
        <v>0</v>
      </c>
      <c r="Q511" t="n">
        <v>0</v>
      </c>
      <c r="R511" s="2" t="inlineStr"/>
    </row>
    <row r="512" ht="15" customHeight="1">
      <c r="A512" t="inlineStr">
        <is>
          <t>A 18602-2024</t>
        </is>
      </c>
      <c r="B512" s="1" t="n">
        <v>45425</v>
      </c>
      <c r="C512" s="1" t="n">
        <v>45637</v>
      </c>
      <c r="D512" t="inlineStr">
        <is>
          <t>NORRBOTTENS LÄN</t>
        </is>
      </c>
      <c r="E512" t="inlineStr">
        <is>
          <t>JOKKMOKK</t>
        </is>
      </c>
      <c r="G512" t="n">
        <v>4.6</v>
      </c>
      <c r="H512" t="n">
        <v>0</v>
      </c>
      <c r="I512" t="n">
        <v>0</v>
      </c>
      <c r="J512" t="n">
        <v>0</v>
      </c>
      <c r="K512" t="n">
        <v>0</v>
      </c>
      <c r="L512" t="n">
        <v>0</v>
      </c>
      <c r="M512" t="n">
        <v>0</v>
      </c>
      <c r="N512" t="n">
        <v>0</v>
      </c>
      <c r="O512" t="n">
        <v>0</v>
      </c>
      <c r="P512" t="n">
        <v>0</v>
      </c>
      <c r="Q512" t="n">
        <v>0</v>
      </c>
      <c r="R512" s="2" t="inlineStr"/>
    </row>
    <row r="513" ht="15" customHeight="1">
      <c r="A513" t="inlineStr">
        <is>
          <t>A 19280-2024</t>
        </is>
      </c>
      <c r="B513" s="1" t="n">
        <v>45428</v>
      </c>
      <c r="C513" s="1" t="n">
        <v>45637</v>
      </c>
      <c r="D513" t="inlineStr">
        <is>
          <t>NORRBOTTENS LÄN</t>
        </is>
      </c>
      <c r="E513" t="inlineStr">
        <is>
          <t>JOKKMOKK</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20293-2024</t>
        </is>
      </c>
      <c r="B514" s="1" t="n">
        <v>45435</v>
      </c>
      <c r="C514" s="1" t="n">
        <v>45637</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20734-2024</t>
        </is>
      </c>
      <c r="B515" s="1" t="n">
        <v>45436</v>
      </c>
      <c r="C515" s="1" t="n">
        <v>45637</v>
      </c>
      <c r="D515" t="inlineStr">
        <is>
          <t>NORRBOTTENS LÄN</t>
        </is>
      </c>
      <c r="E515" t="inlineStr">
        <is>
          <t>JOKKMOKK</t>
        </is>
      </c>
      <c r="F515" t="inlineStr">
        <is>
          <t>Sveaskog</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21354-2024</t>
        </is>
      </c>
      <c r="B516" s="1" t="n">
        <v>45441</v>
      </c>
      <c r="C516" s="1" t="n">
        <v>45637</v>
      </c>
      <c r="D516" t="inlineStr">
        <is>
          <t>NORRBOTTENS LÄN</t>
        </is>
      </c>
      <c r="E516" t="inlineStr">
        <is>
          <t>JOKKMOKK</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21360-2024</t>
        </is>
      </c>
      <c r="B517" s="1" t="n">
        <v>45441</v>
      </c>
      <c r="C517" s="1" t="n">
        <v>45637</v>
      </c>
      <c r="D517" t="inlineStr">
        <is>
          <t>NORRBOTTENS LÄN</t>
        </is>
      </c>
      <c r="E517" t="inlineStr">
        <is>
          <t>JOKKMOKK</t>
        </is>
      </c>
      <c r="F517" t="inlineStr">
        <is>
          <t>SCA</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21353-2024</t>
        </is>
      </c>
      <c r="B518" s="1" t="n">
        <v>45440</v>
      </c>
      <c r="C518" s="1" t="n">
        <v>45637</v>
      </c>
      <c r="D518" t="inlineStr">
        <is>
          <t>NORRBOTTENS LÄN</t>
        </is>
      </c>
      <c r="E518" t="inlineStr">
        <is>
          <t>JOKKMOKK</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21357-2024</t>
        </is>
      </c>
      <c r="B519" s="1" t="n">
        <v>45441</v>
      </c>
      <c r="C519" s="1" t="n">
        <v>45637</v>
      </c>
      <c r="D519" t="inlineStr">
        <is>
          <t>NORRBOTTENS LÄN</t>
        </is>
      </c>
      <c r="E519" t="inlineStr">
        <is>
          <t>JOKKMOKK</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21361-2024</t>
        </is>
      </c>
      <c r="B520" s="1" t="n">
        <v>45441</v>
      </c>
      <c r="C520" s="1" t="n">
        <v>45637</v>
      </c>
      <c r="D520" t="inlineStr">
        <is>
          <t>NORRBOTTENS LÄN</t>
        </is>
      </c>
      <c r="E520" t="inlineStr">
        <is>
          <t>JOKKMOKK</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21359-2024</t>
        </is>
      </c>
      <c r="B521" s="1" t="n">
        <v>45440</v>
      </c>
      <c r="C521" s="1" t="n">
        <v>45637</v>
      </c>
      <c r="D521" t="inlineStr">
        <is>
          <t>NORRBOTTENS LÄN</t>
        </is>
      </c>
      <c r="E521" t="inlineStr">
        <is>
          <t>JOKKMOKK</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23203-2024</t>
        </is>
      </c>
      <c r="B522" s="1" t="n">
        <v>45451</v>
      </c>
      <c r="C522" s="1" t="n">
        <v>45637</v>
      </c>
      <c r="D522" t="inlineStr">
        <is>
          <t>NORRBOTTENS LÄN</t>
        </is>
      </c>
      <c r="E522" t="inlineStr">
        <is>
          <t>JOKKMOKK</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23202-2024</t>
        </is>
      </c>
      <c r="B523" s="1" t="n">
        <v>45451</v>
      </c>
      <c r="C523" s="1" t="n">
        <v>45637</v>
      </c>
      <c r="D523" t="inlineStr">
        <is>
          <t>NORRBOTTENS LÄN</t>
        </is>
      </c>
      <c r="E523" t="inlineStr">
        <is>
          <t>JOKKMOKK</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23201-2024</t>
        </is>
      </c>
      <c r="B524" s="1" t="n">
        <v>45452</v>
      </c>
      <c r="C524" s="1" t="n">
        <v>45637</v>
      </c>
      <c r="D524" t="inlineStr">
        <is>
          <t>NORRBOTTENS LÄN</t>
        </is>
      </c>
      <c r="E524" t="inlineStr">
        <is>
          <t>JOKKMOKK</t>
        </is>
      </c>
      <c r="F524" t="inlineStr">
        <is>
          <t>SCA</t>
        </is>
      </c>
      <c r="G524" t="n">
        <v>14.8</v>
      </c>
      <c r="H524" t="n">
        <v>0</v>
      </c>
      <c r="I524" t="n">
        <v>0</v>
      </c>
      <c r="J524" t="n">
        <v>0</v>
      </c>
      <c r="K524" t="n">
        <v>0</v>
      </c>
      <c r="L524" t="n">
        <v>0</v>
      </c>
      <c r="M524" t="n">
        <v>0</v>
      </c>
      <c r="N524" t="n">
        <v>0</v>
      </c>
      <c r="O524" t="n">
        <v>0</v>
      </c>
      <c r="P524" t="n">
        <v>0</v>
      </c>
      <c r="Q524" t="n">
        <v>0</v>
      </c>
      <c r="R524" s="2" t="inlineStr"/>
    </row>
    <row r="525" ht="15" customHeight="1">
      <c r="A525" t="inlineStr">
        <is>
          <t>A 23204-2024</t>
        </is>
      </c>
      <c r="B525" s="1" t="n">
        <v>45451</v>
      </c>
      <c r="C525" s="1" t="n">
        <v>45637</v>
      </c>
      <c r="D525" t="inlineStr">
        <is>
          <t>NORRBOTTENS LÄN</t>
        </is>
      </c>
      <c r="E525" t="inlineStr">
        <is>
          <t>JOKKMOKK</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25707-2024</t>
        </is>
      </c>
      <c r="B526" s="1" t="n">
        <v>45464</v>
      </c>
      <c r="C526" s="1" t="n">
        <v>45637</v>
      </c>
      <c r="D526" t="inlineStr">
        <is>
          <t>NORRBOTTENS LÄN</t>
        </is>
      </c>
      <c r="E526" t="inlineStr">
        <is>
          <t>JOKKMOKK</t>
        </is>
      </c>
      <c r="F526" t="inlineStr">
        <is>
          <t>Naturvårdsverket</t>
        </is>
      </c>
      <c r="G526" t="n">
        <v>9.5</v>
      </c>
      <c r="H526" t="n">
        <v>0</v>
      </c>
      <c r="I526" t="n">
        <v>0</v>
      </c>
      <c r="J526" t="n">
        <v>0</v>
      </c>
      <c r="K526" t="n">
        <v>0</v>
      </c>
      <c r="L526" t="n">
        <v>0</v>
      </c>
      <c r="M526" t="n">
        <v>0</v>
      </c>
      <c r="N526" t="n">
        <v>0</v>
      </c>
      <c r="O526" t="n">
        <v>0</v>
      </c>
      <c r="P526" t="n">
        <v>0</v>
      </c>
      <c r="Q526" t="n">
        <v>0</v>
      </c>
      <c r="R526" s="2" t="inlineStr"/>
    </row>
    <row r="527" ht="15" customHeight="1">
      <c r="A527" t="inlineStr">
        <is>
          <t>A 25715-2024</t>
        </is>
      </c>
      <c r="B527" s="1" t="n">
        <v>45463</v>
      </c>
      <c r="C527" s="1" t="n">
        <v>45637</v>
      </c>
      <c r="D527" t="inlineStr">
        <is>
          <t>NORRBOTTENS LÄN</t>
        </is>
      </c>
      <c r="E527" t="inlineStr">
        <is>
          <t>JOKKMOKK</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25708-2024</t>
        </is>
      </c>
      <c r="B528" s="1" t="n">
        <v>45464</v>
      </c>
      <c r="C528" s="1" t="n">
        <v>45637</v>
      </c>
      <c r="D528" t="inlineStr">
        <is>
          <t>NORRBOTTENS LÄN</t>
        </is>
      </c>
      <c r="E528" t="inlineStr">
        <is>
          <t>JOKKMOKK</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25722-2024</t>
        </is>
      </c>
      <c r="B529" s="1" t="n">
        <v>45463</v>
      </c>
      <c r="C529" s="1" t="n">
        <v>45637</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25716-2024</t>
        </is>
      </c>
      <c r="B530" s="1" t="n">
        <v>45463</v>
      </c>
      <c r="C530" s="1" t="n">
        <v>45637</v>
      </c>
      <c r="D530" t="inlineStr">
        <is>
          <t>NORRBOTTENS LÄN</t>
        </is>
      </c>
      <c r="E530" t="inlineStr">
        <is>
          <t>JOKKMOKK</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25632-2024</t>
        </is>
      </c>
      <c r="B531" s="1" t="n">
        <v>45463</v>
      </c>
      <c r="C531" s="1" t="n">
        <v>45637</v>
      </c>
      <c r="D531" t="inlineStr">
        <is>
          <t>NORRBOTTENS LÄN</t>
        </is>
      </c>
      <c r="E531" t="inlineStr">
        <is>
          <t>JOKKMOKK</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25616-2024</t>
        </is>
      </c>
      <c r="B532" s="1" t="n">
        <v>45463</v>
      </c>
      <c r="C532" s="1" t="n">
        <v>45637</v>
      </c>
      <c r="D532" t="inlineStr">
        <is>
          <t>NORRBOTTENS LÄN</t>
        </is>
      </c>
      <c r="E532" t="inlineStr">
        <is>
          <t>JOKKMOKK</t>
        </is>
      </c>
      <c r="F532" t="inlineStr">
        <is>
          <t>Sveaskog</t>
        </is>
      </c>
      <c r="G532" t="n">
        <v>19.3</v>
      </c>
      <c r="H532" t="n">
        <v>0</v>
      </c>
      <c r="I532" t="n">
        <v>0</v>
      </c>
      <c r="J532" t="n">
        <v>0</v>
      </c>
      <c r="K532" t="n">
        <v>0</v>
      </c>
      <c r="L532" t="n">
        <v>0</v>
      </c>
      <c r="M532" t="n">
        <v>0</v>
      </c>
      <c r="N532" t="n">
        <v>0</v>
      </c>
      <c r="O532" t="n">
        <v>0</v>
      </c>
      <c r="P532" t="n">
        <v>0</v>
      </c>
      <c r="Q532" t="n">
        <v>0</v>
      </c>
      <c r="R532" s="2" t="inlineStr"/>
    </row>
    <row r="533" ht="15" customHeight="1">
      <c r="A533" t="inlineStr">
        <is>
          <t>A 25634-2024</t>
        </is>
      </c>
      <c r="B533" s="1" t="n">
        <v>45463</v>
      </c>
      <c r="C533" s="1" t="n">
        <v>45637</v>
      </c>
      <c r="D533" t="inlineStr">
        <is>
          <t>NORRBOTTENS LÄN</t>
        </is>
      </c>
      <c r="E533" t="inlineStr">
        <is>
          <t>JOKKMOKK</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25721-2024</t>
        </is>
      </c>
      <c r="B534" s="1" t="n">
        <v>45463</v>
      </c>
      <c r="C534" s="1" t="n">
        <v>45637</v>
      </c>
      <c r="D534" t="inlineStr">
        <is>
          <t>NORRBOTTENS LÄN</t>
        </is>
      </c>
      <c r="E534" t="inlineStr">
        <is>
          <t>JOKKMOKK</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25709-2024</t>
        </is>
      </c>
      <c r="B535" s="1" t="n">
        <v>45464</v>
      </c>
      <c r="C535" s="1" t="n">
        <v>45637</v>
      </c>
      <c r="D535" t="inlineStr">
        <is>
          <t>NORRBOTTENS LÄN</t>
        </is>
      </c>
      <c r="E535" t="inlineStr">
        <is>
          <t>JOKKMOKK</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26969-2024</t>
        </is>
      </c>
      <c r="B536" s="1" t="n">
        <v>45471</v>
      </c>
      <c r="C536" s="1" t="n">
        <v>45637</v>
      </c>
      <c r="D536" t="inlineStr">
        <is>
          <t>NORRBOTTENS LÄN</t>
        </is>
      </c>
      <c r="E536" t="inlineStr">
        <is>
          <t>JOKKMOKK</t>
        </is>
      </c>
      <c r="F536" t="inlineStr">
        <is>
          <t>Sveaskog</t>
        </is>
      </c>
      <c r="G536" t="n">
        <v>5.9</v>
      </c>
      <c r="H536" t="n">
        <v>0</v>
      </c>
      <c r="I536" t="n">
        <v>0</v>
      </c>
      <c r="J536" t="n">
        <v>0</v>
      </c>
      <c r="K536" t="n">
        <v>0</v>
      </c>
      <c r="L536" t="n">
        <v>0</v>
      </c>
      <c r="M536" t="n">
        <v>0</v>
      </c>
      <c r="N536" t="n">
        <v>0</v>
      </c>
      <c r="O536" t="n">
        <v>0</v>
      </c>
      <c r="P536" t="n">
        <v>0</v>
      </c>
      <c r="Q536" t="n">
        <v>0</v>
      </c>
      <c r="R536" s="2" t="inlineStr"/>
    </row>
    <row r="537" ht="15" customHeight="1">
      <c r="A537" t="inlineStr">
        <is>
          <t>A 27652-2024</t>
        </is>
      </c>
      <c r="B537" s="1" t="n">
        <v>45475</v>
      </c>
      <c r="C537" s="1" t="n">
        <v>45637</v>
      </c>
      <c r="D537" t="inlineStr">
        <is>
          <t>NORRBOTTENS LÄN</t>
        </is>
      </c>
      <c r="E537" t="inlineStr">
        <is>
          <t>JOKKMOKK</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27651-2024</t>
        </is>
      </c>
      <c r="B538" s="1" t="n">
        <v>45475</v>
      </c>
      <c r="C538" s="1" t="n">
        <v>45637</v>
      </c>
      <c r="D538" t="inlineStr">
        <is>
          <t>NORRBOTTENS LÄN</t>
        </is>
      </c>
      <c r="E538" t="inlineStr">
        <is>
          <t>JOKKMOKK</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27655-2024</t>
        </is>
      </c>
      <c r="B539" s="1" t="n">
        <v>45475</v>
      </c>
      <c r="C539" s="1" t="n">
        <v>45637</v>
      </c>
      <c r="D539" t="inlineStr">
        <is>
          <t>NORRBOTTENS LÄN</t>
        </is>
      </c>
      <c r="E539" t="inlineStr">
        <is>
          <t>JOKKMOKK</t>
        </is>
      </c>
      <c r="F539" t="inlineStr">
        <is>
          <t>SCA</t>
        </is>
      </c>
      <c r="G539" t="n">
        <v>10.2</v>
      </c>
      <c r="H539" t="n">
        <v>0</v>
      </c>
      <c r="I539" t="n">
        <v>0</v>
      </c>
      <c r="J539" t="n">
        <v>0</v>
      </c>
      <c r="K539" t="n">
        <v>0</v>
      </c>
      <c r="L539" t="n">
        <v>0</v>
      </c>
      <c r="M539" t="n">
        <v>0</v>
      </c>
      <c r="N539" t="n">
        <v>0</v>
      </c>
      <c r="O539" t="n">
        <v>0</v>
      </c>
      <c r="P539" t="n">
        <v>0</v>
      </c>
      <c r="Q539" t="n">
        <v>0</v>
      </c>
      <c r="R539" s="2" t="inlineStr"/>
    </row>
    <row r="540" ht="15" customHeight="1">
      <c r="A540" t="inlineStr">
        <is>
          <t>A 27656-2024</t>
        </is>
      </c>
      <c r="B540" s="1" t="n">
        <v>45475</v>
      </c>
      <c r="C540" s="1" t="n">
        <v>45637</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27650-2024</t>
        </is>
      </c>
      <c r="B541" s="1" t="n">
        <v>45475</v>
      </c>
      <c r="C541" s="1" t="n">
        <v>45637</v>
      </c>
      <c r="D541" t="inlineStr">
        <is>
          <t>NORRBOTTENS LÄN</t>
        </is>
      </c>
      <c r="E541" t="inlineStr">
        <is>
          <t>JOKKMOKK</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27654-2024</t>
        </is>
      </c>
      <c r="B542" s="1" t="n">
        <v>45475</v>
      </c>
      <c r="C542" s="1" t="n">
        <v>45637</v>
      </c>
      <c r="D542" t="inlineStr">
        <is>
          <t>NORRBOTTENS LÄN</t>
        </is>
      </c>
      <c r="E542" t="inlineStr">
        <is>
          <t>JOKKMOKK</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27658-2024</t>
        </is>
      </c>
      <c r="B543" s="1" t="n">
        <v>45475</v>
      </c>
      <c r="C543" s="1" t="n">
        <v>45637</v>
      </c>
      <c r="D543" t="inlineStr">
        <is>
          <t>NORRBOTTENS LÄN</t>
        </is>
      </c>
      <c r="E543" t="inlineStr">
        <is>
          <t>JOKKMOKK</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27653-2024</t>
        </is>
      </c>
      <c r="B544" s="1" t="n">
        <v>45475</v>
      </c>
      <c r="C544" s="1" t="n">
        <v>45637</v>
      </c>
      <c r="D544" t="inlineStr">
        <is>
          <t>NORRBOTTENS LÄN</t>
        </is>
      </c>
      <c r="E544" t="inlineStr">
        <is>
          <t>JOKKMOKK</t>
        </is>
      </c>
      <c r="F544" t="inlineStr">
        <is>
          <t>SCA</t>
        </is>
      </c>
      <c r="G544" t="n">
        <v>7.1</v>
      </c>
      <c r="H544" t="n">
        <v>0</v>
      </c>
      <c r="I544" t="n">
        <v>0</v>
      </c>
      <c r="J544" t="n">
        <v>0</v>
      </c>
      <c r="K544" t="n">
        <v>0</v>
      </c>
      <c r="L544" t="n">
        <v>0</v>
      </c>
      <c r="M544" t="n">
        <v>0</v>
      </c>
      <c r="N544" t="n">
        <v>0</v>
      </c>
      <c r="O544" t="n">
        <v>0</v>
      </c>
      <c r="P544" t="n">
        <v>0</v>
      </c>
      <c r="Q544" t="n">
        <v>0</v>
      </c>
      <c r="R544" s="2" t="inlineStr"/>
    </row>
    <row r="545" ht="15" customHeight="1">
      <c r="A545" t="inlineStr">
        <is>
          <t>A 27657-2024</t>
        </is>
      </c>
      <c r="B545" s="1" t="n">
        <v>45475</v>
      </c>
      <c r="C545" s="1" t="n">
        <v>45637</v>
      </c>
      <c r="D545" t="inlineStr">
        <is>
          <t>NORRBOTTENS LÄN</t>
        </is>
      </c>
      <c r="E545" t="inlineStr">
        <is>
          <t>JOKKMOKK</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28036-2024</t>
        </is>
      </c>
      <c r="B546" s="1" t="n">
        <v>45476</v>
      </c>
      <c r="C546" s="1" t="n">
        <v>45637</v>
      </c>
      <c r="D546" t="inlineStr">
        <is>
          <t>NORRBOTTENS LÄN</t>
        </is>
      </c>
      <c r="E546" t="inlineStr">
        <is>
          <t>JOKKMOKK</t>
        </is>
      </c>
      <c r="G546" t="n">
        <v>7.4</v>
      </c>
      <c r="H546" t="n">
        <v>0</v>
      </c>
      <c r="I546" t="n">
        <v>0</v>
      </c>
      <c r="J546" t="n">
        <v>0</v>
      </c>
      <c r="K546" t="n">
        <v>0</v>
      </c>
      <c r="L546" t="n">
        <v>0</v>
      </c>
      <c r="M546" t="n">
        <v>0</v>
      </c>
      <c r="N546" t="n">
        <v>0</v>
      </c>
      <c r="O546" t="n">
        <v>0</v>
      </c>
      <c r="P546" t="n">
        <v>0</v>
      </c>
      <c r="Q546" t="n">
        <v>0</v>
      </c>
      <c r="R546" s="2" t="inlineStr"/>
    </row>
    <row r="547" ht="15" customHeight="1">
      <c r="A547" t="inlineStr">
        <is>
          <t>A 29213-2024</t>
        </is>
      </c>
      <c r="B547" s="1" t="n">
        <v>45482</v>
      </c>
      <c r="C547" s="1" t="n">
        <v>45637</v>
      </c>
      <c r="D547" t="inlineStr">
        <is>
          <t>NORRBOTTENS LÄN</t>
        </is>
      </c>
      <c r="E547" t="inlineStr">
        <is>
          <t>JOKKMOKK</t>
        </is>
      </c>
      <c r="G547" t="n">
        <v>55</v>
      </c>
      <c r="H547" t="n">
        <v>0</v>
      </c>
      <c r="I547" t="n">
        <v>0</v>
      </c>
      <c r="J547" t="n">
        <v>0</v>
      </c>
      <c r="K547" t="n">
        <v>0</v>
      </c>
      <c r="L547" t="n">
        <v>0</v>
      </c>
      <c r="M547" t="n">
        <v>0</v>
      </c>
      <c r="N547" t="n">
        <v>0</v>
      </c>
      <c r="O547" t="n">
        <v>0</v>
      </c>
      <c r="P547" t="n">
        <v>0</v>
      </c>
      <c r="Q547" t="n">
        <v>0</v>
      </c>
      <c r="R547" s="2" t="inlineStr"/>
    </row>
    <row r="548" ht="15" customHeight="1">
      <c r="A548" t="inlineStr">
        <is>
          <t>A 29212-2024</t>
        </is>
      </c>
      <c r="B548" s="1" t="n">
        <v>45482</v>
      </c>
      <c r="C548" s="1" t="n">
        <v>45637</v>
      </c>
      <c r="D548" t="inlineStr">
        <is>
          <t>NORRBOTTENS LÄN</t>
        </is>
      </c>
      <c r="E548" t="inlineStr">
        <is>
          <t>JOKKMOKK</t>
        </is>
      </c>
      <c r="G548" t="n">
        <v>8.5</v>
      </c>
      <c r="H548" t="n">
        <v>0</v>
      </c>
      <c r="I548" t="n">
        <v>0</v>
      </c>
      <c r="J548" t="n">
        <v>0</v>
      </c>
      <c r="K548" t="n">
        <v>0</v>
      </c>
      <c r="L548" t="n">
        <v>0</v>
      </c>
      <c r="M548" t="n">
        <v>0</v>
      </c>
      <c r="N548" t="n">
        <v>0</v>
      </c>
      <c r="O548" t="n">
        <v>0</v>
      </c>
      <c r="P548" t="n">
        <v>0</v>
      </c>
      <c r="Q548" t="n">
        <v>0</v>
      </c>
      <c r="R548" s="2" t="inlineStr"/>
    </row>
    <row r="549" ht="15" customHeight="1">
      <c r="A549" t="inlineStr">
        <is>
          <t>A 29679-2024</t>
        </is>
      </c>
      <c r="B549" s="1" t="n">
        <v>45485</v>
      </c>
      <c r="C549" s="1" t="n">
        <v>45637</v>
      </c>
      <c r="D549" t="inlineStr">
        <is>
          <t>NORRBOTTENS LÄN</t>
        </is>
      </c>
      <c r="E549" t="inlineStr">
        <is>
          <t>JOKKMOKK</t>
        </is>
      </c>
      <c r="F549" t="inlineStr">
        <is>
          <t>SCA</t>
        </is>
      </c>
      <c r="G549" t="n">
        <v>16.1</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45637</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45637</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45637</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45637</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45637</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45637</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45637</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45637</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45637</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45637</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45637</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45637</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45637</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45637</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45637</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45637</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45637</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45637</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45637</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45637</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45637</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45637</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45637</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45637</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45637</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45637</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45637</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45637</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45637</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45637</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45637</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45637</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45637</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45637</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45637</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45637</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45637</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45637</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45637</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45637</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45637</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45637</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45637</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45637</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45637</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45637</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45637</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45637</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45637</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45637</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45637</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45637</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45637</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45637</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45637</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45637</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45637</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45637</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45637</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45637</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45637</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45637</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45637</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45637</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45637</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45637</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45637</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45637</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45637</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45637</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45637</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45637</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45637</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45637</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45637</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45637</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45637</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45637</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45637</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45637</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45637</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45637</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45637</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45637</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45637</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45637</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45637</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45637</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45637</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45637</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45637</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52130-2024</t>
        </is>
      </c>
      <c r="B641" s="1" t="n">
        <v>45608</v>
      </c>
      <c r="C641" s="1" t="n">
        <v>45637</v>
      </c>
      <c r="D641" t="inlineStr">
        <is>
          <t>NORRBOTTENS LÄN</t>
        </is>
      </c>
      <c r="E641" t="inlineStr">
        <is>
          <t>JOKKMOKK</t>
        </is>
      </c>
      <c r="G641" t="n">
        <v>84</v>
      </c>
      <c r="H641" t="n">
        <v>0</v>
      </c>
      <c r="I641" t="n">
        <v>0</v>
      </c>
      <c r="J641" t="n">
        <v>0</v>
      </c>
      <c r="K641" t="n">
        <v>0</v>
      </c>
      <c r="L641" t="n">
        <v>0</v>
      </c>
      <c r="M641" t="n">
        <v>0</v>
      </c>
      <c r="N641" t="n">
        <v>0</v>
      </c>
      <c r="O641" t="n">
        <v>0</v>
      </c>
      <c r="P641" t="n">
        <v>0</v>
      </c>
      <c r="Q641" t="n">
        <v>0</v>
      </c>
      <c r="R641" s="2" t="inlineStr"/>
    </row>
    <row r="642" ht="15" customHeight="1">
      <c r="A642" t="inlineStr">
        <is>
          <t>A 52289-2024</t>
        </is>
      </c>
      <c r="B642" s="1" t="n">
        <v>45608</v>
      </c>
      <c r="C642" s="1" t="n">
        <v>45637</v>
      </c>
      <c r="D642" t="inlineStr">
        <is>
          <t>NORRBOTTENS LÄN</t>
        </is>
      </c>
      <c r="E642" t="inlineStr">
        <is>
          <t>JOKKMOKK</t>
        </is>
      </c>
      <c r="F642" t="inlineStr">
        <is>
          <t>Allmännings- och besparingsskogar</t>
        </is>
      </c>
      <c r="G642" t="n">
        <v>11.6</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45637</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45637</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45637</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45637</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45637</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53172-2024</t>
        </is>
      </c>
      <c r="B648" s="1" t="n">
        <v>45611</v>
      </c>
      <c r="C648" s="1" t="n">
        <v>45637</v>
      </c>
      <c r="D648" t="inlineStr">
        <is>
          <t>NORRBOTTENS LÄN</t>
        </is>
      </c>
      <c r="E648" t="inlineStr">
        <is>
          <t>JOKKMOKK</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53185-2024</t>
        </is>
      </c>
      <c r="B649" s="1" t="n">
        <v>45611</v>
      </c>
      <c r="C649" s="1" t="n">
        <v>45637</v>
      </c>
      <c r="D649" t="inlineStr">
        <is>
          <t>NORRBOTTENS LÄN</t>
        </is>
      </c>
      <c r="E649" t="inlineStr">
        <is>
          <t>JOKKMOKK</t>
        </is>
      </c>
      <c r="F649" t="inlineStr">
        <is>
          <t>Allmännings- och besparingsskogar</t>
        </is>
      </c>
      <c r="G649" t="n">
        <v>12.8</v>
      </c>
      <c r="H649" t="n">
        <v>0</v>
      </c>
      <c r="I649" t="n">
        <v>0</v>
      </c>
      <c r="J649" t="n">
        <v>0</v>
      </c>
      <c r="K649" t="n">
        <v>0</v>
      </c>
      <c r="L649" t="n">
        <v>0</v>
      </c>
      <c r="M649" t="n">
        <v>0</v>
      </c>
      <c r="N649" t="n">
        <v>0</v>
      </c>
      <c r="O649" t="n">
        <v>0</v>
      </c>
      <c r="P649" t="n">
        <v>0</v>
      </c>
      <c r="Q649" t="n">
        <v>0</v>
      </c>
      <c r="R649" s="2" t="inlineStr"/>
    </row>
    <row r="650" ht="15" customHeight="1">
      <c r="A650" t="inlineStr">
        <is>
          <t>A 53190-2024</t>
        </is>
      </c>
      <c r="B650" s="1" t="n">
        <v>45611</v>
      </c>
      <c r="C650" s="1" t="n">
        <v>45637</v>
      </c>
      <c r="D650" t="inlineStr">
        <is>
          <t>NORRBOTTENS LÄN</t>
        </is>
      </c>
      <c r="E650" t="inlineStr">
        <is>
          <t>JOKKMOKK</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45637</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54670-2024</t>
        </is>
      </c>
      <c r="B652" s="1" t="n">
        <v>45618</v>
      </c>
      <c r="C652" s="1" t="n">
        <v>45637</v>
      </c>
      <c r="D652" t="inlineStr">
        <is>
          <t>NORRBOTTENS LÄN</t>
        </is>
      </c>
      <c r="E652" t="inlineStr">
        <is>
          <t>JOKKMOKK</t>
        </is>
      </c>
      <c r="G652" t="n">
        <v>8.5</v>
      </c>
      <c r="H652" t="n">
        <v>0</v>
      </c>
      <c r="I652" t="n">
        <v>0</v>
      </c>
      <c r="J652" t="n">
        <v>0</v>
      </c>
      <c r="K652" t="n">
        <v>0</v>
      </c>
      <c r="L652" t="n">
        <v>0</v>
      </c>
      <c r="M652" t="n">
        <v>0</v>
      </c>
      <c r="N652" t="n">
        <v>0</v>
      </c>
      <c r="O652" t="n">
        <v>0</v>
      </c>
      <c r="P652" t="n">
        <v>0</v>
      </c>
      <c r="Q652" t="n">
        <v>0</v>
      </c>
      <c r="R652" s="2" t="inlineStr"/>
    </row>
    <row r="653" ht="15" customHeight="1">
      <c r="A653" t="inlineStr">
        <is>
          <t>A 54674-2024</t>
        </is>
      </c>
      <c r="B653" s="1" t="n">
        <v>45618</v>
      </c>
      <c r="C653" s="1" t="n">
        <v>45637</v>
      </c>
      <c r="D653" t="inlineStr">
        <is>
          <t>NORRBOTTENS LÄN</t>
        </is>
      </c>
      <c r="E653" t="inlineStr">
        <is>
          <t>JOKKMOKK</t>
        </is>
      </c>
      <c r="G653" t="n">
        <v>13.9</v>
      </c>
      <c r="H653" t="n">
        <v>0</v>
      </c>
      <c r="I653" t="n">
        <v>0</v>
      </c>
      <c r="J653" t="n">
        <v>0</v>
      </c>
      <c r="K653" t="n">
        <v>0</v>
      </c>
      <c r="L653" t="n">
        <v>0</v>
      </c>
      <c r="M653" t="n">
        <v>0</v>
      </c>
      <c r="N653" t="n">
        <v>0</v>
      </c>
      <c r="O653" t="n">
        <v>0</v>
      </c>
      <c r="P653" t="n">
        <v>0</v>
      </c>
      <c r="Q653" t="n">
        <v>0</v>
      </c>
      <c r="R653" s="2" t="inlineStr"/>
    </row>
    <row r="654" ht="15" customHeight="1">
      <c r="A654" t="inlineStr">
        <is>
          <t>A 55491-2024</t>
        </is>
      </c>
      <c r="B654" s="1" t="n">
        <v>45622</v>
      </c>
      <c r="C654" s="1" t="n">
        <v>45637</v>
      </c>
      <c r="D654" t="inlineStr">
        <is>
          <t>NORRBOTTENS LÄN</t>
        </is>
      </c>
      <c r="E654" t="inlineStr">
        <is>
          <t>JOKKMOKK</t>
        </is>
      </c>
      <c r="F654" t="inlineStr">
        <is>
          <t>Allmännings- och besparingsskogar</t>
        </is>
      </c>
      <c r="G654" t="n">
        <v>25.2</v>
      </c>
      <c r="H654" t="n">
        <v>0</v>
      </c>
      <c r="I654" t="n">
        <v>0</v>
      </c>
      <c r="J654" t="n">
        <v>0</v>
      </c>
      <c r="K654" t="n">
        <v>0</v>
      </c>
      <c r="L654" t="n">
        <v>0</v>
      </c>
      <c r="M654" t="n">
        <v>0</v>
      </c>
      <c r="N654" t="n">
        <v>0</v>
      </c>
      <c r="O654" t="n">
        <v>0</v>
      </c>
      <c r="P654" t="n">
        <v>0</v>
      </c>
      <c r="Q654" t="n">
        <v>0</v>
      </c>
      <c r="R654" s="2" t="inlineStr"/>
    </row>
    <row r="655" ht="15" customHeight="1">
      <c r="A655" t="inlineStr">
        <is>
          <t>A 55635-2024</t>
        </is>
      </c>
      <c r="B655" s="1" t="n">
        <v>45622</v>
      </c>
      <c r="C655" s="1" t="n">
        <v>45637</v>
      </c>
      <c r="D655" t="inlineStr">
        <is>
          <t>NORRBOTTENS LÄN</t>
        </is>
      </c>
      <c r="E655" t="inlineStr">
        <is>
          <t>JOKKMOKK</t>
        </is>
      </c>
      <c r="F655" t="inlineStr">
        <is>
          <t>Allmännings- och besparingsskogar</t>
        </is>
      </c>
      <c r="G655" t="n">
        <v>16</v>
      </c>
      <c r="H655" t="n">
        <v>0</v>
      </c>
      <c r="I655" t="n">
        <v>0</v>
      </c>
      <c r="J655" t="n">
        <v>0</v>
      </c>
      <c r="K655" t="n">
        <v>0</v>
      </c>
      <c r="L655" t="n">
        <v>0</v>
      </c>
      <c r="M655" t="n">
        <v>0</v>
      </c>
      <c r="N655" t="n">
        <v>0</v>
      </c>
      <c r="O655" t="n">
        <v>0</v>
      </c>
      <c r="P655" t="n">
        <v>0</v>
      </c>
      <c r="Q655" t="n">
        <v>0</v>
      </c>
      <c r="R655" s="2" t="inlineStr"/>
    </row>
    <row r="656" ht="15" customHeight="1">
      <c r="A656" t="inlineStr">
        <is>
          <t>A 57371-2024</t>
        </is>
      </c>
      <c r="B656" s="1" t="n">
        <v>45629</v>
      </c>
      <c r="C656" s="1" t="n">
        <v>45637</v>
      </c>
      <c r="D656" t="inlineStr">
        <is>
          <t>NORRBOTTENS LÄN</t>
        </is>
      </c>
      <c r="E656" t="inlineStr">
        <is>
          <t>JOKKMOKK</t>
        </is>
      </c>
      <c r="G656" t="n">
        <v>4.2</v>
      </c>
      <c r="H656" t="n">
        <v>0</v>
      </c>
      <c r="I656" t="n">
        <v>0</v>
      </c>
      <c r="J656" t="n">
        <v>0</v>
      </c>
      <c r="K656" t="n">
        <v>0</v>
      </c>
      <c r="L656" t="n">
        <v>0</v>
      </c>
      <c r="M656" t="n">
        <v>0</v>
      </c>
      <c r="N656" t="n">
        <v>0</v>
      </c>
      <c r="O656" t="n">
        <v>0</v>
      </c>
      <c r="P656" t="n">
        <v>0</v>
      </c>
      <c r="Q656" t="n">
        <v>0</v>
      </c>
      <c r="R656" s="2" t="inlineStr"/>
    </row>
    <row r="657" ht="15" customHeight="1">
      <c r="A657" t="inlineStr">
        <is>
          <t>A 57370-2024</t>
        </is>
      </c>
      <c r="B657" s="1" t="n">
        <v>45629</v>
      </c>
      <c r="C657" s="1" t="n">
        <v>45637</v>
      </c>
      <c r="D657" t="inlineStr">
        <is>
          <t>NORRBOTTENS LÄN</t>
        </is>
      </c>
      <c r="E657" t="inlineStr">
        <is>
          <t>JOKKMOKK</t>
        </is>
      </c>
      <c r="G657" t="n">
        <v>3.1</v>
      </c>
      <c r="H657" t="n">
        <v>0</v>
      </c>
      <c r="I657" t="n">
        <v>0</v>
      </c>
      <c r="J657" t="n">
        <v>0</v>
      </c>
      <c r="K657" t="n">
        <v>0</v>
      </c>
      <c r="L657" t="n">
        <v>0</v>
      </c>
      <c r="M657" t="n">
        <v>0</v>
      </c>
      <c r="N657" t="n">
        <v>0</v>
      </c>
      <c r="O657" t="n">
        <v>0</v>
      </c>
      <c r="P657" t="n">
        <v>0</v>
      </c>
      <c r="Q657" t="n">
        <v>0</v>
      </c>
      <c r="R657" s="2" t="inlineStr"/>
    </row>
    <row r="658" ht="15" customHeight="1">
      <c r="A658" t="inlineStr">
        <is>
          <t>A 57472-2024</t>
        </is>
      </c>
      <c r="B658" s="1" t="n">
        <v>45630</v>
      </c>
      <c r="C658" s="1" t="n">
        <v>45637</v>
      </c>
      <c r="D658" t="inlineStr">
        <is>
          <t>NORRBOTTENS LÄN</t>
        </is>
      </c>
      <c r="E658" t="inlineStr">
        <is>
          <t>JOKKMOKK</t>
        </is>
      </c>
      <c r="F658" t="inlineStr">
        <is>
          <t>Sveaskog</t>
        </is>
      </c>
      <c r="G658" t="n">
        <v>7.6</v>
      </c>
      <c r="H658" t="n">
        <v>0</v>
      </c>
      <c r="I658" t="n">
        <v>0</v>
      </c>
      <c r="J658" t="n">
        <v>0</v>
      </c>
      <c r="K658" t="n">
        <v>0</v>
      </c>
      <c r="L658" t="n">
        <v>0</v>
      </c>
      <c r="M658" t="n">
        <v>0</v>
      </c>
      <c r="N658" t="n">
        <v>0</v>
      </c>
      <c r="O658" t="n">
        <v>0</v>
      </c>
      <c r="P658" t="n">
        <v>0</v>
      </c>
      <c r="Q658" t="n">
        <v>0</v>
      </c>
      <c r="R658" s="2" t="inlineStr"/>
    </row>
    <row r="659" ht="15" customHeight="1">
      <c r="A659" t="inlineStr">
        <is>
          <t>A 58353-2024</t>
        </is>
      </c>
      <c r="B659" s="1" t="n">
        <v>45632</v>
      </c>
      <c r="C659" s="1" t="n">
        <v>45637</v>
      </c>
      <c r="D659" t="inlineStr">
        <is>
          <t>NORRBOTTENS LÄN</t>
        </is>
      </c>
      <c r="E659" t="inlineStr">
        <is>
          <t>JOKKMOKK</t>
        </is>
      </c>
      <c r="G659" t="n">
        <v>1.8</v>
      </c>
      <c r="H659" t="n">
        <v>0</v>
      </c>
      <c r="I659" t="n">
        <v>0</v>
      </c>
      <c r="J659" t="n">
        <v>0</v>
      </c>
      <c r="K659" t="n">
        <v>0</v>
      </c>
      <c r="L659" t="n">
        <v>0</v>
      </c>
      <c r="M659" t="n">
        <v>0</v>
      </c>
      <c r="N659" t="n">
        <v>0</v>
      </c>
      <c r="O659" t="n">
        <v>0</v>
      </c>
      <c r="P659" t="n">
        <v>0</v>
      </c>
      <c r="Q659" t="n">
        <v>0</v>
      </c>
      <c r="R659" s="2" t="inlineStr"/>
    </row>
    <row r="660" ht="15" customHeight="1">
      <c r="A660" t="inlineStr">
        <is>
          <t>A 58365-2024</t>
        </is>
      </c>
      <c r="B660" s="1" t="n">
        <v>45632</v>
      </c>
      <c r="C660" s="1" t="n">
        <v>45637</v>
      </c>
      <c r="D660" t="inlineStr">
        <is>
          <t>NORRBOTTENS LÄN</t>
        </is>
      </c>
      <c r="E660" t="inlineStr">
        <is>
          <t>JOKKMOKK</t>
        </is>
      </c>
      <c r="G660" t="n">
        <v>3.6</v>
      </c>
      <c r="H660" t="n">
        <v>0</v>
      </c>
      <c r="I660" t="n">
        <v>0</v>
      </c>
      <c r="J660" t="n">
        <v>0</v>
      </c>
      <c r="K660" t="n">
        <v>0</v>
      </c>
      <c r="L660" t="n">
        <v>0</v>
      </c>
      <c r="M660" t="n">
        <v>0</v>
      </c>
      <c r="N660" t="n">
        <v>0</v>
      </c>
      <c r="O660" t="n">
        <v>0</v>
      </c>
      <c r="P660" t="n">
        <v>0</v>
      </c>
      <c r="Q660" t="n">
        <v>0</v>
      </c>
      <c r="R660" s="2" t="inlineStr"/>
    </row>
    <row r="661">
      <c r="A661" t="inlineStr">
        <is>
          <t>A 58358-2024</t>
        </is>
      </c>
      <c r="B661" s="1" t="n">
        <v>45632</v>
      </c>
      <c r="C661" s="1" t="n">
        <v>45637</v>
      </c>
      <c r="D661" t="inlineStr">
        <is>
          <t>NORRBOTTENS LÄN</t>
        </is>
      </c>
      <c r="E661" t="inlineStr">
        <is>
          <t>JOKKMOKK</t>
        </is>
      </c>
      <c r="G661" t="n">
        <v>8.800000000000001</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2024-12-11T15:16:10Z</dcterms:created>
  <dcterms:modified xmlns:dcterms="http://purl.org/dc/terms/" xmlns:xsi="http://www.w3.org/2001/XMLSchema-instance" xsi:type="dcterms:W3CDTF">2024-12-11T15:16:10Z</dcterms:modified>
</cp:coreProperties>
</file>