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45362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45362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45362</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45362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45362</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45362</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45362</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45362</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45362</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45362</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45362</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45362</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45362</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25131-2020</t>
        </is>
      </c>
      <c r="B15" s="1" t="n">
        <v>43980</v>
      </c>
      <c r="C15" s="1" t="n">
        <v>45362</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45362</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45362</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65339-2020</t>
        </is>
      </c>
      <c r="B18" s="1" t="n">
        <v>44173</v>
      </c>
      <c r="C18" s="1" t="n">
        <v>45362</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c r="Z18">
        <f>HYPERLINK("https://klasma.github.io/Logging_2510/fåglar/A 65339-2020 prioriterade fågelarter.docx", "A 65339-2020")</f>
        <v/>
      </c>
    </row>
    <row r="19" ht="15" customHeight="1">
      <c r="A19" t="inlineStr">
        <is>
          <t>A 61941-2023</t>
        </is>
      </c>
      <c r="B19" s="1" t="n">
        <v>45266</v>
      </c>
      <c r="C19" s="1" t="n">
        <v>45362</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c r="Z19">
        <f>HYPERLINK("https://klasma.github.io/Logging_2510/fåglar/A 61941-2023 prioriterade fågelarter.docx", "A 61941-2023")</f>
        <v/>
      </c>
    </row>
    <row r="20" ht="15" customHeight="1">
      <c r="A20" t="inlineStr">
        <is>
          <t>A 19776-2019</t>
        </is>
      </c>
      <c r="B20" s="1" t="n">
        <v>43566</v>
      </c>
      <c r="C20" s="1" t="n">
        <v>45362</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c r="Z20">
        <f>HYPERLINK("https://klasma.github.io/Logging_2510/fåglar/A 19776-2019 prioriterade fågelarter.docx", "A 19776-2019")</f>
        <v/>
      </c>
    </row>
    <row r="21" ht="15" customHeight="1">
      <c r="A21" t="inlineStr">
        <is>
          <t>A 28162-2020</t>
        </is>
      </c>
      <c r="B21" s="1" t="n">
        <v>43997</v>
      </c>
      <c r="C21" s="1" t="n">
        <v>45362</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43544-2023</t>
        </is>
      </c>
      <c r="B22" s="1" t="n">
        <v>45184</v>
      </c>
      <c r="C22" s="1" t="n">
        <v>45362</v>
      </c>
      <c r="D22" t="inlineStr">
        <is>
          <t>NORRBOTTENS LÄN</t>
        </is>
      </c>
      <c r="E22" t="inlineStr">
        <is>
          <t>JOKKMOKK</t>
        </is>
      </c>
      <c r="F22" t="inlineStr">
        <is>
          <t>Sveaskog</t>
        </is>
      </c>
      <c r="G22" t="n">
        <v>3.7</v>
      </c>
      <c r="H22" t="n">
        <v>0</v>
      </c>
      <c r="I22" t="n">
        <v>1</v>
      </c>
      <c r="J22" t="n">
        <v>5</v>
      </c>
      <c r="K22" t="n">
        <v>4</v>
      </c>
      <c r="L22" t="n">
        <v>0</v>
      </c>
      <c r="M22" t="n">
        <v>0</v>
      </c>
      <c r="N22" t="n">
        <v>0</v>
      </c>
      <c r="O22" t="n">
        <v>9</v>
      </c>
      <c r="P22" t="n">
        <v>4</v>
      </c>
      <c r="Q22" t="n">
        <v>10</v>
      </c>
      <c r="R22" s="2" t="inlineStr">
        <is>
          <t>Goliatmusseron
Smalfotad taggsvamp
Tajgataggsvamp
Tallgråticka
Blå taggsvamp
Orange taggsvamp
Svart taggsvamp
Tallriska
Talltaggsvamp
Skarp dropptaggsvamp</t>
        </is>
      </c>
      <c r="S22">
        <f>HYPERLINK("https://klasma.github.io/Logging_2510/artfynd/A 43544-2023 artfynd.xlsx", "A 43544-2023")</f>
        <v/>
      </c>
      <c r="T22">
        <f>HYPERLINK("https://klasma.github.io/Logging_2510/kartor/A 43544-2023 karta.png", "A 43544-2023")</f>
        <v/>
      </c>
      <c r="V22">
        <f>HYPERLINK("https://klasma.github.io/Logging_2510/klagomål/A 43544-2023 FSC-klagomål.docx", "A 43544-2023")</f>
        <v/>
      </c>
      <c r="W22">
        <f>HYPERLINK("https://klasma.github.io/Logging_2510/klagomålsmail/A 43544-2023 FSC-klagomål mail.docx", "A 43544-2023")</f>
        <v/>
      </c>
      <c r="X22">
        <f>HYPERLINK("https://klasma.github.io/Logging_2510/tillsyn/A 43544-2023 tillsynsbegäran.docx", "A 43544-2023")</f>
        <v/>
      </c>
      <c r="Y22">
        <f>HYPERLINK("https://klasma.github.io/Logging_2510/tillsynsmail/A 43544-2023 tillsynsbegäran mail.docx", "A 43544-2023")</f>
        <v/>
      </c>
    </row>
    <row r="23" ht="15" customHeight="1">
      <c r="A23" t="inlineStr">
        <is>
          <t>A 53227-2023</t>
        </is>
      </c>
      <c r="B23" s="1" t="n">
        <v>45222</v>
      </c>
      <c r="C23" s="1" t="n">
        <v>45362</v>
      </c>
      <c r="D23" t="inlineStr">
        <is>
          <t>NORRBOTTENS LÄN</t>
        </is>
      </c>
      <c r="E23" t="inlineStr">
        <is>
          <t>JOKKMOKK</t>
        </is>
      </c>
      <c r="F23" t="inlineStr">
        <is>
          <t>Övriga statliga verk och myndigheter</t>
        </is>
      </c>
      <c r="G23" t="n">
        <v>61.5</v>
      </c>
      <c r="H23" t="n">
        <v>0</v>
      </c>
      <c r="I23" t="n">
        <v>2</v>
      </c>
      <c r="J23" t="n">
        <v>6</v>
      </c>
      <c r="K23" t="n">
        <v>2</v>
      </c>
      <c r="L23" t="n">
        <v>0</v>
      </c>
      <c r="M23" t="n">
        <v>0</v>
      </c>
      <c r="N23" t="n">
        <v>0</v>
      </c>
      <c r="O23" t="n">
        <v>8</v>
      </c>
      <c r="P23" t="n">
        <v>2</v>
      </c>
      <c r="Q23" t="n">
        <v>10</v>
      </c>
      <c r="R23" s="2" t="inlineStr">
        <is>
          <t>Smalfotad taggsvamp
Tajgataggsvamp
Blå taggsvamp
Motaggsvamp
Orange taggsvamp
Skrovlig taggsvamp
Talltaggsvamp
Vaddporing
Dropptaggsvamp
Skarp dropptaggsvamp</t>
        </is>
      </c>
      <c r="S23">
        <f>HYPERLINK("https://klasma.github.io/Logging_2510/artfynd/A 53227-2023 artfynd.xlsx", "A 53227-2023")</f>
        <v/>
      </c>
      <c r="T23">
        <f>HYPERLINK("https://klasma.github.io/Logging_2510/kartor/A 53227-2023 karta.png", "A 53227-2023")</f>
        <v/>
      </c>
      <c r="V23">
        <f>HYPERLINK("https://klasma.github.io/Logging_2510/klagomål/A 53227-2023 FSC-klagomål.docx", "A 53227-2023")</f>
        <v/>
      </c>
      <c r="W23">
        <f>HYPERLINK("https://klasma.github.io/Logging_2510/klagomålsmail/A 53227-2023 FSC-klagomål mail.docx", "A 53227-2023")</f>
        <v/>
      </c>
      <c r="X23">
        <f>HYPERLINK("https://klasma.github.io/Logging_2510/tillsyn/A 53227-2023 tillsynsbegäran.docx", "A 53227-2023")</f>
        <v/>
      </c>
      <c r="Y23">
        <f>HYPERLINK("https://klasma.github.io/Logging_2510/tillsynsmail/A 53227-2023 tillsynsbegäran mail.docx", "A 53227-2023")</f>
        <v/>
      </c>
    </row>
    <row r="24" ht="15" customHeight="1">
      <c r="A24" t="inlineStr">
        <is>
          <t>A 58473-2020</t>
        </is>
      </c>
      <c r="B24" s="1" t="n">
        <v>44144</v>
      </c>
      <c r="C24" s="1" t="n">
        <v>45362</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45362</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45362</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20583-2023</t>
        </is>
      </c>
      <c r="B27" s="1" t="n">
        <v>45057</v>
      </c>
      <c r="C27" s="1" t="n">
        <v>45362</v>
      </c>
      <c r="D27" t="inlineStr">
        <is>
          <t>NORRBOTTENS LÄN</t>
        </is>
      </c>
      <c r="E27" t="inlineStr">
        <is>
          <t>JOKKMOKK</t>
        </is>
      </c>
      <c r="G27" t="n">
        <v>4.1</v>
      </c>
      <c r="H27" t="n">
        <v>2</v>
      </c>
      <c r="I27" t="n">
        <v>4</v>
      </c>
      <c r="J27" t="n">
        <v>4</v>
      </c>
      <c r="K27" t="n">
        <v>1</v>
      </c>
      <c r="L27" t="n">
        <v>0</v>
      </c>
      <c r="M27" t="n">
        <v>0</v>
      </c>
      <c r="N27" t="n">
        <v>0</v>
      </c>
      <c r="O27" t="n">
        <v>5</v>
      </c>
      <c r="P27" t="n">
        <v>1</v>
      </c>
      <c r="Q27" t="n">
        <v>9</v>
      </c>
      <c r="R27" s="2" t="inlineStr">
        <is>
          <t>Knärot
Gammelgransskål
Garnlav
Lunglav
Tretåig hackspett
Bårdlav
Luddlav
Norrlandslav
Stuplav</t>
        </is>
      </c>
      <c r="S27">
        <f>HYPERLINK("https://klasma.github.io/Logging_2510/artfynd/A 20583-2023 artfynd.xlsx", "A 20583-2023")</f>
        <v/>
      </c>
      <c r="T27">
        <f>HYPERLINK("https://klasma.github.io/Logging_2510/kartor/A 20583-2023 karta.png", "A 20583-2023")</f>
        <v/>
      </c>
      <c r="U27">
        <f>HYPERLINK("https://klasma.github.io/Logging_2510/knärot/A 20583-2023 karta knärot.png", "A 20583-2023")</f>
        <v/>
      </c>
      <c r="V27">
        <f>HYPERLINK("https://klasma.github.io/Logging_2510/klagomål/A 20583-2023 FSC-klagomål.docx", "A 20583-2023")</f>
        <v/>
      </c>
      <c r="W27">
        <f>HYPERLINK("https://klasma.github.io/Logging_2510/klagomålsmail/A 20583-2023 FSC-klagomål mail.docx", "A 20583-2023")</f>
        <v/>
      </c>
      <c r="X27">
        <f>HYPERLINK("https://klasma.github.io/Logging_2510/tillsyn/A 20583-2023 tillsynsbegäran.docx", "A 20583-2023")</f>
        <v/>
      </c>
      <c r="Y27">
        <f>HYPERLINK("https://klasma.github.io/Logging_2510/tillsynsmail/A 20583-2023 tillsynsbegäran mail.docx", "A 20583-2023")</f>
        <v/>
      </c>
      <c r="Z27">
        <f>HYPERLINK("https://klasma.github.io/Logging_2510/fåglar/A 20583-2023 prioriterade fågelarter.docx", "A 20583-2023")</f>
        <v/>
      </c>
    </row>
    <row r="28" ht="15" customHeight="1">
      <c r="A28" t="inlineStr">
        <is>
          <t>A 42793-2020</t>
        </is>
      </c>
      <c r="B28" s="1" t="n">
        <v>44076</v>
      </c>
      <c r="C28" s="1" t="n">
        <v>45362</v>
      </c>
      <c r="D28" t="inlineStr">
        <is>
          <t>NORRBOTTENS LÄN</t>
        </is>
      </c>
      <c r="E28" t="inlineStr">
        <is>
          <t>JOKKMOKK</t>
        </is>
      </c>
      <c r="F28" t="inlineStr">
        <is>
          <t>Övriga statliga verk och myndigheter</t>
        </is>
      </c>
      <c r="G28" t="n">
        <v>13.2</v>
      </c>
      <c r="H28" t="n">
        <v>0</v>
      </c>
      <c r="I28" t="n">
        <v>1</v>
      </c>
      <c r="J28" t="n">
        <v>7</v>
      </c>
      <c r="K28" t="n">
        <v>0</v>
      </c>
      <c r="L28" t="n">
        <v>0</v>
      </c>
      <c r="M28" t="n">
        <v>0</v>
      </c>
      <c r="N28" t="n">
        <v>0</v>
      </c>
      <c r="O28" t="n">
        <v>7</v>
      </c>
      <c r="P28" t="n">
        <v>0</v>
      </c>
      <c r="Q28" t="n">
        <v>8</v>
      </c>
      <c r="R28" s="2" t="inlineStr">
        <is>
          <t>Dvärgbägarlav
Gammelgransskål
Granticka
Harticka
Knottrig blåslav
Rosenticka
Ullticka
Ögonpyrola</t>
        </is>
      </c>
      <c r="S28">
        <f>HYPERLINK("https://klasma.github.io/Logging_2510/artfynd/A 42793-2020 artfynd.xlsx", "A 42793-2020")</f>
        <v/>
      </c>
      <c r="T28">
        <f>HYPERLINK("https://klasma.github.io/Logging_2510/kartor/A 42793-2020 karta.png", "A 42793-2020")</f>
        <v/>
      </c>
      <c r="V28">
        <f>HYPERLINK("https://klasma.github.io/Logging_2510/klagomål/A 42793-2020 FSC-klagomål.docx", "A 42793-2020")</f>
        <v/>
      </c>
      <c r="W28">
        <f>HYPERLINK("https://klasma.github.io/Logging_2510/klagomålsmail/A 42793-2020 FSC-klagomål mail.docx", "A 42793-2020")</f>
        <v/>
      </c>
      <c r="X28">
        <f>HYPERLINK("https://klasma.github.io/Logging_2510/tillsyn/A 42793-2020 tillsynsbegäran.docx", "A 42793-2020")</f>
        <v/>
      </c>
      <c r="Y28">
        <f>HYPERLINK("https://klasma.github.io/Logging_2510/tillsynsmail/A 42793-2020 tillsynsbegäran mail.docx", "A 42793-2020")</f>
        <v/>
      </c>
    </row>
    <row r="29" ht="15" customHeight="1">
      <c r="A29" t="inlineStr">
        <is>
          <t>A 23018-2023</t>
        </is>
      </c>
      <c r="B29" s="1" t="n">
        <v>45073</v>
      </c>
      <c r="C29" s="1" t="n">
        <v>45362</v>
      </c>
      <c r="D29" t="inlineStr">
        <is>
          <t>NORRBOTTENS LÄN</t>
        </is>
      </c>
      <c r="E29" t="inlineStr">
        <is>
          <t>JOKKMOKK</t>
        </is>
      </c>
      <c r="F29" t="inlineStr">
        <is>
          <t>SCA</t>
        </is>
      </c>
      <c r="G29" t="n">
        <v>2.9</v>
      </c>
      <c r="H29" t="n">
        <v>3</v>
      </c>
      <c r="I29" t="n">
        <v>1</v>
      </c>
      <c r="J29" t="n">
        <v>6</v>
      </c>
      <c r="K29" t="n">
        <v>0</v>
      </c>
      <c r="L29" t="n">
        <v>0</v>
      </c>
      <c r="M29" t="n">
        <v>0</v>
      </c>
      <c r="N29" t="n">
        <v>0</v>
      </c>
      <c r="O29" t="n">
        <v>6</v>
      </c>
      <c r="P29" t="n">
        <v>0</v>
      </c>
      <c r="Q29" t="n">
        <v>8</v>
      </c>
      <c r="R29" s="2" t="inlineStr">
        <is>
          <t>Järpe
Knottrig blåslav
Motaggsvamp
Orange taggsvamp
Talltita
Vedskivlav
Norrlandslav
Revlummer</t>
        </is>
      </c>
      <c r="S29">
        <f>HYPERLINK("https://klasma.github.io/Logging_2510/artfynd/A 23018-2023 artfynd.xlsx", "A 23018-2023")</f>
        <v/>
      </c>
      <c r="T29">
        <f>HYPERLINK("https://klasma.github.io/Logging_2510/kartor/A 23018-2023 karta.png", "A 23018-2023")</f>
        <v/>
      </c>
      <c r="V29">
        <f>HYPERLINK("https://klasma.github.io/Logging_2510/klagomål/A 23018-2023 FSC-klagomål.docx", "A 23018-2023")</f>
        <v/>
      </c>
      <c r="W29">
        <f>HYPERLINK("https://klasma.github.io/Logging_2510/klagomålsmail/A 23018-2023 FSC-klagomål mail.docx", "A 23018-2023")</f>
        <v/>
      </c>
      <c r="X29">
        <f>HYPERLINK("https://klasma.github.io/Logging_2510/tillsyn/A 23018-2023 tillsynsbegäran.docx", "A 23018-2023")</f>
        <v/>
      </c>
      <c r="Y29">
        <f>HYPERLINK("https://klasma.github.io/Logging_2510/tillsynsmail/A 23018-2023 tillsynsbegäran mail.docx", "A 23018-2023")</f>
        <v/>
      </c>
      <c r="Z29">
        <f>HYPERLINK("https://klasma.github.io/Logging_2510/fåglar/A 23018-2023 prioriterade fågelarter.docx", "A 23018-2023")</f>
        <v/>
      </c>
    </row>
    <row r="30" ht="15" customHeight="1">
      <c r="A30" t="inlineStr">
        <is>
          <t>A 51520-2020</t>
        </is>
      </c>
      <c r="B30" s="1" t="n">
        <v>44109</v>
      </c>
      <c r="C30" s="1" t="n">
        <v>45362</v>
      </c>
      <c r="D30" t="inlineStr">
        <is>
          <t>NORRBOTTENS LÄN</t>
        </is>
      </c>
      <c r="E30" t="inlineStr">
        <is>
          <t>JOKKMOKK</t>
        </is>
      </c>
      <c r="F30" t="inlineStr">
        <is>
          <t>Allmännings- och besparingsskogar</t>
        </is>
      </c>
      <c r="G30" t="n">
        <v>30.5</v>
      </c>
      <c r="H30" t="n">
        <v>1</v>
      </c>
      <c r="I30" t="n">
        <v>1</v>
      </c>
      <c r="J30" t="n">
        <v>5</v>
      </c>
      <c r="K30" t="n">
        <v>1</v>
      </c>
      <c r="L30" t="n">
        <v>0</v>
      </c>
      <c r="M30" t="n">
        <v>0</v>
      </c>
      <c r="N30" t="n">
        <v>0</v>
      </c>
      <c r="O30" t="n">
        <v>6</v>
      </c>
      <c r="P30" t="n">
        <v>1</v>
      </c>
      <c r="Q30" t="n">
        <v>7</v>
      </c>
      <c r="R30" s="2" t="inlineStr">
        <is>
          <t>Mörk blåslav
Dvärgbägarlav
Gammelgransskål
Granticka
Tretåig hackspett
Ullticka
Skinnlav</t>
        </is>
      </c>
      <c r="S30">
        <f>HYPERLINK("https://klasma.github.io/Logging_2510/artfynd/A 51520-2020 artfynd.xlsx", "A 51520-2020")</f>
        <v/>
      </c>
      <c r="T30">
        <f>HYPERLINK("https://klasma.github.io/Logging_2510/kartor/A 51520-2020 karta.png", "A 51520-2020")</f>
        <v/>
      </c>
      <c r="V30">
        <f>HYPERLINK("https://klasma.github.io/Logging_2510/klagomål/A 51520-2020 FSC-klagomål.docx", "A 51520-2020")</f>
        <v/>
      </c>
      <c r="W30">
        <f>HYPERLINK("https://klasma.github.io/Logging_2510/klagomålsmail/A 51520-2020 FSC-klagomål mail.docx", "A 51520-2020")</f>
        <v/>
      </c>
      <c r="X30">
        <f>HYPERLINK("https://klasma.github.io/Logging_2510/tillsyn/A 51520-2020 tillsynsbegäran.docx", "A 51520-2020")</f>
        <v/>
      </c>
      <c r="Y30">
        <f>HYPERLINK("https://klasma.github.io/Logging_2510/tillsynsmail/A 51520-2020 tillsynsbegäran mail.docx", "A 51520-2020")</f>
        <v/>
      </c>
      <c r="Z30">
        <f>HYPERLINK("https://klasma.github.io/Logging_2510/fåglar/A 51520-2020 prioriterade fågelarter.docx", "A 51520-2020")</f>
        <v/>
      </c>
    </row>
    <row r="31" ht="15" customHeight="1">
      <c r="A31" t="inlineStr">
        <is>
          <t>A 65342-2020</t>
        </is>
      </c>
      <c r="B31" s="1" t="n">
        <v>44173</v>
      </c>
      <c r="C31" s="1" t="n">
        <v>45362</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52515-2023</t>
        </is>
      </c>
      <c r="B32" s="1" t="n">
        <v>45218</v>
      </c>
      <c r="C32" s="1" t="n">
        <v>45362</v>
      </c>
      <c r="D32" t="inlineStr">
        <is>
          <t>NORRBOTTENS LÄN</t>
        </is>
      </c>
      <c r="E32" t="inlineStr">
        <is>
          <t>JOKKMOKK</t>
        </is>
      </c>
      <c r="F32" t="inlineStr">
        <is>
          <t>Övriga statliga verk och myndigheter</t>
        </is>
      </c>
      <c r="G32" t="n">
        <v>31.3</v>
      </c>
      <c r="H32" t="n">
        <v>0</v>
      </c>
      <c r="I32" t="n">
        <v>1</v>
      </c>
      <c r="J32" t="n">
        <v>5</v>
      </c>
      <c r="K32" t="n">
        <v>1</v>
      </c>
      <c r="L32" t="n">
        <v>0</v>
      </c>
      <c r="M32" t="n">
        <v>0</v>
      </c>
      <c r="N32" t="n">
        <v>0</v>
      </c>
      <c r="O32" t="n">
        <v>6</v>
      </c>
      <c r="P32" t="n">
        <v>1</v>
      </c>
      <c r="Q32" t="n">
        <v>7</v>
      </c>
      <c r="R32" s="2" t="inlineStr">
        <is>
          <t>Tallgråticka
Blå taggsvamp
Motaggsvamp
Orange taggsvamp
Skrovlig taggsvamp
Vedflamlav
Dropptaggsvamp</t>
        </is>
      </c>
      <c r="S32">
        <f>HYPERLINK("https://klasma.github.io/Logging_2510/artfynd/A 52515-2023 artfynd.xlsx", "A 52515-2023")</f>
        <v/>
      </c>
      <c r="T32">
        <f>HYPERLINK("https://klasma.github.io/Logging_2510/kartor/A 52515-2023 karta.png", "A 52515-2023")</f>
        <v/>
      </c>
      <c r="V32">
        <f>HYPERLINK("https://klasma.github.io/Logging_2510/klagomål/A 52515-2023 FSC-klagomål.docx", "A 52515-2023")</f>
        <v/>
      </c>
      <c r="W32">
        <f>HYPERLINK("https://klasma.github.io/Logging_2510/klagomålsmail/A 52515-2023 FSC-klagomål mail.docx", "A 52515-2023")</f>
        <v/>
      </c>
      <c r="X32">
        <f>HYPERLINK("https://klasma.github.io/Logging_2510/tillsyn/A 52515-2023 tillsynsbegäran.docx", "A 52515-2023")</f>
        <v/>
      </c>
      <c r="Y32">
        <f>HYPERLINK("https://klasma.github.io/Logging_2510/tillsynsmail/A 52515-2023 tillsynsbegäran mail.docx", "A 52515-2023")</f>
        <v/>
      </c>
    </row>
    <row r="33" ht="15" customHeight="1">
      <c r="A33" t="inlineStr">
        <is>
          <t>A 61965-2023</t>
        </is>
      </c>
      <c r="B33" s="1" t="n">
        <v>45266</v>
      </c>
      <c r="C33" s="1" t="n">
        <v>45362</v>
      </c>
      <c r="D33" t="inlineStr">
        <is>
          <t>NORRBOTTENS LÄN</t>
        </is>
      </c>
      <c r="E33" t="inlineStr">
        <is>
          <t>JOKKMOKK</t>
        </is>
      </c>
      <c r="F33" t="inlineStr">
        <is>
          <t>Allmännings- och besparingsskogar</t>
        </is>
      </c>
      <c r="G33" t="n">
        <v>13.6</v>
      </c>
      <c r="H33" t="n">
        <v>1</v>
      </c>
      <c r="I33" t="n">
        <v>2</v>
      </c>
      <c r="J33" t="n">
        <v>4</v>
      </c>
      <c r="K33" t="n">
        <v>1</v>
      </c>
      <c r="L33" t="n">
        <v>0</v>
      </c>
      <c r="M33" t="n">
        <v>0</v>
      </c>
      <c r="N33" t="n">
        <v>0</v>
      </c>
      <c r="O33" t="n">
        <v>5</v>
      </c>
      <c r="P33" t="n">
        <v>1</v>
      </c>
      <c r="Q33" t="n">
        <v>7</v>
      </c>
      <c r="R33" s="2" t="inlineStr">
        <is>
          <t>Lammticka
Blå taggsvamp
Skrovlig taggsvamp
Tretåig hackspett
Vedskivlav
Dropptaggsvamp
Skarp dropptaggsvamp</t>
        </is>
      </c>
      <c r="S33">
        <f>HYPERLINK("https://klasma.github.io/Logging_2510/artfynd/A 61965-2023 artfynd.xlsx", "A 61965-2023")</f>
        <v/>
      </c>
      <c r="T33">
        <f>HYPERLINK("https://klasma.github.io/Logging_2510/kartor/A 61965-2023 karta.png", "A 61965-2023")</f>
        <v/>
      </c>
      <c r="V33">
        <f>HYPERLINK("https://klasma.github.io/Logging_2510/klagomål/A 61965-2023 FSC-klagomål.docx", "A 61965-2023")</f>
        <v/>
      </c>
      <c r="W33">
        <f>HYPERLINK("https://klasma.github.io/Logging_2510/klagomålsmail/A 61965-2023 FSC-klagomål mail.docx", "A 61965-2023")</f>
        <v/>
      </c>
      <c r="X33">
        <f>HYPERLINK("https://klasma.github.io/Logging_2510/tillsyn/A 61965-2023 tillsynsbegäran.docx", "A 61965-2023")</f>
        <v/>
      </c>
      <c r="Y33">
        <f>HYPERLINK("https://klasma.github.io/Logging_2510/tillsynsmail/A 61965-2023 tillsynsbegäran mail.docx", "A 61965-2023")</f>
        <v/>
      </c>
      <c r="Z33">
        <f>HYPERLINK("https://klasma.github.io/Logging_2510/fåglar/A 61965-2023 prioriterade fågelarter.docx", "A 61965-2023")</f>
        <v/>
      </c>
    </row>
    <row r="34" ht="15" customHeight="1">
      <c r="A34" t="inlineStr">
        <is>
          <t>A 59029-2018</t>
        </is>
      </c>
      <c r="B34" s="1" t="n">
        <v>43416</v>
      </c>
      <c r="C34" s="1" t="n">
        <v>45362</v>
      </c>
      <c r="D34" t="inlineStr">
        <is>
          <t>NORRBOTTENS LÄN</t>
        </is>
      </c>
      <c r="E34" t="inlineStr">
        <is>
          <t>JOKKMOKK</t>
        </is>
      </c>
      <c r="F34" t="inlineStr">
        <is>
          <t>SCA</t>
        </is>
      </c>
      <c r="G34" t="n">
        <v>21.3</v>
      </c>
      <c r="H34" t="n">
        <v>0</v>
      </c>
      <c r="I34" t="n">
        <v>1</v>
      </c>
      <c r="J34" t="n">
        <v>4</v>
      </c>
      <c r="K34" t="n">
        <v>1</v>
      </c>
      <c r="L34" t="n">
        <v>0</v>
      </c>
      <c r="M34" t="n">
        <v>0</v>
      </c>
      <c r="N34" t="n">
        <v>0</v>
      </c>
      <c r="O34" t="n">
        <v>5</v>
      </c>
      <c r="P34" t="n">
        <v>1</v>
      </c>
      <c r="Q34" t="n">
        <v>6</v>
      </c>
      <c r="R34" s="2" t="inlineStr">
        <is>
          <t>Gräddporing
Blå taggsvamp
Orange taggsvamp
Skrovlig taggsvamp
Vaddporing
Skarp dropptaggsvamp</t>
        </is>
      </c>
      <c r="S34">
        <f>HYPERLINK("https://klasma.github.io/Logging_2510/artfynd/A 59029-2018 artfynd.xlsx", "A 59029-2018")</f>
        <v/>
      </c>
      <c r="T34">
        <f>HYPERLINK("https://klasma.github.io/Logging_2510/kartor/A 59029-2018 karta.png", "A 59029-2018")</f>
        <v/>
      </c>
      <c r="V34">
        <f>HYPERLINK("https://klasma.github.io/Logging_2510/klagomål/A 59029-2018 FSC-klagomål.docx", "A 59029-2018")</f>
        <v/>
      </c>
      <c r="W34">
        <f>HYPERLINK("https://klasma.github.io/Logging_2510/klagomålsmail/A 59029-2018 FSC-klagomål mail.docx", "A 59029-2018")</f>
        <v/>
      </c>
      <c r="X34">
        <f>HYPERLINK("https://klasma.github.io/Logging_2510/tillsyn/A 59029-2018 tillsynsbegäran.docx", "A 59029-2018")</f>
        <v/>
      </c>
      <c r="Y34">
        <f>HYPERLINK("https://klasma.github.io/Logging_2510/tillsynsmail/A 59029-2018 tillsynsbegäran mail.docx", "A 59029-2018")</f>
        <v/>
      </c>
    </row>
    <row r="35" ht="15" customHeight="1">
      <c r="A35" t="inlineStr">
        <is>
          <t>A 36552-2019</t>
        </is>
      </c>
      <c r="B35" s="1" t="n">
        <v>43669</v>
      </c>
      <c r="C35" s="1" t="n">
        <v>45362</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45362</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45362</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45362</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45362</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45362</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45362</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45362</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45362</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45362</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45362</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49513-2023</t>
        </is>
      </c>
      <c r="B46" s="1" t="n">
        <v>45211</v>
      </c>
      <c r="C46" s="1" t="n">
        <v>45362</v>
      </c>
      <c r="D46" t="inlineStr">
        <is>
          <t>NORRBOTTENS LÄN</t>
        </is>
      </c>
      <c r="E46" t="inlineStr">
        <is>
          <t>JOKKMOKK</t>
        </is>
      </c>
      <c r="F46" t="inlineStr">
        <is>
          <t>Sveaskog</t>
        </is>
      </c>
      <c r="G46" t="n">
        <v>34.1</v>
      </c>
      <c r="H46" t="n">
        <v>1</v>
      </c>
      <c r="I46" t="n">
        <v>2</v>
      </c>
      <c r="J46" t="n">
        <v>2</v>
      </c>
      <c r="K46" t="n">
        <v>0</v>
      </c>
      <c r="L46" t="n">
        <v>0</v>
      </c>
      <c r="M46" t="n">
        <v>0</v>
      </c>
      <c r="N46" t="n">
        <v>0</v>
      </c>
      <c r="O46" t="n">
        <v>2</v>
      </c>
      <c r="P46" t="n">
        <v>0</v>
      </c>
      <c r="Q46" t="n">
        <v>4</v>
      </c>
      <c r="R46" s="2" t="inlineStr">
        <is>
          <t>Garnlav
Tallriska
Plattlummer
Stuplav</t>
        </is>
      </c>
      <c r="S46">
        <f>HYPERLINK("https://klasma.github.io/Logging_2510/artfynd/A 49513-2023 artfynd.xlsx", "A 49513-2023")</f>
        <v/>
      </c>
      <c r="T46">
        <f>HYPERLINK("https://klasma.github.io/Logging_2510/kartor/A 49513-2023 karta.png", "A 49513-2023")</f>
        <v/>
      </c>
      <c r="V46">
        <f>HYPERLINK("https://klasma.github.io/Logging_2510/klagomål/A 49513-2023 FSC-klagomål.docx", "A 49513-2023")</f>
        <v/>
      </c>
      <c r="W46">
        <f>HYPERLINK("https://klasma.github.io/Logging_2510/klagomålsmail/A 49513-2023 FSC-klagomål mail.docx", "A 49513-2023")</f>
        <v/>
      </c>
      <c r="X46">
        <f>HYPERLINK("https://klasma.github.io/Logging_2510/tillsyn/A 49513-2023 tillsynsbegäran.docx", "A 49513-2023")</f>
        <v/>
      </c>
      <c r="Y46">
        <f>HYPERLINK("https://klasma.github.io/Logging_2510/tillsynsmail/A 49513-2023 tillsynsbegäran mail.docx", "A 49513-2023")</f>
        <v/>
      </c>
    </row>
    <row r="47" ht="15" customHeight="1">
      <c r="A47" t="inlineStr">
        <is>
          <t>A 52523-2023</t>
        </is>
      </c>
      <c r="B47" s="1" t="n">
        <v>45218</v>
      </c>
      <c r="C47" s="1" t="n">
        <v>45362</v>
      </c>
      <c r="D47" t="inlineStr">
        <is>
          <t>NORRBOTTENS LÄN</t>
        </is>
      </c>
      <c r="E47" t="inlineStr">
        <is>
          <t>JOKKMOKK</t>
        </is>
      </c>
      <c r="F47" t="inlineStr">
        <is>
          <t>Övriga statliga verk och myndigheter</t>
        </is>
      </c>
      <c r="G47" t="n">
        <v>12.9</v>
      </c>
      <c r="H47" t="n">
        <v>0</v>
      </c>
      <c r="I47" t="n">
        <v>2</v>
      </c>
      <c r="J47" t="n">
        <v>2</v>
      </c>
      <c r="K47" t="n">
        <v>0</v>
      </c>
      <c r="L47" t="n">
        <v>0</v>
      </c>
      <c r="M47" t="n">
        <v>0</v>
      </c>
      <c r="N47" t="n">
        <v>0</v>
      </c>
      <c r="O47" t="n">
        <v>2</v>
      </c>
      <c r="P47" t="n">
        <v>0</v>
      </c>
      <c r="Q47" t="n">
        <v>4</v>
      </c>
      <c r="R47" s="2" t="inlineStr">
        <is>
          <t>Motaggsvamp
Vaddporing
Dropptaggsvamp
Vedticka</t>
        </is>
      </c>
      <c r="S47">
        <f>HYPERLINK("https://klasma.github.io/Logging_2510/artfynd/A 52523-2023 artfynd.xlsx", "A 52523-2023")</f>
        <v/>
      </c>
      <c r="T47">
        <f>HYPERLINK("https://klasma.github.io/Logging_2510/kartor/A 52523-2023 karta.png", "A 52523-2023")</f>
        <v/>
      </c>
      <c r="V47">
        <f>HYPERLINK("https://klasma.github.io/Logging_2510/klagomål/A 52523-2023 FSC-klagomål.docx", "A 52523-2023")</f>
        <v/>
      </c>
      <c r="W47">
        <f>HYPERLINK("https://klasma.github.io/Logging_2510/klagomålsmail/A 52523-2023 FSC-klagomål mail.docx", "A 52523-2023")</f>
        <v/>
      </c>
      <c r="X47">
        <f>HYPERLINK("https://klasma.github.io/Logging_2510/tillsyn/A 52523-2023 tillsynsbegäran.docx", "A 52523-2023")</f>
        <v/>
      </c>
      <c r="Y47">
        <f>HYPERLINK("https://klasma.github.io/Logging_2510/tillsynsmail/A 52523-2023 tillsynsbegäran mail.docx", "A 52523-2023")</f>
        <v/>
      </c>
    </row>
    <row r="48" ht="15" customHeight="1">
      <c r="A48" t="inlineStr">
        <is>
          <t>A 25619-2019</t>
        </is>
      </c>
      <c r="B48" s="1" t="n">
        <v>43602</v>
      </c>
      <c r="C48" s="1" t="n">
        <v>45362</v>
      </c>
      <c r="D48" t="inlineStr">
        <is>
          <t>NORRBOTTENS LÄN</t>
        </is>
      </c>
      <c r="E48" t="inlineStr">
        <is>
          <t>JOKKMOKK</t>
        </is>
      </c>
      <c r="F48" t="inlineStr">
        <is>
          <t>Allmännings- och besparingsskogar</t>
        </is>
      </c>
      <c r="G48" t="n">
        <v>37.3</v>
      </c>
      <c r="H48" t="n">
        <v>0</v>
      </c>
      <c r="I48" t="n">
        <v>0</v>
      </c>
      <c r="J48" t="n">
        <v>3</v>
      </c>
      <c r="K48" t="n">
        <v>0</v>
      </c>
      <c r="L48" t="n">
        <v>0</v>
      </c>
      <c r="M48" t="n">
        <v>0</v>
      </c>
      <c r="N48" t="n">
        <v>0</v>
      </c>
      <c r="O48" t="n">
        <v>3</v>
      </c>
      <c r="P48" t="n">
        <v>0</v>
      </c>
      <c r="Q48" t="n">
        <v>3</v>
      </c>
      <c r="R48" s="2" t="inlineStr">
        <is>
          <t>Gammelgransskål
Motaggsvamp
Vaddporing</t>
        </is>
      </c>
      <c r="S48">
        <f>HYPERLINK("https://klasma.github.io/Logging_2510/artfynd/A 25619-2019 artfynd.xlsx", "A 25619-2019")</f>
        <v/>
      </c>
      <c r="T48">
        <f>HYPERLINK("https://klasma.github.io/Logging_2510/kartor/A 25619-2019 karta.png", "A 25619-2019")</f>
        <v/>
      </c>
      <c r="V48">
        <f>HYPERLINK("https://klasma.github.io/Logging_2510/klagomål/A 25619-2019 FSC-klagomål.docx", "A 25619-2019")</f>
        <v/>
      </c>
      <c r="W48">
        <f>HYPERLINK("https://klasma.github.io/Logging_2510/klagomålsmail/A 25619-2019 FSC-klagomål mail.docx", "A 25619-2019")</f>
        <v/>
      </c>
      <c r="X48">
        <f>HYPERLINK("https://klasma.github.io/Logging_2510/tillsyn/A 25619-2019 tillsynsbegäran.docx", "A 25619-2019")</f>
        <v/>
      </c>
      <c r="Y48">
        <f>HYPERLINK("https://klasma.github.io/Logging_2510/tillsynsmail/A 25619-2019 tillsynsbegäran mail.docx", "A 25619-2019")</f>
        <v/>
      </c>
    </row>
    <row r="49" ht="15" customHeight="1">
      <c r="A49" t="inlineStr">
        <is>
          <t>A 24420-2020</t>
        </is>
      </c>
      <c r="B49" s="1" t="n">
        <v>43976</v>
      </c>
      <c r="C49" s="1" t="n">
        <v>45362</v>
      </c>
      <c r="D49" t="inlineStr">
        <is>
          <t>NORRBOTTENS LÄN</t>
        </is>
      </c>
      <c r="E49" t="inlineStr">
        <is>
          <t>JOKKMOKK</t>
        </is>
      </c>
      <c r="F49" t="inlineStr">
        <is>
          <t>SCA</t>
        </is>
      </c>
      <c r="G49" t="n">
        <v>2.9</v>
      </c>
      <c r="H49" t="n">
        <v>0</v>
      </c>
      <c r="I49" t="n">
        <v>0</v>
      </c>
      <c r="J49" t="n">
        <v>0</v>
      </c>
      <c r="K49" t="n">
        <v>3</v>
      </c>
      <c r="L49" t="n">
        <v>0</v>
      </c>
      <c r="M49" t="n">
        <v>0</v>
      </c>
      <c r="N49" t="n">
        <v>0</v>
      </c>
      <c r="O49" t="n">
        <v>3</v>
      </c>
      <c r="P49" t="n">
        <v>3</v>
      </c>
      <c r="Q49" t="n">
        <v>3</v>
      </c>
      <c r="R49" s="2" t="inlineStr">
        <is>
          <t>Goliatmusseron
Gräddporing
Tallgråticka</t>
        </is>
      </c>
      <c r="S49">
        <f>HYPERLINK("https://klasma.github.io/Logging_2510/artfynd/A 24420-2020 artfynd.xlsx", "A 24420-2020")</f>
        <v/>
      </c>
      <c r="T49">
        <f>HYPERLINK("https://klasma.github.io/Logging_2510/kartor/A 24420-2020 karta.png", "A 24420-2020")</f>
        <v/>
      </c>
      <c r="V49">
        <f>HYPERLINK("https://klasma.github.io/Logging_2510/klagomål/A 24420-2020 FSC-klagomål.docx", "A 24420-2020")</f>
        <v/>
      </c>
      <c r="W49">
        <f>HYPERLINK("https://klasma.github.io/Logging_2510/klagomålsmail/A 24420-2020 FSC-klagomål mail.docx", "A 24420-2020")</f>
        <v/>
      </c>
      <c r="X49">
        <f>HYPERLINK("https://klasma.github.io/Logging_2510/tillsyn/A 24420-2020 tillsynsbegäran.docx", "A 24420-2020")</f>
        <v/>
      </c>
      <c r="Y49">
        <f>HYPERLINK("https://klasma.github.io/Logging_2510/tillsynsmail/A 24420-2020 tillsynsbegäran mail.docx", "A 24420-2020")</f>
        <v/>
      </c>
    </row>
    <row r="50" ht="15" customHeight="1">
      <c r="A50" t="inlineStr">
        <is>
          <t>A 72477-2021</t>
        </is>
      </c>
      <c r="B50" s="1" t="n">
        <v>44545</v>
      </c>
      <c r="C50" s="1" t="n">
        <v>45362</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23020-2023</t>
        </is>
      </c>
      <c r="B51" s="1" t="n">
        <v>45073</v>
      </c>
      <c r="C51" s="1" t="n">
        <v>45362</v>
      </c>
      <c r="D51" t="inlineStr">
        <is>
          <t>NORRBOTTENS LÄN</t>
        </is>
      </c>
      <c r="E51" t="inlineStr">
        <is>
          <t>JOKKMOKK</t>
        </is>
      </c>
      <c r="F51" t="inlineStr">
        <is>
          <t>SCA</t>
        </is>
      </c>
      <c r="G51" t="n">
        <v>3.7</v>
      </c>
      <c r="H51" t="n">
        <v>0</v>
      </c>
      <c r="I51" t="n">
        <v>1</v>
      </c>
      <c r="J51" t="n">
        <v>2</v>
      </c>
      <c r="K51" t="n">
        <v>0</v>
      </c>
      <c r="L51" t="n">
        <v>0</v>
      </c>
      <c r="M51" t="n">
        <v>0</v>
      </c>
      <c r="N51" t="n">
        <v>0</v>
      </c>
      <c r="O51" t="n">
        <v>2</v>
      </c>
      <c r="P51" t="n">
        <v>0</v>
      </c>
      <c r="Q51" t="n">
        <v>3</v>
      </c>
      <c r="R51" s="2" t="inlineStr">
        <is>
          <t>Gammelgransskål
Garnlav
Bollvitmossa</t>
        </is>
      </c>
      <c r="S51">
        <f>HYPERLINK("https://klasma.github.io/Logging_2510/artfynd/A 23020-2023 artfynd.xlsx", "A 23020-2023")</f>
        <v/>
      </c>
      <c r="T51">
        <f>HYPERLINK("https://klasma.github.io/Logging_2510/kartor/A 23020-2023 karta.png", "A 23020-2023")</f>
        <v/>
      </c>
      <c r="V51">
        <f>HYPERLINK("https://klasma.github.io/Logging_2510/klagomål/A 23020-2023 FSC-klagomål.docx", "A 23020-2023")</f>
        <v/>
      </c>
      <c r="W51">
        <f>HYPERLINK("https://klasma.github.io/Logging_2510/klagomålsmail/A 23020-2023 FSC-klagomål mail.docx", "A 23020-2023")</f>
        <v/>
      </c>
      <c r="X51">
        <f>HYPERLINK("https://klasma.github.io/Logging_2510/tillsyn/A 23020-2023 tillsynsbegäran.docx", "A 23020-2023")</f>
        <v/>
      </c>
      <c r="Y51">
        <f>HYPERLINK("https://klasma.github.io/Logging_2510/tillsynsmail/A 23020-2023 tillsynsbegäran mail.docx", "A 23020-2023")</f>
        <v/>
      </c>
    </row>
    <row r="52" ht="15" customHeight="1">
      <c r="A52" t="inlineStr">
        <is>
          <t>A 23017-2023</t>
        </is>
      </c>
      <c r="B52" s="1" t="n">
        <v>45073</v>
      </c>
      <c r="C52" s="1" t="n">
        <v>45362</v>
      </c>
      <c r="D52" t="inlineStr">
        <is>
          <t>NORRBOTTENS LÄN</t>
        </is>
      </c>
      <c r="E52" t="inlineStr">
        <is>
          <t>JOKKMOKK</t>
        </is>
      </c>
      <c r="F52" t="inlineStr">
        <is>
          <t>SCA</t>
        </is>
      </c>
      <c r="G52" t="n">
        <v>6</v>
      </c>
      <c r="H52" t="n">
        <v>2</v>
      </c>
      <c r="I52" t="n">
        <v>2</v>
      </c>
      <c r="J52" t="n">
        <v>0</v>
      </c>
      <c r="K52" t="n">
        <v>1</v>
      </c>
      <c r="L52" t="n">
        <v>0</v>
      </c>
      <c r="M52" t="n">
        <v>0</v>
      </c>
      <c r="N52" t="n">
        <v>0</v>
      </c>
      <c r="O52" t="n">
        <v>1</v>
      </c>
      <c r="P52" t="n">
        <v>1</v>
      </c>
      <c r="Q52" t="n">
        <v>3</v>
      </c>
      <c r="R52" s="2" t="inlineStr">
        <is>
          <t>Norna
Spindelblomster
Tibast</t>
        </is>
      </c>
      <c r="S52">
        <f>HYPERLINK("https://klasma.github.io/Logging_2510/artfynd/A 23017-2023 artfynd.xlsx", "A 23017-2023")</f>
        <v/>
      </c>
      <c r="T52">
        <f>HYPERLINK("https://klasma.github.io/Logging_2510/kartor/A 23017-2023 karta.png", "A 23017-2023")</f>
        <v/>
      </c>
      <c r="V52">
        <f>HYPERLINK("https://klasma.github.io/Logging_2510/klagomål/A 23017-2023 FSC-klagomål.docx", "A 23017-2023")</f>
        <v/>
      </c>
      <c r="W52">
        <f>HYPERLINK("https://klasma.github.io/Logging_2510/klagomålsmail/A 23017-2023 FSC-klagomål mail.docx", "A 23017-2023")</f>
        <v/>
      </c>
      <c r="X52">
        <f>HYPERLINK("https://klasma.github.io/Logging_2510/tillsyn/A 23017-2023 tillsynsbegäran.docx", "A 23017-2023")</f>
        <v/>
      </c>
      <c r="Y52">
        <f>HYPERLINK("https://klasma.github.io/Logging_2510/tillsynsmail/A 23017-2023 tillsynsbegäran mail.docx", "A 23017-2023")</f>
        <v/>
      </c>
    </row>
    <row r="53" ht="15" customHeight="1">
      <c r="A53" t="inlineStr">
        <is>
          <t>A 24055-2023</t>
        </is>
      </c>
      <c r="B53" s="1" t="n">
        <v>45078</v>
      </c>
      <c r="C53" s="1" t="n">
        <v>45362</v>
      </c>
      <c r="D53" t="inlineStr">
        <is>
          <t>NORRBOTTENS LÄN</t>
        </is>
      </c>
      <c r="E53" t="inlineStr">
        <is>
          <t>JOKKMOKK</t>
        </is>
      </c>
      <c r="F53" t="inlineStr">
        <is>
          <t>SCA</t>
        </is>
      </c>
      <c r="G53" t="n">
        <v>9.9</v>
      </c>
      <c r="H53" t="n">
        <v>0</v>
      </c>
      <c r="I53" t="n">
        <v>0</v>
      </c>
      <c r="J53" t="n">
        <v>2</v>
      </c>
      <c r="K53" t="n">
        <v>1</v>
      </c>
      <c r="L53" t="n">
        <v>0</v>
      </c>
      <c r="M53" t="n">
        <v>0</v>
      </c>
      <c r="N53" t="n">
        <v>0</v>
      </c>
      <c r="O53" t="n">
        <v>3</v>
      </c>
      <c r="P53" t="n">
        <v>1</v>
      </c>
      <c r="Q53" t="n">
        <v>3</v>
      </c>
      <c r="R53" s="2" t="inlineStr">
        <is>
          <t>Goliatmusseron
Blå taggsvamp
Orange taggsvamp</t>
        </is>
      </c>
      <c r="S53">
        <f>HYPERLINK("https://klasma.github.io/Logging_2510/artfynd/A 24055-2023 artfynd.xlsx", "A 24055-2023")</f>
        <v/>
      </c>
      <c r="T53">
        <f>HYPERLINK("https://klasma.github.io/Logging_2510/kartor/A 24055-2023 karta.png", "A 24055-2023")</f>
        <v/>
      </c>
      <c r="V53">
        <f>HYPERLINK("https://klasma.github.io/Logging_2510/klagomål/A 24055-2023 FSC-klagomål.docx", "A 24055-2023")</f>
        <v/>
      </c>
      <c r="W53">
        <f>HYPERLINK("https://klasma.github.io/Logging_2510/klagomålsmail/A 24055-2023 FSC-klagomål mail.docx", "A 24055-2023")</f>
        <v/>
      </c>
      <c r="X53">
        <f>HYPERLINK("https://klasma.github.io/Logging_2510/tillsyn/A 24055-2023 tillsynsbegäran.docx", "A 24055-2023")</f>
        <v/>
      </c>
      <c r="Y53">
        <f>HYPERLINK("https://klasma.github.io/Logging_2510/tillsynsmail/A 24055-2023 tillsynsbegäran mail.docx", "A 24055-2023")</f>
        <v/>
      </c>
    </row>
    <row r="54" ht="15" customHeight="1">
      <c r="A54" t="inlineStr">
        <is>
          <t>A 32913-2023</t>
        </is>
      </c>
      <c r="B54" s="1" t="n">
        <v>45124</v>
      </c>
      <c r="C54" s="1" t="n">
        <v>45362</v>
      </c>
      <c r="D54" t="inlineStr">
        <is>
          <t>NORRBOTTENS LÄN</t>
        </is>
      </c>
      <c r="E54" t="inlineStr">
        <is>
          <t>JOKKMOKK</t>
        </is>
      </c>
      <c r="F54" t="inlineStr">
        <is>
          <t>SCA</t>
        </is>
      </c>
      <c r="G54" t="n">
        <v>3.2</v>
      </c>
      <c r="H54" t="n">
        <v>0</v>
      </c>
      <c r="I54" t="n">
        <v>1</v>
      </c>
      <c r="J54" t="n">
        <v>2</v>
      </c>
      <c r="K54" t="n">
        <v>0</v>
      </c>
      <c r="L54" t="n">
        <v>0</v>
      </c>
      <c r="M54" t="n">
        <v>0</v>
      </c>
      <c r="N54" t="n">
        <v>0</v>
      </c>
      <c r="O54" t="n">
        <v>2</v>
      </c>
      <c r="P54" t="n">
        <v>0</v>
      </c>
      <c r="Q54" t="n">
        <v>3</v>
      </c>
      <c r="R54" s="2" t="inlineStr">
        <is>
          <t>Blå taggsvamp
Orange taggsvamp
Dropptaggsvamp</t>
        </is>
      </c>
      <c r="S54">
        <f>HYPERLINK("https://klasma.github.io/Logging_2510/artfynd/A 32913-2023 artfynd.xlsx", "A 32913-2023")</f>
        <v/>
      </c>
      <c r="T54">
        <f>HYPERLINK("https://klasma.github.io/Logging_2510/kartor/A 32913-2023 karta.png", "A 32913-2023")</f>
        <v/>
      </c>
      <c r="V54">
        <f>HYPERLINK("https://klasma.github.io/Logging_2510/klagomål/A 32913-2023 FSC-klagomål.docx", "A 32913-2023")</f>
        <v/>
      </c>
      <c r="W54">
        <f>HYPERLINK("https://klasma.github.io/Logging_2510/klagomålsmail/A 32913-2023 FSC-klagomål mail.docx", "A 32913-2023")</f>
        <v/>
      </c>
      <c r="X54">
        <f>HYPERLINK("https://klasma.github.io/Logging_2510/tillsyn/A 32913-2023 tillsynsbegäran.docx", "A 32913-2023")</f>
        <v/>
      </c>
      <c r="Y54">
        <f>HYPERLINK("https://klasma.github.io/Logging_2510/tillsynsmail/A 32913-2023 tillsynsbegäran mail.docx", "A 32913-2023")</f>
        <v/>
      </c>
    </row>
    <row r="55" ht="15" customHeight="1">
      <c r="A55" t="inlineStr">
        <is>
          <t>A 33994-2023</t>
        </is>
      </c>
      <c r="B55" s="1" t="n">
        <v>45134</v>
      </c>
      <c r="C55" s="1" t="n">
        <v>45362</v>
      </c>
      <c r="D55" t="inlineStr">
        <is>
          <t>NORRBOTTENS LÄN</t>
        </is>
      </c>
      <c r="E55" t="inlineStr">
        <is>
          <t>JOKKMOKK</t>
        </is>
      </c>
      <c r="G55" t="n">
        <v>9.1</v>
      </c>
      <c r="H55" t="n">
        <v>1</v>
      </c>
      <c r="I55" t="n">
        <v>1</v>
      </c>
      <c r="J55" t="n">
        <v>1</v>
      </c>
      <c r="K55" t="n">
        <v>1</v>
      </c>
      <c r="L55" t="n">
        <v>0</v>
      </c>
      <c r="M55" t="n">
        <v>0</v>
      </c>
      <c r="N55" t="n">
        <v>0</v>
      </c>
      <c r="O55" t="n">
        <v>2</v>
      </c>
      <c r="P55" t="n">
        <v>1</v>
      </c>
      <c r="Q55" t="n">
        <v>3</v>
      </c>
      <c r="R55" s="2" t="inlineStr">
        <is>
          <t>Doftticka
Lunglav
Skinnlav</t>
        </is>
      </c>
      <c r="S55">
        <f>HYPERLINK("https://klasma.github.io/Logging_2510/artfynd/A 33994-2023 artfynd.xlsx", "A 33994-2023")</f>
        <v/>
      </c>
      <c r="T55">
        <f>HYPERLINK("https://klasma.github.io/Logging_2510/kartor/A 33994-2023 karta.png", "A 33994-2023")</f>
        <v/>
      </c>
      <c r="V55">
        <f>HYPERLINK("https://klasma.github.io/Logging_2510/klagomål/A 33994-2023 FSC-klagomål.docx", "A 33994-2023")</f>
        <v/>
      </c>
      <c r="W55">
        <f>HYPERLINK("https://klasma.github.io/Logging_2510/klagomålsmail/A 33994-2023 FSC-klagomål mail.docx", "A 33994-2023")</f>
        <v/>
      </c>
      <c r="X55">
        <f>HYPERLINK("https://klasma.github.io/Logging_2510/tillsyn/A 33994-2023 tillsynsbegäran.docx", "A 33994-2023")</f>
        <v/>
      </c>
      <c r="Y55">
        <f>HYPERLINK("https://klasma.github.io/Logging_2510/tillsynsmail/A 33994-2023 tillsynsbegäran mail.docx", "A 33994-2023")</f>
        <v/>
      </c>
    </row>
    <row r="56" ht="15" customHeight="1">
      <c r="A56" t="inlineStr">
        <is>
          <t>A 50785-2023</t>
        </is>
      </c>
      <c r="B56" s="1" t="n">
        <v>45217</v>
      </c>
      <c r="C56" s="1" t="n">
        <v>45362</v>
      </c>
      <c r="D56" t="inlineStr">
        <is>
          <t>NORRBOTTENS LÄN</t>
        </is>
      </c>
      <c r="E56" t="inlineStr">
        <is>
          <t>JOKKMOKK</t>
        </is>
      </c>
      <c r="F56" t="inlineStr">
        <is>
          <t>Sveaskog</t>
        </is>
      </c>
      <c r="G56" t="n">
        <v>24.9</v>
      </c>
      <c r="H56" t="n">
        <v>1</v>
      </c>
      <c r="I56" t="n">
        <v>0</v>
      </c>
      <c r="J56" t="n">
        <v>3</v>
      </c>
      <c r="K56" t="n">
        <v>0</v>
      </c>
      <c r="L56" t="n">
        <v>0</v>
      </c>
      <c r="M56" t="n">
        <v>0</v>
      </c>
      <c r="N56" t="n">
        <v>0</v>
      </c>
      <c r="O56" t="n">
        <v>3</v>
      </c>
      <c r="P56" t="n">
        <v>0</v>
      </c>
      <c r="Q56" t="n">
        <v>3</v>
      </c>
      <c r="R56" s="2" t="inlineStr">
        <is>
          <t>Gammelgransskål
Kolflarnlav
Tretåig hackspett</t>
        </is>
      </c>
      <c r="S56">
        <f>HYPERLINK("https://klasma.github.io/Logging_2510/artfynd/A 50785-2023 artfynd.xlsx", "A 50785-2023")</f>
        <v/>
      </c>
      <c r="T56">
        <f>HYPERLINK("https://klasma.github.io/Logging_2510/kartor/A 50785-2023 karta.png", "A 50785-2023")</f>
        <v/>
      </c>
      <c r="V56">
        <f>HYPERLINK("https://klasma.github.io/Logging_2510/klagomål/A 50785-2023 FSC-klagomål.docx", "A 50785-2023")</f>
        <v/>
      </c>
      <c r="W56">
        <f>HYPERLINK("https://klasma.github.io/Logging_2510/klagomålsmail/A 50785-2023 FSC-klagomål mail.docx", "A 50785-2023")</f>
        <v/>
      </c>
      <c r="X56">
        <f>HYPERLINK("https://klasma.github.io/Logging_2510/tillsyn/A 50785-2023 tillsynsbegäran.docx", "A 50785-2023")</f>
        <v/>
      </c>
      <c r="Y56">
        <f>HYPERLINK("https://klasma.github.io/Logging_2510/tillsynsmail/A 50785-2023 tillsynsbegäran mail.docx", "A 50785-2023")</f>
        <v/>
      </c>
      <c r="Z56">
        <f>HYPERLINK("https://klasma.github.io/Logging_2510/fåglar/A 50785-2023 prioriterade fågelarter.docx", "A 50785-2023")</f>
        <v/>
      </c>
    </row>
    <row r="57" ht="15" customHeight="1">
      <c r="A57" t="inlineStr">
        <is>
          <t>A 52332-2023</t>
        </is>
      </c>
      <c r="B57" s="1" t="n">
        <v>45217</v>
      </c>
      <c r="C57" s="1" t="n">
        <v>45362</v>
      </c>
      <c r="D57" t="inlineStr">
        <is>
          <t>NORRBOTTENS LÄN</t>
        </is>
      </c>
      <c r="E57" t="inlineStr">
        <is>
          <t>JOKKMOKK</t>
        </is>
      </c>
      <c r="F57" t="inlineStr">
        <is>
          <t>Övriga statliga verk och myndigheter</t>
        </is>
      </c>
      <c r="G57" t="n">
        <v>23.3</v>
      </c>
      <c r="H57" t="n">
        <v>0</v>
      </c>
      <c r="I57" t="n">
        <v>1</v>
      </c>
      <c r="J57" t="n">
        <v>2</v>
      </c>
      <c r="K57" t="n">
        <v>0</v>
      </c>
      <c r="L57" t="n">
        <v>0</v>
      </c>
      <c r="M57" t="n">
        <v>0</v>
      </c>
      <c r="N57" t="n">
        <v>0</v>
      </c>
      <c r="O57" t="n">
        <v>2</v>
      </c>
      <c r="P57" t="n">
        <v>0</v>
      </c>
      <c r="Q57" t="n">
        <v>3</v>
      </c>
      <c r="R57" s="2" t="inlineStr">
        <is>
          <t>Vedflamlav
Vedskivlav
Dropptaggsvamp</t>
        </is>
      </c>
      <c r="S57">
        <f>HYPERLINK("https://klasma.github.io/Logging_2510/artfynd/A 52332-2023 artfynd.xlsx", "A 52332-2023")</f>
        <v/>
      </c>
      <c r="T57">
        <f>HYPERLINK("https://klasma.github.io/Logging_2510/kartor/A 52332-2023 karta.png", "A 52332-2023")</f>
        <v/>
      </c>
      <c r="V57">
        <f>HYPERLINK("https://klasma.github.io/Logging_2510/klagomål/A 52332-2023 FSC-klagomål.docx", "A 52332-2023")</f>
        <v/>
      </c>
      <c r="W57">
        <f>HYPERLINK("https://klasma.github.io/Logging_2510/klagomålsmail/A 52332-2023 FSC-klagomål mail.docx", "A 52332-2023")</f>
        <v/>
      </c>
      <c r="X57">
        <f>HYPERLINK("https://klasma.github.io/Logging_2510/tillsyn/A 52332-2023 tillsynsbegäran.docx", "A 52332-2023")</f>
        <v/>
      </c>
      <c r="Y57">
        <f>HYPERLINK("https://klasma.github.io/Logging_2510/tillsynsmail/A 52332-2023 tillsynsbegäran mail.docx", "A 52332-2023")</f>
        <v/>
      </c>
    </row>
    <row r="58" ht="15" customHeight="1">
      <c r="A58" t="inlineStr">
        <is>
          <t>A 60379-2023</t>
        </is>
      </c>
      <c r="B58" s="1" t="n">
        <v>45259</v>
      </c>
      <c r="C58" s="1" t="n">
        <v>45362</v>
      </c>
      <c r="D58" t="inlineStr">
        <is>
          <t>NORRBOTTENS LÄN</t>
        </is>
      </c>
      <c r="E58" t="inlineStr">
        <is>
          <t>JOKKMOKK</t>
        </is>
      </c>
      <c r="F58" t="inlineStr">
        <is>
          <t>Sveaskog</t>
        </is>
      </c>
      <c r="G58" t="n">
        <v>22.2</v>
      </c>
      <c r="H58" t="n">
        <v>1</v>
      </c>
      <c r="I58" t="n">
        <v>0</v>
      </c>
      <c r="J58" t="n">
        <v>3</v>
      </c>
      <c r="K58" t="n">
        <v>0</v>
      </c>
      <c r="L58" t="n">
        <v>0</v>
      </c>
      <c r="M58" t="n">
        <v>0</v>
      </c>
      <c r="N58" t="n">
        <v>0</v>
      </c>
      <c r="O58" t="n">
        <v>3</v>
      </c>
      <c r="P58" t="n">
        <v>0</v>
      </c>
      <c r="Q58" t="n">
        <v>3</v>
      </c>
      <c r="R58" s="2" t="inlineStr">
        <is>
          <t>Dvärgbägarlav
Nordtagging
Tretåig hackspett</t>
        </is>
      </c>
      <c r="S58">
        <f>HYPERLINK("https://klasma.github.io/Logging_2510/artfynd/A 60379-2023 artfynd.xlsx", "A 60379-2023")</f>
        <v/>
      </c>
      <c r="T58">
        <f>HYPERLINK("https://klasma.github.io/Logging_2510/kartor/A 60379-2023 karta.png", "A 60379-2023")</f>
        <v/>
      </c>
      <c r="V58">
        <f>HYPERLINK("https://klasma.github.io/Logging_2510/klagomål/A 60379-2023 FSC-klagomål.docx", "A 60379-2023")</f>
        <v/>
      </c>
      <c r="W58">
        <f>HYPERLINK("https://klasma.github.io/Logging_2510/klagomålsmail/A 60379-2023 FSC-klagomål mail.docx", "A 60379-2023")</f>
        <v/>
      </c>
      <c r="X58">
        <f>HYPERLINK("https://klasma.github.io/Logging_2510/tillsyn/A 60379-2023 tillsynsbegäran.docx", "A 60379-2023")</f>
        <v/>
      </c>
      <c r="Y58">
        <f>HYPERLINK("https://klasma.github.io/Logging_2510/tillsynsmail/A 60379-2023 tillsynsbegäran mail.docx", "A 60379-2023")</f>
        <v/>
      </c>
      <c r="Z58">
        <f>HYPERLINK("https://klasma.github.io/Logging_2510/fåglar/A 60379-2023 prioriterade fågelarter.docx", "A 60379-2023")</f>
        <v/>
      </c>
    </row>
    <row r="59" ht="15" customHeight="1">
      <c r="A59" t="inlineStr">
        <is>
          <t>A 9977-2019</t>
        </is>
      </c>
      <c r="B59" s="1" t="n">
        <v>43509</v>
      </c>
      <c r="C59" s="1" t="n">
        <v>45362</v>
      </c>
      <c r="D59" t="inlineStr">
        <is>
          <t>NORRBOTTENS LÄN</t>
        </is>
      </c>
      <c r="E59" t="inlineStr">
        <is>
          <t>JOKKMOKK</t>
        </is>
      </c>
      <c r="G59" t="n">
        <v>5.1</v>
      </c>
      <c r="H59" t="n">
        <v>0</v>
      </c>
      <c r="I59" t="n">
        <v>0</v>
      </c>
      <c r="J59" t="n">
        <v>1</v>
      </c>
      <c r="K59" t="n">
        <v>1</v>
      </c>
      <c r="L59" t="n">
        <v>0</v>
      </c>
      <c r="M59" t="n">
        <v>0</v>
      </c>
      <c r="N59" t="n">
        <v>0</v>
      </c>
      <c r="O59" t="n">
        <v>2</v>
      </c>
      <c r="P59" t="n">
        <v>1</v>
      </c>
      <c r="Q59" t="n">
        <v>2</v>
      </c>
      <c r="R59" s="2" t="inlineStr">
        <is>
          <t>Fläckporing
Dvärgbägarlav</t>
        </is>
      </c>
      <c r="S59">
        <f>HYPERLINK("https://klasma.github.io/Logging_2510/artfynd/A 9977-2019 artfynd.xlsx", "A 9977-2019")</f>
        <v/>
      </c>
      <c r="T59">
        <f>HYPERLINK("https://klasma.github.io/Logging_2510/kartor/A 9977-2019 karta.png", "A 9977-2019")</f>
        <v/>
      </c>
      <c r="V59">
        <f>HYPERLINK("https://klasma.github.io/Logging_2510/klagomål/A 9977-2019 FSC-klagomål.docx", "A 9977-2019")</f>
        <v/>
      </c>
      <c r="W59">
        <f>HYPERLINK("https://klasma.github.io/Logging_2510/klagomålsmail/A 9977-2019 FSC-klagomål mail.docx", "A 9977-2019")</f>
        <v/>
      </c>
      <c r="X59">
        <f>HYPERLINK("https://klasma.github.io/Logging_2510/tillsyn/A 9977-2019 tillsynsbegäran.docx", "A 9977-2019")</f>
        <v/>
      </c>
      <c r="Y59">
        <f>HYPERLINK("https://klasma.github.io/Logging_2510/tillsynsmail/A 9977-2019 tillsynsbegäran mail.docx", "A 9977-2019")</f>
        <v/>
      </c>
    </row>
    <row r="60" ht="15" customHeight="1">
      <c r="A60" t="inlineStr">
        <is>
          <t>A 11148-2019</t>
        </is>
      </c>
      <c r="B60" s="1" t="n">
        <v>43516</v>
      </c>
      <c r="C60" s="1" t="n">
        <v>45362</v>
      </c>
      <c r="D60" t="inlineStr">
        <is>
          <t>NORRBOTTENS LÄN</t>
        </is>
      </c>
      <c r="E60" t="inlineStr">
        <is>
          <t>JOKKMOKK</t>
        </is>
      </c>
      <c r="G60" t="n">
        <v>12.8</v>
      </c>
      <c r="H60" t="n">
        <v>1</v>
      </c>
      <c r="I60" t="n">
        <v>0</v>
      </c>
      <c r="J60" t="n">
        <v>2</v>
      </c>
      <c r="K60" t="n">
        <v>0</v>
      </c>
      <c r="L60" t="n">
        <v>0</v>
      </c>
      <c r="M60" t="n">
        <v>0</v>
      </c>
      <c r="N60" t="n">
        <v>0</v>
      </c>
      <c r="O60" t="n">
        <v>2</v>
      </c>
      <c r="P60" t="n">
        <v>0</v>
      </c>
      <c r="Q60" t="n">
        <v>2</v>
      </c>
      <c r="R60" s="2" t="inlineStr">
        <is>
          <t>Knottrig blåslav
Lappmes</t>
        </is>
      </c>
      <c r="S60">
        <f>HYPERLINK("https://klasma.github.io/Logging_2510/artfynd/A 11148-2019 artfynd.xlsx", "A 11148-2019")</f>
        <v/>
      </c>
      <c r="T60">
        <f>HYPERLINK("https://klasma.github.io/Logging_2510/kartor/A 11148-2019 karta.png", "A 11148-2019")</f>
        <v/>
      </c>
      <c r="V60">
        <f>HYPERLINK("https://klasma.github.io/Logging_2510/klagomål/A 11148-2019 FSC-klagomål.docx", "A 11148-2019")</f>
        <v/>
      </c>
      <c r="W60">
        <f>HYPERLINK("https://klasma.github.io/Logging_2510/klagomålsmail/A 11148-2019 FSC-klagomål mail.docx", "A 11148-2019")</f>
        <v/>
      </c>
      <c r="X60">
        <f>HYPERLINK("https://klasma.github.io/Logging_2510/tillsyn/A 11148-2019 tillsynsbegäran.docx", "A 11148-2019")</f>
        <v/>
      </c>
      <c r="Y60">
        <f>HYPERLINK("https://klasma.github.io/Logging_2510/tillsynsmail/A 11148-2019 tillsynsbegäran mail.docx", "A 11148-2019")</f>
        <v/>
      </c>
      <c r="Z60">
        <f>HYPERLINK("https://klasma.github.io/Logging_2510/fåglar/A 11148-2019 prioriterade fågelarter.docx", "A 11148-2019")</f>
        <v/>
      </c>
    </row>
    <row r="61" ht="15" customHeight="1">
      <c r="A61" t="inlineStr">
        <is>
          <t>A 24408-2022</t>
        </is>
      </c>
      <c r="B61" s="1" t="n">
        <v>44726</v>
      </c>
      <c r="C61" s="1" t="n">
        <v>45362</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45362</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45362</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45362</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45362</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51875-2020</t>
        </is>
      </c>
      <c r="B66" s="1" t="n">
        <v>44109</v>
      </c>
      <c r="C66" s="1" t="n">
        <v>45362</v>
      </c>
      <c r="D66" t="inlineStr">
        <is>
          <t>NORRBOTTENS LÄN</t>
        </is>
      </c>
      <c r="E66" t="inlineStr">
        <is>
          <t>JOKKMOKK</t>
        </is>
      </c>
      <c r="F66" t="inlineStr">
        <is>
          <t>Allmännings- och besparingsskogar</t>
        </is>
      </c>
      <c r="G66" t="n">
        <v>28</v>
      </c>
      <c r="H66" t="n">
        <v>0</v>
      </c>
      <c r="I66" t="n">
        <v>0</v>
      </c>
      <c r="J66" t="n">
        <v>1</v>
      </c>
      <c r="K66" t="n">
        <v>0</v>
      </c>
      <c r="L66" t="n">
        <v>0</v>
      </c>
      <c r="M66" t="n">
        <v>0</v>
      </c>
      <c r="N66" t="n">
        <v>0</v>
      </c>
      <c r="O66" t="n">
        <v>1</v>
      </c>
      <c r="P66" t="n">
        <v>0</v>
      </c>
      <c r="Q66" t="n">
        <v>1</v>
      </c>
      <c r="R66" s="2" t="inlineStr">
        <is>
          <t>Vitplätt</t>
        </is>
      </c>
      <c r="S66">
        <f>HYPERLINK("https://klasma.github.io/Logging_2510/artfynd/A 51875-2020 artfynd.xlsx", "A 51875-2020")</f>
        <v/>
      </c>
      <c r="T66">
        <f>HYPERLINK("https://klasma.github.io/Logging_2510/kartor/A 51875-2020 karta.png", "A 51875-2020")</f>
        <v/>
      </c>
      <c r="V66">
        <f>HYPERLINK("https://klasma.github.io/Logging_2510/klagomål/A 51875-2020 FSC-klagomål.docx", "A 51875-2020")</f>
        <v/>
      </c>
      <c r="W66">
        <f>HYPERLINK("https://klasma.github.io/Logging_2510/klagomålsmail/A 51875-2020 FSC-klagomål mail.docx", "A 51875-2020")</f>
        <v/>
      </c>
      <c r="X66">
        <f>HYPERLINK("https://klasma.github.io/Logging_2510/tillsyn/A 51875-2020 tillsynsbegäran.docx", "A 51875-2020")</f>
        <v/>
      </c>
      <c r="Y66">
        <f>HYPERLINK("https://klasma.github.io/Logging_2510/tillsynsmail/A 51875-2020 tillsynsbegäran mail.docx", "A 51875-2020")</f>
        <v/>
      </c>
    </row>
    <row r="67" ht="15" customHeight="1">
      <c r="A67" t="inlineStr">
        <is>
          <t>A 36594-2021</t>
        </is>
      </c>
      <c r="B67" s="1" t="n">
        <v>44391</v>
      </c>
      <c r="C67" s="1" t="n">
        <v>45362</v>
      </c>
      <c r="D67" t="inlineStr">
        <is>
          <t>NORRBOTTENS LÄN</t>
        </is>
      </c>
      <c r="E67" t="inlineStr">
        <is>
          <t>JOKKMOKK</t>
        </is>
      </c>
      <c r="F67" t="inlineStr">
        <is>
          <t>Sveaskog</t>
        </is>
      </c>
      <c r="G67" t="n">
        <v>5.8</v>
      </c>
      <c r="H67" t="n">
        <v>1</v>
      </c>
      <c r="I67" t="n">
        <v>0</v>
      </c>
      <c r="J67" t="n">
        <v>0</v>
      </c>
      <c r="K67" t="n">
        <v>1</v>
      </c>
      <c r="L67" t="n">
        <v>0</v>
      </c>
      <c r="M67" t="n">
        <v>0</v>
      </c>
      <c r="N67" t="n">
        <v>0</v>
      </c>
      <c r="O67" t="n">
        <v>1</v>
      </c>
      <c r="P67" t="n">
        <v>1</v>
      </c>
      <c r="Q67" t="n">
        <v>1</v>
      </c>
      <c r="R67" s="2" t="inlineStr">
        <is>
          <t>Doftticka</t>
        </is>
      </c>
      <c r="S67">
        <f>HYPERLINK("https://klasma.github.io/Logging_2510/artfynd/A 36594-2021 artfynd.xlsx", "A 36594-2021")</f>
        <v/>
      </c>
      <c r="T67">
        <f>HYPERLINK("https://klasma.github.io/Logging_2510/kartor/A 36594-2021 karta.png", "A 36594-2021")</f>
        <v/>
      </c>
      <c r="V67">
        <f>HYPERLINK("https://klasma.github.io/Logging_2510/klagomål/A 36594-2021 FSC-klagomål.docx", "A 36594-2021")</f>
        <v/>
      </c>
      <c r="W67">
        <f>HYPERLINK("https://klasma.github.io/Logging_2510/klagomålsmail/A 36594-2021 FSC-klagomål mail.docx", "A 36594-2021")</f>
        <v/>
      </c>
      <c r="X67">
        <f>HYPERLINK("https://klasma.github.io/Logging_2510/tillsyn/A 36594-2021 tillsynsbegäran.docx", "A 36594-2021")</f>
        <v/>
      </c>
      <c r="Y67">
        <f>HYPERLINK("https://klasma.github.io/Logging_2510/tillsynsmail/A 36594-2021 tillsynsbegäran mail.docx", "A 36594-2021")</f>
        <v/>
      </c>
    </row>
    <row r="68" ht="15" customHeight="1">
      <c r="A68" t="inlineStr">
        <is>
          <t>A 72480-2021</t>
        </is>
      </c>
      <c r="B68" s="1" t="n">
        <v>44545</v>
      </c>
      <c r="C68" s="1" t="n">
        <v>45362</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47505-2022</t>
        </is>
      </c>
      <c r="B69" s="1" t="n">
        <v>44853</v>
      </c>
      <c r="C69" s="1" t="n">
        <v>45362</v>
      </c>
      <c r="D69" t="inlineStr">
        <is>
          <t>NORRBOTTENS LÄN</t>
        </is>
      </c>
      <c r="E69" t="inlineStr">
        <is>
          <t>JOKKMOKK</t>
        </is>
      </c>
      <c r="F69" t="inlineStr">
        <is>
          <t>Sveaskog</t>
        </is>
      </c>
      <c r="G69" t="n">
        <v>2.7</v>
      </c>
      <c r="H69" t="n">
        <v>1</v>
      </c>
      <c r="I69" t="n">
        <v>0</v>
      </c>
      <c r="J69" t="n">
        <v>0</v>
      </c>
      <c r="K69" t="n">
        <v>0</v>
      </c>
      <c r="L69" t="n">
        <v>0</v>
      </c>
      <c r="M69" t="n">
        <v>0</v>
      </c>
      <c r="N69" t="n">
        <v>0</v>
      </c>
      <c r="O69" t="n">
        <v>0</v>
      </c>
      <c r="P69" t="n">
        <v>0</v>
      </c>
      <c r="Q69" t="n">
        <v>1</v>
      </c>
      <c r="R69" s="2" t="inlineStr">
        <is>
          <t>Lavskrika</t>
        </is>
      </c>
      <c r="S69">
        <f>HYPERLINK("https://klasma.github.io/Logging_2510/artfynd/A 47505-2022 artfynd.xlsx", "A 47505-2022")</f>
        <v/>
      </c>
      <c r="T69">
        <f>HYPERLINK("https://klasma.github.io/Logging_2510/kartor/A 47505-2022 karta.png", "A 47505-2022")</f>
        <v/>
      </c>
      <c r="V69">
        <f>HYPERLINK("https://klasma.github.io/Logging_2510/klagomål/A 47505-2022 FSC-klagomål.docx", "A 47505-2022")</f>
        <v/>
      </c>
      <c r="W69">
        <f>HYPERLINK("https://klasma.github.io/Logging_2510/klagomålsmail/A 47505-2022 FSC-klagomål mail.docx", "A 47505-2022")</f>
        <v/>
      </c>
      <c r="X69">
        <f>HYPERLINK("https://klasma.github.io/Logging_2510/tillsyn/A 47505-2022 tillsynsbegäran.docx", "A 47505-2022")</f>
        <v/>
      </c>
      <c r="Y69">
        <f>HYPERLINK("https://klasma.github.io/Logging_2510/tillsynsmail/A 47505-2022 tillsynsbegäran mail.docx", "A 47505-2022")</f>
        <v/>
      </c>
      <c r="Z69">
        <f>HYPERLINK("https://klasma.github.io/Logging_2510/fåglar/A 47505-2022 prioriterade fågelarter.docx", "A 47505-2022")</f>
        <v/>
      </c>
    </row>
    <row r="70" ht="15" customHeight="1">
      <c r="A70" t="inlineStr">
        <is>
          <t>A 5824-2023</t>
        </is>
      </c>
      <c r="B70" s="1" t="n">
        <v>44958</v>
      </c>
      <c r="C70" s="1" t="n">
        <v>45362</v>
      </c>
      <c r="D70" t="inlineStr">
        <is>
          <t>NORRBOTTENS LÄN</t>
        </is>
      </c>
      <c r="E70" t="inlineStr">
        <is>
          <t>JOKKMOKK</t>
        </is>
      </c>
      <c r="G70" t="n">
        <v>6.7</v>
      </c>
      <c r="H70" t="n">
        <v>0</v>
      </c>
      <c r="I70" t="n">
        <v>0</v>
      </c>
      <c r="J70" t="n">
        <v>1</v>
      </c>
      <c r="K70" t="n">
        <v>0</v>
      </c>
      <c r="L70" t="n">
        <v>0</v>
      </c>
      <c r="M70" t="n">
        <v>0</v>
      </c>
      <c r="N70" t="n">
        <v>0</v>
      </c>
      <c r="O70" t="n">
        <v>1</v>
      </c>
      <c r="P70" t="n">
        <v>0</v>
      </c>
      <c r="Q70" t="n">
        <v>1</v>
      </c>
      <c r="R70" s="2" t="inlineStr">
        <is>
          <t>Granticka</t>
        </is>
      </c>
      <c r="S70">
        <f>HYPERLINK("https://klasma.github.io/Logging_2510/artfynd/A 5824-2023 artfynd.xlsx", "A 5824-2023")</f>
        <v/>
      </c>
      <c r="T70">
        <f>HYPERLINK("https://klasma.github.io/Logging_2510/kartor/A 5824-2023 karta.png", "A 5824-2023")</f>
        <v/>
      </c>
      <c r="V70">
        <f>HYPERLINK("https://klasma.github.io/Logging_2510/klagomål/A 5824-2023 FSC-klagomål.docx", "A 5824-2023")</f>
        <v/>
      </c>
      <c r="W70">
        <f>HYPERLINK("https://klasma.github.io/Logging_2510/klagomålsmail/A 5824-2023 FSC-klagomål mail.docx", "A 5824-2023")</f>
        <v/>
      </c>
      <c r="X70">
        <f>HYPERLINK("https://klasma.github.io/Logging_2510/tillsyn/A 5824-2023 tillsynsbegäran.docx", "A 5824-2023")</f>
        <v/>
      </c>
      <c r="Y70">
        <f>HYPERLINK("https://klasma.github.io/Logging_2510/tillsynsmail/A 5824-2023 tillsynsbegäran mail.docx", "A 5824-2023")</f>
        <v/>
      </c>
    </row>
    <row r="71" ht="15" customHeight="1">
      <c r="A71" t="inlineStr">
        <is>
          <t>A 23026-2023</t>
        </is>
      </c>
      <c r="B71" s="1" t="n">
        <v>45073</v>
      </c>
      <c r="C71" s="1" t="n">
        <v>45362</v>
      </c>
      <c r="D71" t="inlineStr">
        <is>
          <t>NORRBOTTENS LÄN</t>
        </is>
      </c>
      <c r="E71" t="inlineStr">
        <is>
          <t>JOKKMOKK</t>
        </is>
      </c>
      <c r="F71" t="inlineStr">
        <is>
          <t>SCA</t>
        </is>
      </c>
      <c r="G71" t="n">
        <v>3.1</v>
      </c>
      <c r="H71" t="n">
        <v>0</v>
      </c>
      <c r="I71" t="n">
        <v>1</v>
      </c>
      <c r="J71" t="n">
        <v>0</v>
      </c>
      <c r="K71" t="n">
        <v>0</v>
      </c>
      <c r="L71" t="n">
        <v>0</v>
      </c>
      <c r="M71" t="n">
        <v>0</v>
      </c>
      <c r="N71" t="n">
        <v>0</v>
      </c>
      <c r="O71" t="n">
        <v>0</v>
      </c>
      <c r="P71" t="n">
        <v>0</v>
      </c>
      <c r="Q71" t="n">
        <v>1</v>
      </c>
      <c r="R71" s="2" t="inlineStr">
        <is>
          <t>Bollvitmossa</t>
        </is>
      </c>
      <c r="S71">
        <f>HYPERLINK("https://klasma.github.io/Logging_2510/artfynd/A 23026-2023 artfynd.xlsx", "A 23026-2023")</f>
        <v/>
      </c>
      <c r="T71">
        <f>HYPERLINK("https://klasma.github.io/Logging_2510/kartor/A 23026-2023 karta.png", "A 23026-2023")</f>
        <v/>
      </c>
      <c r="V71">
        <f>HYPERLINK("https://klasma.github.io/Logging_2510/klagomål/A 23026-2023 FSC-klagomål.docx", "A 23026-2023")</f>
        <v/>
      </c>
      <c r="W71">
        <f>HYPERLINK("https://klasma.github.io/Logging_2510/klagomålsmail/A 23026-2023 FSC-klagomål mail.docx", "A 23026-2023")</f>
        <v/>
      </c>
      <c r="X71">
        <f>HYPERLINK("https://klasma.github.io/Logging_2510/tillsyn/A 23026-2023 tillsynsbegäran.docx", "A 23026-2023")</f>
        <v/>
      </c>
      <c r="Y71">
        <f>HYPERLINK("https://klasma.github.io/Logging_2510/tillsynsmail/A 23026-2023 tillsynsbegäran mail.docx", "A 23026-2023")</f>
        <v/>
      </c>
    </row>
    <row r="72" ht="15" customHeight="1">
      <c r="A72" t="inlineStr">
        <is>
          <t>A 28089-2023</t>
        </is>
      </c>
      <c r="B72" s="1" t="n">
        <v>45099</v>
      </c>
      <c r="C72" s="1" t="n">
        <v>45362</v>
      </c>
      <c r="D72" t="inlineStr">
        <is>
          <t>NORRBOTTENS LÄN</t>
        </is>
      </c>
      <c r="E72" t="inlineStr">
        <is>
          <t>JOKKMOKK</t>
        </is>
      </c>
      <c r="F72" t="inlineStr">
        <is>
          <t>Sveaskog</t>
        </is>
      </c>
      <c r="G72" t="n">
        <v>2.1</v>
      </c>
      <c r="H72" t="n">
        <v>0</v>
      </c>
      <c r="I72" t="n">
        <v>0</v>
      </c>
      <c r="J72" t="n">
        <v>1</v>
      </c>
      <c r="K72" t="n">
        <v>0</v>
      </c>
      <c r="L72" t="n">
        <v>0</v>
      </c>
      <c r="M72" t="n">
        <v>0</v>
      </c>
      <c r="N72" t="n">
        <v>0</v>
      </c>
      <c r="O72" t="n">
        <v>1</v>
      </c>
      <c r="P72" t="n">
        <v>0</v>
      </c>
      <c r="Q72" t="n">
        <v>1</v>
      </c>
      <c r="R72" s="2" t="inlineStr">
        <is>
          <t>Kolflarnlav</t>
        </is>
      </c>
      <c r="S72">
        <f>HYPERLINK("https://klasma.github.io/Logging_2510/artfynd/A 28089-2023 artfynd.xlsx", "A 28089-2023")</f>
        <v/>
      </c>
      <c r="T72">
        <f>HYPERLINK("https://klasma.github.io/Logging_2510/kartor/A 28089-2023 karta.png", "A 28089-2023")</f>
        <v/>
      </c>
      <c r="V72">
        <f>HYPERLINK("https://klasma.github.io/Logging_2510/klagomål/A 28089-2023 FSC-klagomål.docx", "A 28089-2023")</f>
        <v/>
      </c>
      <c r="W72">
        <f>HYPERLINK("https://klasma.github.io/Logging_2510/klagomålsmail/A 28089-2023 FSC-klagomål mail.docx", "A 28089-2023")</f>
        <v/>
      </c>
      <c r="X72">
        <f>HYPERLINK("https://klasma.github.io/Logging_2510/tillsyn/A 28089-2023 tillsynsbegäran.docx", "A 28089-2023")</f>
        <v/>
      </c>
      <c r="Y72">
        <f>HYPERLINK("https://klasma.github.io/Logging_2510/tillsynsmail/A 28089-2023 tillsynsbegäran mail.docx", "A 28089-2023")</f>
        <v/>
      </c>
    </row>
    <row r="73" ht="15" customHeight="1">
      <c r="A73" t="inlineStr">
        <is>
          <t>A 31490-2023</t>
        </is>
      </c>
      <c r="B73" s="1" t="n">
        <v>45114</v>
      </c>
      <c r="C73" s="1" t="n">
        <v>45362</v>
      </c>
      <c r="D73" t="inlineStr">
        <is>
          <t>NORRBOTTENS LÄN</t>
        </is>
      </c>
      <c r="E73" t="inlineStr">
        <is>
          <t>JOKKMOKK</t>
        </is>
      </c>
      <c r="F73" t="inlineStr">
        <is>
          <t>Allmännings- och besparingsskogar</t>
        </is>
      </c>
      <c r="G73" t="n">
        <v>7.7</v>
      </c>
      <c r="H73" t="n">
        <v>0</v>
      </c>
      <c r="I73" t="n">
        <v>1</v>
      </c>
      <c r="J73" t="n">
        <v>0</v>
      </c>
      <c r="K73" t="n">
        <v>0</v>
      </c>
      <c r="L73" t="n">
        <v>0</v>
      </c>
      <c r="M73" t="n">
        <v>0</v>
      </c>
      <c r="N73" t="n">
        <v>0</v>
      </c>
      <c r="O73" t="n">
        <v>0</v>
      </c>
      <c r="P73" t="n">
        <v>0</v>
      </c>
      <c r="Q73" t="n">
        <v>1</v>
      </c>
      <c r="R73" s="2" t="inlineStr">
        <is>
          <t>Norrlandslav</t>
        </is>
      </c>
      <c r="S73">
        <f>HYPERLINK("https://klasma.github.io/Logging_2510/artfynd/A 31490-2023 artfynd.xlsx", "A 31490-2023")</f>
        <v/>
      </c>
      <c r="T73">
        <f>HYPERLINK("https://klasma.github.io/Logging_2510/kartor/A 31490-2023 karta.png", "A 31490-2023")</f>
        <v/>
      </c>
      <c r="V73">
        <f>HYPERLINK("https://klasma.github.io/Logging_2510/klagomål/A 31490-2023 FSC-klagomål.docx", "A 31490-2023")</f>
        <v/>
      </c>
      <c r="W73">
        <f>HYPERLINK("https://klasma.github.io/Logging_2510/klagomålsmail/A 31490-2023 FSC-klagomål mail.docx", "A 31490-2023")</f>
        <v/>
      </c>
      <c r="X73">
        <f>HYPERLINK("https://klasma.github.io/Logging_2510/tillsyn/A 31490-2023 tillsynsbegäran.docx", "A 31490-2023")</f>
        <v/>
      </c>
      <c r="Y73">
        <f>HYPERLINK("https://klasma.github.io/Logging_2510/tillsynsmail/A 31490-2023 tillsynsbegäran mail.docx", "A 31490-2023")</f>
        <v/>
      </c>
    </row>
    <row r="74" ht="15" customHeight="1">
      <c r="A74" t="inlineStr">
        <is>
          <t>A 51580-2023</t>
        </is>
      </c>
      <c r="B74" s="1" t="n">
        <v>45222</v>
      </c>
      <c r="C74" s="1" t="n">
        <v>45362</v>
      </c>
      <c r="D74" t="inlineStr">
        <is>
          <t>NORRBOTTENS LÄN</t>
        </is>
      </c>
      <c r="E74" t="inlineStr">
        <is>
          <t>JOKKMOKK</t>
        </is>
      </c>
      <c r="G74" t="n">
        <v>11.1</v>
      </c>
      <c r="H74" t="n">
        <v>1</v>
      </c>
      <c r="I74" t="n">
        <v>0</v>
      </c>
      <c r="J74" t="n">
        <v>0</v>
      </c>
      <c r="K74" t="n">
        <v>1</v>
      </c>
      <c r="L74" t="n">
        <v>0</v>
      </c>
      <c r="M74" t="n">
        <v>0</v>
      </c>
      <c r="N74" t="n">
        <v>0</v>
      </c>
      <c r="O74" t="n">
        <v>1</v>
      </c>
      <c r="P74" t="n">
        <v>1</v>
      </c>
      <c r="Q74" t="n">
        <v>1</v>
      </c>
      <c r="R74" s="2" t="inlineStr">
        <is>
          <t>Norna</t>
        </is>
      </c>
      <c r="S74">
        <f>HYPERLINK("https://klasma.github.io/Logging_2510/artfynd/A 51580-2023 artfynd.xlsx", "A 51580-2023")</f>
        <v/>
      </c>
      <c r="T74">
        <f>HYPERLINK("https://klasma.github.io/Logging_2510/kartor/A 51580-2023 karta.png", "A 51580-2023")</f>
        <v/>
      </c>
      <c r="V74">
        <f>HYPERLINK("https://klasma.github.io/Logging_2510/klagomål/A 51580-2023 FSC-klagomål.docx", "A 51580-2023")</f>
        <v/>
      </c>
      <c r="W74">
        <f>HYPERLINK("https://klasma.github.io/Logging_2510/klagomålsmail/A 51580-2023 FSC-klagomål mail.docx", "A 51580-2023")</f>
        <v/>
      </c>
      <c r="X74">
        <f>HYPERLINK("https://klasma.github.io/Logging_2510/tillsyn/A 51580-2023 tillsynsbegäran.docx", "A 51580-2023")</f>
        <v/>
      </c>
      <c r="Y74">
        <f>HYPERLINK("https://klasma.github.io/Logging_2510/tillsynsmail/A 51580-2023 tillsynsbegäran mail.docx", "A 51580-2023")</f>
        <v/>
      </c>
    </row>
    <row r="75" ht="15" customHeight="1">
      <c r="A75" t="inlineStr">
        <is>
          <t>A 53217-2023</t>
        </is>
      </c>
      <c r="B75" s="1" t="n">
        <v>45222</v>
      </c>
      <c r="C75" s="1" t="n">
        <v>45362</v>
      </c>
      <c r="D75" t="inlineStr">
        <is>
          <t>NORRBOTTENS LÄN</t>
        </is>
      </c>
      <c r="E75" t="inlineStr">
        <is>
          <t>JOKKMOKK</t>
        </is>
      </c>
      <c r="F75" t="inlineStr">
        <is>
          <t>Övriga statliga verk och myndigheter</t>
        </is>
      </c>
      <c r="G75" t="n">
        <v>7.6</v>
      </c>
      <c r="H75" t="n">
        <v>0</v>
      </c>
      <c r="I75" t="n">
        <v>0</v>
      </c>
      <c r="J75" t="n">
        <v>1</v>
      </c>
      <c r="K75" t="n">
        <v>0</v>
      </c>
      <c r="L75" t="n">
        <v>0</v>
      </c>
      <c r="M75" t="n">
        <v>0</v>
      </c>
      <c r="N75" t="n">
        <v>0</v>
      </c>
      <c r="O75" t="n">
        <v>1</v>
      </c>
      <c r="P75" t="n">
        <v>0</v>
      </c>
      <c r="Q75" t="n">
        <v>1</v>
      </c>
      <c r="R75" s="2" t="inlineStr">
        <is>
          <t>Knottrig blåslav</t>
        </is>
      </c>
      <c r="S75">
        <f>HYPERLINK("https://klasma.github.io/Logging_2510/artfynd/A 53217-2023 artfynd.xlsx", "A 53217-2023")</f>
        <v/>
      </c>
      <c r="T75">
        <f>HYPERLINK("https://klasma.github.io/Logging_2510/kartor/A 53217-2023 karta.png",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row>
    <row r="76" ht="15" customHeight="1">
      <c r="A76" t="inlineStr">
        <is>
          <t>A 52537-2023</t>
        </is>
      </c>
      <c r="B76" s="1" t="n">
        <v>45225</v>
      </c>
      <c r="C76" s="1" t="n">
        <v>45362</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58068-2023</t>
        </is>
      </c>
      <c r="B77" s="1" t="n">
        <v>45247</v>
      </c>
      <c r="C77" s="1" t="n">
        <v>45362</v>
      </c>
      <c r="D77" t="inlineStr">
        <is>
          <t>NORRBOTTENS LÄN</t>
        </is>
      </c>
      <c r="E77" t="inlineStr">
        <is>
          <t>JOKKMOKK</t>
        </is>
      </c>
      <c r="G77" t="n">
        <v>3.1</v>
      </c>
      <c r="H77" t="n">
        <v>0</v>
      </c>
      <c r="I77" t="n">
        <v>1</v>
      </c>
      <c r="J77" t="n">
        <v>0</v>
      </c>
      <c r="K77" t="n">
        <v>0</v>
      </c>
      <c r="L77" t="n">
        <v>0</v>
      </c>
      <c r="M77" t="n">
        <v>0</v>
      </c>
      <c r="N77" t="n">
        <v>0</v>
      </c>
      <c r="O77" t="n">
        <v>0</v>
      </c>
      <c r="P77" t="n">
        <v>0</v>
      </c>
      <c r="Q77" t="n">
        <v>1</v>
      </c>
      <c r="R77" s="2" t="inlineStr">
        <is>
          <t>Källmossa</t>
        </is>
      </c>
      <c r="S77">
        <f>HYPERLINK("https://klasma.github.io/Logging_2510/artfynd/A 58068-2023 artfynd.xlsx", "A 58068-2023")</f>
        <v/>
      </c>
      <c r="T77">
        <f>HYPERLINK("https://klasma.github.io/Logging_2510/kartor/A 58068-2023 karta.png", "A 58068-2023")</f>
        <v/>
      </c>
      <c r="V77">
        <f>HYPERLINK("https://klasma.github.io/Logging_2510/klagomål/A 58068-2023 FSC-klagomål.docx", "A 58068-2023")</f>
        <v/>
      </c>
      <c r="W77">
        <f>HYPERLINK("https://klasma.github.io/Logging_2510/klagomålsmail/A 58068-2023 FSC-klagomål mail.docx", "A 58068-2023")</f>
        <v/>
      </c>
      <c r="X77">
        <f>HYPERLINK("https://klasma.github.io/Logging_2510/tillsyn/A 58068-2023 tillsynsbegäran.docx", "A 58068-2023")</f>
        <v/>
      </c>
      <c r="Y77">
        <f>HYPERLINK("https://klasma.github.io/Logging_2510/tillsynsmail/A 58068-2023 tillsynsbegäran mail.docx", "A 58068-2023")</f>
        <v/>
      </c>
    </row>
    <row r="78" ht="15" customHeight="1">
      <c r="A78" t="inlineStr">
        <is>
          <t>A 36239-2018</t>
        </is>
      </c>
      <c r="B78" s="1" t="n">
        <v>43327</v>
      </c>
      <c r="C78" s="1" t="n">
        <v>45362</v>
      </c>
      <c r="D78" t="inlineStr">
        <is>
          <t>NORRBOTTENS LÄN</t>
        </is>
      </c>
      <c r="E78" t="inlineStr">
        <is>
          <t>JOKKMOKK</t>
        </is>
      </c>
      <c r="F78" t="inlineStr">
        <is>
          <t>Övriga statliga verk och myndigheter</t>
        </is>
      </c>
      <c r="G78" t="n">
        <v>40.1</v>
      </c>
      <c r="H78" t="n">
        <v>0</v>
      </c>
      <c r="I78" t="n">
        <v>0</v>
      </c>
      <c r="J78" t="n">
        <v>0</v>
      </c>
      <c r="K78" t="n">
        <v>0</v>
      </c>
      <c r="L78" t="n">
        <v>0</v>
      </c>
      <c r="M78" t="n">
        <v>0</v>
      </c>
      <c r="N78" t="n">
        <v>0</v>
      </c>
      <c r="O78" t="n">
        <v>0</v>
      </c>
      <c r="P78" t="n">
        <v>0</v>
      </c>
      <c r="Q78" t="n">
        <v>0</v>
      </c>
      <c r="R78" s="2" t="inlineStr"/>
    </row>
    <row r="79" ht="15" customHeight="1">
      <c r="A79" t="inlineStr">
        <is>
          <t>A 36375-2018</t>
        </is>
      </c>
      <c r="B79" s="1" t="n">
        <v>43328</v>
      </c>
      <c r="C79" s="1" t="n">
        <v>45362</v>
      </c>
      <c r="D79" t="inlineStr">
        <is>
          <t>NORRBOTTENS LÄN</t>
        </is>
      </c>
      <c r="E79" t="inlineStr">
        <is>
          <t>JOKKMOKK</t>
        </is>
      </c>
      <c r="G79" t="n">
        <v>6.2</v>
      </c>
      <c r="H79" t="n">
        <v>0</v>
      </c>
      <c r="I79" t="n">
        <v>0</v>
      </c>
      <c r="J79" t="n">
        <v>0</v>
      </c>
      <c r="K79" t="n">
        <v>0</v>
      </c>
      <c r="L79" t="n">
        <v>0</v>
      </c>
      <c r="M79" t="n">
        <v>0</v>
      </c>
      <c r="N79" t="n">
        <v>0</v>
      </c>
      <c r="O79" t="n">
        <v>0</v>
      </c>
      <c r="P79" t="n">
        <v>0</v>
      </c>
      <c r="Q79" t="n">
        <v>0</v>
      </c>
      <c r="R79" s="2" t="inlineStr"/>
    </row>
    <row r="80" ht="15" customHeight="1">
      <c r="A80" t="inlineStr">
        <is>
          <t>A 36373-2018</t>
        </is>
      </c>
      <c r="B80" s="1" t="n">
        <v>43328</v>
      </c>
      <c r="C80" s="1" t="n">
        <v>45362</v>
      </c>
      <c r="D80" t="inlineStr">
        <is>
          <t>NORRBOTTENS LÄN</t>
        </is>
      </c>
      <c r="E80" t="inlineStr">
        <is>
          <t>JOKKMOKK</t>
        </is>
      </c>
      <c r="G80" t="n">
        <v>4.6</v>
      </c>
      <c r="H80" t="n">
        <v>0</v>
      </c>
      <c r="I80" t="n">
        <v>0</v>
      </c>
      <c r="J80" t="n">
        <v>0</v>
      </c>
      <c r="K80" t="n">
        <v>0</v>
      </c>
      <c r="L80" t="n">
        <v>0</v>
      </c>
      <c r="M80" t="n">
        <v>0</v>
      </c>
      <c r="N80" t="n">
        <v>0</v>
      </c>
      <c r="O80" t="n">
        <v>0</v>
      </c>
      <c r="P80" t="n">
        <v>0</v>
      </c>
      <c r="Q80" t="n">
        <v>0</v>
      </c>
      <c r="R80" s="2" t="inlineStr"/>
    </row>
    <row r="81" ht="15" customHeight="1">
      <c r="A81" t="inlineStr">
        <is>
          <t>A 36378-2018</t>
        </is>
      </c>
      <c r="B81" s="1" t="n">
        <v>43328</v>
      </c>
      <c r="C81" s="1" t="n">
        <v>45362</v>
      </c>
      <c r="D81" t="inlineStr">
        <is>
          <t>NORRBOTTENS LÄN</t>
        </is>
      </c>
      <c r="E81" t="inlineStr">
        <is>
          <t>JOKKMOKK</t>
        </is>
      </c>
      <c r="G81" t="n">
        <v>7.3</v>
      </c>
      <c r="H81" t="n">
        <v>0</v>
      </c>
      <c r="I81" t="n">
        <v>0</v>
      </c>
      <c r="J81" t="n">
        <v>0</v>
      </c>
      <c r="K81" t="n">
        <v>0</v>
      </c>
      <c r="L81" t="n">
        <v>0</v>
      </c>
      <c r="M81" t="n">
        <v>0</v>
      </c>
      <c r="N81" t="n">
        <v>0</v>
      </c>
      <c r="O81" t="n">
        <v>0</v>
      </c>
      <c r="P81" t="n">
        <v>0</v>
      </c>
      <c r="Q81" t="n">
        <v>0</v>
      </c>
      <c r="R81" s="2" t="inlineStr"/>
    </row>
    <row r="82" ht="15" customHeight="1">
      <c r="A82" t="inlineStr">
        <is>
          <t>A 36690-2018</t>
        </is>
      </c>
      <c r="B82" s="1" t="n">
        <v>43329</v>
      </c>
      <c r="C82" s="1" t="n">
        <v>45362</v>
      </c>
      <c r="D82" t="inlineStr">
        <is>
          <t>NORRBOTTENS LÄN</t>
        </is>
      </c>
      <c r="E82" t="inlineStr">
        <is>
          <t>JOKKMOKK</t>
        </is>
      </c>
      <c r="G82" t="n">
        <v>2.5</v>
      </c>
      <c r="H82" t="n">
        <v>0</v>
      </c>
      <c r="I82" t="n">
        <v>0</v>
      </c>
      <c r="J82" t="n">
        <v>0</v>
      </c>
      <c r="K82" t="n">
        <v>0</v>
      </c>
      <c r="L82" t="n">
        <v>0</v>
      </c>
      <c r="M82" t="n">
        <v>0</v>
      </c>
      <c r="N82" t="n">
        <v>0</v>
      </c>
      <c r="O82" t="n">
        <v>0</v>
      </c>
      <c r="P82" t="n">
        <v>0</v>
      </c>
      <c r="Q82" t="n">
        <v>0</v>
      </c>
      <c r="R82" s="2" t="inlineStr"/>
    </row>
    <row r="83" ht="15" customHeight="1">
      <c r="A83" t="inlineStr">
        <is>
          <t>A 36721-2018</t>
        </is>
      </c>
      <c r="B83" s="1" t="n">
        <v>43332</v>
      </c>
      <c r="C83" s="1" t="n">
        <v>45362</v>
      </c>
      <c r="D83" t="inlineStr">
        <is>
          <t>NORRBOTTENS LÄN</t>
        </is>
      </c>
      <c r="E83" t="inlineStr">
        <is>
          <t>JOKKMOKK</t>
        </is>
      </c>
      <c r="G83" t="n">
        <v>7.6</v>
      </c>
      <c r="H83" t="n">
        <v>0</v>
      </c>
      <c r="I83" t="n">
        <v>0</v>
      </c>
      <c r="J83" t="n">
        <v>0</v>
      </c>
      <c r="K83" t="n">
        <v>0</v>
      </c>
      <c r="L83" t="n">
        <v>0</v>
      </c>
      <c r="M83" t="n">
        <v>0</v>
      </c>
      <c r="N83" t="n">
        <v>0</v>
      </c>
      <c r="O83" t="n">
        <v>0</v>
      </c>
      <c r="P83" t="n">
        <v>0</v>
      </c>
      <c r="Q83" t="n">
        <v>0</v>
      </c>
      <c r="R83" s="2" t="inlineStr"/>
    </row>
    <row r="84" ht="15" customHeight="1">
      <c r="A84" t="inlineStr">
        <is>
          <t>A 37158-2018</t>
        </is>
      </c>
      <c r="B84" s="1" t="n">
        <v>43332</v>
      </c>
      <c r="C84" s="1" t="n">
        <v>45362</v>
      </c>
      <c r="D84" t="inlineStr">
        <is>
          <t>NORRBOTTENS LÄN</t>
        </is>
      </c>
      <c r="E84" t="inlineStr">
        <is>
          <t>JOKKMOKK</t>
        </is>
      </c>
      <c r="F84" t="inlineStr">
        <is>
          <t>Övriga statliga verk och myndigheter</t>
        </is>
      </c>
      <c r="G84" t="n">
        <v>25.6</v>
      </c>
      <c r="H84" t="n">
        <v>0</v>
      </c>
      <c r="I84" t="n">
        <v>0</v>
      </c>
      <c r="J84" t="n">
        <v>0</v>
      </c>
      <c r="K84" t="n">
        <v>0</v>
      </c>
      <c r="L84" t="n">
        <v>0</v>
      </c>
      <c r="M84" t="n">
        <v>0</v>
      </c>
      <c r="N84" t="n">
        <v>0</v>
      </c>
      <c r="O84" t="n">
        <v>0</v>
      </c>
      <c r="P84" t="n">
        <v>0</v>
      </c>
      <c r="Q84" t="n">
        <v>0</v>
      </c>
      <c r="R84" s="2" t="inlineStr"/>
    </row>
    <row r="85" ht="15" customHeight="1">
      <c r="A85" t="inlineStr">
        <is>
          <t>A 38440-2018</t>
        </is>
      </c>
      <c r="B85" s="1" t="n">
        <v>43335</v>
      </c>
      <c r="C85" s="1" t="n">
        <v>45362</v>
      </c>
      <c r="D85" t="inlineStr">
        <is>
          <t>NORRBOTTENS LÄN</t>
        </is>
      </c>
      <c r="E85" t="inlineStr">
        <is>
          <t>JOKKMOKK</t>
        </is>
      </c>
      <c r="G85" t="n">
        <v>23</v>
      </c>
      <c r="H85" t="n">
        <v>0</v>
      </c>
      <c r="I85" t="n">
        <v>0</v>
      </c>
      <c r="J85" t="n">
        <v>0</v>
      </c>
      <c r="K85" t="n">
        <v>0</v>
      </c>
      <c r="L85" t="n">
        <v>0</v>
      </c>
      <c r="M85" t="n">
        <v>0</v>
      </c>
      <c r="N85" t="n">
        <v>0</v>
      </c>
      <c r="O85" t="n">
        <v>0</v>
      </c>
      <c r="P85" t="n">
        <v>0</v>
      </c>
      <c r="Q85" t="n">
        <v>0</v>
      </c>
      <c r="R85" s="2" t="inlineStr"/>
    </row>
    <row r="86" ht="15" customHeight="1">
      <c r="A86" t="inlineStr">
        <is>
          <t>A 41277-2018</t>
        </is>
      </c>
      <c r="B86" s="1" t="n">
        <v>43348</v>
      </c>
      <c r="C86" s="1" t="n">
        <v>45362</v>
      </c>
      <c r="D86" t="inlineStr">
        <is>
          <t>NORRBOTTENS LÄN</t>
        </is>
      </c>
      <c r="E86" t="inlineStr">
        <is>
          <t>JOKKMOKK</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45310-2018</t>
        </is>
      </c>
      <c r="B87" s="1" t="n">
        <v>43360</v>
      </c>
      <c r="C87" s="1" t="n">
        <v>45362</v>
      </c>
      <c r="D87" t="inlineStr">
        <is>
          <t>NORRBOTTENS LÄN</t>
        </is>
      </c>
      <c r="E87" t="inlineStr">
        <is>
          <t>JOKKMOKK</t>
        </is>
      </c>
      <c r="G87" t="n">
        <v>8.6</v>
      </c>
      <c r="H87" t="n">
        <v>0</v>
      </c>
      <c r="I87" t="n">
        <v>0</v>
      </c>
      <c r="J87" t="n">
        <v>0</v>
      </c>
      <c r="K87" t="n">
        <v>0</v>
      </c>
      <c r="L87" t="n">
        <v>0</v>
      </c>
      <c r="M87" t="n">
        <v>0</v>
      </c>
      <c r="N87" t="n">
        <v>0</v>
      </c>
      <c r="O87" t="n">
        <v>0</v>
      </c>
      <c r="P87" t="n">
        <v>0</v>
      </c>
      <c r="Q87" t="n">
        <v>0</v>
      </c>
      <c r="R87" s="2" t="inlineStr"/>
    </row>
    <row r="88" ht="15" customHeight="1">
      <c r="A88" t="inlineStr">
        <is>
          <t>A 54157-2018</t>
        </is>
      </c>
      <c r="B88" s="1" t="n">
        <v>43392</v>
      </c>
      <c r="C88" s="1" t="n">
        <v>45362</v>
      </c>
      <c r="D88" t="inlineStr">
        <is>
          <t>NORRBOTTENS LÄN</t>
        </is>
      </c>
      <c r="E88" t="inlineStr">
        <is>
          <t>JOKKMOKK</t>
        </is>
      </c>
      <c r="F88" t="inlineStr">
        <is>
          <t>Sveaskog</t>
        </is>
      </c>
      <c r="G88" t="n">
        <v>7.6</v>
      </c>
      <c r="H88" t="n">
        <v>0</v>
      </c>
      <c r="I88" t="n">
        <v>0</v>
      </c>
      <c r="J88" t="n">
        <v>0</v>
      </c>
      <c r="K88" t="n">
        <v>0</v>
      </c>
      <c r="L88" t="n">
        <v>0</v>
      </c>
      <c r="M88" t="n">
        <v>0</v>
      </c>
      <c r="N88" t="n">
        <v>0</v>
      </c>
      <c r="O88" t="n">
        <v>0</v>
      </c>
      <c r="P88" t="n">
        <v>0</v>
      </c>
      <c r="Q88" t="n">
        <v>0</v>
      </c>
      <c r="R88" s="2" t="inlineStr"/>
    </row>
    <row r="89" ht="15" customHeight="1">
      <c r="A89" t="inlineStr">
        <is>
          <t>A 57630-2018</t>
        </is>
      </c>
      <c r="B89" s="1" t="n">
        <v>43404</v>
      </c>
      <c r="C89" s="1" t="n">
        <v>45362</v>
      </c>
      <c r="D89" t="inlineStr">
        <is>
          <t>NORRBOTTENS LÄN</t>
        </is>
      </c>
      <c r="E89" t="inlineStr">
        <is>
          <t>JOKKMOKK</t>
        </is>
      </c>
      <c r="F89" t="inlineStr">
        <is>
          <t>SCA</t>
        </is>
      </c>
      <c r="G89" t="n">
        <v>115.7</v>
      </c>
      <c r="H89" t="n">
        <v>0</v>
      </c>
      <c r="I89" t="n">
        <v>0</v>
      </c>
      <c r="J89" t="n">
        <v>0</v>
      </c>
      <c r="K89" t="n">
        <v>0</v>
      </c>
      <c r="L89" t="n">
        <v>0</v>
      </c>
      <c r="M89" t="n">
        <v>0</v>
      </c>
      <c r="N89" t="n">
        <v>0</v>
      </c>
      <c r="O89" t="n">
        <v>0</v>
      </c>
      <c r="P89" t="n">
        <v>0</v>
      </c>
      <c r="Q89" t="n">
        <v>0</v>
      </c>
      <c r="R89" s="2" t="inlineStr"/>
    </row>
    <row r="90" ht="15" customHeight="1">
      <c r="A90" t="inlineStr">
        <is>
          <t>A 57631-2018</t>
        </is>
      </c>
      <c r="B90" s="1" t="n">
        <v>43404</v>
      </c>
      <c r="C90" s="1" t="n">
        <v>45362</v>
      </c>
      <c r="D90" t="inlineStr">
        <is>
          <t>NORRBOTTENS LÄN</t>
        </is>
      </c>
      <c r="E90" t="inlineStr">
        <is>
          <t>JOKKMOKK</t>
        </is>
      </c>
      <c r="F90" t="inlineStr">
        <is>
          <t>SCA</t>
        </is>
      </c>
      <c r="G90" t="n">
        <v>6.2</v>
      </c>
      <c r="H90" t="n">
        <v>0</v>
      </c>
      <c r="I90" t="n">
        <v>0</v>
      </c>
      <c r="J90" t="n">
        <v>0</v>
      </c>
      <c r="K90" t="n">
        <v>0</v>
      </c>
      <c r="L90" t="n">
        <v>0</v>
      </c>
      <c r="M90" t="n">
        <v>0</v>
      </c>
      <c r="N90" t="n">
        <v>0</v>
      </c>
      <c r="O90" t="n">
        <v>0</v>
      </c>
      <c r="P90" t="n">
        <v>0</v>
      </c>
      <c r="Q90" t="n">
        <v>0</v>
      </c>
      <c r="R90" s="2" t="inlineStr"/>
    </row>
    <row r="91" ht="15" customHeight="1">
      <c r="A91" t="inlineStr">
        <is>
          <t>A 60324-2018</t>
        </is>
      </c>
      <c r="B91" s="1" t="n">
        <v>43405</v>
      </c>
      <c r="C91" s="1" t="n">
        <v>45362</v>
      </c>
      <c r="D91" t="inlineStr">
        <is>
          <t>NORRBOTTENS LÄN</t>
        </is>
      </c>
      <c r="E91" t="inlineStr">
        <is>
          <t>JOKKMOKK</t>
        </is>
      </c>
      <c r="G91" t="n">
        <v>68.09999999999999</v>
      </c>
      <c r="H91" t="n">
        <v>0</v>
      </c>
      <c r="I91" t="n">
        <v>0</v>
      </c>
      <c r="J91" t="n">
        <v>0</v>
      </c>
      <c r="K91" t="n">
        <v>0</v>
      </c>
      <c r="L91" t="n">
        <v>0</v>
      </c>
      <c r="M91" t="n">
        <v>0</v>
      </c>
      <c r="N91" t="n">
        <v>0</v>
      </c>
      <c r="O91" t="n">
        <v>0</v>
      </c>
      <c r="P91" t="n">
        <v>0</v>
      </c>
      <c r="Q91" t="n">
        <v>0</v>
      </c>
      <c r="R91" s="2" t="inlineStr"/>
    </row>
    <row r="92" ht="15" customHeight="1">
      <c r="A92" t="inlineStr">
        <is>
          <t>A 65132-2018</t>
        </is>
      </c>
      <c r="B92" s="1" t="n">
        <v>43423</v>
      </c>
      <c r="C92" s="1" t="n">
        <v>45362</v>
      </c>
      <c r="D92" t="inlineStr">
        <is>
          <t>NORRBOTTENS LÄN</t>
        </is>
      </c>
      <c r="E92" t="inlineStr">
        <is>
          <t>JOKKMOKK</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66076-2018</t>
        </is>
      </c>
      <c r="B93" s="1" t="n">
        <v>43424</v>
      </c>
      <c r="C93" s="1" t="n">
        <v>45362</v>
      </c>
      <c r="D93" t="inlineStr">
        <is>
          <t>NORRBOTTENS LÄN</t>
        </is>
      </c>
      <c r="E93" t="inlineStr">
        <is>
          <t>JOKKMOKK</t>
        </is>
      </c>
      <c r="F93" t="inlineStr">
        <is>
          <t>Övriga Aktiebolag</t>
        </is>
      </c>
      <c r="G93" t="n">
        <v>19.4</v>
      </c>
      <c r="H93" t="n">
        <v>0</v>
      </c>
      <c r="I93" t="n">
        <v>0</v>
      </c>
      <c r="J93" t="n">
        <v>0</v>
      </c>
      <c r="K93" t="n">
        <v>0</v>
      </c>
      <c r="L93" t="n">
        <v>0</v>
      </c>
      <c r="M93" t="n">
        <v>0</v>
      </c>
      <c r="N93" t="n">
        <v>0</v>
      </c>
      <c r="O93" t="n">
        <v>0</v>
      </c>
      <c r="P93" t="n">
        <v>0</v>
      </c>
      <c r="Q93" t="n">
        <v>0</v>
      </c>
      <c r="R93" s="2" t="inlineStr"/>
    </row>
    <row r="94" ht="15" customHeight="1">
      <c r="A94" t="inlineStr">
        <is>
          <t>A 66105-2018</t>
        </is>
      </c>
      <c r="B94" s="1" t="n">
        <v>43425</v>
      </c>
      <c r="C94" s="1" t="n">
        <v>45362</v>
      </c>
      <c r="D94" t="inlineStr">
        <is>
          <t>NORRBOTTENS LÄN</t>
        </is>
      </c>
      <c r="E94" t="inlineStr">
        <is>
          <t>JOKKMOKK</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65574-2018</t>
        </is>
      </c>
      <c r="B95" s="1" t="n">
        <v>43425</v>
      </c>
      <c r="C95" s="1" t="n">
        <v>45362</v>
      </c>
      <c r="D95" t="inlineStr">
        <is>
          <t>NORRBOTTENS LÄN</t>
        </is>
      </c>
      <c r="E95" t="inlineStr">
        <is>
          <t>JOKKMOKK</t>
        </is>
      </c>
      <c r="G95" t="n">
        <v>19.2</v>
      </c>
      <c r="H95" t="n">
        <v>0</v>
      </c>
      <c r="I95" t="n">
        <v>0</v>
      </c>
      <c r="J95" t="n">
        <v>0</v>
      </c>
      <c r="K95" t="n">
        <v>0</v>
      </c>
      <c r="L95" t="n">
        <v>0</v>
      </c>
      <c r="M95" t="n">
        <v>0</v>
      </c>
      <c r="N95" t="n">
        <v>0</v>
      </c>
      <c r="O95" t="n">
        <v>0</v>
      </c>
      <c r="P95" t="n">
        <v>0</v>
      </c>
      <c r="Q95" t="n">
        <v>0</v>
      </c>
      <c r="R95" s="2" t="inlineStr"/>
    </row>
    <row r="96" ht="15" customHeight="1">
      <c r="A96" t="inlineStr">
        <is>
          <t>A 66115-2018</t>
        </is>
      </c>
      <c r="B96" s="1" t="n">
        <v>43425</v>
      </c>
      <c r="C96" s="1" t="n">
        <v>45362</v>
      </c>
      <c r="D96" t="inlineStr">
        <is>
          <t>NORRBOTTENS LÄN</t>
        </is>
      </c>
      <c r="E96" t="inlineStr">
        <is>
          <t>JOKKMOKK</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62265-2018</t>
        </is>
      </c>
      <c r="B97" s="1" t="n">
        <v>43425</v>
      </c>
      <c r="C97" s="1" t="n">
        <v>45362</v>
      </c>
      <c r="D97" t="inlineStr">
        <is>
          <t>NORRBOTTENS LÄN</t>
        </is>
      </c>
      <c r="E97" t="inlineStr">
        <is>
          <t>JOKKMOKK</t>
        </is>
      </c>
      <c r="G97" t="n">
        <v>3.6</v>
      </c>
      <c r="H97" t="n">
        <v>0</v>
      </c>
      <c r="I97" t="n">
        <v>0</v>
      </c>
      <c r="J97" t="n">
        <v>0</v>
      </c>
      <c r="K97" t="n">
        <v>0</v>
      </c>
      <c r="L97" t="n">
        <v>0</v>
      </c>
      <c r="M97" t="n">
        <v>0</v>
      </c>
      <c r="N97" t="n">
        <v>0</v>
      </c>
      <c r="O97" t="n">
        <v>0</v>
      </c>
      <c r="P97" t="n">
        <v>0</v>
      </c>
      <c r="Q97" t="n">
        <v>0</v>
      </c>
      <c r="R97" s="2" t="inlineStr"/>
    </row>
    <row r="98" ht="15" customHeight="1">
      <c r="A98" t="inlineStr">
        <is>
          <t>A 62270-2018</t>
        </is>
      </c>
      <c r="B98" s="1" t="n">
        <v>43425</v>
      </c>
      <c r="C98" s="1" t="n">
        <v>45362</v>
      </c>
      <c r="D98" t="inlineStr">
        <is>
          <t>NORRBOTTENS LÄN</t>
        </is>
      </c>
      <c r="E98" t="inlineStr">
        <is>
          <t>JOKKMOKK</t>
        </is>
      </c>
      <c r="G98" t="n">
        <v>13.7</v>
      </c>
      <c r="H98" t="n">
        <v>0</v>
      </c>
      <c r="I98" t="n">
        <v>0</v>
      </c>
      <c r="J98" t="n">
        <v>0</v>
      </c>
      <c r="K98" t="n">
        <v>0</v>
      </c>
      <c r="L98" t="n">
        <v>0</v>
      </c>
      <c r="M98" t="n">
        <v>0</v>
      </c>
      <c r="N98" t="n">
        <v>0</v>
      </c>
      <c r="O98" t="n">
        <v>0</v>
      </c>
      <c r="P98" t="n">
        <v>0</v>
      </c>
      <c r="Q98" t="n">
        <v>0</v>
      </c>
      <c r="R98" s="2" t="inlineStr"/>
    </row>
    <row r="99" ht="15" customHeight="1">
      <c r="A99" t="inlineStr">
        <is>
          <t>A 67779-2018</t>
        </is>
      </c>
      <c r="B99" s="1" t="n">
        <v>43433</v>
      </c>
      <c r="C99" s="1" t="n">
        <v>45362</v>
      </c>
      <c r="D99" t="inlineStr">
        <is>
          <t>NORRBOTTENS LÄN</t>
        </is>
      </c>
      <c r="E99" t="inlineStr">
        <is>
          <t>JOKKMOKK</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71159-2018</t>
        </is>
      </c>
      <c r="B100" s="1" t="n">
        <v>43452</v>
      </c>
      <c r="C100" s="1" t="n">
        <v>45362</v>
      </c>
      <c r="D100" t="inlineStr">
        <is>
          <t>NORRBOTTENS LÄN</t>
        </is>
      </c>
      <c r="E100" t="inlineStr">
        <is>
          <t>JOKKMOKK</t>
        </is>
      </c>
      <c r="G100" t="n">
        <v>1.1</v>
      </c>
      <c r="H100" t="n">
        <v>0</v>
      </c>
      <c r="I100" t="n">
        <v>0</v>
      </c>
      <c r="J100" t="n">
        <v>0</v>
      </c>
      <c r="K100" t="n">
        <v>0</v>
      </c>
      <c r="L100" t="n">
        <v>0</v>
      </c>
      <c r="M100" t="n">
        <v>0</v>
      </c>
      <c r="N100" t="n">
        <v>0</v>
      </c>
      <c r="O100" t="n">
        <v>0</v>
      </c>
      <c r="P100" t="n">
        <v>0</v>
      </c>
      <c r="Q100" t="n">
        <v>0</v>
      </c>
      <c r="R100" s="2" t="inlineStr"/>
    </row>
    <row r="101" ht="15" customHeight="1">
      <c r="A101" t="inlineStr">
        <is>
          <t>A 71352-2018</t>
        </is>
      </c>
      <c r="B101" s="1" t="n">
        <v>43453</v>
      </c>
      <c r="C101" s="1" t="n">
        <v>45362</v>
      </c>
      <c r="D101" t="inlineStr">
        <is>
          <t>NORRBOTTENS LÄN</t>
        </is>
      </c>
      <c r="E101" t="inlineStr">
        <is>
          <t>JOKKMOKK</t>
        </is>
      </c>
      <c r="F101" t="inlineStr">
        <is>
          <t>Sveaskog</t>
        </is>
      </c>
      <c r="G101" t="n">
        <v>96.09999999999999</v>
      </c>
      <c r="H101" t="n">
        <v>0</v>
      </c>
      <c r="I101" t="n">
        <v>0</v>
      </c>
      <c r="J101" t="n">
        <v>0</v>
      </c>
      <c r="K101" t="n">
        <v>0</v>
      </c>
      <c r="L101" t="n">
        <v>0</v>
      </c>
      <c r="M101" t="n">
        <v>0</v>
      </c>
      <c r="N101" t="n">
        <v>0</v>
      </c>
      <c r="O101" t="n">
        <v>0</v>
      </c>
      <c r="P101" t="n">
        <v>0</v>
      </c>
      <c r="Q101" t="n">
        <v>0</v>
      </c>
      <c r="R101" s="2" t="inlineStr"/>
    </row>
    <row r="102" ht="15" customHeight="1">
      <c r="A102" t="inlineStr">
        <is>
          <t>A 71854-2018</t>
        </is>
      </c>
      <c r="B102" s="1" t="n">
        <v>43454</v>
      </c>
      <c r="C102" s="1" t="n">
        <v>45362</v>
      </c>
      <c r="D102" t="inlineStr">
        <is>
          <t>NORRBOTTENS LÄN</t>
        </is>
      </c>
      <c r="E102" t="inlineStr">
        <is>
          <t>JOKKMOKK</t>
        </is>
      </c>
      <c r="G102" t="n">
        <v>4.6</v>
      </c>
      <c r="H102" t="n">
        <v>0</v>
      </c>
      <c r="I102" t="n">
        <v>0</v>
      </c>
      <c r="J102" t="n">
        <v>0</v>
      </c>
      <c r="K102" t="n">
        <v>0</v>
      </c>
      <c r="L102" t="n">
        <v>0</v>
      </c>
      <c r="M102" t="n">
        <v>0</v>
      </c>
      <c r="N102" t="n">
        <v>0</v>
      </c>
      <c r="O102" t="n">
        <v>0</v>
      </c>
      <c r="P102" t="n">
        <v>0</v>
      </c>
      <c r="Q102" t="n">
        <v>0</v>
      </c>
      <c r="R102" s="2" t="inlineStr"/>
    </row>
    <row r="103" ht="15" customHeight="1">
      <c r="A103" t="inlineStr">
        <is>
          <t>A 57-2019</t>
        </is>
      </c>
      <c r="B103" s="1" t="n">
        <v>43467</v>
      </c>
      <c r="C103" s="1" t="n">
        <v>45362</v>
      </c>
      <c r="D103" t="inlineStr">
        <is>
          <t>NORRBOTTENS LÄN</t>
        </is>
      </c>
      <c r="E103" t="inlineStr">
        <is>
          <t>JOKKMOKK</t>
        </is>
      </c>
      <c r="F103" t="inlineStr">
        <is>
          <t>Sveaskog</t>
        </is>
      </c>
      <c r="G103" t="n">
        <v>6.4</v>
      </c>
      <c r="H103" t="n">
        <v>0</v>
      </c>
      <c r="I103" t="n">
        <v>0</v>
      </c>
      <c r="J103" t="n">
        <v>0</v>
      </c>
      <c r="K103" t="n">
        <v>0</v>
      </c>
      <c r="L103" t="n">
        <v>0</v>
      </c>
      <c r="M103" t="n">
        <v>0</v>
      </c>
      <c r="N103" t="n">
        <v>0</v>
      </c>
      <c r="O103" t="n">
        <v>0</v>
      </c>
      <c r="P103" t="n">
        <v>0</v>
      </c>
      <c r="Q103" t="n">
        <v>0</v>
      </c>
      <c r="R103" s="2" t="inlineStr"/>
    </row>
    <row r="104" ht="15" customHeight="1">
      <c r="A104" t="inlineStr">
        <is>
          <t>A 97-2019</t>
        </is>
      </c>
      <c r="B104" s="1" t="n">
        <v>43467</v>
      </c>
      <c r="C104" s="1" t="n">
        <v>45362</v>
      </c>
      <c r="D104" t="inlineStr">
        <is>
          <t>NORRBOTTENS LÄN</t>
        </is>
      </c>
      <c r="E104" t="inlineStr">
        <is>
          <t>JOKKMOKK</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2288-2019</t>
        </is>
      </c>
      <c r="B105" s="1" t="n">
        <v>43475</v>
      </c>
      <c r="C105" s="1" t="n">
        <v>45362</v>
      </c>
      <c r="D105" t="inlineStr">
        <is>
          <t>NORRBOTTENS LÄN</t>
        </is>
      </c>
      <c r="E105" t="inlineStr">
        <is>
          <t>JOKKMOKK</t>
        </is>
      </c>
      <c r="G105" t="n">
        <v>2.4</v>
      </c>
      <c r="H105" t="n">
        <v>0</v>
      </c>
      <c r="I105" t="n">
        <v>0</v>
      </c>
      <c r="J105" t="n">
        <v>0</v>
      </c>
      <c r="K105" t="n">
        <v>0</v>
      </c>
      <c r="L105" t="n">
        <v>0</v>
      </c>
      <c r="M105" t="n">
        <v>0</v>
      </c>
      <c r="N105" t="n">
        <v>0</v>
      </c>
      <c r="O105" t="n">
        <v>0</v>
      </c>
      <c r="P105" t="n">
        <v>0</v>
      </c>
      <c r="Q105" t="n">
        <v>0</v>
      </c>
      <c r="R105" s="2" t="inlineStr"/>
    </row>
    <row r="106" ht="15" customHeight="1">
      <c r="A106" t="inlineStr">
        <is>
          <t>A 7539-2019</t>
        </is>
      </c>
      <c r="B106" s="1" t="n">
        <v>43493</v>
      </c>
      <c r="C106" s="1" t="n">
        <v>45362</v>
      </c>
      <c r="D106" t="inlineStr">
        <is>
          <t>NORRBOTTENS LÄN</t>
        </is>
      </c>
      <c r="E106" t="inlineStr">
        <is>
          <t>JOKKMOKK</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7536-2019</t>
        </is>
      </c>
      <c r="B107" s="1" t="n">
        <v>43493</v>
      </c>
      <c r="C107" s="1" t="n">
        <v>45362</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7527-2019</t>
        </is>
      </c>
      <c r="B108" s="1" t="n">
        <v>43493</v>
      </c>
      <c r="C108" s="1" t="n">
        <v>45362</v>
      </c>
      <c r="D108" t="inlineStr">
        <is>
          <t>NORRBOTTENS LÄN</t>
        </is>
      </c>
      <c r="E108" t="inlineStr">
        <is>
          <t>JOKKMOKK</t>
        </is>
      </c>
      <c r="G108" t="n">
        <v>5</v>
      </c>
      <c r="H108" t="n">
        <v>0</v>
      </c>
      <c r="I108" t="n">
        <v>0</v>
      </c>
      <c r="J108" t="n">
        <v>0</v>
      </c>
      <c r="K108" t="n">
        <v>0</v>
      </c>
      <c r="L108" t="n">
        <v>0</v>
      </c>
      <c r="M108" t="n">
        <v>0</v>
      </c>
      <c r="N108" t="n">
        <v>0</v>
      </c>
      <c r="O108" t="n">
        <v>0</v>
      </c>
      <c r="P108" t="n">
        <v>0</v>
      </c>
      <c r="Q108" t="n">
        <v>0</v>
      </c>
      <c r="R108" s="2" t="inlineStr"/>
    </row>
    <row r="109" ht="15" customHeight="1">
      <c r="A109" t="inlineStr">
        <is>
          <t>A 10689-2019</t>
        </is>
      </c>
      <c r="B109" s="1" t="n">
        <v>43514</v>
      </c>
      <c r="C109" s="1" t="n">
        <v>45362</v>
      </c>
      <c r="D109" t="inlineStr">
        <is>
          <t>NORRBOTTENS LÄN</t>
        </is>
      </c>
      <c r="E109" t="inlineStr">
        <is>
          <t>JOKKMOKK</t>
        </is>
      </c>
      <c r="G109" t="n">
        <v>3.2</v>
      </c>
      <c r="H109" t="n">
        <v>0</v>
      </c>
      <c r="I109" t="n">
        <v>0</v>
      </c>
      <c r="J109" t="n">
        <v>0</v>
      </c>
      <c r="K109" t="n">
        <v>0</v>
      </c>
      <c r="L109" t="n">
        <v>0</v>
      </c>
      <c r="M109" t="n">
        <v>0</v>
      </c>
      <c r="N109" t="n">
        <v>0</v>
      </c>
      <c r="O109" t="n">
        <v>0</v>
      </c>
      <c r="P109" t="n">
        <v>0</v>
      </c>
      <c r="Q109" t="n">
        <v>0</v>
      </c>
      <c r="R109" s="2" t="inlineStr"/>
    </row>
    <row r="110" ht="15" customHeight="1">
      <c r="A110" t="inlineStr">
        <is>
          <t>A 11062-2019</t>
        </is>
      </c>
      <c r="B110" s="1" t="n">
        <v>43515</v>
      </c>
      <c r="C110" s="1" t="n">
        <v>45362</v>
      </c>
      <c r="D110" t="inlineStr">
        <is>
          <t>NORRBOTTENS LÄN</t>
        </is>
      </c>
      <c r="E110" t="inlineStr">
        <is>
          <t>JOKKMOKK</t>
        </is>
      </c>
      <c r="G110" t="n">
        <v>5.5</v>
      </c>
      <c r="H110" t="n">
        <v>0</v>
      </c>
      <c r="I110" t="n">
        <v>0</v>
      </c>
      <c r="J110" t="n">
        <v>0</v>
      </c>
      <c r="K110" t="n">
        <v>0</v>
      </c>
      <c r="L110" t="n">
        <v>0</v>
      </c>
      <c r="M110" t="n">
        <v>0</v>
      </c>
      <c r="N110" t="n">
        <v>0</v>
      </c>
      <c r="O110" t="n">
        <v>0</v>
      </c>
      <c r="P110" t="n">
        <v>0</v>
      </c>
      <c r="Q110" t="n">
        <v>0</v>
      </c>
      <c r="R110" s="2" t="inlineStr"/>
    </row>
    <row r="111" ht="15" customHeight="1">
      <c r="A111" t="inlineStr">
        <is>
          <t>A 11151-2019</t>
        </is>
      </c>
      <c r="B111" s="1" t="n">
        <v>43516</v>
      </c>
      <c r="C111" s="1" t="n">
        <v>45362</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11571-2019</t>
        </is>
      </c>
      <c r="B112" s="1" t="n">
        <v>43517</v>
      </c>
      <c r="C112" s="1" t="n">
        <v>45362</v>
      </c>
      <c r="D112" t="inlineStr">
        <is>
          <t>NORRBOTTENS LÄN</t>
        </is>
      </c>
      <c r="E112" t="inlineStr">
        <is>
          <t>JOKKMOKK</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11645-2019</t>
        </is>
      </c>
      <c r="B113" s="1" t="n">
        <v>43517</v>
      </c>
      <c r="C113" s="1" t="n">
        <v>45362</v>
      </c>
      <c r="D113" t="inlineStr">
        <is>
          <t>NORRBOTTENS LÄN</t>
        </is>
      </c>
      <c r="E113" t="inlineStr">
        <is>
          <t>JOKKMOKK</t>
        </is>
      </c>
      <c r="F113" t="inlineStr">
        <is>
          <t>Övriga Aktiebolag</t>
        </is>
      </c>
      <c r="G113" t="n">
        <v>13.7</v>
      </c>
      <c r="H113" t="n">
        <v>0</v>
      </c>
      <c r="I113" t="n">
        <v>0</v>
      </c>
      <c r="J113" t="n">
        <v>0</v>
      </c>
      <c r="K113" t="n">
        <v>0</v>
      </c>
      <c r="L113" t="n">
        <v>0</v>
      </c>
      <c r="M113" t="n">
        <v>0</v>
      </c>
      <c r="N113" t="n">
        <v>0</v>
      </c>
      <c r="O113" t="n">
        <v>0</v>
      </c>
      <c r="P113" t="n">
        <v>0</v>
      </c>
      <c r="Q113" t="n">
        <v>0</v>
      </c>
      <c r="R113" s="2" t="inlineStr"/>
    </row>
    <row r="114" ht="15" customHeight="1">
      <c r="A114" t="inlineStr">
        <is>
          <t>A 12608-2019</t>
        </is>
      </c>
      <c r="B114" s="1" t="n">
        <v>43523</v>
      </c>
      <c r="C114" s="1" t="n">
        <v>45362</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12509-2019</t>
        </is>
      </c>
      <c r="B115" s="1" t="n">
        <v>43523</v>
      </c>
      <c r="C115" s="1" t="n">
        <v>45362</v>
      </c>
      <c r="D115" t="inlineStr">
        <is>
          <t>NORRBOTTENS LÄN</t>
        </is>
      </c>
      <c r="E115" t="inlineStr">
        <is>
          <t>JOKKMOKK</t>
        </is>
      </c>
      <c r="F115" t="inlineStr">
        <is>
          <t>SCA</t>
        </is>
      </c>
      <c r="G115" t="n">
        <v>5.4</v>
      </c>
      <c r="H115" t="n">
        <v>0</v>
      </c>
      <c r="I115" t="n">
        <v>0</v>
      </c>
      <c r="J115" t="n">
        <v>0</v>
      </c>
      <c r="K115" t="n">
        <v>0</v>
      </c>
      <c r="L115" t="n">
        <v>0</v>
      </c>
      <c r="M115" t="n">
        <v>0</v>
      </c>
      <c r="N115" t="n">
        <v>0</v>
      </c>
      <c r="O115" t="n">
        <v>0</v>
      </c>
      <c r="P115" t="n">
        <v>0</v>
      </c>
      <c r="Q115" t="n">
        <v>0</v>
      </c>
      <c r="R115" s="2" t="inlineStr"/>
    </row>
    <row r="116" ht="15" customHeight="1">
      <c r="A116" t="inlineStr">
        <is>
          <t>A 13933-2019</t>
        </is>
      </c>
      <c r="B116" s="1" t="n">
        <v>43531</v>
      </c>
      <c r="C116" s="1" t="n">
        <v>45362</v>
      </c>
      <c r="D116" t="inlineStr">
        <is>
          <t>NORRBOTTENS LÄN</t>
        </is>
      </c>
      <c r="E116" t="inlineStr">
        <is>
          <t>JOKKMOKK</t>
        </is>
      </c>
      <c r="G116" t="n">
        <v>2.5</v>
      </c>
      <c r="H116" t="n">
        <v>0</v>
      </c>
      <c r="I116" t="n">
        <v>0</v>
      </c>
      <c r="J116" t="n">
        <v>0</v>
      </c>
      <c r="K116" t="n">
        <v>0</v>
      </c>
      <c r="L116" t="n">
        <v>0</v>
      </c>
      <c r="M116" t="n">
        <v>0</v>
      </c>
      <c r="N116" t="n">
        <v>0</v>
      </c>
      <c r="O116" t="n">
        <v>0</v>
      </c>
      <c r="P116" t="n">
        <v>0</v>
      </c>
      <c r="Q116" t="n">
        <v>0</v>
      </c>
      <c r="R116" s="2" t="inlineStr"/>
    </row>
    <row r="117" ht="15" customHeight="1">
      <c r="A117" t="inlineStr">
        <is>
          <t>A 18282-2019</t>
        </is>
      </c>
      <c r="B117" s="1" t="n">
        <v>43558</v>
      </c>
      <c r="C117" s="1" t="n">
        <v>45362</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45362</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45362</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45362</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45362</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45362</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45362</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45362</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45362</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45362</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45362</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45362</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45362</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45362</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45362</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33473-2019</t>
        </is>
      </c>
      <c r="B132" s="1" t="n">
        <v>43650</v>
      </c>
      <c r="C132" s="1" t="n">
        <v>45362</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45362</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45362</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33820-2019</t>
        </is>
      </c>
      <c r="B135" s="1" t="n">
        <v>43651</v>
      </c>
      <c r="C135" s="1" t="n">
        <v>45362</v>
      </c>
      <c r="D135" t="inlineStr">
        <is>
          <t>NORRBOTTENS LÄN</t>
        </is>
      </c>
      <c r="E135" t="inlineStr">
        <is>
          <t>JOKKMOKK</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45362</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45362</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45362</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45362</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45362</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45362</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45362</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45362</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45362</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45362</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45362</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45362</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45362</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45362</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45362</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45362</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45362</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45362</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45362</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45362</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45362</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45362</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45362</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45362</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45362</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45362</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45362</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45362</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45362</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45362</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45362</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45362</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45362</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45362</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45362</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45362</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45362</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45362</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45362</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45362</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45362</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45362</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45362</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45362</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45362</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45362</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45362</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45362</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45362</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45362</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45362</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45362</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23337-2020</t>
        </is>
      </c>
      <c r="B188" s="1" t="n">
        <v>43966</v>
      </c>
      <c r="C188" s="1" t="n">
        <v>45362</v>
      </c>
      <c r="D188" t="inlineStr">
        <is>
          <t>NORRBOTTENS LÄN</t>
        </is>
      </c>
      <c r="E188" t="inlineStr">
        <is>
          <t>JOKKMOKK</t>
        </is>
      </c>
      <c r="F188" t="inlineStr">
        <is>
          <t>SCA</t>
        </is>
      </c>
      <c r="G188" t="n">
        <v>22.6</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45362</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45362</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45362</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45362</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45362</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45362</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45362</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45362</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45362</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45362</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45362</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45362</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45362</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45362</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45362</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45362</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45362</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45362</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45362</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45362</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45362</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45362</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45362</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45362</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45362</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45362</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45362</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45362</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45362</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45362</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45362</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45362</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45362</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45362</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45362</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45362</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45362</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45362</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45362</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45362</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45362</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45362</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45362</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45362</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45362</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45362</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45362</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45362</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45362</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45362</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45362</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45362</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45362</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45362</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45362</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45362</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45362</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45362</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45362</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45362</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45362</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45362</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45362</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45362</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45362</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45362</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45362</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45362</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45362</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45362</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45362</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45362</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45362</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45362</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45362</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45362</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45362</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45362</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45362</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45362</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45362</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45362</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45362</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71374-2021</t>
        </is>
      </c>
      <c r="B272" s="1" t="n">
        <v>44539</v>
      </c>
      <c r="C272" s="1" t="n">
        <v>45362</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45362</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45362</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45362</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45362</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45362</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45362</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45362</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45362</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45362</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45362</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45362</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45362</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45362</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45362</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45362</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45362</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45362</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45362</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45362</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45362</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45362</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45362</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45362</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45362</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45362</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3786-2022</t>
        </is>
      </c>
      <c r="B298" s="1" t="n">
        <v>44586</v>
      </c>
      <c r="C298" s="1" t="n">
        <v>45362</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3778-2022</t>
        </is>
      </c>
      <c r="B299" s="1" t="n">
        <v>44586</v>
      </c>
      <c r="C299" s="1" t="n">
        <v>45362</v>
      </c>
      <c r="D299" t="inlineStr">
        <is>
          <t>NORRBOTTENS LÄN</t>
        </is>
      </c>
      <c r="E299" t="inlineStr">
        <is>
          <t>JOKKMOKK</t>
        </is>
      </c>
      <c r="G299" t="n">
        <v>13.2</v>
      </c>
      <c r="H299" t="n">
        <v>0</v>
      </c>
      <c r="I299" t="n">
        <v>0</v>
      </c>
      <c r="J299" t="n">
        <v>0</v>
      </c>
      <c r="K299" t="n">
        <v>0</v>
      </c>
      <c r="L299" t="n">
        <v>0</v>
      </c>
      <c r="M299" t="n">
        <v>0</v>
      </c>
      <c r="N299" t="n">
        <v>0</v>
      </c>
      <c r="O299" t="n">
        <v>0</v>
      </c>
      <c r="P299" t="n">
        <v>0</v>
      </c>
      <c r="Q299" t="n">
        <v>0</v>
      </c>
      <c r="R299" s="2" t="inlineStr"/>
    </row>
    <row r="300" ht="15" customHeight="1">
      <c r="A300" t="inlineStr">
        <is>
          <t>A 3787-2022</t>
        </is>
      </c>
      <c r="B300" s="1" t="n">
        <v>44586</v>
      </c>
      <c r="C300" s="1" t="n">
        <v>45362</v>
      </c>
      <c r="D300" t="inlineStr">
        <is>
          <t>NORRBOTTENS LÄN</t>
        </is>
      </c>
      <c r="E300" t="inlineStr">
        <is>
          <t>JOKKMOKK</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3783-2022</t>
        </is>
      </c>
      <c r="B301" s="1" t="n">
        <v>44586</v>
      </c>
      <c r="C301" s="1" t="n">
        <v>45362</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3784-2022</t>
        </is>
      </c>
      <c r="B302" s="1" t="n">
        <v>44586</v>
      </c>
      <c r="C302" s="1" t="n">
        <v>45362</v>
      </c>
      <c r="D302" t="inlineStr">
        <is>
          <t>NORRBOTTENS LÄN</t>
        </is>
      </c>
      <c r="E302" t="inlineStr">
        <is>
          <t>JOKKMOKK</t>
        </is>
      </c>
      <c r="F302" t="inlineStr">
        <is>
          <t>SCA</t>
        </is>
      </c>
      <c r="G302" t="n">
        <v>10.4</v>
      </c>
      <c r="H302" t="n">
        <v>0</v>
      </c>
      <c r="I302" t="n">
        <v>0</v>
      </c>
      <c r="J302" t="n">
        <v>0</v>
      </c>
      <c r="K302" t="n">
        <v>0</v>
      </c>
      <c r="L302" t="n">
        <v>0</v>
      </c>
      <c r="M302" t="n">
        <v>0</v>
      </c>
      <c r="N302" t="n">
        <v>0</v>
      </c>
      <c r="O302" t="n">
        <v>0</v>
      </c>
      <c r="P302" t="n">
        <v>0</v>
      </c>
      <c r="Q302" t="n">
        <v>0</v>
      </c>
      <c r="R302" s="2" t="inlineStr"/>
    </row>
    <row r="303" ht="15" customHeight="1">
      <c r="A303" t="inlineStr">
        <is>
          <t>A 4022-2022</t>
        </is>
      </c>
      <c r="B303" s="1" t="n">
        <v>44587</v>
      </c>
      <c r="C303" s="1" t="n">
        <v>45362</v>
      </c>
      <c r="D303" t="inlineStr">
        <is>
          <t>NORRBOTTENS LÄN</t>
        </is>
      </c>
      <c r="E303" t="inlineStr">
        <is>
          <t>JOKKMOKK</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4517-2022</t>
        </is>
      </c>
      <c r="B304" s="1" t="n">
        <v>44589</v>
      </c>
      <c r="C304" s="1" t="n">
        <v>45362</v>
      </c>
      <c r="D304" t="inlineStr">
        <is>
          <t>NORRBOTTENS LÄN</t>
        </is>
      </c>
      <c r="E304" t="inlineStr">
        <is>
          <t>JOKKMOKK</t>
        </is>
      </c>
      <c r="G304" t="n">
        <v>0.8</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45362</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12576-2022</t>
        </is>
      </c>
      <c r="B306" s="1" t="n">
        <v>44638</v>
      </c>
      <c r="C306" s="1" t="n">
        <v>45362</v>
      </c>
      <c r="D306" t="inlineStr">
        <is>
          <t>NORRBOTTENS LÄN</t>
        </is>
      </c>
      <c r="E306" t="inlineStr">
        <is>
          <t>JOKKMOKK</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15714-2022</t>
        </is>
      </c>
      <c r="B307" s="1" t="n">
        <v>44663</v>
      </c>
      <c r="C307" s="1" t="n">
        <v>45362</v>
      </c>
      <c r="D307" t="inlineStr">
        <is>
          <t>NORRBOTTENS LÄN</t>
        </is>
      </c>
      <c r="E307" t="inlineStr">
        <is>
          <t>JOKKMOKK</t>
        </is>
      </c>
      <c r="G307" t="n">
        <v>1.6</v>
      </c>
      <c r="H307" t="n">
        <v>0</v>
      </c>
      <c r="I307" t="n">
        <v>0</v>
      </c>
      <c r="J307" t="n">
        <v>0</v>
      </c>
      <c r="K307" t="n">
        <v>0</v>
      </c>
      <c r="L307" t="n">
        <v>0</v>
      </c>
      <c r="M307" t="n">
        <v>0</v>
      </c>
      <c r="N307" t="n">
        <v>0</v>
      </c>
      <c r="O307" t="n">
        <v>0</v>
      </c>
      <c r="P307" t="n">
        <v>0</v>
      </c>
      <c r="Q307" t="n">
        <v>0</v>
      </c>
      <c r="R307" s="2" t="inlineStr"/>
    </row>
    <row r="308" ht="15" customHeight="1">
      <c r="A308" t="inlineStr">
        <is>
          <t>A 17000-2022</t>
        </is>
      </c>
      <c r="B308" s="1" t="n">
        <v>44676</v>
      </c>
      <c r="C308" s="1" t="n">
        <v>45362</v>
      </c>
      <c r="D308" t="inlineStr">
        <is>
          <t>NORRBOTTENS LÄN</t>
        </is>
      </c>
      <c r="E308" t="inlineStr">
        <is>
          <t>JOKKMOKK</t>
        </is>
      </c>
      <c r="G308" t="n">
        <v>36.6</v>
      </c>
      <c r="H308" t="n">
        <v>0</v>
      </c>
      <c r="I308" t="n">
        <v>0</v>
      </c>
      <c r="J308" t="n">
        <v>0</v>
      </c>
      <c r="K308" t="n">
        <v>0</v>
      </c>
      <c r="L308" t="n">
        <v>0</v>
      </c>
      <c r="M308" t="n">
        <v>0</v>
      </c>
      <c r="N308" t="n">
        <v>0</v>
      </c>
      <c r="O308" t="n">
        <v>0</v>
      </c>
      <c r="P308" t="n">
        <v>0</v>
      </c>
      <c r="Q308" t="n">
        <v>0</v>
      </c>
      <c r="R308" s="2" t="inlineStr"/>
    </row>
    <row r="309" ht="15" customHeight="1">
      <c r="A309" t="inlineStr">
        <is>
          <t>A 18248-2022</t>
        </is>
      </c>
      <c r="B309" s="1" t="n">
        <v>44685</v>
      </c>
      <c r="C309" s="1" t="n">
        <v>45362</v>
      </c>
      <c r="D309" t="inlineStr">
        <is>
          <t>NORRBOTTENS LÄN</t>
        </is>
      </c>
      <c r="E309" t="inlineStr">
        <is>
          <t>JOKKMOKK</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21236-2022</t>
        </is>
      </c>
      <c r="B310" s="1" t="n">
        <v>44705</v>
      </c>
      <c r="C310" s="1" t="n">
        <v>45362</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27781-2022</t>
        </is>
      </c>
      <c r="B311" s="1" t="n">
        <v>44743</v>
      </c>
      <c r="C311" s="1" t="n">
        <v>45362</v>
      </c>
      <c r="D311" t="inlineStr">
        <is>
          <t>NORRBOTTENS LÄN</t>
        </is>
      </c>
      <c r="E311" t="inlineStr">
        <is>
          <t>JOKKMOKK</t>
        </is>
      </c>
      <c r="F311" t="inlineStr">
        <is>
          <t>Sveaskog</t>
        </is>
      </c>
      <c r="G311" t="n">
        <v>0.1</v>
      </c>
      <c r="H311" t="n">
        <v>0</v>
      </c>
      <c r="I311" t="n">
        <v>0</v>
      </c>
      <c r="J311" t="n">
        <v>0</v>
      </c>
      <c r="K311" t="n">
        <v>0</v>
      </c>
      <c r="L311" t="n">
        <v>0</v>
      </c>
      <c r="M311" t="n">
        <v>0</v>
      </c>
      <c r="N311" t="n">
        <v>0</v>
      </c>
      <c r="O311" t="n">
        <v>0</v>
      </c>
      <c r="P311" t="n">
        <v>0</v>
      </c>
      <c r="Q311" t="n">
        <v>0</v>
      </c>
      <c r="R311" s="2" t="inlineStr"/>
    </row>
    <row r="312" ht="15" customHeight="1">
      <c r="A312" t="inlineStr">
        <is>
          <t>A 28079-2022</t>
        </is>
      </c>
      <c r="B312" s="1" t="n">
        <v>44746</v>
      </c>
      <c r="C312" s="1" t="n">
        <v>45362</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28370-2022</t>
        </is>
      </c>
      <c r="B313" s="1" t="n">
        <v>44747</v>
      </c>
      <c r="C313" s="1" t="n">
        <v>45362</v>
      </c>
      <c r="D313" t="inlineStr">
        <is>
          <t>NORRBOTTENS LÄN</t>
        </is>
      </c>
      <c r="E313" t="inlineStr">
        <is>
          <t>JOKKMOKK</t>
        </is>
      </c>
      <c r="F313" t="inlineStr">
        <is>
          <t>Övriga Aktiebolag</t>
        </is>
      </c>
      <c r="G313" t="n">
        <v>10.2</v>
      </c>
      <c r="H313" t="n">
        <v>0</v>
      </c>
      <c r="I313" t="n">
        <v>0</v>
      </c>
      <c r="J313" t="n">
        <v>0</v>
      </c>
      <c r="K313" t="n">
        <v>0</v>
      </c>
      <c r="L313" t="n">
        <v>0</v>
      </c>
      <c r="M313" t="n">
        <v>0</v>
      </c>
      <c r="N313" t="n">
        <v>0</v>
      </c>
      <c r="O313" t="n">
        <v>0</v>
      </c>
      <c r="P313" t="n">
        <v>0</v>
      </c>
      <c r="Q313" t="n">
        <v>0</v>
      </c>
      <c r="R313" s="2" t="inlineStr"/>
    </row>
    <row r="314" ht="15" customHeight="1">
      <c r="A314" t="inlineStr">
        <is>
          <t>A 28350-2022</t>
        </is>
      </c>
      <c r="B314" s="1" t="n">
        <v>44747</v>
      </c>
      <c r="C314" s="1" t="n">
        <v>45362</v>
      </c>
      <c r="D314" t="inlineStr">
        <is>
          <t>NORRBOTTENS LÄN</t>
        </is>
      </c>
      <c r="E314" t="inlineStr">
        <is>
          <t>JOKKMOKK</t>
        </is>
      </c>
      <c r="F314" t="inlineStr">
        <is>
          <t>Övriga Aktiebolag</t>
        </is>
      </c>
      <c r="G314" t="n">
        <v>48.8</v>
      </c>
      <c r="H314" t="n">
        <v>0</v>
      </c>
      <c r="I314" t="n">
        <v>0</v>
      </c>
      <c r="J314" t="n">
        <v>0</v>
      </c>
      <c r="K314" t="n">
        <v>0</v>
      </c>
      <c r="L314" t="n">
        <v>0</v>
      </c>
      <c r="M314" t="n">
        <v>0</v>
      </c>
      <c r="N314" t="n">
        <v>0</v>
      </c>
      <c r="O314" t="n">
        <v>0</v>
      </c>
      <c r="P314" t="n">
        <v>0</v>
      </c>
      <c r="Q314" t="n">
        <v>0</v>
      </c>
      <c r="R314" s="2" t="inlineStr"/>
    </row>
    <row r="315" ht="15" customHeight="1">
      <c r="A315" t="inlineStr">
        <is>
          <t>A 30588-2022</t>
        </is>
      </c>
      <c r="B315" s="1" t="n">
        <v>44762</v>
      </c>
      <c r="C315" s="1" t="n">
        <v>45362</v>
      </c>
      <c r="D315" t="inlineStr">
        <is>
          <t>NORRBOTTENS LÄN</t>
        </is>
      </c>
      <c r="E315" t="inlineStr">
        <is>
          <t>JOKKMOKK</t>
        </is>
      </c>
      <c r="F315" t="inlineStr">
        <is>
          <t>Övriga statliga verk och myndigheter</t>
        </is>
      </c>
      <c r="G315" t="n">
        <v>11.7</v>
      </c>
      <c r="H315" t="n">
        <v>0</v>
      </c>
      <c r="I315" t="n">
        <v>0</v>
      </c>
      <c r="J315" t="n">
        <v>0</v>
      </c>
      <c r="K315" t="n">
        <v>0</v>
      </c>
      <c r="L315" t="n">
        <v>0</v>
      </c>
      <c r="M315" t="n">
        <v>0</v>
      </c>
      <c r="N315" t="n">
        <v>0</v>
      </c>
      <c r="O315" t="n">
        <v>0</v>
      </c>
      <c r="P315" t="n">
        <v>0</v>
      </c>
      <c r="Q315" t="n">
        <v>0</v>
      </c>
      <c r="R315" s="2" t="inlineStr"/>
    </row>
    <row r="316" ht="15" customHeight="1">
      <c r="A316" t="inlineStr">
        <is>
          <t>A 30679-2022</t>
        </is>
      </c>
      <c r="B316" s="1" t="n">
        <v>44762</v>
      </c>
      <c r="C316" s="1" t="n">
        <v>45362</v>
      </c>
      <c r="D316" t="inlineStr">
        <is>
          <t>NORRBOTTENS LÄN</t>
        </is>
      </c>
      <c r="E316" t="inlineStr">
        <is>
          <t>JOKKMOKK</t>
        </is>
      </c>
      <c r="F316" t="inlineStr">
        <is>
          <t>Övriga statliga verk och myndigheter</t>
        </is>
      </c>
      <c r="G316" t="n">
        <v>3.3</v>
      </c>
      <c r="H316" t="n">
        <v>0</v>
      </c>
      <c r="I316" t="n">
        <v>0</v>
      </c>
      <c r="J316" t="n">
        <v>0</v>
      </c>
      <c r="K316" t="n">
        <v>0</v>
      </c>
      <c r="L316" t="n">
        <v>0</v>
      </c>
      <c r="M316" t="n">
        <v>0</v>
      </c>
      <c r="N316" t="n">
        <v>0</v>
      </c>
      <c r="O316" t="n">
        <v>0</v>
      </c>
      <c r="P316" t="n">
        <v>0</v>
      </c>
      <c r="Q316" t="n">
        <v>0</v>
      </c>
      <c r="R316" s="2" t="inlineStr"/>
    </row>
    <row r="317" ht="15" customHeight="1">
      <c r="A317" t="inlineStr">
        <is>
          <t>A 30610-2022</t>
        </is>
      </c>
      <c r="B317" s="1" t="n">
        <v>44762</v>
      </c>
      <c r="C317" s="1" t="n">
        <v>45362</v>
      </c>
      <c r="D317" t="inlineStr">
        <is>
          <t>NORRBOTTENS LÄN</t>
        </is>
      </c>
      <c r="E317" t="inlineStr">
        <is>
          <t>JOKKMOKK</t>
        </is>
      </c>
      <c r="F317" t="inlineStr">
        <is>
          <t>Övriga statliga verk och myndigheter</t>
        </is>
      </c>
      <c r="G317" t="n">
        <v>43.3</v>
      </c>
      <c r="H317" t="n">
        <v>0</v>
      </c>
      <c r="I317" t="n">
        <v>0</v>
      </c>
      <c r="J317" t="n">
        <v>0</v>
      </c>
      <c r="K317" t="n">
        <v>0</v>
      </c>
      <c r="L317" t="n">
        <v>0</v>
      </c>
      <c r="M317" t="n">
        <v>0</v>
      </c>
      <c r="N317" t="n">
        <v>0</v>
      </c>
      <c r="O317" t="n">
        <v>0</v>
      </c>
      <c r="P317" t="n">
        <v>0</v>
      </c>
      <c r="Q317" t="n">
        <v>0</v>
      </c>
      <c r="R317" s="2" t="inlineStr"/>
    </row>
    <row r="318" ht="15" customHeight="1">
      <c r="A318" t="inlineStr">
        <is>
          <t>A 31643-2022</t>
        </is>
      </c>
      <c r="B318" s="1" t="n">
        <v>44775</v>
      </c>
      <c r="C318" s="1" t="n">
        <v>45362</v>
      </c>
      <c r="D318" t="inlineStr">
        <is>
          <t>NORRBOTTENS LÄN</t>
        </is>
      </c>
      <c r="E318" t="inlineStr">
        <is>
          <t>JOKKMOKK</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34548-2022</t>
        </is>
      </c>
      <c r="B319" s="1" t="n">
        <v>44794</v>
      </c>
      <c r="C319" s="1" t="n">
        <v>45362</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45362</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37798-2022</t>
        </is>
      </c>
      <c r="B321" s="1" t="n">
        <v>44810</v>
      </c>
      <c r="C321" s="1" t="n">
        <v>45362</v>
      </c>
      <c r="D321" t="inlineStr">
        <is>
          <t>NORRBOTTENS LÄN</t>
        </is>
      </c>
      <c r="E321" t="inlineStr">
        <is>
          <t>JOKKMOKK</t>
        </is>
      </c>
      <c r="G321" t="n">
        <v>0.3</v>
      </c>
      <c r="H321" t="n">
        <v>0</v>
      </c>
      <c r="I321" t="n">
        <v>0</v>
      </c>
      <c r="J321" t="n">
        <v>0</v>
      </c>
      <c r="K321" t="n">
        <v>0</v>
      </c>
      <c r="L321" t="n">
        <v>0</v>
      </c>
      <c r="M321" t="n">
        <v>0</v>
      </c>
      <c r="N321" t="n">
        <v>0</v>
      </c>
      <c r="O321" t="n">
        <v>0</v>
      </c>
      <c r="P321" t="n">
        <v>0</v>
      </c>
      <c r="Q321" t="n">
        <v>0</v>
      </c>
      <c r="R321" s="2" t="inlineStr"/>
    </row>
    <row r="322" ht="15" customHeight="1">
      <c r="A322" t="inlineStr">
        <is>
          <t>A 40473-2022</t>
        </is>
      </c>
      <c r="B322" s="1" t="n">
        <v>44819</v>
      </c>
      <c r="C322" s="1" t="n">
        <v>45362</v>
      </c>
      <c r="D322" t="inlineStr">
        <is>
          <t>NORRBOTTENS LÄN</t>
        </is>
      </c>
      <c r="E322" t="inlineStr">
        <is>
          <t>JOKKMOKK</t>
        </is>
      </c>
      <c r="G322" t="n">
        <v>3.5</v>
      </c>
      <c r="H322" t="n">
        <v>0</v>
      </c>
      <c r="I322" t="n">
        <v>0</v>
      </c>
      <c r="J322" t="n">
        <v>0</v>
      </c>
      <c r="K322" t="n">
        <v>0</v>
      </c>
      <c r="L322" t="n">
        <v>0</v>
      </c>
      <c r="M322" t="n">
        <v>0</v>
      </c>
      <c r="N322" t="n">
        <v>0</v>
      </c>
      <c r="O322" t="n">
        <v>0</v>
      </c>
      <c r="P322" t="n">
        <v>0</v>
      </c>
      <c r="Q322" t="n">
        <v>0</v>
      </c>
      <c r="R322" s="2" t="inlineStr"/>
    </row>
    <row r="323" ht="15" customHeight="1">
      <c r="A323" t="inlineStr">
        <is>
          <t>A 40129-2022</t>
        </is>
      </c>
      <c r="B323" s="1" t="n">
        <v>44820</v>
      </c>
      <c r="C323" s="1" t="n">
        <v>45362</v>
      </c>
      <c r="D323" t="inlineStr">
        <is>
          <t>NORRBOTTENS LÄN</t>
        </is>
      </c>
      <c r="E323" t="inlineStr">
        <is>
          <t>JOKKMOKK</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40248-2022</t>
        </is>
      </c>
      <c r="B324" s="1" t="n">
        <v>44820</v>
      </c>
      <c r="C324" s="1" t="n">
        <v>45362</v>
      </c>
      <c r="D324" t="inlineStr">
        <is>
          <t>NORRBOTTENS LÄN</t>
        </is>
      </c>
      <c r="E324" t="inlineStr">
        <is>
          <t>JOKKMOKK</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40251-2022</t>
        </is>
      </c>
      <c r="B325" s="1" t="n">
        <v>44820</v>
      </c>
      <c r="C325" s="1" t="n">
        <v>45362</v>
      </c>
      <c r="D325" t="inlineStr">
        <is>
          <t>NORRBOTTENS LÄN</t>
        </is>
      </c>
      <c r="E325" t="inlineStr">
        <is>
          <t>JOKKMOKK</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40836-2022</t>
        </is>
      </c>
      <c r="B326" s="1" t="n">
        <v>44824</v>
      </c>
      <c r="C326" s="1" t="n">
        <v>45362</v>
      </c>
      <c r="D326" t="inlineStr">
        <is>
          <t>NORRBOTTENS LÄN</t>
        </is>
      </c>
      <c r="E326" t="inlineStr">
        <is>
          <t>JOKKMOKK</t>
        </is>
      </c>
      <c r="F326" t="inlineStr">
        <is>
          <t>SCA</t>
        </is>
      </c>
      <c r="G326" t="n">
        <v>229.8</v>
      </c>
      <c r="H326" t="n">
        <v>0</v>
      </c>
      <c r="I326" t="n">
        <v>0</v>
      </c>
      <c r="J326" t="n">
        <v>0</v>
      </c>
      <c r="K326" t="n">
        <v>0</v>
      </c>
      <c r="L326" t="n">
        <v>0</v>
      </c>
      <c r="M326" t="n">
        <v>0</v>
      </c>
      <c r="N326" t="n">
        <v>0</v>
      </c>
      <c r="O326" t="n">
        <v>0</v>
      </c>
      <c r="P326" t="n">
        <v>0</v>
      </c>
      <c r="Q326" t="n">
        <v>0</v>
      </c>
      <c r="R326" s="2" t="inlineStr"/>
    </row>
    <row r="327" ht="15" customHeight="1">
      <c r="A327" t="inlineStr">
        <is>
          <t>A 40833-2022</t>
        </is>
      </c>
      <c r="B327" s="1" t="n">
        <v>44824</v>
      </c>
      <c r="C327" s="1" t="n">
        <v>45362</v>
      </c>
      <c r="D327" t="inlineStr">
        <is>
          <t>NORRBOTTENS LÄN</t>
        </is>
      </c>
      <c r="E327" t="inlineStr">
        <is>
          <t>JOKKMOKK</t>
        </is>
      </c>
      <c r="F327" t="inlineStr">
        <is>
          <t>SCA</t>
        </is>
      </c>
      <c r="G327" t="n">
        <v>122.1</v>
      </c>
      <c r="H327" t="n">
        <v>0</v>
      </c>
      <c r="I327" t="n">
        <v>0</v>
      </c>
      <c r="J327" t="n">
        <v>0</v>
      </c>
      <c r="K327" t="n">
        <v>0</v>
      </c>
      <c r="L327" t="n">
        <v>0</v>
      </c>
      <c r="M327" t="n">
        <v>0</v>
      </c>
      <c r="N327" t="n">
        <v>0</v>
      </c>
      <c r="O327" t="n">
        <v>0</v>
      </c>
      <c r="P327" t="n">
        <v>0</v>
      </c>
      <c r="Q327" t="n">
        <v>0</v>
      </c>
      <c r="R327" s="2" t="inlineStr"/>
    </row>
    <row r="328" ht="15" customHeight="1">
      <c r="A328" t="inlineStr">
        <is>
          <t>A 41030-2022</t>
        </is>
      </c>
      <c r="B328" s="1" t="n">
        <v>44824</v>
      </c>
      <c r="C328" s="1" t="n">
        <v>45362</v>
      </c>
      <c r="D328" t="inlineStr">
        <is>
          <t>NORRBOTTENS LÄN</t>
        </is>
      </c>
      <c r="E328" t="inlineStr">
        <is>
          <t>JOKKMOKK</t>
        </is>
      </c>
      <c r="F328" t="inlineStr">
        <is>
          <t>Övriga Aktiebolag</t>
        </is>
      </c>
      <c r="G328" t="n">
        <v>11.3</v>
      </c>
      <c r="H328" t="n">
        <v>0</v>
      </c>
      <c r="I328" t="n">
        <v>0</v>
      </c>
      <c r="J328" t="n">
        <v>0</v>
      </c>
      <c r="K328" t="n">
        <v>0</v>
      </c>
      <c r="L328" t="n">
        <v>0</v>
      </c>
      <c r="M328" t="n">
        <v>0</v>
      </c>
      <c r="N328" t="n">
        <v>0</v>
      </c>
      <c r="O328" t="n">
        <v>0</v>
      </c>
      <c r="P328" t="n">
        <v>0</v>
      </c>
      <c r="Q328" t="n">
        <v>0</v>
      </c>
      <c r="R328" s="2" t="inlineStr"/>
    </row>
    <row r="329" ht="15" customHeight="1">
      <c r="A329" t="inlineStr">
        <is>
          <t>A 40834-2022</t>
        </is>
      </c>
      <c r="B329" s="1" t="n">
        <v>44824</v>
      </c>
      <c r="C329" s="1" t="n">
        <v>45362</v>
      </c>
      <c r="D329" t="inlineStr">
        <is>
          <t>NORRBOTTENS LÄN</t>
        </is>
      </c>
      <c r="E329" t="inlineStr">
        <is>
          <t>JOKKMOKK</t>
        </is>
      </c>
      <c r="F329" t="inlineStr">
        <is>
          <t>SCA</t>
        </is>
      </c>
      <c r="G329" t="n">
        <v>106.1</v>
      </c>
      <c r="H329" t="n">
        <v>0</v>
      </c>
      <c r="I329" t="n">
        <v>0</v>
      </c>
      <c r="J329" t="n">
        <v>0</v>
      </c>
      <c r="K329" t="n">
        <v>0</v>
      </c>
      <c r="L329" t="n">
        <v>0</v>
      </c>
      <c r="M329" t="n">
        <v>0</v>
      </c>
      <c r="N329" t="n">
        <v>0</v>
      </c>
      <c r="O329" t="n">
        <v>0</v>
      </c>
      <c r="P329" t="n">
        <v>0</v>
      </c>
      <c r="Q329" t="n">
        <v>0</v>
      </c>
      <c r="R329" s="2" t="inlineStr"/>
    </row>
    <row r="330" ht="15" customHeight="1">
      <c r="A330" t="inlineStr">
        <is>
          <t>A 41579-2022</t>
        </is>
      </c>
      <c r="B330" s="1" t="n">
        <v>44827</v>
      </c>
      <c r="C330" s="1" t="n">
        <v>45362</v>
      </c>
      <c r="D330" t="inlineStr">
        <is>
          <t>NORRBOTTENS LÄN</t>
        </is>
      </c>
      <c r="E330" t="inlineStr">
        <is>
          <t>JOKKMOKK</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42258-2022</t>
        </is>
      </c>
      <c r="B331" s="1" t="n">
        <v>44831</v>
      </c>
      <c r="C331" s="1" t="n">
        <v>45362</v>
      </c>
      <c r="D331" t="inlineStr">
        <is>
          <t>NORRBOTTENS LÄN</t>
        </is>
      </c>
      <c r="E331" t="inlineStr">
        <is>
          <t>JOKKMOKK</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42256-2022</t>
        </is>
      </c>
      <c r="B332" s="1" t="n">
        <v>44831</v>
      </c>
      <c r="C332" s="1" t="n">
        <v>45362</v>
      </c>
      <c r="D332" t="inlineStr">
        <is>
          <t>NORRBOTTENS LÄN</t>
        </is>
      </c>
      <c r="E332" t="inlineStr">
        <is>
          <t>JOKKMOKK</t>
        </is>
      </c>
      <c r="F332" t="inlineStr">
        <is>
          <t>Allmännings- och besparingsskogar</t>
        </is>
      </c>
      <c r="G332" t="n">
        <v>0.7</v>
      </c>
      <c r="H332" t="n">
        <v>0</v>
      </c>
      <c r="I332" t="n">
        <v>0</v>
      </c>
      <c r="J332" t="n">
        <v>0</v>
      </c>
      <c r="K332" t="n">
        <v>0</v>
      </c>
      <c r="L332" t="n">
        <v>0</v>
      </c>
      <c r="M332" t="n">
        <v>0</v>
      </c>
      <c r="N332" t="n">
        <v>0</v>
      </c>
      <c r="O332" t="n">
        <v>0</v>
      </c>
      <c r="P332" t="n">
        <v>0</v>
      </c>
      <c r="Q332" t="n">
        <v>0</v>
      </c>
      <c r="R332" s="2" t="inlineStr"/>
    </row>
    <row r="333" ht="15" customHeight="1">
      <c r="A333" t="inlineStr">
        <is>
          <t>A 42257-2022</t>
        </is>
      </c>
      <c r="B333" s="1" t="n">
        <v>44831</v>
      </c>
      <c r="C333" s="1" t="n">
        <v>45362</v>
      </c>
      <c r="D333" t="inlineStr">
        <is>
          <t>NORRBOTTENS LÄN</t>
        </is>
      </c>
      <c r="E333" t="inlineStr">
        <is>
          <t>JOKKMOKK</t>
        </is>
      </c>
      <c r="F333" t="inlineStr">
        <is>
          <t>Allmännings- och besparingsskogar</t>
        </is>
      </c>
      <c r="G333" t="n">
        <v>1.8</v>
      </c>
      <c r="H333" t="n">
        <v>0</v>
      </c>
      <c r="I333" t="n">
        <v>0</v>
      </c>
      <c r="J333" t="n">
        <v>0</v>
      </c>
      <c r="K333" t="n">
        <v>0</v>
      </c>
      <c r="L333" t="n">
        <v>0</v>
      </c>
      <c r="M333" t="n">
        <v>0</v>
      </c>
      <c r="N333" t="n">
        <v>0</v>
      </c>
      <c r="O333" t="n">
        <v>0</v>
      </c>
      <c r="P333" t="n">
        <v>0</v>
      </c>
      <c r="Q333" t="n">
        <v>0</v>
      </c>
      <c r="R333" s="2" t="inlineStr"/>
    </row>
    <row r="334" ht="15" customHeight="1">
      <c r="A334" t="inlineStr">
        <is>
          <t>A 42263-2022</t>
        </is>
      </c>
      <c r="B334" s="1" t="n">
        <v>44830</v>
      </c>
      <c r="C334" s="1" t="n">
        <v>45362</v>
      </c>
      <c r="D334" t="inlineStr">
        <is>
          <t>NORRBOTTENS LÄN</t>
        </is>
      </c>
      <c r="E334" t="inlineStr">
        <is>
          <t>JOKKMOKK</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43878-2022</t>
        </is>
      </c>
      <c r="B335" s="1" t="n">
        <v>44838</v>
      </c>
      <c r="C335" s="1" t="n">
        <v>45362</v>
      </c>
      <c r="D335" t="inlineStr">
        <is>
          <t>NORRBOTTENS LÄN</t>
        </is>
      </c>
      <c r="E335" t="inlineStr">
        <is>
          <t>JOKKMOKK</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44335-2022</t>
        </is>
      </c>
      <c r="B336" s="1" t="n">
        <v>44839</v>
      </c>
      <c r="C336" s="1" t="n">
        <v>45362</v>
      </c>
      <c r="D336" t="inlineStr">
        <is>
          <t>NORRBOTTENS LÄN</t>
        </is>
      </c>
      <c r="E336" t="inlineStr">
        <is>
          <t>JOKKMOKK</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45468-2022</t>
        </is>
      </c>
      <c r="B337" s="1" t="n">
        <v>44841</v>
      </c>
      <c r="C337" s="1" t="n">
        <v>45362</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45512-2022</t>
        </is>
      </c>
      <c r="B338" s="1" t="n">
        <v>44841</v>
      </c>
      <c r="C338" s="1" t="n">
        <v>45362</v>
      </c>
      <c r="D338" t="inlineStr">
        <is>
          <t>NORRBOTTENS LÄN</t>
        </is>
      </c>
      <c r="E338" t="inlineStr">
        <is>
          <t>JOKKMOKK</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45469-2022</t>
        </is>
      </c>
      <c r="B339" s="1" t="n">
        <v>44841</v>
      </c>
      <c r="C339" s="1" t="n">
        <v>45362</v>
      </c>
      <c r="D339" t="inlineStr">
        <is>
          <t>NORRBOTTENS LÄN</t>
        </is>
      </c>
      <c r="E339" t="inlineStr">
        <is>
          <t>JOKKMOKK</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45505-2022</t>
        </is>
      </c>
      <c r="B340" s="1" t="n">
        <v>44841</v>
      </c>
      <c r="C340" s="1" t="n">
        <v>45362</v>
      </c>
      <c r="D340" t="inlineStr">
        <is>
          <t>NORRBOTTENS LÄN</t>
        </is>
      </c>
      <c r="E340" t="inlineStr">
        <is>
          <t>JOKKMOKK</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45510-2022</t>
        </is>
      </c>
      <c r="B341" s="1" t="n">
        <v>44841</v>
      </c>
      <c r="C341" s="1" t="n">
        <v>45362</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46957-2022</t>
        </is>
      </c>
      <c r="B342" s="1" t="n">
        <v>44851</v>
      </c>
      <c r="C342" s="1" t="n">
        <v>45362</v>
      </c>
      <c r="D342" t="inlineStr">
        <is>
          <t>NORRBOTTENS LÄN</t>
        </is>
      </c>
      <c r="E342" t="inlineStr">
        <is>
          <t>JOKKMOKK</t>
        </is>
      </c>
      <c r="G342" t="n">
        <v>11.2</v>
      </c>
      <c r="H342" t="n">
        <v>0</v>
      </c>
      <c r="I342" t="n">
        <v>0</v>
      </c>
      <c r="J342" t="n">
        <v>0</v>
      </c>
      <c r="K342" t="n">
        <v>0</v>
      </c>
      <c r="L342" t="n">
        <v>0</v>
      </c>
      <c r="M342" t="n">
        <v>0</v>
      </c>
      <c r="N342" t="n">
        <v>0</v>
      </c>
      <c r="O342" t="n">
        <v>0</v>
      </c>
      <c r="P342" t="n">
        <v>0</v>
      </c>
      <c r="Q342" t="n">
        <v>0</v>
      </c>
      <c r="R342" s="2" t="inlineStr"/>
    </row>
    <row r="343" ht="15" customHeight="1">
      <c r="A343" t="inlineStr">
        <is>
          <t>A 47208-2022</t>
        </is>
      </c>
      <c r="B343" s="1" t="n">
        <v>44851</v>
      </c>
      <c r="C343" s="1" t="n">
        <v>45362</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45362</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50716-2022</t>
        </is>
      </c>
      <c r="B345" s="1" t="n">
        <v>44862</v>
      </c>
      <c r="C345" s="1" t="n">
        <v>45362</v>
      </c>
      <c r="D345" t="inlineStr">
        <is>
          <t>NORRBOTTENS LÄN</t>
        </is>
      </c>
      <c r="E345" t="inlineStr">
        <is>
          <t>JOKKMOKK</t>
        </is>
      </c>
      <c r="G345" t="n">
        <v>30.2</v>
      </c>
      <c r="H345" t="n">
        <v>0</v>
      </c>
      <c r="I345" t="n">
        <v>0</v>
      </c>
      <c r="J345" t="n">
        <v>0</v>
      </c>
      <c r="K345" t="n">
        <v>0</v>
      </c>
      <c r="L345" t="n">
        <v>0</v>
      </c>
      <c r="M345" t="n">
        <v>0</v>
      </c>
      <c r="N345" t="n">
        <v>0</v>
      </c>
      <c r="O345" t="n">
        <v>0</v>
      </c>
      <c r="P345" t="n">
        <v>0</v>
      </c>
      <c r="Q345" t="n">
        <v>0</v>
      </c>
      <c r="R345" s="2" t="inlineStr"/>
    </row>
    <row r="346" ht="15" customHeight="1">
      <c r="A346" t="inlineStr">
        <is>
          <t>A 50568-2022</t>
        </is>
      </c>
      <c r="B346" s="1" t="n">
        <v>44866</v>
      </c>
      <c r="C346" s="1" t="n">
        <v>45362</v>
      </c>
      <c r="D346" t="inlineStr">
        <is>
          <t>NORRBOTTENS LÄN</t>
        </is>
      </c>
      <c r="E346" t="inlineStr">
        <is>
          <t>JOKKMOKK</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51304-2022</t>
        </is>
      </c>
      <c r="B347" s="1" t="n">
        <v>44868</v>
      </c>
      <c r="C347" s="1" t="n">
        <v>45362</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51220-2022</t>
        </is>
      </c>
      <c r="B348" s="1" t="n">
        <v>44868</v>
      </c>
      <c r="C348" s="1" t="n">
        <v>45362</v>
      </c>
      <c r="D348" t="inlineStr">
        <is>
          <t>NORRBOTTENS LÄN</t>
        </is>
      </c>
      <c r="E348" t="inlineStr">
        <is>
          <t>JOKKMOKK</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53100-2022</t>
        </is>
      </c>
      <c r="B349" s="1" t="n">
        <v>44873</v>
      </c>
      <c r="C349" s="1" t="n">
        <v>45362</v>
      </c>
      <c r="D349" t="inlineStr">
        <is>
          <t>NORRBOTTENS LÄN</t>
        </is>
      </c>
      <c r="E349" t="inlineStr">
        <is>
          <t>JOKKMOKK</t>
        </is>
      </c>
      <c r="F349" t="inlineStr">
        <is>
          <t>Övriga statliga verk och myndigheter</t>
        </is>
      </c>
      <c r="G349" t="n">
        <v>37.1</v>
      </c>
      <c r="H349" t="n">
        <v>0</v>
      </c>
      <c r="I349" t="n">
        <v>0</v>
      </c>
      <c r="J349" t="n">
        <v>0</v>
      </c>
      <c r="K349" t="n">
        <v>0</v>
      </c>
      <c r="L349" t="n">
        <v>0</v>
      </c>
      <c r="M349" t="n">
        <v>0</v>
      </c>
      <c r="N349" t="n">
        <v>0</v>
      </c>
      <c r="O349" t="n">
        <v>0</v>
      </c>
      <c r="P349" t="n">
        <v>0</v>
      </c>
      <c r="Q349" t="n">
        <v>0</v>
      </c>
      <c r="R349" s="2" t="inlineStr"/>
    </row>
    <row r="350" ht="15" customHeight="1">
      <c r="A350" t="inlineStr">
        <is>
          <t>A 52730-2022</t>
        </is>
      </c>
      <c r="B350" s="1" t="n">
        <v>44874</v>
      </c>
      <c r="C350" s="1" t="n">
        <v>45362</v>
      </c>
      <c r="D350" t="inlineStr">
        <is>
          <t>NORRBOTTENS LÄN</t>
        </is>
      </c>
      <c r="E350" t="inlineStr">
        <is>
          <t>JOKKMOKK</t>
        </is>
      </c>
      <c r="F350" t="inlineStr">
        <is>
          <t>SCA</t>
        </is>
      </c>
      <c r="G350" t="n">
        <v>29.2</v>
      </c>
      <c r="H350" t="n">
        <v>0</v>
      </c>
      <c r="I350" t="n">
        <v>0</v>
      </c>
      <c r="J350" t="n">
        <v>0</v>
      </c>
      <c r="K350" t="n">
        <v>0</v>
      </c>
      <c r="L350" t="n">
        <v>0</v>
      </c>
      <c r="M350" t="n">
        <v>0</v>
      </c>
      <c r="N350" t="n">
        <v>0</v>
      </c>
      <c r="O350" t="n">
        <v>0</v>
      </c>
      <c r="P350" t="n">
        <v>0</v>
      </c>
      <c r="Q350" t="n">
        <v>0</v>
      </c>
      <c r="R350" s="2" t="inlineStr"/>
    </row>
    <row r="351" ht="15" customHeight="1">
      <c r="A351" t="inlineStr">
        <is>
          <t>A 56168-2022</t>
        </is>
      </c>
      <c r="B351" s="1" t="n">
        <v>44889</v>
      </c>
      <c r="C351" s="1" t="n">
        <v>45362</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56691-2022</t>
        </is>
      </c>
      <c r="B352" s="1" t="n">
        <v>44893</v>
      </c>
      <c r="C352" s="1" t="n">
        <v>45362</v>
      </c>
      <c r="D352" t="inlineStr">
        <is>
          <t>NORRBOTTENS LÄN</t>
        </is>
      </c>
      <c r="E352" t="inlineStr">
        <is>
          <t>JOKKMOKK</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57672-2022</t>
        </is>
      </c>
      <c r="B353" s="1" t="n">
        <v>44897</v>
      </c>
      <c r="C353" s="1" t="n">
        <v>45362</v>
      </c>
      <c r="D353" t="inlineStr">
        <is>
          <t>NORRBOTTENS LÄN</t>
        </is>
      </c>
      <c r="E353" t="inlineStr">
        <is>
          <t>JOKKMOKK</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61531-2022</t>
        </is>
      </c>
      <c r="B354" s="1" t="n">
        <v>44916</v>
      </c>
      <c r="C354" s="1" t="n">
        <v>45362</v>
      </c>
      <c r="D354" t="inlineStr">
        <is>
          <t>NORRBOTTENS LÄN</t>
        </is>
      </c>
      <c r="E354" t="inlineStr">
        <is>
          <t>JOKKMOKK</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62078-2022</t>
        </is>
      </c>
      <c r="B355" s="1" t="n">
        <v>44918</v>
      </c>
      <c r="C355" s="1" t="n">
        <v>45362</v>
      </c>
      <c r="D355" t="inlineStr">
        <is>
          <t>NORRBOTTENS LÄN</t>
        </is>
      </c>
      <c r="E355" t="inlineStr">
        <is>
          <t>JOKKMOKK</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1119-2023</t>
        </is>
      </c>
      <c r="B356" s="1" t="n">
        <v>44930</v>
      </c>
      <c r="C356" s="1" t="n">
        <v>45362</v>
      </c>
      <c r="D356" t="inlineStr">
        <is>
          <t>NORRBOTTENS LÄN</t>
        </is>
      </c>
      <c r="E356" t="inlineStr">
        <is>
          <t>JOKKMOKK</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6464-2023</t>
        </is>
      </c>
      <c r="B357" s="1" t="n">
        <v>44965</v>
      </c>
      <c r="C357" s="1" t="n">
        <v>45362</v>
      </c>
      <c r="D357" t="inlineStr">
        <is>
          <t>NORRBOTTENS LÄN</t>
        </is>
      </c>
      <c r="E357" t="inlineStr">
        <is>
          <t>JOKKMOKK</t>
        </is>
      </c>
      <c r="G357" t="n">
        <v>8.4</v>
      </c>
      <c r="H357" t="n">
        <v>0</v>
      </c>
      <c r="I357" t="n">
        <v>0</v>
      </c>
      <c r="J357" t="n">
        <v>0</v>
      </c>
      <c r="K357" t="n">
        <v>0</v>
      </c>
      <c r="L357" t="n">
        <v>0</v>
      </c>
      <c r="M357" t="n">
        <v>0</v>
      </c>
      <c r="N357" t="n">
        <v>0</v>
      </c>
      <c r="O357" t="n">
        <v>0</v>
      </c>
      <c r="P357" t="n">
        <v>0</v>
      </c>
      <c r="Q357" t="n">
        <v>0</v>
      </c>
      <c r="R357" s="2" t="inlineStr"/>
    </row>
    <row r="358" ht="15" customHeight="1">
      <c r="A358" t="inlineStr">
        <is>
          <t>A 6779-2023</t>
        </is>
      </c>
      <c r="B358" s="1" t="n">
        <v>44966</v>
      </c>
      <c r="C358" s="1" t="n">
        <v>45362</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6778-2023</t>
        </is>
      </c>
      <c r="B359" s="1" t="n">
        <v>44966</v>
      </c>
      <c r="C359" s="1" t="n">
        <v>45362</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6777-2023</t>
        </is>
      </c>
      <c r="B360" s="1" t="n">
        <v>44966</v>
      </c>
      <c r="C360" s="1" t="n">
        <v>45362</v>
      </c>
      <c r="D360" t="inlineStr">
        <is>
          <t>NORRBOTTENS LÄN</t>
        </is>
      </c>
      <c r="E360" t="inlineStr">
        <is>
          <t>JOKKMOKK</t>
        </is>
      </c>
      <c r="G360" t="n">
        <v>2.2</v>
      </c>
      <c r="H360" t="n">
        <v>0</v>
      </c>
      <c r="I360" t="n">
        <v>0</v>
      </c>
      <c r="J360" t="n">
        <v>0</v>
      </c>
      <c r="K360" t="n">
        <v>0</v>
      </c>
      <c r="L360" t="n">
        <v>0</v>
      </c>
      <c r="M360" t="n">
        <v>0</v>
      </c>
      <c r="N360" t="n">
        <v>0</v>
      </c>
      <c r="O360" t="n">
        <v>0</v>
      </c>
      <c r="P360" t="n">
        <v>0</v>
      </c>
      <c r="Q360" t="n">
        <v>0</v>
      </c>
      <c r="R360" s="2" t="inlineStr"/>
    </row>
    <row r="361" ht="15" customHeight="1">
      <c r="A361" t="inlineStr">
        <is>
          <t>A 8471-2023</t>
        </is>
      </c>
      <c r="B361" s="1" t="n">
        <v>44977</v>
      </c>
      <c r="C361" s="1" t="n">
        <v>45362</v>
      </c>
      <c r="D361" t="inlineStr">
        <is>
          <t>NORRBOTTENS LÄN</t>
        </is>
      </c>
      <c r="E361" t="inlineStr">
        <is>
          <t>JOKKMOKK</t>
        </is>
      </c>
      <c r="G361" t="n">
        <v>0.5</v>
      </c>
      <c r="H361" t="n">
        <v>0</v>
      </c>
      <c r="I361" t="n">
        <v>0</v>
      </c>
      <c r="J361" t="n">
        <v>0</v>
      </c>
      <c r="K361" t="n">
        <v>0</v>
      </c>
      <c r="L361" t="n">
        <v>0</v>
      </c>
      <c r="M361" t="n">
        <v>0</v>
      </c>
      <c r="N361" t="n">
        <v>0</v>
      </c>
      <c r="O361" t="n">
        <v>0</v>
      </c>
      <c r="P361" t="n">
        <v>0</v>
      </c>
      <c r="Q361" t="n">
        <v>0</v>
      </c>
      <c r="R361" s="2" t="inlineStr"/>
    </row>
    <row r="362" ht="15" customHeight="1">
      <c r="A362" t="inlineStr">
        <is>
          <t>A 8472-2023</t>
        </is>
      </c>
      <c r="B362" s="1" t="n">
        <v>44977</v>
      </c>
      <c r="C362" s="1" t="n">
        <v>45362</v>
      </c>
      <c r="D362" t="inlineStr">
        <is>
          <t>NORRBOTTENS LÄN</t>
        </is>
      </c>
      <c r="E362" t="inlineStr">
        <is>
          <t>JOKKMOKK</t>
        </is>
      </c>
      <c r="G362" t="n">
        <v>0.7</v>
      </c>
      <c r="H362" t="n">
        <v>0</v>
      </c>
      <c r="I362" t="n">
        <v>0</v>
      </c>
      <c r="J362" t="n">
        <v>0</v>
      </c>
      <c r="K362" t="n">
        <v>0</v>
      </c>
      <c r="L362" t="n">
        <v>0</v>
      </c>
      <c r="M362" t="n">
        <v>0</v>
      </c>
      <c r="N362" t="n">
        <v>0</v>
      </c>
      <c r="O362" t="n">
        <v>0</v>
      </c>
      <c r="P362" t="n">
        <v>0</v>
      </c>
      <c r="Q362" t="n">
        <v>0</v>
      </c>
      <c r="R362" s="2" t="inlineStr"/>
    </row>
    <row r="363" ht="15" customHeight="1">
      <c r="A363" t="inlineStr">
        <is>
          <t>A 9352-2023</t>
        </is>
      </c>
      <c r="B363" s="1" t="n">
        <v>44980</v>
      </c>
      <c r="C363" s="1" t="n">
        <v>45362</v>
      </c>
      <c r="D363" t="inlineStr">
        <is>
          <t>NORRBOTTENS LÄN</t>
        </is>
      </c>
      <c r="E363" t="inlineStr">
        <is>
          <t>JOKKMOKK</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9349-2023</t>
        </is>
      </c>
      <c r="B364" s="1" t="n">
        <v>44980</v>
      </c>
      <c r="C364" s="1" t="n">
        <v>45362</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9351-2023</t>
        </is>
      </c>
      <c r="B365" s="1" t="n">
        <v>44980</v>
      </c>
      <c r="C365" s="1" t="n">
        <v>45362</v>
      </c>
      <c r="D365" t="inlineStr">
        <is>
          <t>NORRBOTTENS LÄN</t>
        </is>
      </c>
      <c r="E365" t="inlineStr">
        <is>
          <t>JOKKMOKK</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10422-2023</t>
        </is>
      </c>
      <c r="B366" s="1" t="n">
        <v>44981</v>
      </c>
      <c r="C366" s="1" t="n">
        <v>45362</v>
      </c>
      <c r="D366" t="inlineStr">
        <is>
          <t>NORRBOTTENS LÄN</t>
        </is>
      </c>
      <c r="E366" t="inlineStr">
        <is>
          <t>JOKKMOKK</t>
        </is>
      </c>
      <c r="G366" t="n">
        <v>3.5</v>
      </c>
      <c r="H366" t="n">
        <v>0</v>
      </c>
      <c r="I366" t="n">
        <v>0</v>
      </c>
      <c r="J366" t="n">
        <v>0</v>
      </c>
      <c r="K366" t="n">
        <v>0</v>
      </c>
      <c r="L366" t="n">
        <v>0</v>
      </c>
      <c r="M366" t="n">
        <v>0</v>
      </c>
      <c r="N366" t="n">
        <v>0</v>
      </c>
      <c r="O366" t="n">
        <v>0</v>
      </c>
      <c r="P366" t="n">
        <v>0</v>
      </c>
      <c r="Q366" t="n">
        <v>0</v>
      </c>
      <c r="R366" s="2" t="inlineStr"/>
    </row>
    <row r="367" ht="15" customHeight="1">
      <c r="A367" t="inlineStr">
        <is>
          <t>A 9860-2023</t>
        </is>
      </c>
      <c r="B367" s="1" t="n">
        <v>44984</v>
      </c>
      <c r="C367" s="1" t="n">
        <v>45362</v>
      </c>
      <c r="D367" t="inlineStr">
        <is>
          <t>NORRBOTTENS LÄN</t>
        </is>
      </c>
      <c r="E367" t="inlineStr">
        <is>
          <t>JOKKMOKK</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9854-2023</t>
        </is>
      </c>
      <c r="B368" s="1" t="n">
        <v>44984</v>
      </c>
      <c r="C368" s="1" t="n">
        <v>45362</v>
      </c>
      <c r="D368" t="inlineStr">
        <is>
          <t>NORRBOTTENS LÄN</t>
        </is>
      </c>
      <c r="E368" t="inlineStr">
        <is>
          <t>JOKKMOKK</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9863-2023</t>
        </is>
      </c>
      <c r="B369" s="1" t="n">
        <v>44984</v>
      </c>
      <c r="C369" s="1" t="n">
        <v>45362</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9870-2023</t>
        </is>
      </c>
      <c r="B370" s="1" t="n">
        <v>44984</v>
      </c>
      <c r="C370" s="1" t="n">
        <v>45362</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45362</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9872-2023</t>
        </is>
      </c>
      <c r="B372" s="1" t="n">
        <v>44984</v>
      </c>
      <c r="C372" s="1" t="n">
        <v>45362</v>
      </c>
      <c r="D372" t="inlineStr">
        <is>
          <t>NORRBOTTENS LÄN</t>
        </is>
      </c>
      <c r="E372" t="inlineStr">
        <is>
          <t>JOKKMOKK</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9877-2023</t>
        </is>
      </c>
      <c r="B373" s="1" t="n">
        <v>44984</v>
      </c>
      <c r="C373" s="1" t="n">
        <v>45362</v>
      </c>
      <c r="D373" t="inlineStr">
        <is>
          <t>NORRBOTTENS LÄN</t>
        </is>
      </c>
      <c r="E373" t="inlineStr">
        <is>
          <t>JOKKMOKK</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9874-2023</t>
        </is>
      </c>
      <c r="B374" s="1" t="n">
        <v>44984</v>
      </c>
      <c r="C374" s="1" t="n">
        <v>45362</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45362</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9866-2023</t>
        </is>
      </c>
      <c r="B376" s="1" t="n">
        <v>44984</v>
      </c>
      <c r="C376" s="1" t="n">
        <v>45362</v>
      </c>
      <c r="D376" t="inlineStr">
        <is>
          <t>NORRBOTTENS LÄN</t>
        </is>
      </c>
      <c r="E376" t="inlineStr">
        <is>
          <t>JOKKMOKK</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9869-2023</t>
        </is>
      </c>
      <c r="B377" s="1" t="n">
        <v>44984</v>
      </c>
      <c r="C377" s="1" t="n">
        <v>45362</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9873-2023</t>
        </is>
      </c>
      <c r="B378" s="1" t="n">
        <v>44984</v>
      </c>
      <c r="C378" s="1" t="n">
        <v>45362</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45362</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9859-2023</t>
        </is>
      </c>
      <c r="B380" s="1" t="n">
        <v>44984</v>
      </c>
      <c r="C380" s="1" t="n">
        <v>45362</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9864-2023</t>
        </is>
      </c>
      <c r="B381" s="1" t="n">
        <v>44984</v>
      </c>
      <c r="C381" s="1" t="n">
        <v>45362</v>
      </c>
      <c r="D381" t="inlineStr">
        <is>
          <t>NORRBOTTENS LÄN</t>
        </is>
      </c>
      <c r="E381" t="inlineStr">
        <is>
          <t>JOKKMOKK</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9875-2023</t>
        </is>
      </c>
      <c r="B382" s="1" t="n">
        <v>44984</v>
      </c>
      <c r="C382" s="1" t="n">
        <v>45362</v>
      </c>
      <c r="D382" t="inlineStr">
        <is>
          <t>NORRBOTTENS LÄN</t>
        </is>
      </c>
      <c r="E382" t="inlineStr">
        <is>
          <t>JOKKMOKK</t>
        </is>
      </c>
      <c r="G382" t="n">
        <v>0.6</v>
      </c>
      <c r="H382" t="n">
        <v>0</v>
      </c>
      <c r="I382" t="n">
        <v>0</v>
      </c>
      <c r="J382" t="n">
        <v>0</v>
      </c>
      <c r="K382" t="n">
        <v>0</v>
      </c>
      <c r="L382" t="n">
        <v>0</v>
      </c>
      <c r="M382" t="n">
        <v>0</v>
      </c>
      <c r="N382" t="n">
        <v>0</v>
      </c>
      <c r="O382" t="n">
        <v>0</v>
      </c>
      <c r="P382" t="n">
        <v>0</v>
      </c>
      <c r="Q382" t="n">
        <v>0</v>
      </c>
      <c r="R382" s="2" t="inlineStr"/>
    </row>
    <row r="383" ht="15" customHeight="1">
      <c r="A383" t="inlineStr">
        <is>
          <t>A 12686-2023</t>
        </is>
      </c>
      <c r="B383" s="1" t="n">
        <v>44999</v>
      </c>
      <c r="C383" s="1" t="n">
        <v>45362</v>
      </c>
      <c r="D383" t="inlineStr">
        <is>
          <t>NORRBOTTENS LÄN</t>
        </is>
      </c>
      <c r="E383" t="inlineStr">
        <is>
          <t>JOKKMOKK</t>
        </is>
      </c>
      <c r="G383" t="n">
        <v>36.7</v>
      </c>
      <c r="H383" t="n">
        <v>0</v>
      </c>
      <c r="I383" t="n">
        <v>0</v>
      </c>
      <c r="J383" t="n">
        <v>0</v>
      </c>
      <c r="K383" t="n">
        <v>0</v>
      </c>
      <c r="L383" t="n">
        <v>0</v>
      </c>
      <c r="M383" t="n">
        <v>0</v>
      </c>
      <c r="N383" t="n">
        <v>0</v>
      </c>
      <c r="O383" t="n">
        <v>0</v>
      </c>
      <c r="P383" t="n">
        <v>0</v>
      </c>
      <c r="Q383" t="n">
        <v>0</v>
      </c>
      <c r="R383" s="2" t="inlineStr"/>
    </row>
    <row r="384" ht="15" customHeight="1">
      <c r="A384" t="inlineStr">
        <is>
          <t>A 16336-2023</t>
        </is>
      </c>
      <c r="B384" s="1" t="n">
        <v>45022</v>
      </c>
      <c r="C384" s="1" t="n">
        <v>45362</v>
      </c>
      <c r="D384" t="inlineStr">
        <is>
          <t>NORRBOTTENS LÄN</t>
        </is>
      </c>
      <c r="E384" t="inlineStr">
        <is>
          <t>JOKKMOKK</t>
        </is>
      </c>
      <c r="F384" t="inlineStr">
        <is>
          <t>Övriga statliga verk och myndigheter</t>
        </is>
      </c>
      <c r="G384" t="n">
        <v>130.2</v>
      </c>
      <c r="H384" t="n">
        <v>0</v>
      </c>
      <c r="I384" t="n">
        <v>0</v>
      </c>
      <c r="J384" t="n">
        <v>0</v>
      </c>
      <c r="K384" t="n">
        <v>0</v>
      </c>
      <c r="L384" t="n">
        <v>0</v>
      </c>
      <c r="M384" t="n">
        <v>0</v>
      </c>
      <c r="N384" t="n">
        <v>0</v>
      </c>
      <c r="O384" t="n">
        <v>0</v>
      </c>
      <c r="P384" t="n">
        <v>0</v>
      </c>
      <c r="Q384" t="n">
        <v>0</v>
      </c>
      <c r="R384" s="2" t="inlineStr"/>
    </row>
    <row r="385" ht="15" customHeight="1">
      <c r="A385" t="inlineStr">
        <is>
          <t>A 16864-2023</t>
        </is>
      </c>
      <c r="B385" s="1" t="n">
        <v>45028</v>
      </c>
      <c r="C385" s="1" t="n">
        <v>45362</v>
      </c>
      <c r="D385" t="inlineStr">
        <is>
          <t>NORRBOTTENS LÄN</t>
        </is>
      </c>
      <c r="E385" t="inlineStr">
        <is>
          <t>JOKKMOKK</t>
        </is>
      </c>
      <c r="G385" t="n">
        <v>4</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45362</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18537-2023</t>
        </is>
      </c>
      <c r="B387" s="1" t="n">
        <v>45028</v>
      </c>
      <c r="C387" s="1" t="n">
        <v>45362</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17999-2023</t>
        </is>
      </c>
      <c r="B388" s="1" t="n">
        <v>45040</v>
      </c>
      <c r="C388" s="1" t="n">
        <v>45362</v>
      </c>
      <c r="D388" t="inlineStr">
        <is>
          <t>NORRBOTTENS LÄN</t>
        </is>
      </c>
      <c r="E388" t="inlineStr">
        <is>
          <t>JOKKMOKK</t>
        </is>
      </c>
      <c r="G388" t="n">
        <v>10.6</v>
      </c>
      <c r="H388" t="n">
        <v>0</v>
      </c>
      <c r="I388" t="n">
        <v>0</v>
      </c>
      <c r="J388" t="n">
        <v>0</v>
      </c>
      <c r="K388" t="n">
        <v>0</v>
      </c>
      <c r="L388" t="n">
        <v>0</v>
      </c>
      <c r="M388" t="n">
        <v>0</v>
      </c>
      <c r="N388" t="n">
        <v>0</v>
      </c>
      <c r="O388" t="n">
        <v>0</v>
      </c>
      <c r="P388" t="n">
        <v>0</v>
      </c>
      <c r="Q388" t="n">
        <v>0</v>
      </c>
      <c r="R388" s="2" t="inlineStr"/>
    </row>
    <row r="389" ht="15" customHeight="1">
      <c r="A389" t="inlineStr">
        <is>
          <t>A 18772-2023</t>
        </is>
      </c>
      <c r="B389" s="1" t="n">
        <v>45043</v>
      </c>
      <c r="C389" s="1" t="n">
        <v>45362</v>
      </c>
      <c r="D389" t="inlineStr">
        <is>
          <t>NORRBOTTENS LÄN</t>
        </is>
      </c>
      <c r="E389" t="inlineStr">
        <is>
          <t>JOKKMOKK</t>
        </is>
      </c>
      <c r="F389" t="inlineStr">
        <is>
          <t>SCA</t>
        </is>
      </c>
      <c r="G389" t="n">
        <v>11.9</v>
      </c>
      <c r="H389" t="n">
        <v>0</v>
      </c>
      <c r="I389" t="n">
        <v>0</v>
      </c>
      <c r="J389" t="n">
        <v>0</v>
      </c>
      <c r="K389" t="n">
        <v>0</v>
      </c>
      <c r="L389" t="n">
        <v>0</v>
      </c>
      <c r="M389" t="n">
        <v>0</v>
      </c>
      <c r="N389" t="n">
        <v>0</v>
      </c>
      <c r="O389" t="n">
        <v>0</v>
      </c>
      <c r="P389" t="n">
        <v>0</v>
      </c>
      <c r="Q389" t="n">
        <v>0</v>
      </c>
      <c r="R389" s="2" t="inlineStr"/>
    </row>
    <row r="390" ht="15" customHeight="1">
      <c r="A390" t="inlineStr">
        <is>
          <t>A 19611-2023</t>
        </is>
      </c>
      <c r="B390" s="1" t="n">
        <v>45050</v>
      </c>
      <c r="C390" s="1" t="n">
        <v>45362</v>
      </c>
      <c r="D390" t="inlineStr">
        <is>
          <t>NORRBOTTENS LÄN</t>
        </is>
      </c>
      <c r="E390" t="inlineStr">
        <is>
          <t>JOKKMOKK</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20480-2023</t>
        </is>
      </c>
      <c r="B391" s="1" t="n">
        <v>45057</v>
      </c>
      <c r="C391" s="1" t="n">
        <v>45362</v>
      </c>
      <c r="D391" t="inlineStr">
        <is>
          <t>NORRBOTTENS LÄN</t>
        </is>
      </c>
      <c r="E391" t="inlineStr">
        <is>
          <t>JOKKMOKK</t>
        </is>
      </c>
      <c r="G391" t="n">
        <v>19.5</v>
      </c>
      <c r="H391" t="n">
        <v>0</v>
      </c>
      <c r="I391" t="n">
        <v>0</v>
      </c>
      <c r="J391" t="n">
        <v>0</v>
      </c>
      <c r="K391" t="n">
        <v>0</v>
      </c>
      <c r="L391" t="n">
        <v>0</v>
      </c>
      <c r="M391" t="n">
        <v>0</v>
      </c>
      <c r="N391" t="n">
        <v>0</v>
      </c>
      <c r="O391" t="n">
        <v>0</v>
      </c>
      <c r="P391" t="n">
        <v>0</v>
      </c>
      <c r="Q391" t="n">
        <v>0</v>
      </c>
      <c r="R391" s="2" t="inlineStr"/>
    </row>
    <row r="392" ht="15" customHeight="1">
      <c r="A392" t="inlineStr">
        <is>
          <t>A 20593-2023</t>
        </is>
      </c>
      <c r="B392" s="1" t="n">
        <v>45057</v>
      </c>
      <c r="C392" s="1" t="n">
        <v>45362</v>
      </c>
      <c r="D392" t="inlineStr">
        <is>
          <t>NORRBOTTENS LÄN</t>
        </is>
      </c>
      <c r="E392" t="inlineStr">
        <is>
          <t>JOKKMOKK</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21924-2023</t>
        </is>
      </c>
      <c r="B393" s="1" t="n">
        <v>45067</v>
      </c>
      <c r="C393" s="1" t="n">
        <v>45362</v>
      </c>
      <c r="D393" t="inlineStr">
        <is>
          <t>NORRBOTTENS LÄN</t>
        </is>
      </c>
      <c r="E393" t="inlineStr">
        <is>
          <t>JOKKMOKK</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22685-2023</t>
        </is>
      </c>
      <c r="B394" s="1" t="n">
        <v>45071</v>
      </c>
      <c r="C394" s="1" t="n">
        <v>45362</v>
      </c>
      <c r="D394" t="inlineStr">
        <is>
          <t>NORRBOTTENS LÄN</t>
        </is>
      </c>
      <c r="E394" t="inlineStr">
        <is>
          <t>JOKKMOKK</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23022-2023</t>
        </is>
      </c>
      <c r="B395" s="1" t="n">
        <v>45074</v>
      </c>
      <c r="C395" s="1" t="n">
        <v>45362</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23021-2023</t>
        </is>
      </c>
      <c r="B396" s="1" t="n">
        <v>45074</v>
      </c>
      <c r="C396" s="1" t="n">
        <v>45362</v>
      </c>
      <c r="D396" t="inlineStr">
        <is>
          <t>NORRBOTTENS LÄN</t>
        </is>
      </c>
      <c r="E396" t="inlineStr">
        <is>
          <t>JOKKMOKK</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23019-2023</t>
        </is>
      </c>
      <c r="B397" s="1" t="n">
        <v>45073</v>
      </c>
      <c r="C397" s="1" t="n">
        <v>45362</v>
      </c>
      <c r="D397" t="inlineStr">
        <is>
          <t>NORRBOTTENS LÄN</t>
        </is>
      </c>
      <c r="E397" t="inlineStr">
        <is>
          <t>JOKKMOKK</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23023-2023</t>
        </is>
      </c>
      <c r="B398" s="1" t="n">
        <v>45073</v>
      </c>
      <c r="C398" s="1" t="n">
        <v>45362</v>
      </c>
      <c r="D398" t="inlineStr">
        <is>
          <t>NORRBOTTENS LÄN</t>
        </is>
      </c>
      <c r="E398" t="inlineStr">
        <is>
          <t>JOKKMOKK</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24054-2023</t>
        </is>
      </c>
      <c r="B399" s="1" t="n">
        <v>45078</v>
      </c>
      <c r="C399" s="1" t="n">
        <v>45362</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45362</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24056-2023</t>
        </is>
      </c>
      <c r="B401" s="1" t="n">
        <v>45079</v>
      </c>
      <c r="C401" s="1" t="n">
        <v>45362</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24053-2023</t>
        </is>
      </c>
      <c r="B402" s="1" t="n">
        <v>45078</v>
      </c>
      <c r="C402" s="1" t="n">
        <v>45362</v>
      </c>
      <c r="D402" t="inlineStr">
        <is>
          <t>NORRBOTTENS LÄN</t>
        </is>
      </c>
      <c r="E402" t="inlineStr">
        <is>
          <t>JOKKMOKK</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24057-2023</t>
        </is>
      </c>
      <c r="B403" s="1" t="n">
        <v>45078</v>
      </c>
      <c r="C403" s="1" t="n">
        <v>45362</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24065-2023</t>
        </is>
      </c>
      <c r="B404" s="1" t="n">
        <v>45079</v>
      </c>
      <c r="C404" s="1" t="n">
        <v>45362</v>
      </c>
      <c r="D404" t="inlineStr">
        <is>
          <t>NORRBOTTENS LÄN</t>
        </is>
      </c>
      <c r="E404" t="inlineStr">
        <is>
          <t>JOKKMOKK</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24120-2023</t>
        </is>
      </c>
      <c r="B405" s="1" t="n">
        <v>45079</v>
      </c>
      <c r="C405" s="1" t="n">
        <v>45362</v>
      </c>
      <c r="D405" t="inlineStr">
        <is>
          <t>NORRBOTTENS LÄN</t>
        </is>
      </c>
      <c r="E405" t="inlineStr">
        <is>
          <t>JOKKMOKK</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24109-2023</t>
        </is>
      </c>
      <c r="B406" s="1" t="n">
        <v>45079</v>
      </c>
      <c r="C406" s="1" t="n">
        <v>45362</v>
      </c>
      <c r="D406" t="inlineStr">
        <is>
          <t>NORRBOTTENS LÄN</t>
        </is>
      </c>
      <c r="E406" t="inlineStr">
        <is>
          <t>JOKKMOKK</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24603-2023</t>
        </is>
      </c>
      <c r="B407" s="1" t="n">
        <v>45083</v>
      </c>
      <c r="C407" s="1" t="n">
        <v>45362</v>
      </c>
      <c r="D407" t="inlineStr">
        <is>
          <t>NORRBOTTENS LÄN</t>
        </is>
      </c>
      <c r="E407" t="inlineStr">
        <is>
          <t>JOKKMOKK</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26131-2023</t>
        </is>
      </c>
      <c r="B408" s="1" t="n">
        <v>45086</v>
      </c>
      <c r="C408" s="1" t="n">
        <v>45362</v>
      </c>
      <c r="D408" t="inlineStr">
        <is>
          <t>NORRBOTTENS LÄN</t>
        </is>
      </c>
      <c r="E408" t="inlineStr">
        <is>
          <t>JOKKMOKK</t>
        </is>
      </c>
      <c r="G408" t="n">
        <v>35.6</v>
      </c>
      <c r="H408" t="n">
        <v>0</v>
      </c>
      <c r="I408" t="n">
        <v>0</v>
      </c>
      <c r="J408" t="n">
        <v>0</v>
      </c>
      <c r="K408" t="n">
        <v>0</v>
      </c>
      <c r="L408" t="n">
        <v>0</v>
      </c>
      <c r="M408" t="n">
        <v>0</v>
      </c>
      <c r="N408" t="n">
        <v>0</v>
      </c>
      <c r="O408" t="n">
        <v>0</v>
      </c>
      <c r="P408" t="n">
        <v>0</v>
      </c>
      <c r="Q408" t="n">
        <v>0</v>
      </c>
      <c r="R408" s="2" t="inlineStr"/>
    </row>
    <row r="409" ht="15" customHeight="1">
      <c r="A409" t="inlineStr">
        <is>
          <t>A 25719-2023</t>
        </is>
      </c>
      <c r="B409" s="1" t="n">
        <v>45090</v>
      </c>
      <c r="C409" s="1" t="n">
        <v>45362</v>
      </c>
      <c r="D409" t="inlineStr">
        <is>
          <t>NORRBOTTENS LÄN</t>
        </is>
      </c>
      <c r="E409" t="inlineStr">
        <is>
          <t>JOKKMOKK</t>
        </is>
      </c>
      <c r="G409" t="n">
        <v>7.6</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45362</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26962-2023</t>
        </is>
      </c>
      <c r="B411" s="1" t="n">
        <v>45093</v>
      </c>
      <c r="C411" s="1" t="n">
        <v>45362</v>
      </c>
      <c r="D411" t="inlineStr">
        <is>
          <t>NORRBOTTENS LÄN</t>
        </is>
      </c>
      <c r="E411" t="inlineStr">
        <is>
          <t>JOKKMOKK</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27021-2023</t>
        </is>
      </c>
      <c r="B412" s="1" t="n">
        <v>45094</v>
      </c>
      <c r="C412" s="1" t="n">
        <v>45362</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27017-2023</t>
        </is>
      </c>
      <c r="B413" s="1" t="n">
        <v>45094</v>
      </c>
      <c r="C413" s="1" t="n">
        <v>45362</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27022-2023</t>
        </is>
      </c>
      <c r="B414" s="1" t="n">
        <v>45094</v>
      </c>
      <c r="C414" s="1" t="n">
        <v>45362</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27020-2023</t>
        </is>
      </c>
      <c r="B415" s="1" t="n">
        <v>45094</v>
      </c>
      <c r="C415" s="1" t="n">
        <v>45362</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27095-2023</t>
        </is>
      </c>
      <c r="B416" s="1" t="n">
        <v>45096</v>
      </c>
      <c r="C416" s="1" t="n">
        <v>45362</v>
      </c>
      <c r="D416" t="inlineStr">
        <is>
          <t>NORRBOTTENS LÄN</t>
        </is>
      </c>
      <c r="E416" t="inlineStr">
        <is>
          <t>JOKKMOKK</t>
        </is>
      </c>
      <c r="F416" t="inlineStr">
        <is>
          <t>Sveaskog</t>
        </is>
      </c>
      <c r="G416" t="n">
        <v>10.6</v>
      </c>
      <c r="H416" t="n">
        <v>0</v>
      </c>
      <c r="I416" t="n">
        <v>0</v>
      </c>
      <c r="J416" t="n">
        <v>0</v>
      </c>
      <c r="K416" t="n">
        <v>0</v>
      </c>
      <c r="L416" t="n">
        <v>0</v>
      </c>
      <c r="M416" t="n">
        <v>0</v>
      </c>
      <c r="N416" t="n">
        <v>0</v>
      </c>
      <c r="O416" t="n">
        <v>0</v>
      </c>
      <c r="P416" t="n">
        <v>0</v>
      </c>
      <c r="Q416" t="n">
        <v>0</v>
      </c>
      <c r="R416" s="2" t="inlineStr"/>
    </row>
    <row r="417" ht="15" customHeight="1">
      <c r="A417" t="inlineStr">
        <is>
          <t>A 28090-2023</t>
        </is>
      </c>
      <c r="B417" s="1" t="n">
        <v>45099</v>
      </c>
      <c r="C417" s="1" t="n">
        <v>45362</v>
      </c>
      <c r="D417" t="inlineStr">
        <is>
          <t>NORRBOTTENS LÄN</t>
        </is>
      </c>
      <c r="E417" t="inlineStr">
        <is>
          <t>JOKKMOKK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29626-2023</t>
        </is>
      </c>
      <c r="B418" s="1" t="n">
        <v>45107</v>
      </c>
      <c r="C418" s="1" t="n">
        <v>45362</v>
      </c>
      <c r="D418" t="inlineStr">
        <is>
          <t>NORRBOTTENS LÄN</t>
        </is>
      </c>
      <c r="E418" t="inlineStr">
        <is>
          <t>JOKKMOKK</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45362</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45362</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45362</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45362</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45362</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45362</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45362</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45362</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45362</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45362</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45362</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32990-2023</t>
        </is>
      </c>
      <c r="B430" s="1" t="n">
        <v>45113</v>
      </c>
      <c r="C430" s="1" t="n">
        <v>45362</v>
      </c>
      <c r="D430" t="inlineStr">
        <is>
          <t>NORRBOTTENS LÄN</t>
        </is>
      </c>
      <c r="E430" t="inlineStr">
        <is>
          <t>JOKKMOKK</t>
        </is>
      </c>
      <c r="F430" t="inlineStr">
        <is>
          <t>Övriga statliga verk och myndigheter</t>
        </is>
      </c>
      <c r="G430" t="n">
        <v>22.7</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45362</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45362</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33146-2023</t>
        </is>
      </c>
      <c r="B433" s="1" t="n">
        <v>45114</v>
      </c>
      <c r="C433" s="1" t="n">
        <v>45362</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33139-2023</t>
        </is>
      </c>
      <c r="B434" s="1" t="n">
        <v>45114</v>
      </c>
      <c r="C434" s="1" t="n">
        <v>45362</v>
      </c>
      <c r="D434" t="inlineStr">
        <is>
          <t>NORRBOTTENS LÄN</t>
        </is>
      </c>
      <c r="E434" t="inlineStr">
        <is>
          <t>JOKKMOKK</t>
        </is>
      </c>
      <c r="F434" t="inlineStr">
        <is>
          <t>Övriga statliga verk och myndigheter</t>
        </is>
      </c>
      <c r="G434" t="n">
        <v>8.6</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45362</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32915-2023</t>
        </is>
      </c>
      <c r="B436" s="1" t="n">
        <v>45125</v>
      </c>
      <c r="C436" s="1" t="n">
        <v>45362</v>
      </c>
      <c r="D436" t="inlineStr">
        <is>
          <t>NORRBOTTENS LÄN</t>
        </is>
      </c>
      <c r="E436" t="inlineStr">
        <is>
          <t>JOKKMOKK</t>
        </is>
      </c>
      <c r="F436" t="inlineStr">
        <is>
          <t>SCA</t>
        </is>
      </c>
      <c r="G436" t="n">
        <v>15.1</v>
      </c>
      <c r="H436" t="n">
        <v>0</v>
      </c>
      <c r="I436" t="n">
        <v>0</v>
      </c>
      <c r="J436" t="n">
        <v>0</v>
      </c>
      <c r="K436" t="n">
        <v>0</v>
      </c>
      <c r="L436" t="n">
        <v>0</v>
      </c>
      <c r="M436" t="n">
        <v>0</v>
      </c>
      <c r="N436" t="n">
        <v>0</v>
      </c>
      <c r="O436" t="n">
        <v>0</v>
      </c>
      <c r="P436" t="n">
        <v>0</v>
      </c>
      <c r="Q436" t="n">
        <v>0</v>
      </c>
      <c r="R436" s="2" t="inlineStr"/>
    </row>
    <row r="437" ht="15" customHeight="1">
      <c r="A437" t="inlineStr">
        <is>
          <t>A 32900-2023</t>
        </is>
      </c>
      <c r="B437" s="1" t="n">
        <v>45124</v>
      </c>
      <c r="C437" s="1" t="n">
        <v>45362</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32912-2023</t>
        </is>
      </c>
      <c r="B438" s="1" t="n">
        <v>45125</v>
      </c>
      <c r="C438" s="1" t="n">
        <v>45362</v>
      </c>
      <c r="D438" t="inlineStr">
        <is>
          <t>NORRBOTTENS LÄN</t>
        </is>
      </c>
      <c r="E438" t="inlineStr">
        <is>
          <t>JOKKMOKK</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32914-2023</t>
        </is>
      </c>
      <c r="B439" s="1" t="n">
        <v>45124</v>
      </c>
      <c r="C439" s="1" t="n">
        <v>45362</v>
      </c>
      <c r="D439" t="inlineStr">
        <is>
          <t>NORRBOTTENS LÄN</t>
        </is>
      </c>
      <c r="E439" t="inlineStr">
        <is>
          <t>JOKKMOKK</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35153-2023</t>
        </is>
      </c>
      <c r="B440" s="1" t="n">
        <v>45145</v>
      </c>
      <c r="C440" s="1" t="n">
        <v>45362</v>
      </c>
      <c r="D440" t="inlineStr">
        <is>
          <t>NORRBOTTENS LÄN</t>
        </is>
      </c>
      <c r="E440" t="inlineStr">
        <is>
          <t>JOKKMOKK</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36889-2023</t>
        </is>
      </c>
      <c r="B441" s="1" t="n">
        <v>45153</v>
      </c>
      <c r="C441" s="1" t="n">
        <v>45362</v>
      </c>
      <c r="D441" t="inlineStr">
        <is>
          <t>NORRBOTTENS LÄN</t>
        </is>
      </c>
      <c r="E441" t="inlineStr">
        <is>
          <t>JOKKMOKK</t>
        </is>
      </c>
      <c r="F441" t="inlineStr">
        <is>
          <t>Övriga statliga verk och myndigheter</t>
        </is>
      </c>
      <c r="G441" t="n">
        <v>16.7</v>
      </c>
      <c r="H441" t="n">
        <v>0</v>
      </c>
      <c r="I441" t="n">
        <v>0</v>
      </c>
      <c r="J441" t="n">
        <v>0</v>
      </c>
      <c r="K441" t="n">
        <v>0</v>
      </c>
      <c r="L441" t="n">
        <v>0</v>
      </c>
      <c r="M441" t="n">
        <v>0</v>
      </c>
      <c r="N441" t="n">
        <v>0</v>
      </c>
      <c r="O441" t="n">
        <v>0</v>
      </c>
      <c r="P441" t="n">
        <v>0</v>
      </c>
      <c r="Q441" t="n">
        <v>0</v>
      </c>
      <c r="R441" s="2" t="inlineStr"/>
    </row>
    <row r="442" ht="15" customHeight="1">
      <c r="A442" t="inlineStr">
        <is>
          <t>A 37162-2023</t>
        </is>
      </c>
      <c r="B442" s="1" t="n">
        <v>45155</v>
      </c>
      <c r="C442" s="1" t="n">
        <v>45362</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38369-2023</t>
        </is>
      </c>
      <c r="B443" s="1" t="n">
        <v>45162</v>
      </c>
      <c r="C443" s="1" t="n">
        <v>45362</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38373-2023</t>
        </is>
      </c>
      <c r="B444" s="1" t="n">
        <v>45161</v>
      </c>
      <c r="C444" s="1" t="n">
        <v>45362</v>
      </c>
      <c r="D444" t="inlineStr">
        <is>
          <t>NORRBOTTENS LÄN</t>
        </is>
      </c>
      <c r="E444" t="inlineStr">
        <is>
          <t>JOKKMOKK</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38528-2023</t>
        </is>
      </c>
      <c r="B445" s="1" t="n">
        <v>45162</v>
      </c>
      <c r="C445" s="1" t="n">
        <v>45362</v>
      </c>
      <c r="D445" t="inlineStr">
        <is>
          <t>NORRBOTTENS LÄN</t>
        </is>
      </c>
      <c r="E445" t="inlineStr">
        <is>
          <t>JOKKMOKK</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38680-2023</t>
        </is>
      </c>
      <c r="B446" s="1" t="n">
        <v>45163</v>
      </c>
      <c r="C446" s="1" t="n">
        <v>45362</v>
      </c>
      <c r="D446" t="inlineStr">
        <is>
          <t>NORRBOTTENS LÄN</t>
        </is>
      </c>
      <c r="E446" t="inlineStr">
        <is>
          <t>JOKKMOKK</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38681-2023</t>
        </is>
      </c>
      <c r="B447" s="1" t="n">
        <v>45162</v>
      </c>
      <c r="C447" s="1" t="n">
        <v>45362</v>
      </c>
      <c r="D447" t="inlineStr">
        <is>
          <t>NORRBOTTENS LÄN</t>
        </is>
      </c>
      <c r="E447" t="inlineStr">
        <is>
          <t>JOKKMOKK</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39061-2023</t>
        </is>
      </c>
      <c r="B448" s="1" t="n">
        <v>45164</v>
      </c>
      <c r="C448" s="1" t="n">
        <v>45362</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39062-2023</t>
        </is>
      </c>
      <c r="B449" s="1" t="n">
        <v>45164</v>
      </c>
      <c r="C449" s="1" t="n">
        <v>45362</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39504-2023</t>
        </is>
      </c>
      <c r="B450" s="1" t="n">
        <v>45166</v>
      </c>
      <c r="C450" s="1" t="n">
        <v>45362</v>
      </c>
      <c r="D450" t="inlineStr">
        <is>
          <t>NORRBOTTENS LÄN</t>
        </is>
      </c>
      <c r="E450" t="inlineStr">
        <is>
          <t>JOKKMOKK</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39502-2023</t>
        </is>
      </c>
      <c r="B451" s="1" t="n">
        <v>45167</v>
      </c>
      <c r="C451" s="1" t="n">
        <v>45362</v>
      </c>
      <c r="D451" t="inlineStr">
        <is>
          <t>NORRBOTTENS LÄN</t>
        </is>
      </c>
      <c r="E451" t="inlineStr">
        <is>
          <t>JOKKMOKK</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39684-2023</t>
        </is>
      </c>
      <c r="B452" s="1" t="n">
        <v>45166</v>
      </c>
      <c r="C452" s="1" t="n">
        <v>45362</v>
      </c>
      <c r="D452" t="inlineStr">
        <is>
          <t>NORRBOTTENS LÄN</t>
        </is>
      </c>
      <c r="E452" t="inlineStr">
        <is>
          <t>JOKKMOKK</t>
        </is>
      </c>
      <c r="G452" t="n">
        <v>6.8</v>
      </c>
      <c r="H452" t="n">
        <v>0</v>
      </c>
      <c r="I452" t="n">
        <v>0</v>
      </c>
      <c r="J452" t="n">
        <v>0</v>
      </c>
      <c r="K452" t="n">
        <v>0</v>
      </c>
      <c r="L452" t="n">
        <v>0</v>
      </c>
      <c r="M452" t="n">
        <v>0</v>
      </c>
      <c r="N452" t="n">
        <v>0</v>
      </c>
      <c r="O452" t="n">
        <v>0</v>
      </c>
      <c r="P452" t="n">
        <v>0</v>
      </c>
      <c r="Q452" t="n">
        <v>0</v>
      </c>
      <c r="R452" s="2" t="inlineStr"/>
    </row>
    <row r="453" ht="15" customHeight="1">
      <c r="A453" t="inlineStr">
        <is>
          <t>A 39505-2023</t>
        </is>
      </c>
      <c r="B453" s="1" t="n">
        <v>45167</v>
      </c>
      <c r="C453" s="1" t="n">
        <v>45362</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39503-2023</t>
        </is>
      </c>
      <c r="B454" s="1" t="n">
        <v>45167</v>
      </c>
      <c r="C454" s="1" t="n">
        <v>45362</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40093-2023</t>
        </is>
      </c>
      <c r="B455" s="1" t="n">
        <v>45168</v>
      </c>
      <c r="C455" s="1" t="n">
        <v>45362</v>
      </c>
      <c r="D455" t="inlineStr">
        <is>
          <t>NORRBOTTENS LÄN</t>
        </is>
      </c>
      <c r="E455" t="inlineStr">
        <is>
          <t>JOKKMOKK</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45169</v>
      </c>
      <c r="C456" s="1" t="n">
        <v>45362</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41011-2023</t>
        </is>
      </c>
      <c r="B457" s="1" t="n">
        <v>45169</v>
      </c>
      <c r="C457" s="1" t="n">
        <v>45362</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40466-2023</t>
        </is>
      </c>
      <c r="B458" s="1" t="n">
        <v>45170</v>
      </c>
      <c r="C458" s="1" t="n">
        <v>45362</v>
      </c>
      <c r="D458" t="inlineStr">
        <is>
          <t>NORRBOTTENS LÄN</t>
        </is>
      </c>
      <c r="E458" t="inlineStr">
        <is>
          <t>JOKKMOKK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45362</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45362</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45362</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45362</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45362</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45362</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45362</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45362</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45362</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45362</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45362</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45362</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45362</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45362</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45362</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45362</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45362</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45362</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45362</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45362</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45362</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45362</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45362</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45362</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45362</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45362</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45362</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45362</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45362</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59849-2023</t>
        </is>
      </c>
      <c r="B488" s="1" t="n">
        <v>45257</v>
      </c>
      <c r="C488" s="1" t="n">
        <v>45362</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45362</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45362</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60193-2023</t>
        </is>
      </c>
      <c r="B491" s="1" t="n">
        <v>45258</v>
      </c>
      <c r="C491" s="1" t="n">
        <v>45362</v>
      </c>
      <c r="D491" t="inlineStr">
        <is>
          <t>NORRBOTTENS LÄN</t>
        </is>
      </c>
      <c r="E491" t="inlineStr">
        <is>
          <t>JOKKMOKK</t>
        </is>
      </c>
      <c r="F491" t="inlineStr">
        <is>
          <t>Allmännings- och besparingsskogar</t>
        </is>
      </c>
      <c r="G491" t="n">
        <v>11.1</v>
      </c>
      <c r="H491" t="n">
        <v>0</v>
      </c>
      <c r="I491" t="n">
        <v>0</v>
      </c>
      <c r="J491" t="n">
        <v>0</v>
      </c>
      <c r="K491" t="n">
        <v>0</v>
      </c>
      <c r="L491" t="n">
        <v>0</v>
      </c>
      <c r="M491" t="n">
        <v>0</v>
      </c>
      <c r="N491" t="n">
        <v>0</v>
      </c>
      <c r="O491" t="n">
        <v>0</v>
      </c>
      <c r="P491" t="n">
        <v>0</v>
      </c>
      <c r="Q491" t="n">
        <v>0</v>
      </c>
      <c r="R491" s="2" t="inlineStr"/>
    </row>
    <row r="492" ht="15" customHeight="1">
      <c r="A492" t="inlineStr">
        <is>
          <t>A 60215-2023</t>
        </is>
      </c>
      <c r="B492" s="1" t="n">
        <v>45258</v>
      </c>
      <c r="C492" s="1" t="n">
        <v>45362</v>
      </c>
      <c r="D492" t="inlineStr">
        <is>
          <t>NORRBOTTENS LÄN</t>
        </is>
      </c>
      <c r="E492" t="inlineStr">
        <is>
          <t>JOKKMOKK</t>
        </is>
      </c>
      <c r="F492" t="inlineStr">
        <is>
          <t>Allmännings- och besparingsskogar</t>
        </is>
      </c>
      <c r="G492" t="n">
        <v>7.8</v>
      </c>
      <c r="H492" t="n">
        <v>0</v>
      </c>
      <c r="I492" t="n">
        <v>0</v>
      </c>
      <c r="J492" t="n">
        <v>0</v>
      </c>
      <c r="K492" t="n">
        <v>0</v>
      </c>
      <c r="L492" t="n">
        <v>0</v>
      </c>
      <c r="M492" t="n">
        <v>0</v>
      </c>
      <c r="N492" t="n">
        <v>0</v>
      </c>
      <c r="O492" t="n">
        <v>0</v>
      </c>
      <c r="P492" t="n">
        <v>0</v>
      </c>
      <c r="Q492" t="n">
        <v>0</v>
      </c>
      <c r="R492" s="2" t="inlineStr"/>
    </row>
    <row r="493" ht="15" customHeight="1">
      <c r="A493" t="inlineStr">
        <is>
          <t>A 60242-2023</t>
        </is>
      </c>
      <c r="B493" s="1" t="n">
        <v>45258</v>
      </c>
      <c r="C493" s="1" t="n">
        <v>45362</v>
      </c>
      <c r="D493" t="inlineStr">
        <is>
          <t>NORRBOTTENS LÄN</t>
        </is>
      </c>
      <c r="E493" t="inlineStr">
        <is>
          <t>JOKKMOKK</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ht="15" customHeight="1">
      <c r="A494" t="inlineStr">
        <is>
          <t>A 60259-2023</t>
        </is>
      </c>
      <c r="B494" s="1" t="n">
        <v>45258</v>
      </c>
      <c r="C494" s="1" t="n">
        <v>45362</v>
      </c>
      <c r="D494" t="inlineStr">
        <is>
          <t>NORRBOTTENS LÄN</t>
        </is>
      </c>
      <c r="E494" t="inlineStr">
        <is>
          <t>JOKKMOKK</t>
        </is>
      </c>
      <c r="F494" t="inlineStr">
        <is>
          <t>Allmännings- och besparingsskogar</t>
        </is>
      </c>
      <c r="G494" t="n">
        <v>5.2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45362</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60201-2023</t>
        </is>
      </c>
      <c r="B496" s="1" t="n">
        <v>45258</v>
      </c>
      <c r="C496" s="1" t="n">
        <v>45362</v>
      </c>
      <c r="D496" t="inlineStr">
        <is>
          <t>NORRBOTTENS LÄN</t>
        </is>
      </c>
      <c r="E496" t="inlineStr">
        <is>
          <t>JOKKMOKK</t>
        </is>
      </c>
      <c r="F496" t="inlineStr">
        <is>
          <t>Allmännings- och besparingsskogar</t>
        </is>
      </c>
      <c r="G496" t="n">
        <v>22.8</v>
      </c>
      <c r="H496" t="n">
        <v>0</v>
      </c>
      <c r="I496" t="n">
        <v>0</v>
      </c>
      <c r="J496" t="n">
        <v>0</v>
      </c>
      <c r="K496" t="n">
        <v>0</v>
      </c>
      <c r="L496" t="n">
        <v>0</v>
      </c>
      <c r="M496" t="n">
        <v>0</v>
      </c>
      <c r="N496" t="n">
        <v>0</v>
      </c>
      <c r="O496" t="n">
        <v>0</v>
      </c>
      <c r="P496" t="n">
        <v>0</v>
      </c>
      <c r="Q496" t="n">
        <v>0</v>
      </c>
      <c r="R496" s="2" t="inlineStr"/>
    </row>
    <row r="497" ht="15" customHeight="1">
      <c r="A497" t="inlineStr">
        <is>
          <t>A 60251-2023</t>
        </is>
      </c>
      <c r="B497" s="1" t="n">
        <v>45258</v>
      </c>
      <c r="C497" s="1" t="n">
        <v>45362</v>
      </c>
      <c r="D497" t="inlineStr">
        <is>
          <t>NORRBOTTENS LÄN</t>
        </is>
      </c>
      <c r="E497" t="inlineStr">
        <is>
          <t>JOKKMOKK</t>
        </is>
      </c>
      <c r="F497" t="inlineStr">
        <is>
          <t>Allmännings- och besparingsskogar</t>
        </is>
      </c>
      <c r="G497" t="n">
        <v>12.9</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45362</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45362</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45362</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60406-2023</t>
        </is>
      </c>
      <c r="B501" s="1" t="n">
        <v>45259</v>
      </c>
      <c r="C501" s="1" t="n">
        <v>45362</v>
      </c>
      <c r="D501" t="inlineStr">
        <is>
          <t>NORRBOTTENS LÄN</t>
        </is>
      </c>
      <c r="E501" t="inlineStr">
        <is>
          <t>JOKKMOKK</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45362</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60376-2023</t>
        </is>
      </c>
      <c r="B503" s="1" t="n">
        <v>45259</v>
      </c>
      <c r="C503" s="1" t="n">
        <v>45362</v>
      </c>
      <c r="D503" t="inlineStr">
        <is>
          <t>NORRBOTTENS LÄN</t>
        </is>
      </c>
      <c r="E503" t="inlineStr">
        <is>
          <t>JOKKMOKK</t>
        </is>
      </c>
      <c r="F503" t="inlineStr">
        <is>
          <t>Allmännings- och besparingsskogar</t>
        </is>
      </c>
      <c r="G503" t="n">
        <v>13.3</v>
      </c>
      <c r="H503" t="n">
        <v>0</v>
      </c>
      <c r="I503" t="n">
        <v>0</v>
      </c>
      <c r="J503" t="n">
        <v>0</v>
      </c>
      <c r="K503" t="n">
        <v>0</v>
      </c>
      <c r="L503" t="n">
        <v>0</v>
      </c>
      <c r="M503" t="n">
        <v>0</v>
      </c>
      <c r="N503" t="n">
        <v>0</v>
      </c>
      <c r="O503" t="n">
        <v>0</v>
      </c>
      <c r="P503" t="n">
        <v>0</v>
      </c>
      <c r="Q503" t="n">
        <v>0</v>
      </c>
      <c r="R503" s="2" t="inlineStr"/>
    </row>
    <row r="504" ht="15" customHeight="1">
      <c r="A504" t="inlineStr">
        <is>
          <t>A 60418-2023</t>
        </is>
      </c>
      <c r="B504" s="1" t="n">
        <v>45259</v>
      </c>
      <c r="C504" s="1" t="n">
        <v>45362</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row r="505" ht="15" customHeight="1">
      <c r="A505" t="inlineStr">
        <is>
          <t>A 60408-2023</t>
        </is>
      </c>
      <c r="B505" s="1" t="n">
        <v>45259</v>
      </c>
      <c r="C505" s="1" t="n">
        <v>45362</v>
      </c>
      <c r="D505" t="inlineStr">
        <is>
          <t>NORRBOTTENS LÄN</t>
        </is>
      </c>
      <c r="E505" t="inlineStr">
        <is>
          <t>JOKKMOKK</t>
        </is>
      </c>
      <c r="F505" t="inlineStr">
        <is>
          <t>Allmännings- och besparingsskogar</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60383-2023</t>
        </is>
      </c>
      <c r="B506" s="1" t="n">
        <v>45259</v>
      </c>
      <c r="C506" s="1" t="n">
        <v>45362</v>
      </c>
      <c r="D506" t="inlineStr">
        <is>
          <t>NORRBOTTENS LÄN</t>
        </is>
      </c>
      <c r="E506" t="inlineStr">
        <is>
          <t>JOKKMOKK</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60374-2023</t>
        </is>
      </c>
      <c r="B507" s="1" t="n">
        <v>45259</v>
      </c>
      <c r="C507" s="1" t="n">
        <v>45362</v>
      </c>
      <c r="D507" t="inlineStr">
        <is>
          <t>NORRBOTTENS LÄN</t>
        </is>
      </c>
      <c r="E507" t="inlineStr">
        <is>
          <t>JOKKMOKK</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60370-2023</t>
        </is>
      </c>
      <c r="B508" s="1" t="n">
        <v>45259</v>
      </c>
      <c r="C508" s="1" t="n">
        <v>45362</v>
      </c>
      <c r="D508" t="inlineStr">
        <is>
          <t>NORRBOTTENS LÄN</t>
        </is>
      </c>
      <c r="E508" t="inlineStr">
        <is>
          <t>JOKKMOKK</t>
        </is>
      </c>
      <c r="F508" t="inlineStr">
        <is>
          <t>Sveaskog</t>
        </is>
      </c>
      <c r="G508" t="n">
        <v>11.9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45362</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45362</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45362</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45362</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45362</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45362</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296-2024</t>
        </is>
      </c>
      <c r="B515" s="1" t="n">
        <v>45294</v>
      </c>
      <c r="C515" s="1" t="n">
        <v>45362</v>
      </c>
      <c r="D515" t="inlineStr">
        <is>
          <t>NORRBOTTENS LÄN</t>
        </is>
      </c>
      <c r="E515" t="inlineStr">
        <is>
          <t>JOKKMOKK</t>
        </is>
      </c>
      <c r="G515" t="n">
        <v>2.6</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45362</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45362</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ht="15" customHeight="1">
      <c r="A518" t="inlineStr">
        <is>
          <t>A 4136-2024</t>
        </is>
      </c>
      <c r="B518" s="1" t="n">
        <v>45323</v>
      </c>
      <c r="C518" s="1" t="n">
        <v>45362</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row r="519" ht="15" customHeight="1">
      <c r="A519" t="inlineStr">
        <is>
          <t>A 7715-2024</t>
        </is>
      </c>
      <c r="B519" s="1" t="n">
        <v>45349</v>
      </c>
      <c r="C519" s="1" t="n">
        <v>45362</v>
      </c>
      <c r="D519" t="inlineStr">
        <is>
          <t>NORRBOTTENS LÄN</t>
        </is>
      </c>
      <c r="E519" t="inlineStr">
        <is>
          <t>JOKKMOKK</t>
        </is>
      </c>
      <c r="G519" t="n">
        <v>4.2</v>
      </c>
      <c r="H519" t="n">
        <v>0</v>
      </c>
      <c r="I519" t="n">
        <v>0</v>
      </c>
      <c r="J519" t="n">
        <v>0</v>
      </c>
      <c r="K519" t="n">
        <v>0</v>
      </c>
      <c r="L519" t="n">
        <v>0</v>
      </c>
      <c r="M519" t="n">
        <v>0</v>
      </c>
      <c r="N519" t="n">
        <v>0</v>
      </c>
      <c r="O519" t="n">
        <v>0</v>
      </c>
      <c r="P519" t="n">
        <v>0</v>
      </c>
      <c r="Q519" t="n">
        <v>0</v>
      </c>
      <c r="R519" s="2" t="inlineStr"/>
    </row>
    <row r="520" ht="15" customHeight="1">
      <c r="A520" t="inlineStr">
        <is>
          <t>A 7845-2024</t>
        </is>
      </c>
      <c r="B520" s="1" t="n">
        <v>45349</v>
      </c>
      <c r="C520" s="1" t="n">
        <v>45362</v>
      </c>
      <c r="D520" t="inlineStr">
        <is>
          <t>NORRBOTTENS LÄN</t>
        </is>
      </c>
      <c r="E520" t="inlineStr">
        <is>
          <t>JOKKMOKK</t>
        </is>
      </c>
      <c r="G520" t="n">
        <v>3</v>
      </c>
      <c r="H520" t="n">
        <v>0</v>
      </c>
      <c r="I520" t="n">
        <v>0</v>
      </c>
      <c r="J520" t="n">
        <v>0</v>
      </c>
      <c r="K520" t="n">
        <v>0</v>
      </c>
      <c r="L520" t="n">
        <v>0</v>
      </c>
      <c r="M520" t="n">
        <v>0</v>
      </c>
      <c r="N520" t="n">
        <v>0</v>
      </c>
      <c r="O520" t="n">
        <v>0</v>
      </c>
      <c r="P520" t="n">
        <v>0</v>
      </c>
      <c r="Q520" t="n">
        <v>0</v>
      </c>
      <c r="R520" s="2" t="inlineStr"/>
    </row>
    <row r="521" ht="15" customHeight="1">
      <c r="A521" t="inlineStr">
        <is>
          <t>A 8073-2024</t>
        </is>
      </c>
      <c r="B521" s="1" t="n">
        <v>45351</v>
      </c>
      <c r="C521" s="1" t="n">
        <v>45362</v>
      </c>
      <c r="D521" t="inlineStr">
        <is>
          <t>NORRBOTTENS LÄN</t>
        </is>
      </c>
      <c r="E521" t="inlineStr">
        <is>
          <t>JOKKMOKK</t>
        </is>
      </c>
      <c r="G521" t="n">
        <v>15.6</v>
      </c>
      <c r="H521" t="n">
        <v>0</v>
      </c>
      <c r="I521" t="n">
        <v>0</v>
      </c>
      <c r="J521" t="n">
        <v>0</v>
      </c>
      <c r="K521" t="n">
        <v>0</v>
      </c>
      <c r="L521" t="n">
        <v>0</v>
      </c>
      <c r="M521" t="n">
        <v>0</v>
      </c>
      <c r="N521" t="n">
        <v>0</v>
      </c>
      <c r="O521" t="n">
        <v>0</v>
      </c>
      <c r="P521" t="n">
        <v>0</v>
      </c>
      <c r="Q521" t="n">
        <v>0</v>
      </c>
      <c r="R521" s="2" t="inlineStr"/>
    </row>
    <row r="522">
      <c r="A522" t="inlineStr">
        <is>
          <t>A 8634-2024</t>
        </is>
      </c>
      <c r="B522" s="1" t="n">
        <v>45356</v>
      </c>
      <c r="C522" s="1" t="n">
        <v>45362</v>
      </c>
      <c r="D522" t="inlineStr">
        <is>
          <t>NORRBOTTENS LÄN</t>
        </is>
      </c>
      <c r="E522" t="inlineStr">
        <is>
          <t>JOKKMOKK</t>
        </is>
      </c>
      <c r="G522" t="n">
        <v>17.1</v>
      </c>
      <c r="H522" t="n">
        <v>0</v>
      </c>
      <c r="I522" t="n">
        <v>0</v>
      </c>
      <c r="J522" t="n">
        <v>0</v>
      </c>
      <c r="K522" t="n">
        <v>0</v>
      </c>
      <c r="L522" t="n">
        <v>0</v>
      </c>
      <c r="M522" t="n">
        <v>0</v>
      </c>
      <c r="N522" t="n">
        <v>0</v>
      </c>
      <c r="O522" t="n">
        <v>0</v>
      </c>
      <c r="P522" t="n">
        <v>0</v>
      </c>
      <c r="Q522" t="n">
        <v>0</v>
      </c>
      <c r="R5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2024-03-11T13:50:43Z</dcterms:created>
  <dcterms:modified xmlns:dcterms="http://purl.org/dc/terms/" xmlns:xsi="http://www.w3.org/2001/XMLSchema-instance" xsi:type="dcterms:W3CDTF">2024-03-11T13:50:44Z</dcterms:modified>
</cp:coreProperties>
</file>