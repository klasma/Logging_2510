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45969</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45969</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45969</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45969</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45969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45969</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45969</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45969</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45969</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45969</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45969</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45969</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45969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45969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45969</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45969</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45969</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45969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26837-2025</t>
        </is>
      </c>
      <c r="B27" s="1" t="n">
        <v>45810</v>
      </c>
      <c r="C27" s="1" t="n">
        <v>45969</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45969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45969</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45969</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45969</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45969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45969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45969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45969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45969</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45969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45969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45969</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45969</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45969</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45969</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45969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45969</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45969</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45969</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50237-2022</t>
        </is>
      </c>
      <c r="B48" s="1" t="n">
        <v>44865</v>
      </c>
      <c r="C48" s="1" t="n">
        <v>45969</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45969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45969</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29679-2024</t>
        </is>
      </c>
      <c r="B51" s="1" t="n">
        <v>45484</v>
      </c>
      <c r="C51" s="1" t="n">
        <v>45969</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45969</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45969</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72480-2021</t>
        </is>
      </c>
      <c r="B54" s="1" t="n">
        <v>44545</v>
      </c>
      <c r="C54" s="1" t="n">
        <v>45969</v>
      </c>
      <c r="D54" t="inlineStr">
        <is>
          <t>NORRBOTTENS LÄN</t>
        </is>
      </c>
      <c r="E54" t="inlineStr">
        <is>
          <t>JOKKMOKK</t>
        </is>
      </c>
      <c r="G54" t="n">
        <v>8.800000000000001</v>
      </c>
      <c r="H54" t="n">
        <v>0</v>
      </c>
      <c r="I54" t="n">
        <v>0</v>
      </c>
      <c r="J54" t="n">
        <v>1</v>
      </c>
      <c r="K54" t="n">
        <v>0</v>
      </c>
      <c r="L54" t="n">
        <v>0</v>
      </c>
      <c r="M54" t="n">
        <v>0</v>
      </c>
      <c r="N54" t="n">
        <v>0</v>
      </c>
      <c r="O54" t="n">
        <v>1</v>
      </c>
      <c r="P54" t="n">
        <v>0</v>
      </c>
      <c r="Q54" t="n">
        <v>1</v>
      </c>
      <c r="R54" s="2" t="inlineStr">
        <is>
          <t>Dvärgbägarlav</t>
        </is>
      </c>
      <c r="S54">
        <f>HYPERLINK("https://klasma.github.io/Logging_2510/artfynd/A 72480-2021 artfynd.xlsx", "A 72480-2021")</f>
        <v/>
      </c>
      <c r="T54">
        <f>HYPERLINK("https://klasma.github.io/Logging_2510/kartor/A 72480-2021 karta.png", "A 72480-2021")</f>
        <v/>
      </c>
      <c r="V54">
        <f>HYPERLINK("https://klasma.github.io/Logging_2510/klagomål/A 72480-2021 FSC-klagomål.docx", "A 72480-2021")</f>
        <v/>
      </c>
      <c r="W54">
        <f>HYPERLINK("https://klasma.github.io/Logging_2510/klagomålsmail/A 72480-2021 FSC-klagomål mail.docx", "A 72480-2021")</f>
        <v/>
      </c>
      <c r="X54">
        <f>HYPERLINK("https://klasma.github.io/Logging_2510/tillsyn/A 72480-2021 tillsynsbegäran.docx", "A 72480-2021")</f>
        <v/>
      </c>
      <c r="Y54">
        <f>HYPERLINK("https://klasma.github.io/Logging_2510/tillsynsmail/A 72480-2021 tillsynsbegäran mail.docx", "A 72480-2021")</f>
        <v/>
      </c>
    </row>
    <row r="55" ht="15" customHeight="1">
      <c r="A55" t="inlineStr">
        <is>
          <t>A 49525-2024</t>
        </is>
      </c>
      <c r="B55" s="1" t="n">
        <v>45596</v>
      </c>
      <c r="C55" s="1" t="n">
        <v>45969</v>
      </c>
      <c r="D55" t="inlineStr">
        <is>
          <t>NORRBOTTENS LÄN</t>
        </is>
      </c>
      <c r="E55" t="inlineStr">
        <is>
          <t>JOKKMOKK</t>
        </is>
      </c>
      <c r="F55" t="inlineStr">
        <is>
          <t>SCA</t>
        </is>
      </c>
      <c r="G55" t="n">
        <v>2.5</v>
      </c>
      <c r="H55" t="n">
        <v>0</v>
      </c>
      <c r="I55" t="n">
        <v>0</v>
      </c>
      <c r="J55" t="n">
        <v>0</v>
      </c>
      <c r="K55" t="n">
        <v>1</v>
      </c>
      <c r="L55" t="n">
        <v>0</v>
      </c>
      <c r="M55" t="n">
        <v>0</v>
      </c>
      <c r="N55" t="n">
        <v>0</v>
      </c>
      <c r="O55" t="n">
        <v>1</v>
      </c>
      <c r="P55" t="n">
        <v>1</v>
      </c>
      <c r="Q55" t="n">
        <v>1</v>
      </c>
      <c r="R55" s="2" t="inlineStr">
        <is>
          <t>Ringlav</t>
        </is>
      </c>
      <c r="S55">
        <f>HYPERLINK("https://klasma.github.io/Logging_2510/artfynd/A 49525-2024 artfynd.xlsx", "A 49525-2024")</f>
        <v/>
      </c>
      <c r="T55">
        <f>HYPERLINK("https://klasma.github.io/Logging_2510/kartor/A 49525-2024 karta.png", "A 49525-2024")</f>
        <v/>
      </c>
      <c r="V55">
        <f>HYPERLINK("https://klasma.github.io/Logging_2510/klagomål/A 49525-2024 FSC-klagomål.docx", "A 49525-2024")</f>
        <v/>
      </c>
      <c r="W55">
        <f>HYPERLINK("https://klasma.github.io/Logging_2510/klagomålsmail/A 49525-2024 FSC-klagomål mail.docx", "A 49525-2024")</f>
        <v/>
      </c>
      <c r="X55">
        <f>HYPERLINK("https://klasma.github.io/Logging_2510/tillsyn/A 49525-2024 tillsynsbegäran.docx", "A 49525-2024")</f>
        <v/>
      </c>
      <c r="Y55">
        <f>HYPERLINK("https://klasma.github.io/Logging_2510/tillsynsmail/A 49525-2024 tillsynsbegäran mail.docx", "A 49525-2024")</f>
        <v/>
      </c>
    </row>
    <row r="56" ht="15" customHeight="1">
      <c r="A56" t="inlineStr">
        <is>
          <t>A 2031-2025</t>
        </is>
      </c>
      <c r="B56" s="1" t="n">
        <v>45672</v>
      </c>
      <c r="C56" s="1" t="n">
        <v>45969</v>
      </c>
      <c r="D56" t="inlineStr">
        <is>
          <t>NORRBOTTENS LÄN</t>
        </is>
      </c>
      <c r="E56" t="inlineStr">
        <is>
          <t>JOKKMOKK</t>
        </is>
      </c>
      <c r="F56" t="inlineStr">
        <is>
          <t>Övriga statliga verk och myndigheter</t>
        </is>
      </c>
      <c r="G56" t="n">
        <v>7.5</v>
      </c>
      <c r="H56" t="n">
        <v>0</v>
      </c>
      <c r="I56" t="n">
        <v>0</v>
      </c>
      <c r="J56" t="n">
        <v>1</v>
      </c>
      <c r="K56" t="n">
        <v>0</v>
      </c>
      <c r="L56" t="n">
        <v>0</v>
      </c>
      <c r="M56" t="n">
        <v>0</v>
      </c>
      <c r="N56" t="n">
        <v>0</v>
      </c>
      <c r="O56" t="n">
        <v>1</v>
      </c>
      <c r="P56" t="n">
        <v>0</v>
      </c>
      <c r="Q56" t="n">
        <v>1</v>
      </c>
      <c r="R56" s="2" t="inlineStr">
        <is>
          <t>Vitplätt</t>
        </is>
      </c>
      <c r="S56">
        <f>HYPERLINK("https://klasma.github.io/Logging_2510/artfynd/A 2031-2025 artfynd.xlsx", "A 2031-2025")</f>
        <v/>
      </c>
      <c r="T56">
        <f>HYPERLINK("https://klasma.github.io/Logging_2510/kartor/A 2031-2025 karta.png", "A 2031-2025")</f>
        <v/>
      </c>
      <c r="V56">
        <f>HYPERLINK("https://klasma.github.io/Logging_2510/klagomål/A 2031-2025 FSC-klagomål.docx", "A 2031-2025")</f>
        <v/>
      </c>
      <c r="W56">
        <f>HYPERLINK("https://klasma.github.io/Logging_2510/klagomålsmail/A 2031-2025 FSC-klagomål mail.docx", "A 2031-2025")</f>
        <v/>
      </c>
      <c r="X56">
        <f>HYPERLINK("https://klasma.github.io/Logging_2510/tillsyn/A 2031-2025 tillsynsbegäran.docx", "A 2031-2025")</f>
        <v/>
      </c>
      <c r="Y56">
        <f>HYPERLINK("https://klasma.github.io/Logging_2510/tillsynsmail/A 2031-2025 tillsynsbegäran mail.docx", "A 2031-2025")</f>
        <v/>
      </c>
    </row>
    <row r="57" ht="15" customHeight="1">
      <c r="A57" t="inlineStr">
        <is>
          <t>A 43023-2024</t>
        </is>
      </c>
      <c r="B57" s="1" t="n">
        <v>45567</v>
      </c>
      <c r="C57" s="1" t="n">
        <v>45969</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45969</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40466-2023</t>
        </is>
      </c>
      <c r="B59" s="1" t="n">
        <v>45170</v>
      </c>
      <c r="C59" s="1" t="n">
        <v>45969</v>
      </c>
      <c r="D59" t="inlineStr">
        <is>
          <t>NORRBOTTENS LÄN</t>
        </is>
      </c>
      <c r="E59" t="inlineStr">
        <is>
          <t>JOKKMOKK</t>
        </is>
      </c>
      <c r="F59" t="inlineStr">
        <is>
          <t>Sveaskog</t>
        </is>
      </c>
      <c r="G59" t="n">
        <v>1.5</v>
      </c>
      <c r="H59" t="n">
        <v>0</v>
      </c>
      <c r="I59" t="n">
        <v>0</v>
      </c>
      <c r="J59" t="n">
        <v>1</v>
      </c>
      <c r="K59" t="n">
        <v>0</v>
      </c>
      <c r="L59" t="n">
        <v>0</v>
      </c>
      <c r="M59" t="n">
        <v>0</v>
      </c>
      <c r="N59" t="n">
        <v>0</v>
      </c>
      <c r="O59" t="n">
        <v>1</v>
      </c>
      <c r="P59" t="n">
        <v>0</v>
      </c>
      <c r="Q59" t="n">
        <v>1</v>
      </c>
      <c r="R59" s="2" t="inlineStr">
        <is>
          <t>Motaggsvamp</t>
        </is>
      </c>
      <c r="S59">
        <f>HYPERLINK("https://klasma.github.io/Logging_2510/artfynd/A 40466-2023 artfynd.xlsx", "A 40466-2023")</f>
        <v/>
      </c>
      <c r="T59">
        <f>HYPERLINK("https://klasma.github.io/Logging_2510/kartor/A 40466-2023 karta.png", "A 40466-2023")</f>
        <v/>
      </c>
      <c r="V59">
        <f>HYPERLINK("https://klasma.github.io/Logging_2510/klagomål/A 40466-2023 FSC-klagomål.docx", "A 40466-2023")</f>
        <v/>
      </c>
      <c r="W59">
        <f>HYPERLINK("https://klasma.github.io/Logging_2510/klagomålsmail/A 40466-2023 FSC-klagomål mail.docx", "A 40466-2023")</f>
        <v/>
      </c>
      <c r="X59">
        <f>HYPERLINK("https://klasma.github.io/Logging_2510/tillsyn/A 40466-2023 tillsynsbegäran.docx", "A 40466-2023")</f>
        <v/>
      </c>
      <c r="Y59">
        <f>HYPERLINK("https://klasma.github.io/Logging_2510/tillsynsmail/A 40466-2023 tillsynsbegäran mail.docx", "A 40466-2023")</f>
        <v/>
      </c>
    </row>
    <row r="60" ht="15" customHeight="1">
      <c r="A60" t="inlineStr">
        <is>
          <t>A 39850-2025</t>
        </is>
      </c>
      <c r="B60" s="1" t="n">
        <v>45891.58591435185</v>
      </c>
      <c r="C60" s="1" t="n">
        <v>45969</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50121-2024</t>
        </is>
      </c>
      <c r="B61" s="1" t="n">
        <v>45600.42096064815</v>
      </c>
      <c r="C61" s="1" t="n">
        <v>45969</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45969</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45969</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32982-2023</t>
        </is>
      </c>
      <c r="B64" s="1" t="n">
        <v>45113</v>
      </c>
      <c r="C64" s="1" t="n">
        <v>45969</v>
      </c>
      <c r="D64" t="inlineStr">
        <is>
          <t>NORRBOTTENS LÄN</t>
        </is>
      </c>
      <c r="E64" t="inlineStr">
        <is>
          <t>JOKKMOKK</t>
        </is>
      </c>
      <c r="F64" t="inlineStr">
        <is>
          <t>Övriga statliga verk och myndigheter</t>
        </is>
      </c>
      <c r="G64" t="n">
        <v>21</v>
      </c>
      <c r="H64" t="n">
        <v>0</v>
      </c>
      <c r="I64" t="n">
        <v>0</v>
      </c>
      <c r="J64" t="n">
        <v>1</v>
      </c>
      <c r="K64" t="n">
        <v>0</v>
      </c>
      <c r="L64" t="n">
        <v>0</v>
      </c>
      <c r="M64" t="n">
        <v>0</v>
      </c>
      <c r="N64" t="n">
        <v>0</v>
      </c>
      <c r="O64" t="n">
        <v>1</v>
      </c>
      <c r="P64" t="n">
        <v>0</v>
      </c>
      <c r="Q64" t="n">
        <v>1</v>
      </c>
      <c r="R64" s="2" t="inlineStr">
        <is>
          <t>Vitplätt</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50391-2025</t>
        </is>
      </c>
      <c r="B65" s="1" t="n">
        <v>45944.61743055555</v>
      </c>
      <c r="C65" s="1" t="n">
        <v>45969</v>
      </c>
      <c r="D65" t="inlineStr">
        <is>
          <t>NORRBOTTENS LÄN</t>
        </is>
      </c>
      <c r="E65" t="inlineStr">
        <is>
          <t>JOKKMOKK</t>
        </is>
      </c>
      <c r="F65" t="inlineStr">
        <is>
          <t>Sveaskog</t>
        </is>
      </c>
      <c r="G65" t="n">
        <v>7.6</v>
      </c>
      <c r="H65" t="n">
        <v>1</v>
      </c>
      <c r="I65" t="n">
        <v>1</v>
      </c>
      <c r="J65" t="n">
        <v>0</v>
      </c>
      <c r="K65" t="n">
        <v>0</v>
      </c>
      <c r="L65" t="n">
        <v>0</v>
      </c>
      <c r="M65" t="n">
        <v>0</v>
      </c>
      <c r="N65" t="n">
        <v>0</v>
      </c>
      <c r="O65" t="n">
        <v>0</v>
      </c>
      <c r="P65" t="n">
        <v>0</v>
      </c>
      <c r="Q65" t="n">
        <v>1</v>
      </c>
      <c r="R65" s="2" t="inlineStr">
        <is>
          <t>Plattlummer</t>
        </is>
      </c>
      <c r="S65">
        <f>HYPERLINK("https://klasma.github.io/Logging_2510/artfynd/A 50391-2025 artfynd.xlsx", "A 50391-2025")</f>
        <v/>
      </c>
      <c r="T65">
        <f>HYPERLINK("https://klasma.github.io/Logging_2510/kartor/A 50391-2025 karta.png", "A 50391-2025")</f>
        <v/>
      </c>
      <c r="V65">
        <f>HYPERLINK("https://klasma.github.io/Logging_2510/klagomål/A 50391-2025 FSC-klagomål.docx", "A 50391-2025")</f>
        <v/>
      </c>
      <c r="W65">
        <f>HYPERLINK("https://klasma.github.io/Logging_2510/klagomålsmail/A 50391-2025 FSC-klagomål mail.docx", "A 50391-2025")</f>
        <v/>
      </c>
      <c r="X65">
        <f>HYPERLINK("https://klasma.github.io/Logging_2510/tillsyn/A 50391-2025 tillsynsbegäran.docx", "A 50391-2025")</f>
        <v/>
      </c>
      <c r="Y65">
        <f>HYPERLINK("https://klasma.github.io/Logging_2510/tillsynsmail/A 50391-2025 tillsynsbegäran mail.docx", "A 50391-2025")</f>
        <v/>
      </c>
    </row>
    <row r="66" ht="15" customHeight="1">
      <c r="A66" t="inlineStr">
        <is>
          <t>A 29859-2025</t>
        </is>
      </c>
      <c r="B66" s="1" t="n">
        <v>45826.34621527778</v>
      </c>
      <c r="C66" s="1" t="n">
        <v>45969</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44234-2025</t>
        </is>
      </c>
      <c r="B67" s="1" t="n">
        <v>45915.65525462963</v>
      </c>
      <c r="C67" s="1" t="n">
        <v>45969</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32669-2025</t>
        </is>
      </c>
      <c r="B68" s="1" t="n">
        <v>45838.69793981482</v>
      </c>
      <c r="C68" s="1" t="n">
        <v>45969</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44828-2025</t>
        </is>
      </c>
      <c r="B69" s="1" t="n">
        <v>45918.38981481481</v>
      </c>
      <c r="C69" s="1" t="n">
        <v>45969</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44147-2024</t>
        </is>
      </c>
      <c r="B70" s="1" t="n">
        <v>45572.67306712963</v>
      </c>
      <c r="C70" s="1" t="n">
        <v>45969</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45969</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53035-2025</t>
        </is>
      </c>
      <c r="B72" s="1" t="n">
        <v>45958.34751157407</v>
      </c>
      <c r="C72" s="1" t="n">
        <v>45969</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45201-2025</t>
        </is>
      </c>
      <c r="B73" s="1" t="n">
        <v>45919.56230324074</v>
      </c>
      <c r="C73" s="1" t="n">
        <v>45969</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42834-2025</t>
        </is>
      </c>
      <c r="B74" s="1" t="n">
        <v>45908</v>
      </c>
      <c r="C74" s="1" t="n">
        <v>45969</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37252-2025</t>
        </is>
      </c>
      <c r="B75" s="1" t="n">
        <v>45876.4228125</v>
      </c>
      <c r="C75" s="1" t="n">
        <v>45969</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38039-2021</t>
        </is>
      </c>
      <c r="B76" s="1" t="n">
        <v>44404</v>
      </c>
      <c r="C76" s="1" t="n">
        <v>45969</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45969</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45969</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45969</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45969</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45969</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45969</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45969</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45969</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45969</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45969</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45969</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45969</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45969</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45969</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45969</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45969</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45969</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45969</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45969</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45969</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45969</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45969</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45969</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45969</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45969</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45969</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45969</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45969</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45969</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45969</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45969</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3771-2022</t>
        </is>
      </c>
      <c r="B108" s="1" t="n">
        <v>44586</v>
      </c>
      <c r="C108" s="1" t="n">
        <v>45969</v>
      </c>
      <c r="D108" t="inlineStr">
        <is>
          <t>NORRBOTTENS LÄN</t>
        </is>
      </c>
      <c r="E108" t="inlineStr">
        <is>
          <t>JOKKMOKK</t>
        </is>
      </c>
      <c r="F108" t="inlineStr">
        <is>
          <t>SCA</t>
        </is>
      </c>
      <c r="G108" t="n">
        <v>10</v>
      </c>
      <c r="H108" t="n">
        <v>0</v>
      </c>
      <c r="I108" t="n">
        <v>0</v>
      </c>
      <c r="J108" t="n">
        <v>0</v>
      </c>
      <c r="K108" t="n">
        <v>0</v>
      </c>
      <c r="L108" t="n">
        <v>0</v>
      </c>
      <c r="M108" t="n">
        <v>0</v>
      </c>
      <c r="N108" t="n">
        <v>0</v>
      </c>
      <c r="O108" t="n">
        <v>0</v>
      </c>
      <c r="P108" t="n">
        <v>0</v>
      </c>
      <c r="Q108" t="n">
        <v>0</v>
      </c>
      <c r="R108" s="2" t="inlineStr"/>
    </row>
    <row r="109" ht="15" customHeight="1">
      <c r="A109" t="inlineStr">
        <is>
          <t>A 8360-2021</t>
        </is>
      </c>
      <c r="B109" s="1" t="n">
        <v>44244</v>
      </c>
      <c r="C109" s="1" t="n">
        <v>45969</v>
      </c>
      <c r="D109" t="inlineStr">
        <is>
          <t>NORRBOTTENS LÄN</t>
        </is>
      </c>
      <c r="E109" t="inlineStr">
        <is>
          <t>JOKKMOKK</t>
        </is>
      </c>
      <c r="F109" t="inlineStr">
        <is>
          <t>SCA</t>
        </is>
      </c>
      <c r="G109" t="n">
        <v>5</v>
      </c>
      <c r="H109" t="n">
        <v>0</v>
      </c>
      <c r="I109" t="n">
        <v>0</v>
      </c>
      <c r="J109" t="n">
        <v>0</v>
      </c>
      <c r="K109" t="n">
        <v>0</v>
      </c>
      <c r="L109" t="n">
        <v>0</v>
      </c>
      <c r="M109" t="n">
        <v>0</v>
      </c>
      <c r="N109" t="n">
        <v>0</v>
      </c>
      <c r="O109" t="n">
        <v>0</v>
      </c>
      <c r="P109" t="n">
        <v>0</v>
      </c>
      <c r="Q109" t="n">
        <v>0</v>
      </c>
      <c r="R109" s="2" t="inlineStr"/>
    </row>
    <row r="110" ht="15" customHeight="1">
      <c r="A110" t="inlineStr">
        <is>
          <t>A 69883-2021</t>
        </is>
      </c>
      <c r="B110" s="1" t="n">
        <v>44532</v>
      </c>
      <c r="C110" s="1" t="n">
        <v>45969</v>
      </c>
      <c r="D110" t="inlineStr">
        <is>
          <t>NORRBOTTENS LÄN</t>
        </is>
      </c>
      <c r="E110" t="inlineStr">
        <is>
          <t>JOKKMOKK</t>
        </is>
      </c>
      <c r="G110" t="n">
        <v>12.5</v>
      </c>
      <c r="H110" t="n">
        <v>0</v>
      </c>
      <c r="I110" t="n">
        <v>0</v>
      </c>
      <c r="J110" t="n">
        <v>0</v>
      </c>
      <c r="K110" t="n">
        <v>0</v>
      </c>
      <c r="L110" t="n">
        <v>0</v>
      </c>
      <c r="M110" t="n">
        <v>0</v>
      </c>
      <c r="N110" t="n">
        <v>0</v>
      </c>
      <c r="O110" t="n">
        <v>0</v>
      </c>
      <c r="P110" t="n">
        <v>0</v>
      </c>
      <c r="Q110" t="n">
        <v>0</v>
      </c>
      <c r="R110" s="2" t="inlineStr"/>
    </row>
    <row r="111" ht="15" customHeight="1">
      <c r="A111" t="inlineStr">
        <is>
          <t>A 1631-2022</t>
        </is>
      </c>
      <c r="B111" s="1" t="n">
        <v>44573</v>
      </c>
      <c r="C111" s="1" t="n">
        <v>45969</v>
      </c>
      <c r="D111" t="inlineStr">
        <is>
          <t>NORRBOTTENS LÄN</t>
        </is>
      </c>
      <c r="E111" t="inlineStr">
        <is>
          <t>JOKKMOKK</t>
        </is>
      </c>
      <c r="F111" t="inlineStr">
        <is>
          <t>SCA</t>
        </is>
      </c>
      <c r="G111" t="n">
        <v>7.1</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45969</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51220-2022</t>
        </is>
      </c>
      <c r="B113" s="1" t="n">
        <v>44868</v>
      </c>
      <c r="C113" s="1" t="n">
        <v>45969</v>
      </c>
      <c r="D113" t="inlineStr">
        <is>
          <t>NORRBOTTENS LÄN</t>
        </is>
      </c>
      <c r="E113" t="inlineStr">
        <is>
          <t>JOKKMOKK</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45969</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40129-2022</t>
        </is>
      </c>
      <c r="B115" s="1" t="n">
        <v>44820</v>
      </c>
      <c r="C115" s="1" t="n">
        <v>45969</v>
      </c>
      <c r="D115" t="inlineStr">
        <is>
          <t>NORRBOTTENS LÄN</t>
        </is>
      </c>
      <c r="E115" t="inlineStr">
        <is>
          <t>JOKKMOKK</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26131-2023</t>
        </is>
      </c>
      <c r="B116" s="1" t="n">
        <v>45086</v>
      </c>
      <c r="C116" s="1" t="n">
        <v>45969</v>
      </c>
      <c r="D116" t="inlineStr">
        <is>
          <t>NORRBOTTENS LÄN</t>
        </is>
      </c>
      <c r="E116" t="inlineStr">
        <is>
          <t>JOKKMOKK</t>
        </is>
      </c>
      <c r="G116" t="n">
        <v>35.6</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45969</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45969</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45969</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71370-2021</t>
        </is>
      </c>
      <c r="B120" s="1" t="n">
        <v>44539</v>
      </c>
      <c r="C120" s="1" t="n">
        <v>45969</v>
      </c>
      <c r="D120" t="inlineStr">
        <is>
          <t>NORRBOTTENS LÄN</t>
        </is>
      </c>
      <c r="E120" t="inlineStr">
        <is>
          <t>JOKKMOKK</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45969</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45969</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45969</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45969</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453-2025</t>
        </is>
      </c>
      <c r="B125" s="1" t="n">
        <v>45664.4005787037</v>
      </c>
      <c r="C125" s="1" t="n">
        <v>45969</v>
      </c>
      <c r="D125" t="inlineStr">
        <is>
          <t>NORRBOTTENS LÄN</t>
        </is>
      </c>
      <c r="E125" t="inlineStr">
        <is>
          <t>JOKKMOKK</t>
        </is>
      </c>
      <c r="F125" t="inlineStr">
        <is>
          <t>Övriga statliga verk och myndigheter</t>
        </is>
      </c>
      <c r="G125" t="n">
        <v>5</v>
      </c>
      <c r="H125" t="n">
        <v>0</v>
      </c>
      <c r="I125" t="n">
        <v>0</v>
      </c>
      <c r="J125" t="n">
        <v>0</v>
      </c>
      <c r="K125" t="n">
        <v>0</v>
      </c>
      <c r="L125" t="n">
        <v>0</v>
      </c>
      <c r="M125" t="n">
        <v>0</v>
      </c>
      <c r="N125" t="n">
        <v>0</v>
      </c>
      <c r="O125" t="n">
        <v>0</v>
      </c>
      <c r="P125" t="n">
        <v>0</v>
      </c>
      <c r="Q125" t="n">
        <v>0</v>
      </c>
      <c r="R125" s="2" t="inlineStr"/>
    </row>
    <row r="126" ht="15" customHeight="1">
      <c r="A126" t="inlineStr">
        <is>
          <t>A 56523-2021</t>
        </is>
      </c>
      <c r="B126" s="1" t="n">
        <v>44477</v>
      </c>
      <c r="C126" s="1" t="n">
        <v>45969</v>
      </c>
      <c r="D126" t="inlineStr">
        <is>
          <t>NORRBOTTENS LÄN</t>
        </is>
      </c>
      <c r="E126" t="inlineStr">
        <is>
          <t>JOKKMOKK</t>
        </is>
      </c>
      <c r="G126" t="n">
        <v>6.6</v>
      </c>
      <c r="H126" t="n">
        <v>0</v>
      </c>
      <c r="I126" t="n">
        <v>0</v>
      </c>
      <c r="J126" t="n">
        <v>0</v>
      </c>
      <c r="K126" t="n">
        <v>0</v>
      </c>
      <c r="L126" t="n">
        <v>0</v>
      </c>
      <c r="M126" t="n">
        <v>0</v>
      </c>
      <c r="N126" t="n">
        <v>0</v>
      </c>
      <c r="O126" t="n">
        <v>0</v>
      </c>
      <c r="P126" t="n">
        <v>0</v>
      </c>
      <c r="Q126" t="n">
        <v>0</v>
      </c>
      <c r="R126" s="2" t="inlineStr"/>
    </row>
    <row r="127" ht="15" customHeight="1">
      <c r="A127" t="inlineStr">
        <is>
          <t>A 71927-2021</t>
        </is>
      </c>
      <c r="B127" s="1" t="n">
        <v>44543.94331018518</v>
      </c>
      <c r="C127" s="1" t="n">
        <v>45969</v>
      </c>
      <c r="D127" t="inlineStr">
        <is>
          <t>NORRBOTTENS LÄN</t>
        </is>
      </c>
      <c r="E127" t="inlineStr">
        <is>
          <t>JOKKMOKK</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71937-2021</t>
        </is>
      </c>
      <c r="B128" s="1" t="n">
        <v>44543.94414351852</v>
      </c>
      <c r="C128" s="1" t="n">
        <v>45969</v>
      </c>
      <c r="D128" t="inlineStr">
        <is>
          <t>NORRBOTTENS LÄN</t>
        </is>
      </c>
      <c r="E128" t="inlineStr">
        <is>
          <t>JOKKMOKK</t>
        </is>
      </c>
      <c r="F128" t="inlineStr">
        <is>
          <t>Naturvårdsverket</t>
        </is>
      </c>
      <c r="G128" t="n">
        <v>11</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45969</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30511-2023</t>
        </is>
      </c>
      <c r="B130" s="1" t="n">
        <v>45111</v>
      </c>
      <c r="C130" s="1" t="n">
        <v>45969</v>
      </c>
      <c r="D130" t="inlineStr">
        <is>
          <t>NORRBOTTENS LÄN</t>
        </is>
      </c>
      <c r="E130" t="inlineStr">
        <is>
          <t>JOKKMOKK</t>
        </is>
      </c>
      <c r="G130" t="n">
        <v>0.9</v>
      </c>
      <c r="H130" t="n">
        <v>0</v>
      </c>
      <c r="I130" t="n">
        <v>0</v>
      </c>
      <c r="J130" t="n">
        <v>0</v>
      </c>
      <c r="K130" t="n">
        <v>0</v>
      </c>
      <c r="L130" t="n">
        <v>0</v>
      </c>
      <c r="M130" t="n">
        <v>0</v>
      </c>
      <c r="N130" t="n">
        <v>0</v>
      </c>
      <c r="O130" t="n">
        <v>0</v>
      </c>
      <c r="P130" t="n">
        <v>0</v>
      </c>
      <c r="Q130" t="n">
        <v>0</v>
      </c>
      <c r="R130" s="2" t="inlineStr"/>
    </row>
    <row r="131" ht="15" customHeight="1">
      <c r="A131" t="inlineStr">
        <is>
          <t>A 23019-2023</t>
        </is>
      </c>
      <c r="B131" s="1" t="n">
        <v>45073</v>
      </c>
      <c r="C131" s="1" t="n">
        <v>45969</v>
      </c>
      <c r="D131" t="inlineStr">
        <is>
          <t>NORRBOTTENS LÄN</t>
        </is>
      </c>
      <c r="E131" t="inlineStr">
        <is>
          <t>JOKKMOKK</t>
        </is>
      </c>
      <c r="F131" t="inlineStr">
        <is>
          <t>SCA</t>
        </is>
      </c>
      <c r="G131" t="n">
        <v>6.3</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45969</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52733-2024</t>
        </is>
      </c>
      <c r="B133" s="1" t="n">
        <v>45610</v>
      </c>
      <c r="C133" s="1" t="n">
        <v>45969</v>
      </c>
      <c r="D133" t="inlineStr">
        <is>
          <t>NORRBOTTENS LÄN</t>
        </is>
      </c>
      <c r="E133" t="inlineStr">
        <is>
          <t>JOKKMOKK</t>
        </is>
      </c>
      <c r="F133" t="inlineStr">
        <is>
          <t>Allmännings- och besparingsskogar</t>
        </is>
      </c>
      <c r="G133" t="n">
        <v>6.1</v>
      </c>
      <c r="H133" t="n">
        <v>0</v>
      </c>
      <c r="I133" t="n">
        <v>0</v>
      </c>
      <c r="J133" t="n">
        <v>0</v>
      </c>
      <c r="K133" t="n">
        <v>0</v>
      </c>
      <c r="L133" t="n">
        <v>0</v>
      </c>
      <c r="M133" t="n">
        <v>0</v>
      </c>
      <c r="N133" t="n">
        <v>0</v>
      </c>
      <c r="O133" t="n">
        <v>0</v>
      </c>
      <c r="P133" t="n">
        <v>0</v>
      </c>
      <c r="Q133" t="n">
        <v>0</v>
      </c>
      <c r="R133" s="2" t="inlineStr"/>
    </row>
    <row r="134" ht="15" customHeight="1">
      <c r="A134" t="inlineStr">
        <is>
          <t>A 52855-2024</t>
        </is>
      </c>
      <c r="B134" s="1" t="n">
        <v>45610</v>
      </c>
      <c r="C134" s="1" t="n">
        <v>45969</v>
      </c>
      <c r="D134" t="inlineStr">
        <is>
          <t>NORRBOTTENS LÄN</t>
        </is>
      </c>
      <c r="E134" t="inlineStr">
        <is>
          <t>JOKKMOKK</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45969</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65542-2020</t>
        </is>
      </c>
      <c r="B136" s="1" t="n">
        <v>44173</v>
      </c>
      <c r="C136" s="1" t="n">
        <v>45969</v>
      </c>
      <c r="D136" t="inlineStr">
        <is>
          <t>NORRBOTTENS LÄN</t>
        </is>
      </c>
      <c r="E136" t="inlineStr">
        <is>
          <t>JOKKMOKK</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45969</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34062-2021</t>
        </is>
      </c>
      <c r="B138" s="1" t="n">
        <v>44378</v>
      </c>
      <c r="C138" s="1" t="n">
        <v>45969</v>
      </c>
      <c r="D138" t="inlineStr">
        <is>
          <t>NORRBOTTENS LÄN</t>
        </is>
      </c>
      <c r="E138" t="inlineStr">
        <is>
          <t>JOKKMOKK</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50496-2024</t>
        </is>
      </c>
      <c r="B139" s="1" t="n">
        <v>45601.51266203704</v>
      </c>
      <c r="C139" s="1" t="n">
        <v>45969</v>
      </c>
      <c r="D139" t="inlineStr">
        <is>
          <t>NORRBOTTENS LÄN</t>
        </is>
      </c>
      <c r="E139" t="inlineStr">
        <is>
          <t>JOKKMOKK</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61500-2024</t>
        </is>
      </c>
      <c r="B140" s="1" t="n">
        <v>45645</v>
      </c>
      <c r="C140" s="1" t="n">
        <v>45969</v>
      </c>
      <c r="D140" t="inlineStr">
        <is>
          <t>NORRBOTTENS LÄN</t>
        </is>
      </c>
      <c r="E140" t="inlineStr">
        <is>
          <t>JOKKMOKK</t>
        </is>
      </c>
      <c r="G140" t="n">
        <v>39.8</v>
      </c>
      <c r="H140" t="n">
        <v>0</v>
      </c>
      <c r="I140" t="n">
        <v>0</v>
      </c>
      <c r="J140" t="n">
        <v>0</v>
      </c>
      <c r="K140" t="n">
        <v>0</v>
      </c>
      <c r="L140" t="n">
        <v>0</v>
      </c>
      <c r="M140" t="n">
        <v>0</v>
      </c>
      <c r="N140" t="n">
        <v>0</v>
      </c>
      <c r="O140" t="n">
        <v>0</v>
      </c>
      <c r="P140" t="n">
        <v>0</v>
      </c>
      <c r="Q140" t="n">
        <v>0</v>
      </c>
      <c r="R140" s="2" t="inlineStr"/>
    </row>
    <row r="141" ht="15" customHeight="1">
      <c r="A141" t="inlineStr">
        <is>
          <t>A 35876-2022</t>
        </is>
      </c>
      <c r="B141" s="1" t="n">
        <v>44802</v>
      </c>
      <c r="C141" s="1" t="n">
        <v>45969</v>
      </c>
      <c r="D141" t="inlineStr">
        <is>
          <t>NORRBOTTENS LÄN</t>
        </is>
      </c>
      <c r="E141" t="inlineStr">
        <is>
          <t>JOKKMOKK</t>
        </is>
      </c>
      <c r="G141" t="n">
        <v>9.5</v>
      </c>
      <c r="H141" t="n">
        <v>0</v>
      </c>
      <c r="I141" t="n">
        <v>0</v>
      </c>
      <c r="J141" t="n">
        <v>0</v>
      </c>
      <c r="K141" t="n">
        <v>0</v>
      </c>
      <c r="L141" t="n">
        <v>0</v>
      </c>
      <c r="M141" t="n">
        <v>0</v>
      </c>
      <c r="N141" t="n">
        <v>0</v>
      </c>
      <c r="O141" t="n">
        <v>0</v>
      </c>
      <c r="P141" t="n">
        <v>0</v>
      </c>
      <c r="Q141" t="n">
        <v>0</v>
      </c>
      <c r="R141" s="2" t="inlineStr"/>
    </row>
    <row r="142" ht="15" customHeight="1">
      <c r="A142" t="inlineStr">
        <is>
          <t>A 4136-2024</t>
        </is>
      </c>
      <c r="B142" s="1" t="n">
        <v>45323</v>
      </c>
      <c r="C142" s="1" t="n">
        <v>45969</v>
      </c>
      <c r="D142" t="inlineStr">
        <is>
          <t>NORRBOTTENS LÄN</t>
        </is>
      </c>
      <c r="E142" t="inlineStr">
        <is>
          <t>JOKKMOKK</t>
        </is>
      </c>
      <c r="G142" t="n">
        <v>27.3</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45969</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18537-2023</t>
        </is>
      </c>
      <c r="B144" s="1" t="n">
        <v>45028</v>
      </c>
      <c r="C144" s="1" t="n">
        <v>45969</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53100-2022</t>
        </is>
      </c>
      <c r="B145" s="1" t="n">
        <v>44873</v>
      </c>
      <c r="C145" s="1" t="n">
        <v>45969</v>
      </c>
      <c r="D145" t="inlineStr">
        <is>
          <t>NORRBOTTENS LÄN</t>
        </is>
      </c>
      <c r="E145" t="inlineStr">
        <is>
          <t>JOKKMOKK</t>
        </is>
      </c>
      <c r="F145" t="inlineStr">
        <is>
          <t>Övriga statliga verk och myndigheter</t>
        </is>
      </c>
      <c r="G145" t="n">
        <v>37.1</v>
      </c>
      <c r="H145" t="n">
        <v>0</v>
      </c>
      <c r="I145" t="n">
        <v>0</v>
      </c>
      <c r="J145" t="n">
        <v>0</v>
      </c>
      <c r="K145" t="n">
        <v>0</v>
      </c>
      <c r="L145" t="n">
        <v>0</v>
      </c>
      <c r="M145" t="n">
        <v>0</v>
      </c>
      <c r="N145" t="n">
        <v>0</v>
      </c>
      <c r="O145" t="n">
        <v>0</v>
      </c>
      <c r="P145" t="n">
        <v>0</v>
      </c>
      <c r="Q145" t="n">
        <v>0</v>
      </c>
      <c r="R145" s="2" t="inlineStr"/>
    </row>
    <row r="146" ht="15" customHeight="1">
      <c r="A146" t="inlineStr">
        <is>
          <t>A 49474-2024</t>
        </is>
      </c>
      <c r="B146" s="1" t="n">
        <v>45596.34523148148</v>
      </c>
      <c r="C146" s="1" t="n">
        <v>45969</v>
      </c>
      <c r="D146" t="inlineStr">
        <is>
          <t>NORRBOTTENS LÄN</t>
        </is>
      </c>
      <c r="E146" t="inlineStr">
        <is>
          <t>JOKKMOKK</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49679-2024</t>
        </is>
      </c>
      <c r="B147" s="1" t="n">
        <v>45596.6649537037</v>
      </c>
      <c r="C147" s="1" t="n">
        <v>45969</v>
      </c>
      <c r="D147" t="inlineStr">
        <is>
          <t>NORRBOTTENS LÄN</t>
        </is>
      </c>
      <c r="E147" t="inlineStr">
        <is>
          <t>JOKKMOKK</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45969</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38595-2025</t>
        </is>
      </c>
      <c r="B149" s="1" t="n">
        <v>45884.49027777778</v>
      </c>
      <c r="C149" s="1" t="n">
        <v>45969</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38226-2025</t>
        </is>
      </c>
      <c r="B150" s="1" t="n">
        <v>45883.34521990741</v>
      </c>
      <c r="C150" s="1" t="n">
        <v>45969</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68636-2020</t>
        </is>
      </c>
      <c r="B151" s="1" t="n">
        <v>44186</v>
      </c>
      <c r="C151" s="1" t="n">
        <v>45969</v>
      </c>
      <c r="D151" t="inlineStr">
        <is>
          <t>NORRBOTTENS LÄN</t>
        </is>
      </c>
      <c r="E151" t="inlineStr">
        <is>
          <t>JOKKMOKK</t>
        </is>
      </c>
      <c r="F151" t="inlineStr">
        <is>
          <t>SCA</t>
        </is>
      </c>
      <c r="G151" t="n">
        <v>42.3</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45969</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61760-2024</t>
        </is>
      </c>
      <c r="B153" s="1" t="n">
        <v>45649</v>
      </c>
      <c r="C153" s="1" t="n">
        <v>45969</v>
      </c>
      <c r="D153" t="inlineStr">
        <is>
          <t>NORRBOTTENS LÄN</t>
        </is>
      </c>
      <c r="E153" t="inlineStr">
        <is>
          <t>JOKKMOKK</t>
        </is>
      </c>
      <c r="F153" t="inlineStr">
        <is>
          <t>Övriga statliga verk och myndigheter</t>
        </is>
      </c>
      <c r="G153" t="n">
        <v>19.3</v>
      </c>
      <c r="H153" t="n">
        <v>0</v>
      </c>
      <c r="I153" t="n">
        <v>0</v>
      </c>
      <c r="J153" t="n">
        <v>0</v>
      </c>
      <c r="K153" t="n">
        <v>0</v>
      </c>
      <c r="L153" t="n">
        <v>0</v>
      </c>
      <c r="M153" t="n">
        <v>0</v>
      </c>
      <c r="N153" t="n">
        <v>0</v>
      </c>
      <c r="O153" t="n">
        <v>0</v>
      </c>
      <c r="P153" t="n">
        <v>0</v>
      </c>
      <c r="Q153" t="n">
        <v>0</v>
      </c>
      <c r="R153" s="2" t="inlineStr"/>
    </row>
    <row r="154" ht="15" customHeight="1">
      <c r="A154" t="inlineStr">
        <is>
          <t>A 31208-2023</t>
        </is>
      </c>
      <c r="B154" s="1" t="n">
        <v>45113.95083333334</v>
      </c>
      <c r="C154" s="1" t="n">
        <v>45969</v>
      </c>
      <c r="D154" t="inlineStr">
        <is>
          <t>NORRBOTTENS LÄN</t>
        </is>
      </c>
      <c r="E154" t="inlineStr">
        <is>
          <t>JOKKMOKK</t>
        </is>
      </c>
      <c r="F154" t="inlineStr">
        <is>
          <t>SCA</t>
        </is>
      </c>
      <c r="G154" t="n">
        <v>10.3</v>
      </c>
      <c r="H154" t="n">
        <v>0</v>
      </c>
      <c r="I154" t="n">
        <v>0</v>
      </c>
      <c r="J154" t="n">
        <v>0</v>
      </c>
      <c r="K154" t="n">
        <v>0</v>
      </c>
      <c r="L154" t="n">
        <v>0</v>
      </c>
      <c r="M154" t="n">
        <v>0</v>
      </c>
      <c r="N154" t="n">
        <v>0</v>
      </c>
      <c r="O154" t="n">
        <v>0</v>
      </c>
      <c r="P154" t="n">
        <v>0</v>
      </c>
      <c r="Q154" t="n">
        <v>0</v>
      </c>
      <c r="R154" s="2" t="inlineStr"/>
    </row>
    <row r="155" ht="15" customHeight="1">
      <c r="A155" t="inlineStr">
        <is>
          <t>A 5670-2025</t>
        </is>
      </c>
      <c r="B155" s="1" t="n">
        <v>45693</v>
      </c>
      <c r="C155" s="1" t="n">
        <v>45969</v>
      </c>
      <c r="D155" t="inlineStr">
        <is>
          <t>NORRBOTTENS LÄN</t>
        </is>
      </c>
      <c r="E155" t="inlineStr">
        <is>
          <t>JOKKMOKK</t>
        </is>
      </c>
      <c r="G155" t="n">
        <v>2.1</v>
      </c>
      <c r="H155" t="n">
        <v>0</v>
      </c>
      <c r="I155" t="n">
        <v>0</v>
      </c>
      <c r="J155" t="n">
        <v>0</v>
      </c>
      <c r="K155" t="n">
        <v>0</v>
      </c>
      <c r="L155" t="n">
        <v>0</v>
      </c>
      <c r="M155" t="n">
        <v>0</v>
      </c>
      <c r="N155" t="n">
        <v>0</v>
      </c>
      <c r="O155" t="n">
        <v>0</v>
      </c>
      <c r="P155" t="n">
        <v>0</v>
      </c>
      <c r="Q155" t="n">
        <v>0</v>
      </c>
      <c r="R155" s="2" t="inlineStr"/>
    </row>
    <row r="156" ht="15" customHeight="1">
      <c r="A156" t="inlineStr">
        <is>
          <t>A 18903-2025</t>
        </is>
      </c>
      <c r="B156" s="1" t="n">
        <v>45764.46019675926</v>
      </c>
      <c r="C156" s="1" t="n">
        <v>45969</v>
      </c>
      <c r="D156" t="inlineStr">
        <is>
          <t>NORRBOTTENS LÄN</t>
        </is>
      </c>
      <c r="E156" t="inlineStr">
        <is>
          <t>JOKKMOKK</t>
        </is>
      </c>
      <c r="G156" t="n">
        <v>9.1</v>
      </c>
      <c r="H156" t="n">
        <v>0</v>
      </c>
      <c r="I156" t="n">
        <v>0</v>
      </c>
      <c r="J156" t="n">
        <v>0</v>
      </c>
      <c r="K156" t="n">
        <v>0</v>
      </c>
      <c r="L156" t="n">
        <v>0</v>
      </c>
      <c r="M156" t="n">
        <v>0</v>
      </c>
      <c r="N156" t="n">
        <v>0</v>
      </c>
      <c r="O156" t="n">
        <v>0</v>
      </c>
      <c r="P156" t="n">
        <v>0</v>
      </c>
      <c r="Q156" t="n">
        <v>0</v>
      </c>
      <c r="R156" s="2" t="inlineStr"/>
    </row>
    <row r="157" ht="15" customHeight="1">
      <c r="A157" t="inlineStr">
        <is>
          <t>A 38579-2025</t>
        </is>
      </c>
      <c r="B157" s="1" t="n">
        <v>45884.46925925926</v>
      </c>
      <c r="C157" s="1" t="n">
        <v>45969</v>
      </c>
      <c r="D157" t="inlineStr">
        <is>
          <t>NORRBOTTENS LÄN</t>
        </is>
      </c>
      <c r="E157" t="inlineStr">
        <is>
          <t>JOKKMOKK</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32915-2023</t>
        </is>
      </c>
      <c r="B158" s="1" t="n">
        <v>45124.95214120371</v>
      </c>
      <c r="C158" s="1" t="n">
        <v>45969</v>
      </c>
      <c r="D158" t="inlineStr">
        <is>
          <t>NORRBOTTENS LÄN</t>
        </is>
      </c>
      <c r="E158" t="inlineStr">
        <is>
          <t>JOKKMOKK</t>
        </is>
      </c>
      <c r="F158" t="inlineStr">
        <is>
          <t>SCA</t>
        </is>
      </c>
      <c r="G158" t="n">
        <v>15.1</v>
      </c>
      <c r="H158" t="n">
        <v>0</v>
      </c>
      <c r="I158" t="n">
        <v>0</v>
      </c>
      <c r="J158" t="n">
        <v>0</v>
      </c>
      <c r="K158" t="n">
        <v>0</v>
      </c>
      <c r="L158" t="n">
        <v>0</v>
      </c>
      <c r="M158" t="n">
        <v>0</v>
      </c>
      <c r="N158" t="n">
        <v>0</v>
      </c>
      <c r="O158" t="n">
        <v>0</v>
      </c>
      <c r="P158" t="n">
        <v>0</v>
      </c>
      <c r="Q158" t="n">
        <v>0</v>
      </c>
      <c r="R158" s="2" t="inlineStr"/>
    </row>
    <row r="159" ht="15" customHeight="1">
      <c r="A159" t="inlineStr">
        <is>
          <t>A 20593-2023</t>
        </is>
      </c>
      <c r="B159" s="1" t="n">
        <v>45057</v>
      </c>
      <c r="C159" s="1" t="n">
        <v>45969</v>
      </c>
      <c r="D159" t="inlineStr">
        <is>
          <t>NORRBOTTENS LÄN</t>
        </is>
      </c>
      <c r="E159" t="inlineStr">
        <is>
          <t>JOKKMOKK</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45969</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51304-2022</t>
        </is>
      </c>
      <c r="B161" s="1" t="n">
        <v>44868</v>
      </c>
      <c r="C161" s="1" t="n">
        <v>45969</v>
      </c>
      <c r="D161" t="inlineStr">
        <is>
          <t>NORRBOTTENS LÄN</t>
        </is>
      </c>
      <c r="E161" t="inlineStr">
        <is>
          <t>JOKKMOKK</t>
        </is>
      </c>
      <c r="G161" t="n">
        <v>1.5</v>
      </c>
      <c r="H161" t="n">
        <v>0</v>
      </c>
      <c r="I161" t="n">
        <v>0</v>
      </c>
      <c r="J161" t="n">
        <v>0</v>
      </c>
      <c r="K161" t="n">
        <v>0</v>
      </c>
      <c r="L161" t="n">
        <v>0</v>
      </c>
      <c r="M161" t="n">
        <v>0</v>
      </c>
      <c r="N161" t="n">
        <v>0</v>
      </c>
      <c r="O161" t="n">
        <v>0</v>
      </c>
      <c r="P161" t="n">
        <v>0</v>
      </c>
      <c r="Q161" t="n">
        <v>0</v>
      </c>
      <c r="R161" s="2" t="inlineStr"/>
    </row>
    <row r="162" ht="15" customHeight="1">
      <c r="A162" t="inlineStr">
        <is>
          <t>A 38223-2025</t>
        </is>
      </c>
      <c r="B162" s="1" t="n">
        <v>45883</v>
      </c>
      <c r="C162" s="1" t="n">
        <v>45969</v>
      </c>
      <c r="D162" t="inlineStr">
        <is>
          <t>NORRBOTTENS LÄN</t>
        </is>
      </c>
      <c r="E162" t="inlineStr">
        <is>
          <t>JOKKMOKK</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45969</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38228-2025</t>
        </is>
      </c>
      <c r="B164" s="1" t="n">
        <v>45883.34554398148</v>
      </c>
      <c r="C164" s="1" t="n">
        <v>45969</v>
      </c>
      <c r="D164" t="inlineStr">
        <is>
          <t>NORRBOTTENS LÄN</t>
        </is>
      </c>
      <c r="E164" t="inlineStr">
        <is>
          <t>JOKKMOKK</t>
        </is>
      </c>
      <c r="F164" t="inlineStr">
        <is>
          <t>SCA</t>
        </is>
      </c>
      <c r="G164" t="n">
        <v>14.5</v>
      </c>
      <c r="H164" t="n">
        <v>0</v>
      </c>
      <c r="I164" t="n">
        <v>0</v>
      </c>
      <c r="J164" t="n">
        <v>0</v>
      </c>
      <c r="K164" t="n">
        <v>0</v>
      </c>
      <c r="L164" t="n">
        <v>0</v>
      </c>
      <c r="M164" t="n">
        <v>0</v>
      </c>
      <c r="N164" t="n">
        <v>0</v>
      </c>
      <c r="O164" t="n">
        <v>0</v>
      </c>
      <c r="P164" t="n">
        <v>0</v>
      </c>
      <c r="Q164" t="n">
        <v>0</v>
      </c>
      <c r="R164" s="2" t="inlineStr"/>
    </row>
    <row r="165" ht="15" customHeight="1">
      <c r="A165" t="inlineStr">
        <is>
          <t>A 33014-2023</t>
        </is>
      </c>
      <c r="B165" s="1" t="n">
        <v>45113</v>
      </c>
      <c r="C165" s="1" t="n">
        <v>45969</v>
      </c>
      <c r="D165" t="inlineStr">
        <is>
          <t>NORRBOTTENS LÄN</t>
        </is>
      </c>
      <c r="E165" t="inlineStr">
        <is>
          <t>JOKKMOKK</t>
        </is>
      </c>
      <c r="F165" t="inlineStr">
        <is>
          <t>Övriga statliga verk och myndigheter</t>
        </is>
      </c>
      <c r="G165" t="n">
        <v>7.2</v>
      </c>
      <c r="H165" t="n">
        <v>0</v>
      </c>
      <c r="I165" t="n">
        <v>0</v>
      </c>
      <c r="J165" t="n">
        <v>0</v>
      </c>
      <c r="K165" t="n">
        <v>0</v>
      </c>
      <c r="L165" t="n">
        <v>0</v>
      </c>
      <c r="M165" t="n">
        <v>0</v>
      </c>
      <c r="N165" t="n">
        <v>0</v>
      </c>
      <c r="O165" t="n">
        <v>0</v>
      </c>
      <c r="P165" t="n">
        <v>0</v>
      </c>
      <c r="Q165" t="n">
        <v>0</v>
      </c>
      <c r="R165" s="2" t="inlineStr"/>
    </row>
    <row r="166" ht="15" customHeight="1">
      <c r="A166" t="inlineStr">
        <is>
          <t>A 44646-2021</t>
        </is>
      </c>
      <c r="B166" s="1" t="n">
        <v>44437</v>
      </c>
      <c r="C166" s="1" t="n">
        <v>45969</v>
      </c>
      <c r="D166" t="inlineStr">
        <is>
          <t>NORRBOTTENS LÄN</t>
        </is>
      </c>
      <c r="E166" t="inlineStr">
        <is>
          <t>JOKKMOKK</t>
        </is>
      </c>
      <c r="G166" t="n">
        <v>10</v>
      </c>
      <c r="H166" t="n">
        <v>0</v>
      </c>
      <c r="I166" t="n">
        <v>0</v>
      </c>
      <c r="J166" t="n">
        <v>0</v>
      </c>
      <c r="K166" t="n">
        <v>0</v>
      </c>
      <c r="L166" t="n">
        <v>0</v>
      </c>
      <c r="M166" t="n">
        <v>0</v>
      </c>
      <c r="N166" t="n">
        <v>0</v>
      </c>
      <c r="O166" t="n">
        <v>0</v>
      </c>
      <c r="P166" t="n">
        <v>0</v>
      </c>
      <c r="Q166" t="n">
        <v>0</v>
      </c>
      <c r="R166" s="2" t="inlineStr"/>
    </row>
    <row r="167" ht="15" customHeight="1">
      <c r="A167" t="inlineStr">
        <is>
          <t>A 30041-2024</t>
        </is>
      </c>
      <c r="B167" s="1" t="n">
        <v>45488</v>
      </c>
      <c r="C167" s="1" t="n">
        <v>45969</v>
      </c>
      <c r="D167" t="inlineStr">
        <is>
          <t>NORRBOTTENS LÄN</t>
        </is>
      </c>
      <c r="E167" t="inlineStr">
        <is>
          <t>JOKKMOKK</t>
        </is>
      </c>
      <c r="G167" t="n">
        <v>19.9</v>
      </c>
      <c r="H167" t="n">
        <v>0</v>
      </c>
      <c r="I167" t="n">
        <v>0</v>
      </c>
      <c r="J167" t="n">
        <v>0</v>
      </c>
      <c r="K167" t="n">
        <v>0</v>
      </c>
      <c r="L167" t="n">
        <v>0</v>
      </c>
      <c r="M167" t="n">
        <v>0</v>
      </c>
      <c r="N167" t="n">
        <v>0</v>
      </c>
      <c r="O167" t="n">
        <v>0</v>
      </c>
      <c r="P167" t="n">
        <v>0</v>
      </c>
      <c r="Q167" t="n">
        <v>0</v>
      </c>
      <c r="R167" s="2" t="inlineStr"/>
    </row>
    <row r="168" ht="15" customHeight="1">
      <c r="A168" t="inlineStr">
        <is>
          <t>A 47472-2025</t>
        </is>
      </c>
      <c r="B168" s="1" t="n">
        <v>45930.67752314815</v>
      </c>
      <c r="C168" s="1" t="n">
        <v>45969</v>
      </c>
      <c r="D168" t="inlineStr">
        <is>
          <t>NORRBOTTENS LÄN</t>
        </is>
      </c>
      <c r="E168" t="inlineStr">
        <is>
          <t>JOKKMOKK</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45969</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7273-2021</t>
        </is>
      </c>
      <c r="B170" s="1" t="n">
        <v>44238</v>
      </c>
      <c r="C170" s="1" t="n">
        <v>45969</v>
      </c>
      <c r="D170" t="inlineStr">
        <is>
          <t>NORRBOTTENS LÄN</t>
        </is>
      </c>
      <c r="E170" t="inlineStr">
        <is>
          <t>JOKKMOKK</t>
        </is>
      </c>
      <c r="F170" t="inlineStr">
        <is>
          <t>Övriga statliga verk och myndigheter</t>
        </is>
      </c>
      <c r="G170" t="n">
        <v>19.8</v>
      </c>
      <c r="H170" t="n">
        <v>0</v>
      </c>
      <c r="I170" t="n">
        <v>0</v>
      </c>
      <c r="J170" t="n">
        <v>0</v>
      </c>
      <c r="K170" t="n">
        <v>0</v>
      </c>
      <c r="L170" t="n">
        <v>0</v>
      </c>
      <c r="M170" t="n">
        <v>0</v>
      </c>
      <c r="N170" t="n">
        <v>0</v>
      </c>
      <c r="O170" t="n">
        <v>0</v>
      </c>
      <c r="P170" t="n">
        <v>0</v>
      </c>
      <c r="Q170" t="n">
        <v>0</v>
      </c>
      <c r="R170" s="2" t="inlineStr"/>
    </row>
    <row r="171" ht="15" customHeight="1">
      <c r="A171" t="inlineStr">
        <is>
          <t>A 46837-2025</t>
        </is>
      </c>
      <c r="B171" s="1" t="n">
        <v>45928.34450231482</v>
      </c>
      <c r="C171" s="1" t="n">
        <v>45969</v>
      </c>
      <c r="D171" t="inlineStr">
        <is>
          <t>NORRBOTTENS LÄN</t>
        </is>
      </c>
      <c r="E171" t="inlineStr">
        <is>
          <t>JOKKMOKK</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27657-2024</t>
        </is>
      </c>
      <c r="B172" s="1" t="n">
        <v>45474.95196759259</v>
      </c>
      <c r="C172" s="1" t="n">
        <v>45969</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27658-2024</t>
        </is>
      </c>
      <c r="B173" s="1" t="n">
        <v>45474.95246527778</v>
      </c>
      <c r="C173" s="1" t="n">
        <v>45969</v>
      </c>
      <c r="D173" t="inlineStr">
        <is>
          <t>NORRBOTTENS LÄN</t>
        </is>
      </c>
      <c r="E173" t="inlineStr">
        <is>
          <t>JOKKMOKK</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27653-2024</t>
        </is>
      </c>
      <c r="B174" s="1" t="n">
        <v>45474.95037037037</v>
      </c>
      <c r="C174" s="1" t="n">
        <v>45969</v>
      </c>
      <c r="D174" t="inlineStr">
        <is>
          <t>NORRBOTTENS LÄN</t>
        </is>
      </c>
      <c r="E174" t="inlineStr">
        <is>
          <t>JOKKMOKK</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27654-2024</t>
        </is>
      </c>
      <c r="B175" s="1" t="n">
        <v>45474</v>
      </c>
      <c r="C175" s="1" t="n">
        <v>45969</v>
      </c>
      <c r="D175" t="inlineStr">
        <is>
          <t>NORRBOTTENS LÄN</t>
        </is>
      </c>
      <c r="E175" t="inlineStr">
        <is>
          <t>JOKKMOKK</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27656-2024</t>
        </is>
      </c>
      <c r="B176" s="1" t="n">
        <v>45474</v>
      </c>
      <c r="C176" s="1" t="n">
        <v>45969</v>
      </c>
      <c r="D176" t="inlineStr">
        <is>
          <t>NORRBOTTENS LÄN</t>
        </is>
      </c>
      <c r="E176" t="inlineStr">
        <is>
          <t>JOKKMOKK</t>
        </is>
      </c>
      <c r="F176" t="inlineStr">
        <is>
          <t>SCA</t>
        </is>
      </c>
      <c r="G176" t="n">
        <v>3.8</v>
      </c>
      <c r="H176" t="n">
        <v>0</v>
      </c>
      <c r="I176" t="n">
        <v>0</v>
      </c>
      <c r="J176" t="n">
        <v>0</v>
      </c>
      <c r="K176" t="n">
        <v>0</v>
      </c>
      <c r="L176" t="n">
        <v>0</v>
      </c>
      <c r="M176" t="n">
        <v>0</v>
      </c>
      <c r="N176" t="n">
        <v>0</v>
      </c>
      <c r="O176" t="n">
        <v>0</v>
      </c>
      <c r="P176" t="n">
        <v>0</v>
      </c>
      <c r="Q176" t="n">
        <v>0</v>
      </c>
      <c r="R176" s="2" t="inlineStr"/>
    </row>
    <row r="177" ht="15" customHeight="1">
      <c r="A177" t="inlineStr">
        <is>
          <t>A 60215-2023</t>
        </is>
      </c>
      <c r="B177" s="1" t="n">
        <v>45258.60766203704</v>
      </c>
      <c r="C177" s="1" t="n">
        <v>45969</v>
      </c>
      <c r="D177" t="inlineStr">
        <is>
          <t>NORRBOTTENS LÄN</t>
        </is>
      </c>
      <c r="E177" t="inlineStr">
        <is>
          <t>JOKKMOKK</t>
        </is>
      </c>
      <c r="F177" t="inlineStr">
        <is>
          <t>Allmännings- och besparingsskogar</t>
        </is>
      </c>
      <c r="G177" t="n">
        <v>7.8</v>
      </c>
      <c r="H177" t="n">
        <v>0</v>
      </c>
      <c r="I177" t="n">
        <v>0</v>
      </c>
      <c r="J177" t="n">
        <v>0</v>
      </c>
      <c r="K177" t="n">
        <v>0</v>
      </c>
      <c r="L177" t="n">
        <v>0</v>
      </c>
      <c r="M177" t="n">
        <v>0</v>
      </c>
      <c r="N177" t="n">
        <v>0</v>
      </c>
      <c r="O177" t="n">
        <v>0</v>
      </c>
      <c r="P177" t="n">
        <v>0</v>
      </c>
      <c r="Q177" t="n">
        <v>0</v>
      </c>
      <c r="R177" s="2" t="inlineStr"/>
    </row>
    <row r="178" ht="15" customHeight="1">
      <c r="A178" t="inlineStr">
        <is>
          <t>A 26969-2024</t>
        </is>
      </c>
      <c r="B178" s="1" t="n">
        <v>45471.27252314815</v>
      </c>
      <c r="C178" s="1" t="n">
        <v>45969</v>
      </c>
      <c r="D178" t="inlineStr">
        <is>
          <t>NORRBOTTENS LÄN</t>
        </is>
      </c>
      <c r="E178" t="inlineStr">
        <is>
          <t>JOKKMOKK</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37827-2024</t>
        </is>
      </c>
      <c r="B179" s="1" t="n">
        <v>45544</v>
      </c>
      <c r="C179" s="1" t="n">
        <v>45969</v>
      </c>
      <c r="D179" t="inlineStr">
        <is>
          <t>NORRBOTTENS LÄN</t>
        </is>
      </c>
      <c r="E179" t="inlineStr">
        <is>
          <t>JOKKMOKK</t>
        </is>
      </c>
      <c r="F179" t="inlineStr">
        <is>
          <t>SCA</t>
        </is>
      </c>
      <c r="G179" t="n">
        <v>5</v>
      </c>
      <c r="H179" t="n">
        <v>0</v>
      </c>
      <c r="I179" t="n">
        <v>0</v>
      </c>
      <c r="J179" t="n">
        <v>0</v>
      </c>
      <c r="K179" t="n">
        <v>0</v>
      </c>
      <c r="L179" t="n">
        <v>0</v>
      </c>
      <c r="M179" t="n">
        <v>0</v>
      </c>
      <c r="N179" t="n">
        <v>0</v>
      </c>
      <c r="O179" t="n">
        <v>0</v>
      </c>
      <c r="P179" t="n">
        <v>0</v>
      </c>
      <c r="Q179" t="n">
        <v>0</v>
      </c>
      <c r="R179" s="2" t="inlineStr"/>
    </row>
    <row r="180" ht="15" customHeight="1">
      <c r="A180" t="inlineStr">
        <is>
          <t>A 6437-2025</t>
        </is>
      </c>
      <c r="B180" s="1" t="n">
        <v>45699</v>
      </c>
      <c r="C180" s="1" t="n">
        <v>45969</v>
      </c>
      <c r="D180" t="inlineStr">
        <is>
          <t>NORRBOTTENS LÄN</t>
        </is>
      </c>
      <c r="E180" t="inlineStr">
        <is>
          <t>JOKKMOKK</t>
        </is>
      </c>
      <c r="G180" t="n">
        <v>3.4</v>
      </c>
      <c r="H180" t="n">
        <v>0</v>
      </c>
      <c r="I180" t="n">
        <v>0</v>
      </c>
      <c r="J180" t="n">
        <v>0</v>
      </c>
      <c r="K180" t="n">
        <v>0</v>
      </c>
      <c r="L180" t="n">
        <v>0</v>
      </c>
      <c r="M180" t="n">
        <v>0</v>
      </c>
      <c r="N180" t="n">
        <v>0</v>
      </c>
      <c r="O180" t="n">
        <v>0</v>
      </c>
      <c r="P180" t="n">
        <v>0</v>
      </c>
      <c r="Q180" t="n">
        <v>0</v>
      </c>
      <c r="R180" s="2" t="inlineStr"/>
    </row>
    <row r="181" ht="15" customHeight="1">
      <c r="A181" t="inlineStr">
        <is>
          <t>A 16864-2023</t>
        </is>
      </c>
      <c r="B181" s="1" t="n">
        <v>45028</v>
      </c>
      <c r="C181" s="1" t="n">
        <v>45969</v>
      </c>
      <c r="D181" t="inlineStr">
        <is>
          <t>NORRBOTTENS LÄN</t>
        </is>
      </c>
      <c r="E181" t="inlineStr">
        <is>
          <t>JOKKMOKK</t>
        </is>
      </c>
      <c r="G181" t="n">
        <v>4</v>
      </c>
      <c r="H181" t="n">
        <v>0</v>
      </c>
      <c r="I181" t="n">
        <v>0</v>
      </c>
      <c r="J181" t="n">
        <v>0</v>
      </c>
      <c r="K181" t="n">
        <v>0</v>
      </c>
      <c r="L181" t="n">
        <v>0</v>
      </c>
      <c r="M181" t="n">
        <v>0</v>
      </c>
      <c r="N181" t="n">
        <v>0</v>
      </c>
      <c r="O181" t="n">
        <v>0</v>
      </c>
      <c r="P181" t="n">
        <v>0</v>
      </c>
      <c r="Q181" t="n">
        <v>0</v>
      </c>
      <c r="R181" s="2" t="inlineStr"/>
    </row>
    <row r="182" ht="15" customHeight="1">
      <c r="A182" t="inlineStr">
        <is>
          <t>A 25715-2024</t>
        </is>
      </c>
      <c r="B182" s="1" t="n">
        <v>45463</v>
      </c>
      <c r="C182" s="1" t="n">
        <v>45969</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34609-2024</t>
        </is>
      </c>
      <c r="B183" s="1" t="n">
        <v>45526</v>
      </c>
      <c r="C183" s="1" t="n">
        <v>45969</v>
      </c>
      <c r="D183" t="inlineStr">
        <is>
          <t>NORRBOTTENS LÄN</t>
        </is>
      </c>
      <c r="E183" t="inlineStr">
        <is>
          <t>JOKKMOKK</t>
        </is>
      </c>
      <c r="G183" t="n">
        <v>27</v>
      </c>
      <c r="H183" t="n">
        <v>0</v>
      </c>
      <c r="I183" t="n">
        <v>0</v>
      </c>
      <c r="J183" t="n">
        <v>0</v>
      </c>
      <c r="K183" t="n">
        <v>0</v>
      </c>
      <c r="L183" t="n">
        <v>0</v>
      </c>
      <c r="M183" t="n">
        <v>0</v>
      </c>
      <c r="N183" t="n">
        <v>0</v>
      </c>
      <c r="O183" t="n">
        <v>0</v>
      </c>
      <c r="P183" t="n">
        <v>0</v>
      </c>
      <c r="Q183" t="n">
        <v>0</v>
      </c>
      <c r="R183" s="2" t="inlineStr"/>
    </row>
    <row r="184" ht="15" customHeight="1">
      <c r="A184" t="inlineStr">
        <is>
          <t>A 28319-2021</t>
        </is>
      </c>
      <c r="B184" s="1" t="n">
        <v>44355</v>
      </c>
      <c r="C184" s="1" t="n">
        <v>45969</v>
      </c>
      <c r="D184" t="inlineStr">
        <is>
          <t>NORRBOTTENS LÄN</t>
        </is>
      </c>
      <c r="E184" t="inlineStr">
        <is>
          <t>JOKKMOKK</t>
        </is>
      </c>
      <c r="F184" t="inlineStr">
        <is>
          <t>Övriga statliga verk och myndigheter</t>
        </is>
      </c>
      <c r="G184" t="n">
        <v>40</v>
      </c>
      <c r="H184" t="n">
        <v>0</v>
      </c>
      <c r="I184" t="n">
        <v>0</v>
      </c>
      <c r="J184" t="n">
        <v>0</v>
      </c>
      <c r="K184" t="n">
        <v>0</v>
      </c>
      <c r="L184" t="n">
        <v>0</v>
      </c>
      <c r="M184" t="n">
        <v>0</v>
      </c>
      <c r="N184" t="n">
        <v>0</v>
      </c>
      <c r="O184" t="n">
        <v>0</v>
      </c>
      <c r="P184" t="n">
        <v>0</v>
      </c>
      <c r="Q184" t="n">
        <v>0</v>
      </c>
      <c r="R184" s="2" t="inlineStr"/>
    </row>
    <row r="185" ht="15" customHeight="1">
      <c r="A185" t="inlineStr">
        <is>
          <t>A 45468-2022</t>
        </is>
      </c>
      <c r="B185" s="1" t="n">
        <v>44841</v>
      </c>
      <c r="C185" s="1" t="n">
        <v>45969</v>
      </c>
      <c r="D185" t="inlineStr">
        <is>
          <t>NORRBOTTENS LÄN</t>
        </is>
      </c>
      <c r="E185" t="inlineStr">
        <is>
          <t>JOKKMOKK</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45969</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56199-2021</t>
        </is>
      </c>
      <c r="B187" s="1" t="n">
        <v>44477</v>
      </c>
      <c r="C187" s="1" t="n">
        <v>45969</v>
      </c>
      <c r="D187" t="inlineStr">
        <is>
          <t>NORRBOTTENS LÄN</t>
        </is>
      </c>
      <c r="E187" t="inlineStr">
        <is>
          <t>JOKKMOKK</t>
        </is>
      </c>
      <c r="G187" t="n">
        <v>1</v>
      </c>
      <c r="H187" t="n">
        <v>0</v>
      </c>
      <c r="I187" t="n">
        <v>0</v>
      </c>
      <c r="J187" t="n">
        <v>0</v>
      </c>
      <c r="K187" t="n">
        <v>0</v>
      </c>
      <c r="L187" t="n">
        <v>0</v>
      </c>
      <c r="M187" t="n">
        <v>0</v>
      </c>
      <c r="N187" t="n">
        <v>0</v>
      </c>
      <c r="O187" t="n">
        <v>0</v>
      </c>
      <c r="P187" t="n">
        <v>0</v>
      </c>
      <c r="Q187" t="n">
        <v>0</v>
      </c>
      <c r="R187" s="2" t="inlineStr"/>
    </row>
    <row r="188" ht="15" customHeight="1">
      <c r="A188" t="inlineStr">
        <is>
          <t>A 50820-2024</t>
        </is>
      </c>
      <c r="B188" s="1" t="n">
        <v>45602</v>
      </c>
      <c r="C188" s="1" t="n">
        <v>45969</v>
      </c>
      <c r="D188" t="inlineStr">
        <is>
          <t>NORRBOTTENS LÄN</t>
        </is>
      </c>
      <c r="E188" t="inlineStr">
        <is>
          <t>JOKKMOKK</t>
        </is>
      </c>
      <c r="F188" t="inlineStr">
        <is>
          <t>Allmännings- och besparingsskogar</t>
        </is>
      </c>
      <c r="G188" t="n">
        <v>4</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45969</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36607-2021</t>
        </is>
      </c>
      <c r="B190" s="1" t="n">
        <v>44391</v>
      </c>
      <c r="C190" s="1" t="n">
        <v>45969</v>
      </c>
      <c r="D190" t="inlineStr">
        <is>
          <t>NORRBOTTENS LÄN</t>
        </is>
      </c>
      <c r="E190" t="inlineStr">
        <is>
          <t>JOKKMOKK</t>
        </is>
      </c>
      <c r="F190" t="inlineStr">
        <is>
          <t>Allmännings- och besparingsskogar</t>
        </is>
      </c>
      <c r="G190" t="n">
        <v>9.5</v>
      </c>
      <c r="H190" t="n">
        <v>0</v>
      </c>
      <c r="I190" t="n">
        <v>0</v>
      </c>
      <c r="J190" t="n">
        <v>0</v>
      </c>
      <c r="K190" t="n">
        <v>0</v>
      </c>
      <c r="L190" t="n">
        <v>0</v>
      </c>
      <c r="M190" t="n">
        <v>0</v>
      </c>
      <c r="N190" t="n">
        <v>0</v>
      </c>
      <c r="O190" t="n">
        <v>0</v>
      </c>
      <c r="P190" t="n">
        <v>0</v>
      </c>
      <c r="Q190" t="n">
        <v>0</v>
      </c>
      <c r="R190" s="2" t="inlineStr"/>
    </row>
    <row r="191" ht="15" customHeight="1">
      <c r="A191" t="inlineStr">
        <is>
          <t>A 55491-2024</t>
        </is>
      </c>
      <c r="B191" s="1" t="n">
        <v>45622</v>
      </c>
      <c r="C191" s="1" t="n">
        <v>45969</v>
      </c>
      <c r="D191" t="inlineStr">
        <is>
          <t>NORRBOTTENS LÄN</t>
        </is>
      </c>
      <c r="E191" t="inlineStr">
        <is>
          <t>JOKKMOKK</t>
        </is>
      </c>
      <c r="F191" t="inlineStr">
        <is>
          <t>Allmännings- och besparingsskogar</t>
        </is>
      </c>
      <c r="G191" t="n">
        <v>25.2</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45969</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40106-2023</t>
        </is>
      </c>
      <c r="B193" s="1" t="n">
        <v>45168.93785879629</v>
      </c>
      <c r="C193" s="1" t="n">
        <v>45969</v>
      </c>
      <c r="D193" t="inlineStr">
        <is>
          <t>NORRBOTTENS LÄN</t>
        </is>
      </c>
      <c r="E193" t="inlineStr">
        <is>
          <t>JOKKMOKK</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30291-2023</t>
        </is>
      </c>
      <c r="B194" s="1" t="n">
        <v>45110.92523148148</v>
      </c>
      <c r="C194" s="1" t="n">
        <v>45969</v>
      </c>
      <c r="D194" t="inlineStr">
        <is>
          <t>NORRBOTTENS LÄN</t>
        </is>
      </c>
      <c r="E194" t="inlineStr">
        <is>
          <t>JOKKMOKK</t>
        </is>
      </c>
      <c r="G194" t="n">
        <v>1.6</v>
      </c>
      <c r="H194" t="n">
        <v>0</v>
      </c>
      <c r="I194" t="n">
        <v>0</v>
      </c>
      <c r="J194" t="n">
        <v>0</v>
      </c>
      <c r="K194" t="n">
        <v>0</v>
      </c>
      <c r="L194" t="n">
        <v>0</v>
      </c>
      <c r="M194" t="n">
        <v>0</v>
      </c>
      <c r="N194" t="n">
        <v>0</v>
      </c>
      <c r="O194" t="n">
        <v>0</v>
      </c>
      <c r="P194" t="n">
        <v>0</v>
      </c>
      <c r="Q194" t="n">
        <v>0</v>
      </c>
      <c r="R194" s="2" t="inlineStr"/>
    </row>
    <row r="195" ht="15" customHeight="1">
      <c r="A195" t="inlineStr">
        <is>
          <t>A 23204-2024</t>
        </is>
      </c>
      <c r="B195" s="1" t="n">
        <v>45451</v>
      </c>
      <c r="C195" s="1" t="n">
        <v>45969</v>
      </c>
      <c r="D195" t="inlineStr">
        <is>
          <t>NORRBOTTENS LÄN</t>
        </is>
      </c>
      <c r="E195" t="inlineStr">
        <is>
          <t>JOKKMOKK</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51336-2024</t>
        </is>
      </c>
      <c r="B196" s="1" t="n">
        <v>45604.34443287037</v>
      </c>
      <c r="C196" s="1" t="n">
        <v>45969</v>
      </c>
      <c r="D196" t="inlineStr">
        <is>
          <t>NORRBOTTENS LÄN</t>
        </is>
      </c>
      <c r="E196" t="inlineStr">
        <is>
          <t>JOKKMOKK</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52289-2024</t>
        </is>
      </c>
      <c r="B197" s="1" t="n">
        <v>45608.69555555555</v>
      </c>
      <c r="C197" s="1" t="n">
        <v>45969</v>
      </c>
      <c r="D197" t="inlineStr">
        <is>
          <t>NORRBOTTENS LÄN</t>
        </is>
      </c>
      <c r="E197" t="inlineStr">
        <is>
          <t>JOKKMOKK</t>
        </is>
      </c>
      <c r="F197" t="inlineStr">
        <is>
          <t>Allmännings- och besparingsskogar</t>
        </is>
      </c>
      <c r="G197" t="n">
        <v>11.6</v>
      </c>
      <c r="H197" t="n">
        <v>0</v>
      </c>
      <c r="I197" t="n">
        <v>0</v>
      </c>
      <c r="J197" t="n">
        <v>0</v>
      </c>
      <c r="K197" t="n">
        <v>0</v>
      </c>
      <c r="L197" t="n">
        <v>0</v>
      </c>
      <c r="M197" t="n">
        <v>0</v>
      </c>
      <c r="N197" t="n">
        <v>0</v>
      </c>
      <c r="O197" t="n">
        <v>0</v>
      </c>
      <c r="P197" t="n">
        <v>0</v>
      </c>
      <c r="Q197" t="n">
        <v>0</v>
      </c>
      <c r="R197" s="2" t="inlineStr"/>
    </row>
    <row r="198" ht="15" customHeight="1">
      <c r="A198" t="inlineStr">
        <is>
          <t>A 25720-2023</t>
        </is>
      </c>
      <c r="B198" s="1" t="n">
        <v>45090</v>
      </c>
      <c r="C198" s="1" t="n">
        <v>45969</v>
      </c>
      <c r="D198" t="inlineStr">
        <is>
          <t>NORRBOTTENS LÄN</t>
        </is>
      </c>
      <c r="E198" t="inlineStr">
        <is>
          <t>JOKKMOKK</t>
        </is>
      </c>
      <c r="G198" t="n">
        <v>2.1</v>
      </c>
      <c r="H198" t="n">
        <v>0</v>
      </c>
      <c r="I198" t="n">
        <v>0</v>
      </c>
      <c r="J198" t="n">
        <v>0</v>
      </c>
      <c r="K198" t="n">
        <v>0</v>
      </c>
      <c r="L198" t="n">
        <v>0</v>
      </c>
      <c r="M198" t="n">
        <v>0</v>
      </c>
      <c r="N198" t="n">
        <v>0</v>
      </c>
      <c r="O198" t="n">
        <v>0</v>
      </c>
      <c r="P198" t="n">
        <v>0</v>
      </c>
      <c r="Q198" t="n">
        <v>0</v>
      </c>
      <c r="R198" s="2" t="inlineStr"/>
    </row>
    <row r="199" ht="15" customHeight="1">
      <c r="A199" t="inlineStr">
        <is>
          <t>A 9349-2023</t>
        </is>
      </c>
      <c r="B199" s="1" t="n">
        <v>44980</v>
      </c>
      <c r="C199" s="1" t="n">
        <v>45969</v>
      </c>
      <c r="D199" t="inlineStr">
        <is>
          <t>NORRBOTTENS LÄN</t>
        </is>
      </c>
      <c r="E199" t="inlineStr">
        <is>
          <t>JOKKMOKK</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9351-2023</t>
        </is>
      </c>
      <c r="B200" s="1" t="n">
        <v>44980</v>
      </c>
      <c r="C200" s="1" t="n">
        <v>45969</v>
      </c>
      <c r="D200" t="inlineStr">
        <is>
          <t>NORRBOTTENS LÄN</t>
        </is>
      </c>
      <c r="E200" t="inlineStr">
        <is>
          <t>JOKKMOKK</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56412-2021</t>
        </is>
      </c>
      <c r="B201" s="1" t="n">
        <v>44477</v>
      </c>
      <c r="C201" s="1" t="n">
        <v>45969</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45512-2022</t>
        </is>
      </c>
      <c r="B202" s="1" t="n">
        <v>44841</v>
      </c>
      <c r="C202" s="1" t="n">
        <v>45969</v>
      </c>
      <c r="D202" t="inlineStr">
        <is>
          <t>NORRBOTTENS LÄN</t>
        </is>
      </c>
      <c r="E202" t="inlineStr">
        <is>
          <t>JOKKMOKK</t>
        </is>
      </c>
      <c r="F202" t="inlineStr">
        <is>
          <t>Övriga Aktiebolag</t>
        </is>
      </c>
      <c r="G202" t="n">
        <v>0.6</v>
      </c>
      <c r="H202" t="n">
        <v>0</v>
      </c>
      <c r="I202" t="n">
        <v>0</v>
      </c>
      <c r="J202" t="n">
        <v>0</v>
      </c>
      <c r="K202" t="n">
        <v>0</v>
      </c>
      <c r="L202" t="n">
        <v>0</v>
      </c>
      <c r="M202" t="n">
        <v>0</v>
      </c>
      <c r="N202" t="n">
        <v>0</v>
      </c>
      <c r="O202" t="n">
        <v>0</v>
      </c>
      <c r="P202" t="n">
        <v>0</v>
      </c>
      <c r="Q202" t="n">
        <v>0</v>
      </c>
      <c r="R202" s="2" t="inlineStr"/>
    </row>
    <row r="203" ht="15" customHeight="1">
      <c r="A203" t="inlineStr">
        <is>
          <t>A 29212-2024</t>
        </is>
      </c>
      <c r="B203" s="1" t="n">
        <v>45482</v>
      </c>
      <c r="C203" s="1" t="n">
        <v>45969</v>
      </c>
      <c r="D203" t="inlineStr">
        <is>
          <t>NORRBOTTENS LÄN</t>
        </is>
      </c>
      <c r="E203" t="inlineStr">
        <is>
          <t>JOKKMOKK</t>
        </is>
      </c>
      <c r="G203" t="n">
        <v>8.5</v>
      </c>
      <c r="H203" t="n">
        <v>0</v>
      </c>
      <c r="I203" t="n">
        <v>0</v>
      </c>
      <c r="J203" t="n">
        <v>0</v>
      </c>
      <c r="K203" t="n">
        <v>0</v>
      </c>
      <c r="L203" t="n">
        <v>0</v>
      </c>
      <c r="M203" t="n">
        <v>0</v>
      </c>
      <c r="N203" t="n">
        <v>0</v>
      </c>
      <c r="O203" t="n">
        <v>0</v>
      </c>
      <c r="P203" t="n">
        <v>0</v>
      </c>
      <c r="Q203" t="n">
        <v>0</v>
      </c>
      <c r="R203" s="2" t="inlineStr"/>
    </row>
    <row r="204" ht="15" customHeight="1">
      <c r="A204" t="inlineStr">
        <is>
          <t>A 32853-2024</t>
        </is>
      </c>
      <c r="B204" s="1" t="n">
        <v>45516.63964120371</v>
      </c>
      <c r="C204" s="1" t="n">
        <v>45969</v>
      </c>
      <c r="D204" t="inlineStr">
        <is>
          <t>NORRBOTTENS LÄN</t>
        </is>
      </c>
      <c r="E204" t="inlineStr">
        <is>
          <t>JOKKMOKK</t>
        </is>
      </c>
      <c r="F204" t="inlineStr">
        <is>
          <t>Sveaskog</t>
        </is>
      </c>
      <c r="G204" t="n">
        <v>40.4</v>
      </c>
      <c r="H204" t="n">
        <v>0</v>
      </c>
      <c r="I204" t="n">
        <v>0</v>
      </c>
      <c r="J204" t="n">
        <v>0</v>
      </c>
      <c r="K204" t="n">
        <v>0</v>
      </c>
      <c r="L204" t="n">
        <v>0</v>
      </c>
      <c r="M204" t="n">
        <v>0</v>
      </c>
      <c r="N204" t="n">
        <v>0</v>
      </c>
      <c r="O204" t="n">
        <v>0</v>
      </c>
      <c r="P204" t="n">
        <v>0</v>
      </c>
      <c r="Q204" t="n">
        <v>0</v>
      </c>
      <c r="R204" s="2" t="inlineStr"/>
    </row>
    <row r="205" ht="15" customHeight="1">
      <c r="A205" t="inlineStr">
        <is>
          <t>A 3206-2025</t>
        </is>
      </c>
      <c r="B205" s="1" t="n">
        <v>45679</v>
      </c>
      <c r="C205" s="1" t="n">
        <v>45969</v>
      </c>
      <c r="D205" t="inlineStr">
        <is>
          <t>NORRBOTTENS LÄN</t>
        </is>
      </c>
      <c r="E205" t="inlineStr">
        <is>
          <t>JOKKMOKK</t>
        </is>
      </c>
      <c r="F205" t="inlineStr">
        <is>
          <t>SCA</t>
        </is>
      </c>
      <c r="G205" t="n">
        <v>9.1</v>
      </c>
      <c r="H205" t="n">
        <v>0</v>
      </c>
      <c r="I205" t="n">
        <v>0</v>
      </c>
      <c r="J205" t="n">
        <v>0</v>
      </c>
      <c r="K205" t="n">
        <v>0</v>
      </c>
      <c r="L205" t="n">
        <v>0</v>
      </c>
      <c r="M205" t="n">
        <v>0</v>
      </c>
      <c r="N205" t="n">
        <v>0</v>
      </c>
      <c r="O205" t="n">
        <v>0</v>
      </c>
      <c r="P205" t="n">
        <v>0</v>
      </c>
      <c r="Q205" t="n">
        <v>0</v>
      </c>
      <c r="R205" s="2" t="inlineStr"/>
    </row>
    <row r="206" ht="15" customHeight="1">
      <c r="A206" t="inlineStr">
        <is>
          <t>A 27651-2024</t>
        </is>
      </c>
      <c r="B206" s="1" t="n">
        <v>45474</v>
      </c>
      <c r="C206" s="1" t="n">
        <v>45969</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9878-2023</t>
        </is>
      </c>
      <c r="B207" s="1" t="n">
        <v>44984</v>
      </c>
      <c r="C207" s="1" t="n">
        <v>45969</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10630-2025</t>
        </is>
      </c>
      <c r="B208" s="1" t="n">
        <v>45721.63606481482</v>
      </c>
      <c r="C208" s="1" t="n">
        <v>45969</v>
      </c>
      <c r="D208" t="inlineStr">
        <is>
          <t>NORRBOTTENS LÄN</t>
        </is>
      </c>
      <c r="E208" t="inlineStr">
        <is>
          <t>JOKKMOKK</t>
        </is>
      </c>
      <c r="G208" t="n">
        <v>1.7</v>
      </c>
      <c r="H208" t="n">
        <v>0</v>
      </c>
      <c r="I208" t="n">
        <v>0</v>
      </c>
      <c r="J208" t="n">
        <v>0</v>
      </c>
      <c r="K208" t="n">
        <v>0</v>
      </c>
      <c r="L208" t="n">
        <v>0</v>
      </c>
      <c r="M208" t="n">
        <v>0</v>
      </c>
      <c r="N208" t="n">
        <v>0</v>
      </c>
      <c r="O208" t="n">
        <v>0</v>
      </c>
      <c r="P208" t="n">
        <v>0</v>
      </c>
      <c r="Q208" t="n">
        <v>0</v>
      </c>
      <c r="R208" s="2" t="inlineStr"/>
    </row>
    <row r="209" ht="15" customHeight="1">
      <c r="A209" t="inlineStr">
        <is>
          <t>A 36113-2024</t>
        </is>
      </c>
      <c r="B209" s="1" t="n">
        <v>45534.30302083334</v>
      </c>
      <c r="C209" s="1" t="n">
        <v>45969</v>
      </c>
      <c r="D209" t="inlineStr">
        <is>
          <t>NORRBOTTENS LÄN</t>
        </is>
      </c>
      <c r="E209" t="inlineStr">
        <is>
          <t>JOKKMOKK</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33827-2024</t>
        </is>
      </c>
      <c r="B210" s="1" t="n">
        <v>45520</v>
      </c>
      <c r="C210" s="1" t="n">
        <v>45969</v>
      </c>
      <c r="D210" t="inlineStr">
        <is>
          <t>NORRBOTTENS LÄN</t>
        </is>
      </c>
      <c r="E210" t="inlineStr">
        <is>
          <t>JOKKMOKK</t>
        </is>
      </c>
      <c r="F210" t="inlineStr">
        <is>
          <t>SCA</t>
        </is>
      </c>
      <c r="G210" t="n">
        <v>12.8</v>
      </c>
      <c r="H210" t="n">
        <v>0</v>
      </c>
      <c r="I210" t="n">
        <v>0</v>
      </c>
      <c r="J210" t="n">
        <v>0</v>
      </c>
      <c r="K210" t="n">
        <v>0</v>
      </c>
      <c r="L210" t="n">
        <v>0</v>
      </c>
      <c r="M210" t="n">
        <v>0</v>
      </c>
      <c r="N210" t="n">
        <v>0</v>
      </c>
      <c r="O210" t="n">
        <v>0</v>
      </c>
      <c r="P210" t="n">
        <v>0</v>
      </c>
      <c r="Q210" t="n">
        <v>0</v>
      </c>
      <c r="R210" s="2" t="inlineStr"/>
    </row>
    <row r="211" ht="15" customHeight="1">
      <c r="A211" t="inlineStr">
        <is>
          <t>A 20270-2025</t>
        </is>
      </c>
      <c r="B211" s="1" t="n">
        <v>45773.71444444444</v>
      </c>
      <c r="C211" s="1" t="n">
        <v>45969</v>
      </c>
      <c r="D211" t="inlineStr">
        <is>
          <t>NORRBOTTENS LÄN</t>
        </is>
      </c>
      <c r="E211" t="inlineStr">
        <is>
          <t>JOKKMOKK</t>
        </is>
      </c>
      <c r="G211" t="n">
        <v>90.09999999999999</v>
      </c>
      <c r="H211" t="n">
        <v>0</v>
      </c>
      <c r="I211" t="n">
        <v>0</v>
      </c>
      <c r="J211" t="n">
        <v>0</v>
      </c>
      <c r="K211" t="n">
        <v>0</v>
      </c>
      <c r="L211" t="n">
        <v>0</v>
      </c>
      <c r="M211" t="n">
        <v>0</v>
      </c>
      <c r="N211" t="n">
        <v>0</v>
      </c>
      <c r="O211" t="n">
        <v>0</v>
      </c>
      <c r="P211" t="n">
        <v>0</v>
      </c>
      <c r="Q211" t="n">
        <v>0</v>
      </c>
      <c r="R211" s="2" t="inlineStr"/>
    </row>
    <row r="212" ht="15" customHeight="1">
      <c r="A212" t="inlineStr">
        <is>
          <t>A 46442-2023</t>
        </is>
      </c>
      <c r="B212" s="1" t="n">
        <v>45197.59248842593</v>
      </c>
      <c r="C212" s="1" t="n">
        <v>45969</v>
      </c>
      <c r="D212" t="inlineStr">
        <is>
          <t>NORRBOTTENS LÄN</t>
        </is>
      </c>
      <c r="E212" t="inlineStr">
        <is>
          <t>JOKKMOKK</t>
        </is>
      </c>
      <c r="G212" t="n">
        <v>6.4</v>
      </c>
      <c r="H212" t="n">
        <v>0</v>
      </c>
      <c r="I212" t="n">
        <v>0</v>
      </c>
      <c r="J212" t="n">
        <v>0</v>
      </c>
      <c r="K212" t="n">
        <v>0</v>
      </c>
      <c r="L212" t="n">
        <v>0</v>
      </c>
      <c r="M212" t="n">
        <v>0</v>
      </c>
      <c r="N212" t="n">
        <v>0</v>
      </c>
      <c r="O212" t="n">
        <v>0</v>
      </c>
      <c r="P212" t="n">
        <v>0</v>
      </c>
      <c r="Q212" t="n">
        <v>0</v>
      </c>
      <c r="R212" s="2" t="inlineStr"/>
    </row>
    <row r="213" ht="15" customHeight="1">
      <c r="A213" t="inlineStr">
        <is>
          <t>A 52564-2024</t>
        </is>
      </c>
      <c r="B213" s="1" t="n">
        <v>45609</v>
      </c>
      <c r="C213" s="1" t="n">
        <v>45969</v>
      </c>
      <c r="D213" t="inlineStr">
        <is>
          <t>NORRBOTTENS LÄN</t>
        </is>
      </c>
      <c r="E213" t="inlineStr">
        <is>
          <t>JOKKMOKK</t>
        </is>
      </c>
      <c r="F213" t="inlineStr">
        <is>
          <t>Allmännings- och besparingsskogar</t>
        </is>
      </c>
      <c r="G213" t="n">
        <v>16.5</v>
      </c>
      <c r="H213" t="n">
        <v>0</v>
      </c>
      <c r="I213" t="n">
        <v>0</v>
      </c>
      <c r="J213" t="n">
        <v>0</v>
      </c>
      <c r="K213" t="n">
        <v>0</v>
      </c>
      <c r="L213" t="n">
        <v>0</v>
      </c>
      <c r="M213" t="n">
        <v>0</v>
      </c>
      <c r="N213" t="n">
        <v>0</v>
      </c>
      <c r="O213" t="n">
        <v>0</v>
      </c>
      <c r="P213" t="n">
        <v>0</v>
      </c>
      <c r="Q213" t="n">
        <v>0</v>
      </c>
      <c r="R213" s="2" t="inlineStr"/>
    </row>
    <row r="214" ht="15" customHeight="1">
      <c r="A214" t="inlineStr">
        <is>
          <t>A 32915-2024</t>
        </is>
      </c>
      <c r="B214" s="1" t="n">
        <v>45516</v>
      </c>
      <c r="C214" s="1" t="n">
        <v>45969</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23023-2023</t>
        </is>
      </c>
      <c r="B215" s="1" t="n">
        <v>45073</v>
      </c>
      <c r="C215" s="1" t="n">
        <v>45969</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30399-2024</t>
        </is>
      </c>
      <c r="B216" s="1" t="n">
        <v>45491</v>
      </c>
      <c r="C216" s="1" t="n">
        <v>45969</v>
      </c>
      <c r="D216" t="inlineStr">
        <is>
          <t>NORRBOTTENS LÄN</t>
        </is>
      </c>
      <c r="E216" t="inlineStr">
        <is>
          <t>JOKKMOKK</t>
        </is>
      </c>
      <c r="G216" t="n">
        <v>4.6</v>
      </c>
      <c r="H216" t="n">
        <v>0</v>
      </c>
      <c r="I216" t="n">
        <v>0</v>
      </c>
      <c r="J216" t="n">
        <v>0</v>
      </c>
      <c r="K216" t="n">
        <v>0</v>
      </c>
      <c r="L216" t="n">
        <v>0</v>
      </c>
      <c r="M216" t="n">
        <v>0</v>
      </c>
      <c r="N216" t="n">
        <v>0</v>
      </c>
      <c r="O216" t="n">
        <v>0</v>
      </c>
      <c r="P216" t="n">
        <v>0</v>
      </c>
      <c r="Q216" t="n">
        <v>0</v>
      </c>
      <c r="R216" s="2" t="inlineStr"/>
    </row>
    <row r="217" ht="15" customHeight="1">
      <c r="A217" t="inlineStr">
        <is>
          <t>A 61640-2024</t>
        </is>
      </c>
      <c r="B217" s="1" t="n">
        <v>45646.68362268519</v>
      </c>
      <c r="C217" s="1" t="n">
        <v>45969</v>
      </c>
      <c r="D217" t="inlineStr">
        <is>
          <t>NORRBOTTENS LÄN</t>
        </is>
      </c>
      <c r="E217" t="inlineStr">
        <is>
          <t>JOKKMOKK</t>
        </is>
      </c>
      <c r="G217" t="n">
        <v>10.6</v>
      </c>
      <c r="H217" t="n">
        <v>0</v>
      </c>
      <c r="I217" t="n">
        <v>0</v>
      </c>
      <c r="J217" t="n">
        <v>0</v>
      </c>
      <c r="K217" t="n">
        <v>0</v>
      </c>
      <c r="L217" t="n">
        <v>0</v>
      </c>
      <c r="M217" t="n">
        <v>0</v>
      </c>
      <c r="N217" t="n">
        <v>0</v>
      </c>
      <c r="O217" t="n">
        <v>0</v>
      </c>
      <c r="P217" t="n">
        <v>0</v>
      </c>
      <c r="Q217" t="n">
        <v>0</v>
      </c>
      <c r="R217" s="2" t="inlineStr"/>
    </row>
    <row r="218" ht="15" customHeight="1">
      <c r="A218" t="inlineStr">
        <is>
          <t>A 61641-2024</t>
        </is>
      </c>
      <c r="B218" s="1" t="n">
        <v>45646</v>
      </c>
      <c r="C218" s="1" t="n">
        <v>45969</v>
      </c>
      <c r="D218" t="inlineStr">
        <is>
          <t>NORRBOTTENS LÄN</t>
        </is>
      </c>
      <c r="E218" t="inlineStr">
        <is>
          <t>JOKKMOKK</t>
        </is>
      </c>
      <c r="G218" t="n">
        <v>3.2</v>
      </c>
      <c r="H218" t="n">
        <v>0</v>
      </c>
      <c r="I218" t="n">
        <v>0</v>
      </c>
      <c r="J218" t="n">
        <v>0</v>
      </c>
      <c r="K218" t="n">
        <v>0</v>
      </c>
      <c r="L218" t="n">
        <v>0</v>
      </c>
      <c r="M218" t="n">
        <v>0</v>
      </c>
      <c r="N218" t="n">
        <v>0</v>
      </c>
      <c r="O218" t="n">
        <v>0</v>
      </c>
      <c r="P218" t="n">
        <v>0</v>
      </c>
      <c r="Q218" t="n">
        <v>0</v>
      </c>
      <c r="R218" s="2" t="inlineStr"/>
    </row>
    <row r="219" ht="15" customHeight="1">
      <c r="A219" t="inlineStr">
        <is>
          <t>A 40658-2024</t>
        </is>
      </c>
      <c r="B219" s="1" t="n">
        <v>45558</v>
      </c>
      <c r="C219" s="1" t="n">
        <v>45969</v>
      </c>
      <c r="D219" t="inlineStr">
        <is>
          <t>NORRBOTTENS LÄN</t>
        </is>
      </c>
      <c r="E219" t="inlineStr">
        <is>
          <t>JOKKMOKK</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34598-2024</t>
        </is>
      </c>
      <c r="B220" s="1" t="n">
        <v>45526.39714120371</v>
      </c>
      <c r="C220" s="1" t="n">
        <v>45969</v>
      </c>
      <c r="D220" t="inlineStr">
        <is>
          <t>NORRBOTTENS LÄN</t>
        </is>
      </c>
      <c r="E220" t="inlineStr">
        <is>
          <t>JOKKMOKK</t>
        </is>
      </c>
      <c r="G220" t="n">
        <v>2.5</v>
      </c>
      <c r="H220" t="n">
        <v>0</v>
      </c>
      <c r="I220" t="n">
        <v>0</v>
      </c>
      <c r="J220" t="n">
        <v>0</v>
      </c>
      <c r="K220" t="n">
        <v>0</v>
      </c>
      <c r="L220" t="n">
        <v>0</v>
      </c>
      <c r="M220" t="n">
        <v>0</v>
      </c>
      <c r="N220" t="n">
        <v>0</v>
      </c>
      <c r="O220" t="n">
        <v>0</v>
      </c>
      <c r="P220" t="n">
        <v>0</v>
      </c>
      <c r="Q220" t="n">
        <v>0</v>
      </c>
      <c r="R220" s="2" t="inlineStr"/>
    </row>
    <row r="221" ht="15" customHeight="1">
      <c r="A221" t="inlineStr">
        <is>
          <t>A 16336-2023</t>
        </is>
      </c>
      <c r="B221" s="1" t="n">
        <v>45022</v>
      </c>
      <c r="C221" s="1" t="n">
        <v>45969</v>
      </c>
      <c r="D221" t="inlineStr">
        <is>
          <t>NORRBOTTENS LÄN</t>
        </is>
      </c>
      <c r="E221" t="inlineStr">
        <is>
          <t>JOKKMOKK</t>
        </is>
      </c>
      <c r="F221" t="inlineStr">
        <is>
          <t>Övriga statliga verk och myndigheter</t>
        </is>
      </c>
      <c r="G221" t="n">
        <v>130.2</v>
      </c>
      <c r="H221" t="n">
        <v>0</v>
      </c>
      <c r="I221" t="n">
        <v>0</v>
      </c>
      <c r="J221" t="n">
        <v>0</v>
      </c>
      <c r="K221" t="n">
        <v>0</v>
      </c>
      <c r="L221" t="n">
        <v>0</v>
      </c>
      <c r="M221" t="n">
        <v>0</v>
      </c>
      <c r="N221" t="n">
        <v>0</v>
      </c>
      <c r="O221" t="n">
        <v>0</v>
      </c>
      <c r="P221" t="n">
        <v>0</v>
      </c>
      <c r="Q221" t="n">
        <v>0</v>
      </c>
      <c r="R221" s="2" t="inlineStr"/>
    </row>
    <row r="222" ht="15" customHeight="1">
      <c r="A222" t="inlineStr">
        <is>
          <t>A 13863-2025</t>
        </is>
      </c>
      <c r="B222" s="1" t="n">
        <v>45737.57435185185</v>
      </c>
      <c r="C222" s="1" t="n">
        <v>45969</v>
      </c>
      <c r="D222" t="inlineStr">
        <is>
          <t>NORRBOTTENS LÄN</t>
        </is>
      </c>
      <c r="E222" t="inlineStr">
        <is>
          <t>JOKKMOKK</t>
        </is>
      </c>
      <c r="G222" t="n">
        <v>0.9</v>
      </c>
      <c r="H222" t="n">
        <v>0</v>
      </c>
      <c r="I222" t="n">
        <v>0</v>
      </c>
      <c r="J222" t="n">
        <v>0</v>
      </c>
      <c r="K222" t="n">
        <v>0</v>
      </c>
      <c r="L222" t="n">
        <v>0</v>
      </c>
      <c r="M222" t="n">
        <v>0</v>
      </c>
      <c r="N222" t="n">
        <v>0</v>
      </c>
      <c r="O222" t="n">
        <v>0</v>
      </c>
      <c r="P222" t="n">
        <v>0</v>
      </c>
      <c r="Q222" t="n">
        <v>0</v>
      </c>
      <c r="R222" s="2" t="inlineStr"/>
    </row>
    <row r="223" ht="15" customHeight="1">
      <c r="A223" t="inlineStr">
        <is>
          <t>A 13864-2025</t>
        </is>
      </c>
      <c r="B223" s="1" t="n">
        <v>45737.57438657407</v>
      </c>
      <c r="C223" s="1" t="n">
        <v>45969</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425-2025</t>
        </is>
      </c>
      <c r="B224" s="1" t="n">
        <v>45664.34549768519</v>
      </c>
      <c r="C224" s="1" t="n">
        <v>45969</v>
      </c>
      <c r="D224" t="inlineStr">
        <is>
          <t>NORRBOTTENS LÄN</t>
        </is>
      </c>
      <c r="E224" t="inlineStr">
        <is>
          <t>JOKKMOKK</t>
        </is>
      </c>
      <c r="F224" t="inlineStr">
        <is>
          <t>Övriga statliga verk och myndigheter</t>
        </is>
      </c>
      <c r="G224" t="n">
        <v>36.5</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45969</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45969</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30401-2024</t>
        </is>
      </c>
      <c r="B227" s="1" t="n">
        <v>45491</v>
      </c>
      <c r="C227" s="1" t="n">
        <v>45969</v>
      </c>
      <c r="D227" t="inlineStr">
        <is>
          <t>NORRBOTTENS LÄN</t>
        </is>
      </c>
      <c r="E227" t="inlineStr">
        <is>
          <t>JOKKMOKK</t>
        </is>
      </c>
      <c r="G227" t="n">
        <v>1</v>
      </c>
      <c r="H227" t="n">
        <v>0</v>
      </c>
      <c r="I227" t="n">
        <v>0</v>
      </c>
      <c r="J227" t="n">
        <v>0</v>
      </c>
      <c r="K227" t="n">
        <v>0</v>
      </c>
      <c r="L227" t="n">
        <v>0</v>
      </c>
      <c r="M227" t="n">
        <v>0</v>
      </c>
      <c r="N227" t="n">
        <v>0</v>
      </c>
      <c r="O227" t="n">
        <v>0</v>
      </c>
      <c r="P227" t="n">
        <v>0</v>
      </c>
      <c r="Q227" t="n">
        <v>0</v>
      </c>
      <c r="R227" s="2" t="inlineStr"/>
    </row>
    <row r="228" ht="15" customHeight="1">
      <c r="A228" t="inlineStr">
        <is>
          <t>A 45505-2022</t>
        </is>
      </c>
      <c r="B228" s="1" t="n">
        <v>44841</v>
      </c>
      <c r="C228" s="1" t="n">
        <v>45969</v>
      </c>
      <c r="D228" t="inlineStr">
        <is>
          <t>NORRBOTTENS LÄN</t>
        </is>
      </c>
      <c r="E228" t="inlineStr">
        <is>
          <t>JOKKMOKK</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45969</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61761-2024</t>
        </is>
      </c>
      <c r="B230" s="1" t="n">
        <v>45649</v>
      </c>
      <c r="C230" s="1" t="n">
        <v>45969</v>
      </c>
      <c r="D230" t="inlineStr">
        <is>
          <t>NORRBOTTENS LÄN</t>
        </is>
      </c>
      <c r="E230" t="inlineStr">
        <is>
          <t>JOKKMOKK</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44145-2024</t>
        </is>
      </c>
      <c r="B231" s="1" t="n">
        <v>45572.66908564815</v>
      </c>
      <c r="C231" s="1" t="n">
        <v>45969</v>
      </c>
      <c r="D231" t="inlineStr">
        <is>
          <t>NORRBOTTENS LÄN</t>
        </is>
      </c>
      <c r="E231" t="inlineStr">
        <is>
          <t>JOKKMOKK</t>
        </is>
      </c>
      <c r="F231" t="inlineStr">
        <is>
          <t>Sveaskog</t>
        </is>
      </c>
      <c r="G231" t="n">
        <v>4.7</v>
      </c>
      <c r="H231" t="n">
        <v>0</v>
      </c>
      <c r="I231" t="n">
        <v>0</v>
      </c>
      <c r="J231" t="n">
        <v>0</v>
      </c>
      <c r="K231" t="n">
        <v>0</v>
      </c>
      <c r="L231" t="n">
        <v>0</v>
      </c>
      <c r="M231" t="n">
        <v>0</v>
      </c>
      <c r="N231" t="n">
        <v>0</v>
      </c>
      <c r="O231" t="n">
        <v>0</v>
      </c>
      <c r="P231" t="n">
        <v>0</v>
      </c>
      <c r="Q231" t="n">
        <v>0</v>
      </c>
      <c r="R231" s="2" t="inlineStr"/>
    </row>
    <row r="232" ht="15" customHeight="1">
      <c r="A232" t="inlineStr">
        <is>
          <t>A 16972-2025</t>
        </is>
      </c>
      <c r="B232" s="1" t="n">
        <v>45755.46942129629</v>
      </c>
      <c r="C232" s="1" t="n">
        <v>45969</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14815-2024</t>
        </is>
      </c>
      <c r="B233" s="1" t="n">
        <v>45397.95770833334</v>
      </c>
      <c r="C233" s="1" t="n">
        <v>45969</v>
      </c>
      <c r="D233" t="inlineStr">
        <is>
          <t>NORRBOTTENS LÄN</t>
        </is>
      </c>
      <c r="E233" t="inlineStr">
        <is>
          <t>JOKKMOKK</t>
        </is>
      </c>
      <c r="F233" t="inlineStr">
        <is>
          <t>SCA</t>
        </is>
      </c>
      <c r="G233" t="n">
        <v>54.1</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45969</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47530-2025</t>
        </is>
      </c>
      <c r="B235" s="1" t="n">
        <v>45931</v>
      </c>
      <c r="C235" s="1" t="n">
        <v>45969</v>
      </c>
      <c r="D235" t="inlineStr">
        <is>
          <t>NORRBOTTENS LÄN</t>
        </is>
      </c>
      <c r="E235" t="inlineStr">
        <is>
          <t>JOKKMOKK</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47529-2025</t>
        </is>
      </c>
      <c r="B236" s="1" t="n">
        <v>45931</v>
      </c>
      <c r="C236" s="1" t="n">
        <v>45969</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4661-2022</t>
        </is>
      </c>
      <c r="B237" s="1" t="n">
        <v>44589</v>
      </c>
      <c r="C237" s="1" t="n">
        <v>45969</v>
      </c>
      <c r="D237" t="inlineStr">
        <is>
          <t>NORRBOTTENS LÄN</t>
        </is>
      </c>
      <c r="E237" t="inlineStr">
        <is>
          <t>JOKKMOKK</t>
        </is>
      </c>
      <c r="G237" t="n">
        <v>39.5</v>
      </c>
      <c r="H237" t="n">
        <v>0</v>
      </c>
      <c r="I237" t="n">
        <v>0</v>
      </c>
      <c r="J237" t="n">
        <v>0</v>
      </c>
      <c r="K237" t="n">
        <v>0</v>
      </c>
      <c r="L237" t="n">
        <v>0</v>
      </c>
      <c r="M237" t="n">
        <v>0</v>
      </c>
      <c r="N237" t="n">
        <v>0</v>
      </c>
      <c r="O237" t="n">
        <v>0</v>
      </c>
      <c r="P237" t="n">
        <v>0</v>
      </c>
      <c r="Q237" t="n">
        <v>0</v>
      </c>
      <c r="R237" s="2" t="inlineStr"/>
    </row>
    <row r="238" ht="15" customHeight="1">
      <c r="A238" t="inlineStr">
        <is>
          <t>A 48167-2025</t>
        </is>
      </c>
      <c r="B238" s="1" t="n">
        <v>45933</v>
      </c>
      <c r="C238" s="1" t="n">
        <v>45969</v>
      </c>
      <c r="D238" t="inlineStr">
        <is>
          <t>NORRBOTTENS LÄN</t>
        </is>
      </c>
      <c r="E238" t="inlineStr">
        <is>
          <t>JOKKMOKK</t>
        </is>
      </c>
      <c r="G238" t="n">
        <v>3.4</v>
      </c>
      <c r="H238" t="n">
        <v>0</v>
      </c>
      <c r="I238" t="n">
        <v>0</v>
      </c>
      <c r="J238" t="n">
        <v>0</v>
      </c>
      <c r="K238" t="n">
        <v>0</v>
      </c>
      <c r="L238" t="n">
        <v>0</v>
      </c>
      <c r="M238" t="n">
        <v>0</v>
      </c>
      <c r="N238" t="n">
        <v>0</v>
      </c>
      <c r="O238" t="n">
        <v>0</v>
      </c>
      <c r="P238" t="n">
        <v>0</v>
      </c>
      <c r="Q238" t="n">
        <v>0</v>
      </c>
      <c r="R238" s="2" t="inlineStr"/>
    </row>
    <row r="239" ht="15" customHeight="1">
      <c r="A239" t="inlineStr">
        <is>
          <t>A 48141-2025</t>
        </is>
      </c>
      <c r="B239" s="1" t="n">
        <v>45933</v>
      </c>
      <c r="C239" s="1" t="n">
        <v>45969</v>
      </c>
      <c r="D239" t="inlineStr">
        <is>
          <t>NORRBOTTENS LÄN</t>
        </is>
      </c>
      <c r="E239" t="inlineStr">
        <is>
          <t>JOKKMOKK</t>
        </is>
      </c>
      <c r="G239" t="n">
        <v>17.7</v>
      </c>
      <c r="H239" t="n">
        <v>0</v>
      </c>
      <c r="I239" t="n">
        <v>0</v>
      </c>
      <c r="J239" t="n">
        <v>0</v>
      </c>
      <c r="K239" t="n">
        <v>0</v>
      </c>
      <c r="L239" t="n">
        <v>0</v>
      </c>
      <c r="M239" t="n">
        <v>0</v>
      </c>
      <c r="N239" t="n">
        <v>0</v>
      </c>
      <c r="O239" t="n">
        <v>0</v>
      </c>
      <c r="P239" t="n">
        <v>0</v>
      </c>
      <c r="Q239" t="n">
        <v>0</v>
      </c>
      <c r="R239" s="2" t="inlineStr"/>
    </row>
    <row r="240" ht="15" customHeight="1">
      <c r="A240" t="inlineStr">
        <is>
          <t>A 29213-2024</t>
        </is>
      </c>
      <c r="B240" s="1" t="n">
        <v>45482</v>
      </c>
      <c r="C240" s="1" t="n">
        <v>45969</v>
      </c>
      <c r="D240" t="inlineStr">
        <is>
          <t>NORRBOTTENS LÄN</t>
        </is>
      </c>
      <c r="E240" t="inlineStr">
        <is>
          <t>JOKKMOKK</t>
        </is>
      </c>
      <c r="G240" t="n">
        <v>55</v>
      </c>
      <c r="H240" t="n">
        <v>0</v>
      </c>
      <c r="I240" t="n">
        <v>0</v>
      </c>
      <c r="J240" t="n">
        <v>0</v>
      </c>
      <c r="K240" t="n">
        <v>0</v>
      </c>
      <c r="L240" t="n">
        <v>0</v>
      </c>
      <c r="M240" t="n">
        <v>0</v>
      </c>
      <c r="N240" t="n">
        <v>0</v>
      </c>
      <c r="O240" t="n">
        <v>0</v>
      </c>
      <c r="P240" t="n">
        <v>0</v>
      </c>
      <c r="Q240" t="n">
        <v>0</v>
      </c>
      <c r="R240" s="2" t="inlineStr"/>
    </row>
    <row r="241" ht="15" customHeight="1">
      <c r="A241" t="inlineStr">
        <is>
          <t>A 40345-2024</t>
        </is>
      </c>
      <c r="B241" s="1" t="n">
        <v>45555.344375</v>
      </c>
      <c r="C241" s="1" t="n">
        <v>45969</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45969</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45969</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27650-2024</t>
        </is>
      </c>
      <c r="B244" s="1" t="n">
        <v>45474.94802083333</v>
      </c>
      <c r="C244" s="1" t="n">
        <v>45969</v>
      </c>
      <c r="D244" t="inlineStr">
        <is>
          <t>NORRBOTTENS LÄN</t>
        </is>
      </c>
      <c r="E244" t="inlineStr">
        <is>
          <t>JOKKMOKK</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49477-2024</t>
        </is>
      </c>
      <c r="B245" s="1" t="n">
        <v>45596.34576388889</v>
      </c>
      <c r="C245" s="1" t="n">
        <v>45969</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9874-2023</t>
        </is>
      </c>
      <c r="B246" s="1" t="n">
        <v>44984.94069444444</v>
      </c>
      <c r="C246" s="1" t="n">
        <v>45969</v>
      </c>
      <c r="D246" t="inlineStr">
        <is>
          <t>NORRBOTTENS LÄN</t>
        </is>
      </c>
      <c r="E246" t="inlineStr">
        <is>
          <t>JOKKMOKK</t>
        </is>
      </c>
      <c r="G246" t="n">
        <v>1.7</v>
      </c>
      <c r="H246" t="n">
        <v>0</v>
      </c>
      <c r="I246" t="n">
        <v>0</v>
      </c>
      <c r="J246" t="n">
        <v>0</v>
      </c>
      <c r="K246" t="n">
        <v>0</v>
      </c>
      <c r="L246" t="n">
        <v>0</v>
      </c>
      <c r="M246" t="n">
        <v>0</v>
      </c>
      <c r="N246" t="n">
        <v>0</v>
      </c>
      <c r="O246" t="n">
        <v>0</v>
      </c>
      <c r="P246" t="n">
        <v>0</v>
      </c>
      <c r="Q246" t="n">
        <v>0</v>
      </c>
      <c r="R246" s="2" t="inlineStr"/>
    </row>
    <row r="247" ht="15" customHeight="1">
      <c r="A247" t="inlineStr">
        <is>
          <t>A 9875-2023</t>
        </is>
      </c>
      <c r="B247" s="1" t="n">
        <v>44984.94076388889</v>
      </c>
      <c r="C247" s="1" t="n">
        <v>45969</v>
      </c>
      <c r="D247" t="inlineStr">
        <is>
          <t>NORRBOTTENS LÄN</t>
        </is>
      </c>
      <c r="E247" t="inlineStr">
        <is>
          <t>JOKKMOKK</t>
        </is>
      </c>
      <c r="G247" t="n">
        <v>0.6</v>
      </c>
      <c r="H247" t="n">
        <v>0</v>
      </c>
      <c r="I247" t="n">
        <v>0</v>
      </c>
      <c r="J247" t="n">
        <v>0</v>
      </c>
      <c r="K247" t="n">
        <v>0</v>
      </c>
      <c r="L247" t="n">
        <v>0</v>
      </c>
      <c r="M247" t="n">
        <v>0</v>
      </c>
      <c r="N247" t="n">
        <v>0</v>
      </c>
      <c r="O247" t="n">
        <v>0</v>
      </c>
      <c r="P247" t="n">
        <v>0</v>
      </c>
      <c r="Q247" t="n">
        <v>0</v>
      </c>
      <c r="R247" s="2" t="inlineStr"/>
    </row>
    <row r="248" ht="15" customHeight="1">
      <c r="A248" t="inlineStr">
        <is>
          <t>A 34639-2024</t>
        </is>
      </c>
      <c r="B248" s="1" t="n">
        <v>45526.47293981481</v>
      </c>
      <c r="C248" s="1" t="n">
        <v>45969</v>
      </c>
      <c r="D248" t="inlineStr">
        <is>
          <t>NORRBOTTENS LÄN</t>
        </is>
      </c>
      <c r="E248" t="inlineStr">
        <is>
          <t>JOKKMOKK</t>
        </is>
      </c>
      <c r="G248" t="n">
        <v>7.7</v>
      </c>
      <c r="H248" t="n">
        <v>0</v>
      </c>
      <c r="I248" t="n">
        <v>0</v>
      </c>
      <c r="J248" t="n">
        <v>0</v>
      </c>
      <c r="K248" t="n">
        <v>0</v>
      </c>
      <c r="L248" t="n">
        <v>0</v>
      </c>
      <c r="M248" t="n">
        <v>0</v>
      </c>
      <c r="N248" t="n">
        <v>0</v>
      </c>
      <c r="O248" t="n">
        <v>0</v>
      </c>
      <c r="P248" t="n">
        <v>0</v>
      </c>
      <c r="Q248" t="n">
        <v>0</v>
      </c>
      <c r="R248" s="2" t="inlineStr"/>
    </row>
    <row r="249" ht="15" customHeight="1">
      <c r="A249" t="inlineStr">
        <is>
          <t>A 47157-2024</t>
        </is>
      </c>
      <c r="B249" s="1" t="n">
        <v>45586</v>
      </c>
      <c r="C249" s="1" t="n">
        <v>45969</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39846-2025</t>
        </is>
      </c>
      <c r="B250" s="1" t="n">
        <v>45891.58376157407</v>
      </c>
      <c r="C250" s="1" t="n">
        <v>45969</v>
      </c>
      <c r="D250" t="inlineStr">
        <is>
          <t>NORRBOTTENS LÄN</t>
        </is>
      </c>
      <c r="E250" t="inlineStr">
        <is>
          <t>JOKKMOKK</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60390-2023</t>
        </is>
      </c>
      <c r="B251" s="1" t="n">
        <v>45259.43483796297</v>
      </c>
      <c r="C251" s="1" t="n">
        <v>45969</v>
      </c>
      <c r="D251" t="inlineStr">
        <is>
          <t>NORRBOTTENS LÄN</t>
        </is>
      </c>
      <c r="E251" t="inlineStr">
        <is>
          <t>JOKKMOKK</t>
        </is>
      </c>
      <c r="F251" t="inlineStr">
        <is>
          <t>Sveaskog</t>
        </is>
      </c>
      <c r="G251" t="n">
        <v>10.9</v>
      </c>
      <c r="H251" t="n">
        <v>0</v>
      </c>
      <c r="I251" t="n">
        <v>0</v>
      </c>
      <c r="J251" t="n">
        <v>0</v>
      </c>
      <c r="K251" t="n">
        <v>0</v>
      </c>
      <c r="L251" t="n">
        <v>0</v>
      </c>
      <c r="M251" t="n">
        <v>0</v>
      </c>
      <c r="N251" t="n">
        <v>0</v>
      </c>
      <c r="O251" t="n">
        <v>0</v>
      </c>
      <c r="P251" t="n">
        <v>0</v>
      </c>
      <c r="Q251" t="n">
        <v>0</v>
      </c>
      <c r="R251" s="2" t="inlineStr"/>
    </row>
    <row r="252" ht="15" customHeight="1">
      <c r="A252" t="inlineStr">
        <is>
          <t>A 48166-2025</t>
        </is>
      </c>
      <c r="B252" s="1" t="n">
        <v>45933</v>
      </c>
      <c r="C252" s="1" t="n">
        <v>45969</v>
      </c>
      <c r="D252" t="inlineStr">
        <is>
          <t>NORRBOTTENS LÄN</t>
        </is>
      </c>
      <c r="E252" t="inlineStr">
        <is>
          <t>JOKKMOKK</t>
        </is>
      </c>
      <c r="G252" t="n">
        <v>41.8</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45969</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24052-2023</t>
        </is>
      </c>
      <c r="B254" s="1" t="n">
        <v>45078</v>
      </c>
      <c r="C254" s="1" t="n">
        <v>45969</v>
      </c>
      <c r="D254" t="inlineStr">
        <is>
          <t>NORRBOTTENS LÄN</t>
        </is>
      </c>
      <c r="E254" t="inlineStr">
        <is>
          <t>JOKKMOKK</t>
        </is>
      </c>
      <c r="F254" t="inlineStr">
        <is>
          <t>Naturvårdsverket</t>
        </is>
      </c>
      <c r="G254" t="n">
        <v>58.1</v>
      </c>
      <c r="H254" t="n">
        <v>0</v>
      </c>
      <c r="I254" t="n">
        <v>0</v>
      </c>
      <c r="J254" t="n">
        <v>0</v>
      </c>
      <c r="K254" t="n">
        <v>0</v>
      </c>
      <c r="L254" t="n">
        <v>0</v>
      </c>
      <c r="M254" t="n">
        <v>0</v>
      </c>
      <c r="N254" t="n">
        <v>0</v>
      </c>
      <c r="O254" t="n">
        <v>0</v>
      </c>
      <c r="P254" t="n">
        <v>0</v>
      </c>
      <c r="Q254" t="n">
        <v>0</v>
      </c>
      <c r="R254" s="2" t="inlineStr"/>
    </row>
    <row r="255" ht="15" customHeight="1">
      <c r="A255" t="inlineStr">
        <is>
          <t>A 30313-2024</t>
        </is>
      </c>
      <c r="B255" s="1" t="n">
        <v>45490</v>
      </c>
      <c r="C255" s="1" t="n">
        <v>45969</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52882-2023</t>
        </is>
      </c>
      <c r="B256" s="1" t="n">
        <v>45222</v>
      </c>
      <c r="C256" s="1" t="n">
        <v>45969</v>
      </c>
      <c r="D256" t="inlineStr">
        <is>
          <t>NORRBOTTENS LÄN</t>
        </is>
      </c>
      <c r="E256" t="inlineStr">
        <is>
          <t>JOKKMOKK</t>
        </is>
      </c>
      <c r="G256" t="n">
        <v>56.1</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45969</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59849-2021</t>
        </is>
      </c>
      <c r="B258" s="1" t="n">
        <v>44493</v>
      </c>
      <c r="C258" s="1" t="n">
        <v>45969</v>
      </c>
      <c r="D258" t="inlineStr">
        <is>
          <t>NORRBOTTENS LÄN</t>
        </is>
      </c>
      <c r="E258" t="inlineStr">
        <is>
          <t>JOKKMOKK</t>
        </is>
      </c>
      <c r="F258" t="inlineStr">
        <is>
          <t>Övriga Aktiebolag</t>
        </is>
      </c>
      <c r="G258" t="n">
        <v>11.7</v>
      </c>
      <c r="H258" t="n">
        <v>0</v>
      </c>
      <c r="I258" t="n">
        <v>0</v>
      </c>
      <c r="J258" t="n">
        <v>0</v>
      </c>
      <c r="K258" t="n">
        <v>0</v>
      </c>
      <c r="L258" t="n">
        <v>0</v>
      </c>
      <c r="M258" t="n">
        <v>0</v>
      </c>
      <c r="N258" t="n">
        <v>0</v>
      </c>
      <c r="O258" t="n">
        <v>0</v>
      </c>
      <c r="P258" t="n">
        <v>0</v>
      </c>
      <c r="Q258" t="n">
        <v>0</v>
      </c>
      <c r="R258" s="2" t="inlineStr"/>
    </row>
    <row r="259" ht="15" customHeight="1">
      <c r="A259" t="inlineStr">
        <is>
          <t>A 51261-2024</t>
        </is>
      </c>
      <c r="B259" s="1" t="n">
        <v>45603.69465277778</v>
      </c>
      <c r="C259" s="1" t="n">
        <v>45969</v>
      </c>
      <c r="D259" t="inlineStr">
        <is>
          <t>NORRBOTTENS LÄN</t>
        </is>
      </c>
      <c r="E259" t="inlineStr">
        <is>
          <t>JOKKMOKK</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45969</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48210-2024</t>
        </is>
      </c>
      <c r="B261" s="1" t="n">
        <v>45590</v>
      </c>
      <c r="C261" s="1" t="n">
        <v>45969</v>
      </c>
      <c r="D261" t="inlineStr">
        <is>
          <t>NORRBOTTENS LÄN</t>
        </is>
      </c>
      <c r="E261" t="inlineStr">
        <is>
          <t>JOKKMOKK</t>
        </is>
      </c>
      <c r="F261" t="inlineStr">
        <is>
          <t>SCA</t>
        </is>
      </c>
      <c r="G261" t="n">
        <v>6.5</v>
      </c>
      <c r="H261" t="n">
        <v>0</v>
      </c>
      <c r="I261" t="n">
        <v>0</v>
      </c>
      <c r="J261" t="n">
        <v>0</v>
      </c>
      <c r="K261" t="n">
        <v>0</v>
      </c>
      <c r="L261" t="n">
        <v>0</v>
      </c>
      <c r="M261" t="n">
        <v>0</v>
      </c>
      <c r="N261" t="n">
        <v>0</v>
      </c>
      <c r="O261" t="n">
        <v>0</v>
      </c>
      <c r="P261" t="n">
        <v>0</v>
      </c>
      <c r="Q261" t="n">
        <v>0</v>
      </c>
      <c r="R261" s="2" t="inlineStr"/>
    </row>
    <row r="262" ht="15" customHeight="1">
      <c r="A262" t="inlineStr">
        <is>
          <t>A 49478-2024</t>
        </is>
      </c>
      <c r="B262" s="1" t="n">
        <v>45596.34599537037</v>
      </c>
      <c r="C262" s="1" t="n">
        <v>45969</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50258-2023</t>
        </is>
      </c>
      <c r="B263" s="1" t="n">
        <v>45216</v>
      </c>
      <c r="C263" s="1" t="n">
        <v>45969</v>
      </c>
      <c r="D263" t="inlineStr">
        <is>
          <t>NORRBOTTENS LÄN</t>
        </is>
      </c>
      <c r="E263" t="inlineStr">
        <is>
          <t>JOKKMOKK</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14869-2025</t>
        </is>
      </c>
      <c r="B264" s="1" t="n">
        <v>45743.44828703703</v>
      </c>
      <c r="C264" s="1" t="n">
        <v>45969</v>
      </c>
      <c r="D264" t="inlineStr">
        <is>
          <t>NORRBOTTENS LÄN</t>
        </is>
      </c>
      <c r="E264" t="inlineStr">
        <is>
          <t>JOKKMOKK</t>
        </is>
      </c>
      <c r="G264" t="n">
        <v>4.9</v>
      </c>
      <c r="H264" t="n">
        <v>0</v>
      </c>
      <c r="I264" t="n">
        <v>0</v>
      </c>
      <c r="J264" t="n">
        <v>0</v>
      </c>
      <c r="K264" t="n">
        <v>0</v>
      </c>
      <c r="L264" t="n">
        <v>0</v>
      </c>
      <c r="M264" t="n">
        <v>0</v>
      </c>
      <c r="N264" t="n">
        <v>0</v>
      </c>
      <c r="O264" t="n">
        <v>0</v>
      </c>
      <c r="P264" t="n">
        <v>0</v>
      </c>
      <c r="Q264" t="n">
        <v>0</v>
      </c>
      <c r="R264" s="2" t="inlineStr"/>
    </row>
    <row r="265" ht="15" customHeight="1">
      <c r="A265" t="inlineStr">
        <is>
          <t>A 26962-2023</t>
        </is>
      </c>
      <c r="B265" s="1" t="n">
        <v>45093</v>
      </c>
      <c r="C265" s="1" t="n">
        <v>45969</v>
      </c>
      <c r="D265" t="inlineStr">
        <is>
          <t>NORRBOTTENS LÄN</t>
        </is>
      </c>
      <c r="E265" t="inlineStr">
        <is>
          <t>JOKKMOKK</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61762-2024</t>
        </is>
      </c>
      <c r="B266" s="1" t="n">
        <v>45649</v>
      </c>
      <c r="C266" s="1" t="n">
        <v>45969</v>
      </c>
      <c r="D266" t="inlineStr">
        <is>
          <t>NORRBOTTENS LÄN</t>
        </is>
      </c>
      <c r="E266" t="inlineStr">
        <is>
          <t>JOKKMOKK</t>
        </is>
      </c>
      <c r="F266" t="inlineStr">
        <is>
          <t>Övriga statliga verk och myndigheter</t>
        </is>
      </c>
      <c r="G266" t="n">
        <v>15.4</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45969</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30305-2024</t>
        </is>
      </c>
      <c r="B268" s="1" t="n">
        <v>45490</v>
      </c>
      <c r="C268" s="1" t="n">
        <v>45969</v>
      </c>
      <c r="D268" t="inlineStr">
        <is>
          <t>NORRBOTTENS LÄN</t>
        </is>
      </c>
      <c r="E268" t="inlineStr">
        <is>
          <t>JOKKMOKK</t>
        </is>
      </c>
      <c r="G268" t="n">
        <v>1.5</v>
      </c>
      <c r="H268" t="n">
        <v>0</v>
      </c>
      <c r="I268" t="n">
        <v>0</v>
      </c>
      <c r="J268" t="n">
        <v>0</v>
      </c>
      <c r="K268" t="n">
        <v>0</v>
      </c>
      <c r="L268" t="n">
        <v>0</v>
      </c>
      <c r="M268" t="n">
        <v>0</v>
      </c>
      <c r="N268" t="n">
        <v>0</v>
      </c>
      <c r="O268" t="n">
        <v>0</v>
      </c>
      <c r="P268" t="n">
        <v>0</v>
      </c>
      <c r="Q268" t="n">
        <v>0</v>
      </c>
      <c r="R268" s="2" t="inlineStr"/>
    </row>
    <row r="269" ht="15" customHeight="1">
      <c r="A269" t="inlineStr">
        <is>
          <t>A 30308-2024</t>
        </is>
      </c>
      <c r="B269" s="1" t="n">
        <v>45490</v>
      </c>
      <c r="C269" s="1" t="n">
        <v>45969</v>
      </c>
      <c r="D269" t="inlineStr">
        <is>
          <t>NORRBOTTENS LÄN</t>
        </is>
      </c>
      <c r="E269" t="inlineStr">
        <is>
          <t>JOKKMOKK</t>
        </is>
      </c>
      <c r="G269" t="n">
        <v>2.2</v>
      </c>
      <c r="H269" t="n">
        <v>0</v>
      </c>
      <c r="I269" t="n">
        <v>0</v>
      </c>
      <c r="J269" t="n">
        <v>0</v>
      </c>
      <c r="K269" t="n">
        <v>0</v>
      </c>
      <c r="L269" t="n">
        <v>0</v>
      </c>
      <c r="M269" t="n">
        <v>0</v>
      </c>
      <c r="N269" t="n">
        <v>0</v>
      </c>
      <c r="O269" t="n">
        <v>0</v>
      </c>
      <c r="P269" t="n">
        <v>0</v>
      </c>
      <c r="Q269" t="n">
        <v>0</v>
      </c>
      <c r="R269" s="2" t="inlineStr"/>
    </row>
    <row r="270" ht="15" customHeight="1">
      <c r="A270" t="inlineStr">
        <is>
          <t>A 30310-2024</t>
        </is>
      </c>
      <c r="B270" s="1" t="n">
        <v>45490</v>
      </c>
      <c r="C270" s="1" t="n">
        <v>45969</v>
      </c>
      <c r="D270" t="inlineStr">
        <is>
          <t>NORRBOTTENS LÄN</t>
        </is>
      </c>
      <c r="E270" t="inlineStr">
        <is>
          <t>JOKKMOKK</t>
        </is>
      </c>
      <c r="G270" t="n">
        <v>2.3</v>
      </c>
      <c r="H270" t="n">
        <v>0</v>
      </c>
      <c r="I270" t="n">
        <v>0</v>
      </c>
      <c r="J270" t="n">
        <v>0</v>
      </c>
      <c r="K270" t="n">
        <v>0</v>
      </c>
      <c r="L270" t="n">
        <v>0</v>
      </c>
      <c r="M270" t="n">
        <v>0</v>
      </c>
      <c r="N270" t="n">
        <v>0</v>
      </c>
      <c r="O270" t="n">
        <v>0</v>
      </c>
      <c r="P270" t="n">
        <v>0</v>
      </c>
      <c r="Q270" t="n">
        <v>0</v>
      </c>
      <c r="R270" s="2" t="inlineStr"/>
    </row>
    <row r="271" ht="15" customHeight="1">
      <c r="A271" t="inlineStr">
        <is>
          <t>A 30312-2024</t>
        </is>
      </c>
      <c r="B271" s="1" t="n">
        <v>45490</v>
      </c>
      <c r="C271" s="1" t="n">
        <v>45969</v>
      </c>
      <c r="D271" t="inlineStr">
        <is>
          <t>NORRBOTTENS LÄN</t>
        </is>
      </c>
      <c r="E271" t="inlineStr">
        <is>
          <t>JOKKMOKK</t>
        </is>
      </c>
      <c r="G271" t="n">
        <v>1.6</v>
      </c>
      <c r="H271" t="n">
        <v>0</v>
      </c>
      <c r="I271" t="n">
        <v>0</v>
      </c>
      <c r="J271" t="n">
        <v>0</v>
      </c>
      <c r="K271" t="n">
        <v>0</v>
      </c>
      <c r="L271" t="n">
        <v>0</v>
      </c>
      <c r="M271" t="n">
        <v>0</v>
      </c>
      <c r="N271" t="n">
        <v>0</v>
      </c>
      <c r="O271" t="n">
        <v>0</v>
      </c>
      <c r="P271" t="n">
        <v>0</v>
      </c>
      <c r="Q271" t="n">
        <v>0</v>
      </c>
      <c r="R271" s="2" t="inlineStr"/>
    </row>
    <row r="272" ht="15" customHeight="1">
      <c r="A272" t="inlineStr">
        <is>
          <t>A 32900-2023</t>
        </is>
      </c>
      <c r="B272" s="1" t="n">
        <v>45124</v>
      </c>
      <c r="C272" s="1" t="n">
        <v>45969</v>
      </c>
      <c r="D272" t="inlineStr">
        <is>
          <t>NORRBOTTENS LÄN</t>
        </is>
      </c>
      <c r="E272" t="inlineStr">
        <is>
          <t>JOKKMOKK</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51269-2024</t>
        </is>
      </c>
      <c r="B273" s="1" t="n">
        <v>45603.71284722222</v>
      </c>
      <c r="C273" s="1" t="n">
        <v>45969</v>
      </c>
      <c r="D273" t="inlineStr">
        <is>
          <t>NORRBOTTENS LÄN</t>
        </is>
      </c>
      <c r="E273" t="inlineStr">
        <is>
          <t>JOKKMOKK</t>
        </is>
      </c>
      <c r="F273" t="inlineStr">
        <is>
          <t>Allmännings- och besparingsskogar</t>
        </is>
      </c>
      <c r="G273" t="n">
        <v>4.4</v>
      </c>
      <c r="H273" t="n">
        <v>0</v>
      </c>
      <c r="I273" t="n">
        <v>0</v>
      </c>
      <c r="J273" t="n">
        <v>0</v>
      </c>
      <c r="K273" t="n">
        <v>0</v>
      </c>
      <c r="L273" t="n">
        <v>0</v>
      </c>
      <c r="M273" t="n">
        <v>0</v>
      </c>
      <c r="N273" t="n">
        <v>0</v>
      </c>
      <c r="O273" t="n">
        <v>0</v>
      </c>
      <c r="P273" t="n">
        <v>0</v>
      </c>
      <c r="Q273" t="n">
        <v>0</v>
      </c>
      <c r="R273" s="2" t="inlineStr"/>
    </row>
    <row r="274" ht="15" customHeight="1">
      <c r="A274" t="inlineStr">
        <is>
          <t>A 50436-2024</t>
        </is>
      </c>
      <c r="B274" s="1" t="n">
        <v>45601.4096875</v>
      </c>
      <c r="C274" s="1" t="n">
        <v>45969</v>
      </c>
      <c r="D274" t="inlineStr">
        <is>
          <t>NORRBOTTENS LÄN</t>
        </is>
      </c>
      <c r="E274" t="inlineStr">
        <is>
          <t>JOKKMOKK</t>
        </is>
      </c>
      <c r="F274" t="inlineStr">
        <is>
          <t>Allmännings- och besparingsskogar</t>
        </is>
      </c>
      <c r="G274" t="n">
        <v>6.5</v>
      </c>
      <c r="H274" t="n">
        <v>0</v>
      </c>
      <c r="I274" t="n">
        <v>0</v>
      </c>
      <c r="J274" t="n">
        <v>0</v>
      </c>
      <c r="K274" t="n">
        <v>0</v>
      </c>
      <c r="L274" t="n">
        <v>0</v>
      </c>
      <c r="M274" t="n">
        <v>0</v>
      </c>
      <c r="N274" t="n">
        <v>0</v>
      </c>
      <c r="O274" t="n">
        <v>0</v>
      </c>
      <c r="P274" t="n">
        <v>0</v>
      </c>
      <c r="Q274" t="n">
        <v>0</v>
      </c>
      <c r="R274" s="2" t="inlineStr"/>
    </row>
    <row r="275" ht="15" customHeight="1">
      <c r="A275" t="inlineStr">
        <is>
          <t>A 53172-2024</t>
        </is>
      </c>
      <c r="B275" s="1" t="n">
        <v>45611.65689814815</v>
      </c>
      <c r="C275" s="1" t="n">
        <v>45969</v>
      </c>
      <c r="D275" t="inlineStr">
        <is>
          <t>NORRBOTTENS LÄN</t>
        </is>
      </c>
      <c r="E275" t="inlineStr">
        <is>
          <t>JOKKMOKK</t>
        </is>
      </c>
      <c r="F275" t="inlineStr">
        <is>
          <t>Allmännings- och besparingsskogar</t>
        </is>
      </c>
      <c r="G275" t="n">
        <v>6.5</v>
      </c>
      <c r="H275" t="n">
        <v>0</v>
      </c>
      <c r="I275" t="n">
        <v>0</v>
      </c>
      <c r="J275" t="n">
        <v>0</v>
      </c>
      <c r="K275" t="n">
        <v>0</v>
      </c>
      <c r="L275" t="n">
        <v>0</v>
      </c>
      <c r="M275" t="n">
        <v>0</v>
      </c>
      <c r="N275" t="n">
        <v>0</v>
      </c>
      <c r="O275" t="n">
        <v>0</v>
      </c>
      <c r="P275" t="n">
        <v>0</v>
      </c>
      <c r="Q275" t="n">
        <v>0</v>
      </c>
      <c r="R275" s="2" t="inlineStr"/>
    </row>
    <row r="276" ht="15" customHeight="1">
      <c r="A276" t="inlineStr">
        <is>
          <t>A 2037-2025</t>
        </is>
      </c>
      <c r="B276" s="1" t="n">
        <v>45671</v>
      </c>
      <c r="C276" s="1" t="n">
        <v>45969</v>
      </c>
      <c r="D276" t="inlineStr">
        <is>
          <t>NORRBOTTENS LÄN</t>
        </is>
      </c>
      <c r="E276" t="inlineStr">
        <is>
          <t>JOKKMOKK</t>
        </is>
      </c>
      <c r="G276" t="n">
        <v>5.4</v>
      </c>
      <c r="H276" t="n">
        <v>0</v>
      </c>
      <c r="I276" t="n">
        <v>0</v>
      </c>
      <c r="J276" t="n">
        <v>0</v>
      </c>
      <c r="K276" t="n">
        <v>0</v>
      </c>
      <c r="L276" t="n">
        <v>0</v>
      </c>
      <c r="M276" t="n">
        <v>0</v>
      </c>
      <c r="N276" t="n">
        <v>0</v>
      </c>
      <c r="O276" t="n">
        <v>0</v>
      </c>
      <c r="P276" t="n">
        <v>0</v>
      </c>
      <c r="Q276" t="n">
        <v>0</v>
      </c>
      <c r="R276" s="2" t="inlineStr"/>
    </row>
    <row r="277" ht="15" customHeight="1">
      <c r="A277" t="inlineStr">
        <is>
          <t>A 43886-2025</t>
        </is>
      </c>
      <c r="B277" s="1" t="n">
        <v>45912</v>
      </c>
      <c r="C277" s="1" t="n">
        <v>45969</v>
      </c>
      <c r="D277" t="inlineStr">
        <is>
          <t>NORRBOTTENS LÄN</t>
        </is>
      </c>
      <c r="E277" t="inlineStr">
        <is>
          <t>JOKKMOKK</t>
        </is>
      </c>
      <c r="G277" t="n">
        <v>38.1</v>
      </c>
      <c r="H277" t="n">
        <v>0</v>
      </c>
      <c r="I277" t="n">
        <v>0</v>
      </c>
      <c r="J277" t="n">
        <v>0</v>
      </c>
      <c r="K277" t="n">
        <v>0</v>
      </c>
      <c r="L277" t="n">
        <v>0</v>
      </c>
      <c r="M277" t="n">
        <v>0</v>
      </c>
      <c r="N277" t="n">
        <v>0</v>
      </c>
      <c r="O277" t="n">
        <v>0</v>
      </c>
      <c r="P277" t="n">
        <v>0</v>
      </c>
      <c r="Q277" t="n">
        <v>0</v>
      </c>
      <c r="R277" s="2" t="inlineStr"/>
    </row>
    <row r="278" ht="15" customHeight="1">
      <c r="A278" t="inlineStr">
        <is>
          <t>A 48645-2025</t>
        </is>
      </c>
      <c r="B278" s="1" t="n">
        <v>45935</v>
      </c>
      <c r="C278" s="1" t="n">
        <v>45969</v>
      </c>
      <c r="D278" t="inlineStr">
        <is>
          <t>NORRBOTTENS LÄN</t>
        </is>
      </c>
      <c r="E278" t="inlineStr">
        <is>
          <t>JOKKMOKK</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48946-2025</t>
        </is>
      </c>
      <c r="B279" s="1" t="n">
        <v>45937.53831018518</v>
      </c>
      <c r="C279" s="1" t="n">
        <v>45969</v>
      </c>
      <c r="D279" t="inlineStr">
        <is>
          <t>NORRBOTTENS LÄN</t>
        </is>
      </c>
      <c r="E279" t="inlineStr">
        <is>
          <t>JOKKMOKK</t>
        </is>
      </c>
      <c r="G279" t="n">
        <v>57.3</v>
      </c>
      <c r="H279" t="n">
        <v>0</v>
      </c>
      <c r="I279" t="n">
        <v>0</v>
      </c>
      <c r="J279" t="n">
        <v>0</v>
      </c>
      <c r="K279" t="n">
        <v>0</v>
      </c>
      <c r="L279" t="n">
        <v>0</v>
      </c>
      <c r="M279" t="n">
        <v>0</v>
      </c>
      <c r="N279" t="n">
        <v>0</v>
      </c>
      <c r="O279" t="n">
        <v>0</v>
      </c>
      <c r="P279" t="n">
        <v>0</v>
      </c>
      <c r="Q279" t="n">
        <v>0</v>
      </c>
      <c r="R279" s="2" t="inlineStr"/>
    </row>
    <row r="280" ht="15" customHeight="1">
      <c r="A280" t="inlineStr">
        <is>
          <t>A 52812-2024</t>
        </is>
      </c>
      <c r="B280" s="1" t="n">
        <v>45610.58070601852</v>
      </c>
      <c r="C280" s="1" t="n">
        <v>45969</v>
      </c>
      <c r="D280" t="inlineStr">
        <is>
          <t>NORRBOTTENS LÄN</t>
        </is>
      </c>
      <c r="E280" t="inlineStr">
        <is>
          <t>JOKKMOKK</t>
        </is>
      </c>
      <c r="G280" t="n">
        <v>84</v>
      </c>
      <c r="H280" t="n">
        <v>0</v>
      </c>
      <c r="I280" t="n">
        <v>0</v>
      </c>
      <c r="J280" t="n">
        <v>0</v>
      </c>
      <c r="K280" t="n">
        <v>0</v>
      </c>
      <c r="L280" t="n">
        <v>0</v>
      </c>
      <c r="M280" t="n">
        <v>0</v>
      </c>
      <c r="N280" t="n">
        <v>0</v>
      </c>
      <c r="O280" t="n">
        <v>0</v>
      </c>
      <c r="P280" t="n">
        <v>0</v>
      </c>
      <c r="Q280" t="n">
        <v>0</v>
      </c>
      <c r="R280" s="2" t="inlineStr"/>
    </row>
    <row r="281" ht="15" customHeight="1">
      <c r="A281" t="inlineStr">
        <is>
          <t>A 28090-2023</t>
        </is>
      </c>
      <c r="B281" s="1" t="n">
        <v>45099</v>
      </c>
      <c r="C281" s="1" t="n">
        <v>45969</v>
      </c>
      <c r="D281" t="inlineStr">
        <is>
          <t>NORRBOTTENS LÄN</t>
        </is>
      </c>
      <c r="E281" t="inlineStr">
        <is>
          <t>JOKKMOKK</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42481-2024</t>
        </is>
      </c>
      <c r="B282" s="1" t="n">
        <v>45565.49210648148</v>
      </c>
      <c r="C282" s="1" t="n">
        <v>45969</v>
      </c>
      <c r="D282" t="inlineStr">
        <is>
          <t>NORRBOTTENS LÄN</t>
        </is>
      </c>
      <c r="E282" t="inlineStr">
        <is>
          <t>JOKKMOKK</t>
        </is>
      </c>
      <c r="F282" t="inlineStr">
        <is>
          <t>SCA</t>
        </is>
      </c>
      <c r="G282" t="n">
        <v>25.2</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45969</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45969</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21829-2025</t>
        </is>
      </c>
      <c r="B285" s="1" t="n">
        <v>45783.96920138889</v>
      </c>
      <c r="C285" s="1" t="n">
        <v>45969</v>
      </c>
      <c r="D285" t="inlineStr">
        <is>
          <t>NORRBOTTENS LÄN</t>
        </is>
      </c>
      <c r="E285" t="inlineStr">
        <is>
          <t>JOKKMOKK</t>
        </is>
      </c>
      <c r="G285" t="n">
        <v>7.1</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45969</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49475-2025</t>
        </is>
      </c>
      <c r="B287" s="1" t="n">
        <v>45939.34488425926</v>
      </c>
      <c r="C287" s="1" t="n">
        <v>45969</v>
      </c>
      <c r="D287" t="inlineStr">
        <is>
          <t>NORRBOTTENS LÄN</t>
        </is>
      </c>
      <c r="E287" t="inlineStr">
        <is>
          <t>JOKKMOKK</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71369-2021</t>
        </is>
      </c>
      <c r="B288" s="1" t="n">
        <v>44539.94476851852</v>
      </c>
      <c r="C288" s="1" t="n">
        <v>45969</v>
      </c>
      <c r="D288" t="inlineStr">
        <is>
          <t>NORRBOTTENS LÄN</t>
        </is>
      </c>
      <c r="E288" t="inlineStr">
        <is>
          <t>JOKKMOKK</t>
        </is>
      </c>
      <c r="F288" t="inlineStr">
        <is>
          <t>SCA</t>
        </is>
      </c>
      <c r="G288" t="n">
        <v>15.7</v>
      </c>
      <c r="H288" t="n">
        <v>0</v>
      </c>
      <c r="I288" t="n">
        <v>0</v>
      </c>
      <c r="J288" t="n">
        <v>0</v>
      </c>
      <c r="K288" t="n">
        <v>0</v>
      </c>
      <c r="L288" t="n">
        <v>0</v>
      </c>
      <c r="M288" t="n">
        <v>0</v>
      </c>
      <c r="N288" t="n">
        <v>0</v>
      </c>
      <c r="O288" t="n">
        <v>0</v>
      </c>
      <c r="P288" t="n">
        <v>0</v>
      </c>
      <c r="Q288" t="n">
        <v>0</v>
      </c>
      <c r="R288" s="2" t="inlineStr"/>
    </row>
    <row r="289" ht="15" customHeight="1">
      <c r="A289" t="inlineStr">
        <is>
          <t>A 59793-2024</t>
        </is>
      </c>
      <c r="B289" s="1" t="n">
        <v>45639.58967592593</v>
      </c>
      <c r="C289" s="1" t="n">
        <v>45969</v>
      </c>
      <c r="D289" t="inlineStr">
        <is>
          <t>NORRBOTTENS LÄN</t>
        </is>
      </c>
      <c r="E289" t="inlineStr">
        <is>
          <t>JOKKMOKK</t>
        </is>
      </c>
      <c r="F289" t="inlineStr">
        <is>
          <t>Sveaskog</t>
        </is>
      </c>
      <c r="G289" t="n">
        <v>10.8</v>
      </c>
      <c r="H289" t="n">
        <v>0</v>
      </c>
      <c r="I289" t="n">
        <v>0</v>
      </c>
      <c r="J289" t="n">
        <v>0</v>
      </c>
      <c r="K289" t="n">
        <v>0</v>
      </c>
      <c r="L289" t="n">
        <v>0</v>
      </c>
      <c r="M289" t="n">
        <v>0</v>
      </c>
      <c r="N289" t="n">
        <v>0</v>
      </c>
      <c r="O289" t="n">
        <v>0</v>
      </c>
      <c r="P289" t="n">
        <v>0</v>
      </c>
      <c r="Q289" t="n">
        <v>0</v>
      </c>
      <c r="R289" s="2" t="inlineStr"/>
    </row>
    <row r="290" ht="15" customHeight="1">
      <c r="A290" t="inlineStr">
        <is>
          <t>A 39684-2023</t>
        </is>
      </c>
      <c r="B290" s="1" t="n">
        <v>45166</v>
      </c>
      <c r="C290" s="1" t="n">
        <v>45969</v>
      </c>
      <c r="D290" t="inlineStr">
        <is>
          <t>NORRBOTTENS LÄN</t>
        </is>
      </c>
      <c r="E290" t="inlineStr">
        <is>
          <t>JOKKMOKK</t>
        </is>
      </c>
      <c r="G290" t="n">
        <v>6.8</v>
      </c>
      <c r="H290" t="n">
        <v>0</v>
      </c>
      <c r="I290" t="n">
        <v>0</v>
      </c>
      <c r="J290" t="n">
        <v>0</v>
      </c>
      <c r="K290" t="n">
        <v>0</v>
      </c>
      <c r="L290" t="n">
        <v>0</v>
      </c>
      <c r="M290" t="n">
        <v>0</v>
      </c>
      <c r="N290" t="n">
        <v>0</v>
      </c>
      <c r="O290" t="n">
        <v>0</v>
      </c>
      <c r="P290" t="n">
        <v>0</v>
      </c>
      <c r="Q290" t="n">
        <v>0</v>
      </c>
      <c r="R290" s="2" t="inlineStr"/>
    </row>
    <row r="291" ht="15" customHeight="1">
      <c r="A291" t="inlineStr">
        <is>
          <t>A 49896-2025</t>
        </is>
      </c>
      <c r="B291" s="1" t="n">
        <v>45940.58270833334</v>
      </c>
      <c r="C291" s="1" t="n">
        <v>45969</v>
      </c>
      <c r="D291" t="inlineStr">
        <is>
          <t>NORRBOTTENS LÄN</t>
        </is>
      </c>
      <c r="E291" t="inlineStr">
        <is>
          <t>JOKKMOKK</t>
        </is>
      </c>
      <c r="F291" t="inlineStr">
        <is>
          <t>Sveaskog</t>
        </is>
      </c>
      <c r="G291" t="n">
        <v>7.6</v>
      </c>
      <c r="H291" t="n">
        <v>0</v>
      </c>
      <c r="I291" t="n">
        <v>0</v>
      </c>
      <c r="J291" t="n">
        <v>0</v>
      </c>
      <c r="K291" t="n">
        <v>0</v>
      </c>
      <c r="L291" t="n">
        <v>0</v>
      </c>
      <c r="M291" t="n">
        <v>0</v>
      </c>
      <c r="N291" t="n">
        <v>0</v>
      </c>
      <c r="O291" t="n">
        <v>0</v>
      </c>
      <c r="P291" t="n">
        <v>0</v>
      </c>
      <c r="Q291" t="n">
        <v>0</v>
      </c>
      <c r="R291" s="2" t="inlineStr"/>
    </row>
    <row r="292" ht="15" customHeight="1">
      <c r="A292" t="inlineStr">
        <is>
          <t>A 9860-2023</t>
        </is>
      </c>
      <c r="B292" s="1" t="n">
        <v>44984</v>
      </c>
      <c r="C292" s="1" t="n">
        <v>45969</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9863-2023</t>
        </is>
      </c>
      <c r="B293" s="1" t="n">
        <v>44984</v>
      </c>
      <c r="C293" s="1" t="n">
        <v>45969</v>
      </c>
      <c r="D293" t="inlineStr">
        <is>
          <t>NORRBOTTENS LÄN</t>
        </is>
      </c>
      <c r="E293" t="inlineStr">
        <is>
          <t>JOKKMOKK</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9872-2023</t>
        </is>
      </c>
      <c r="B294" s="1" t="n">
        <v>44984</v>
      </c>
      <c r="C294" s="1" t="n">
        <v>45969</v>
      </c>
      <c r="D294" t="inlineStr">
        <is>
          <t>NORRBOTTENS LÄN</t>
        </is>
      </c>
      <c r="E294" t="inlineStr">
        <is>
          <t>JOKKMOKK</t>
        </is>
      </c>
      <c r="F294" t="inlineStr">
        <is>
          <t>SCA</t>
        </is>
      </c>
      <c r="G294" t="n">
        <v>3</v>
      </c>
      <c r="H294" t="n">
        <v>0</v>
      </c>
      <c r="I294" t="n">
        <v>0</v>
      </c>
      <c r="J294" t="n">
        <v>0</v>
      </c>
      <c r="K294" t="n">
        <v>0</v>
      </c>
      <c r="L294" t="n">
        <v>0</v>
      </c>
      <c r="M294" t="n">
        <v>0</v>
      </c>
      <c r="N294" t="n">
        <v>0</v>
      </c>
      <c r="O294" t="n">
        <v>0</v>
      </c>
      <c r="P294" t="n">
        <v>0</v>
      </c>
      <c r="Q294" t="n">
        <v>0</v>
      </c>
      <c r="R294" s="2" t="inlineStr"/>
    </row>
    <row r="295" ht="15" customHeight="1">
      <c r="A295" t="inlineStr">
        <is>
          <t>A 9873-2023</t>
        </is>
      </c>
      <c r="B295" s="1" t="n">
        <v>44984</v>
      </c>
      <c r="C295" s="1" t="n">
        <v>45969</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9877-2023</t>
        </is>
      </c>
      <c r="B296" s="1" t="n">
        <v>44984.94033564815</v>
      </c>
      <c r="C296" s="1" t="n">
        <v>45969</v>
      </c>
      <c r="D296" t="inlineStr">
        <is>
          <t>NORRBOTTENS LÄN</t>
        </is>
      </c>
      <c r="E296" t="inlineStr">
        <is>
          <t>JOKKMOKK</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51293-2024</t>
        </is>
      </c>
      <c r="B297" s="1" t="n">
        <v>45603.92878472222</v>
      </c>
      <c r="C297" s="1" t="n">
        <v>45969</v>
      </c>
      <c r="D297" t="inlineStr">
        <is>
          <t>NORRBOTTENS LÄN</t>
        </is>
      </c>
      <c r="E297" t="inlineStr">
        <is>
          <t>JOKKMOKK</t>
        </is>
      </c>
      <c r="G297" t="n">
        <v>2.5</v>
      </c>
      <c r="H297" t="n">
        <v>0</v>
      </c>
      <c r="I297" t="n">
        <v>0</v>
      </c>
      <c r="J297" t="n">
        <v>0</v>
      </c>
      <c r="K297" t="n">
        <v>0</v>
      </c>
      <c r="L297" t="n">
        <v>0</v>
      </c>
      <c r="M297" t="n">
        <v>0</v>
      </c>
      <c r="N297" t="n">
        <v>0</v>
      </c>
      <c r="O297" t="n">
        <v>0</v>
      </c>
      <c r="P297" t="n">
        <v>0</v>
      </c>
      <c r="Q297" t="n">
        <v>0</v>
      </c>
      <c r="R297" s="2" t="inlineStr"/>
    </row>
    <row r="298" ht="15" customHeight="1">
      <c r="A298" t="inlineStr">
        <is>
          <t>A 40756-2025</t>
        </is>
      </c>
      <c r="B298" s="1" t="n">
        <v>45897.38686342593</v>
      </c>
      <c r="C298" s="1" t="n">
        <v>45969</v>
      </c>
      <c r="D298" t="inlineStr">
        <is>
          <t>NORRBOTTENS LÄN</t>
        </is>
      </c>
      <c r="E298" t="inlineStr">
        <is>
          <t>JOKKMOKK</t>
        </is>
      </c>
      <c r="G298" t="n">
        <v>24.7</v>
      </c>
      <c r="H298" t="n">
        <v>0</v>
      </c>
      <c r="I298" t="n">
        <v>0</v>
      </c>
      <c r="J298" t="n">
        <v>0</v>
      </c>
      <c r="K298" t="n">
        <v>0</v>
      </c>
      <c r="L298" t="n">
        <v>0</v>
      </c>
      <c r="M298" t="n">
        <v>0</v>
      </c>
      <c r="N298" t="n">
        <v>0</v>
      </c>
      <c r="O298" t="n">
        <v>0</v>
      </c>
      <c r="P298" t="n">
        <v>0</v>
      </c>
      <c r="Q298" t="n">
        <v>0</v>
      </c>
      <c r="R298" s="2" t="inlineStr"/>
    </row>
    <row r="299" ht="15" customHeight="1">
      <c r="A299" t="inlineStr">
        <is>
          <t>A 40779-2025</t>
        </is>
      </c>
      <c r="B299" s="1" t="n">
        <v>45897</v>
      </c>
      <c r="C299" s="1" t="n">
        <v>45969</v>
      </c>
      <c r="D299" t="inlineStr">
        <is>
          <t>NORRBOTTENS LÄN</t>
        </is>
      </c>
      <c r="E299" t="inlineStr">
        <is>
          <t>JOKKMOKK</t>
        </is>
      </c>
      <c r="F299" t="inlineStr">
        <is>
          <t>Sveaskog</t>
        </is>
      </c>
      <c r="G299" t="n">
        <v>53.8</v>
      </c>
      <c r="H299" t="n">
        <v>0</v>
      </c>
      <c r="I299" t="n">
        <v>0</v>
      </c>
      <c r="J299" t="n">
        <v>0</v>
      </c>
      <c r="K299" t="n">
        <v>0</v>
      </c>
      <c r="L299" t="n">
        <v>0</v>
      </c>
      <c r="M299" t="n">
        <v>0</v>
      </c>
      <c r="N299" t="n">
        <v>0</v>
      </c>
      <c r="O299" t="n">
        <v>0</v>
      </c>
      <c r="P299" t="n">
        <v>0</v>
      </c>
      <c r="Q299" t="n">
        <v>0</v>
      </c>
      <c r="R299" s="2" t="inlineStr"/>
    </row>
    <row r="300" ht="15" customHeight="1">
      <c r="A300" t="inlineStr">
        <is>
          <t>A 23203-2024</t>
        </is>
      </c>
      <c r="B300" s="1" t="n">
        <v>45451</v>
      </c>
      <c r="C300" s="1" t="n">
        <v>45969</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17784-2025</t>
        </is>
      </c>
      <c r="B301" s="1" t="n">
        <v>45758</v>
      </c>
      <c r="C301" s="1" t="n">
        <v>45969</v>
      </c>
      <c r="D301" t="inlineStr">
        <is>
          <t>NORRBOTTENS LÄN</t>
        </is>
      </c>
      <c r="E301" t="inlineStr">
        <is>
          <t>JOKKMOKK</t>
        </is>
      </c>
      <c r="F301" t="inlineStr">
        <is>
          <t>SCA</t>
        </is>
      </c>
      <c r="G301" t="n">
        <v>11.2</v>
      </c>
      <c r="H301" t="n">
        <v>0</v>
      </c>
      <c r="I301" t="n">
        <v>0</v>
      </c>
      <c r="J301" t="n">
        <v>0</v>
      </c>
      <c r="K301" t="n">
        <v>0</v>
      </c>
      <c r="L301" t="n">
        <v>0</v>
      </c>
      <c r="M301" t="n">
        <v>0</v>
      </c>
      <c r="N301" t="n">
        <v>0</v>
      </c>
      <c r="O301" t="n">
        <v>0</v>
      </c>
      <c r="P301" t="n">
        <v>0</v>
      </c>
      <c r="Q301" t="n">
        <v>0</v>
      </c>
      <c r="R301" s="2" t="inlineStr"/>
    </row>
    <row r="302" ht="15" customHeight="1">
      <c r="A302" t="inlineStr">
        <is>
          <t>A 16018-2024</t>
        </is>
      </c>
      <c r="B302" s="1" t="n">
        <v>45405.67028935185</v>
      </c>
      <c r="C302" s="1" t="n">
        <v>45969</v>
      </c>
      <c r="D302" t="inlineStr">
        <is>
          <t>NORRBOTTENS LÄN</t>
        </is>
      </c>
      <c r="E302" t="inlineStr">
        <is>
          <t>JOKKMOKK</t>
        </is>
      </c>
      <c r="G302" t="n">
        <v>1.8</v>
      </c>
      <c r="H302" t="n">
        <v>0</v>
      </c>
      <c r="I302" t="n">
        <v>0</v>
      </c>
      <c r="J302" t="n">
        <v>0</v>
      </c>
      <c r="K302" t="n">
        <v>0</v>
      </c>
      <c r="L302" t="n">
        <v>0</v>
      </c>
      <c r="M302" t="n">
        <v>0</v>
      </c>
      <c r="N302" t="n">
        <v>0</v>
      </c>
      <c r="O302" t="n">
        <v>0</v>
      </c>
      <c r="P302" t="n">
        <v>0</v>
      </c>
      <c r="Q302" t="n">
        <v>0</v>
      </c>
      <c r="R302" s="2" t="inlineStr"/>
    </row>
    <row r="303" ht="15" customHeight="1">
      <c r="A303" t="inlineStr">
        <is>
          <t>A 40808-2025</t>
        </is>
      </c>
      <c r="B303" s="1" t="n">
        <v>45897.46922453704</v>
      </c>
      <c r="C303" s="1" t="n">
        <v>45969</v>
      </c>
      <c r="D303" t="inlineStr">
        <is>
          <t>NORRBOTTENS LÄN</t>
        </is>
      </c>
      <c r="E303" t="inlineStr">
        <is>
          <t>JOKKMOKK</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23317-2025</t>
        </is>
      </c>
      <c r="B304" s="1" t="n">
        <v>45791.61278935185</v>
      </c>
      <c r="C304" s="1" t="n">
        <v>45969</v>
      </c>
      <c r="D304" t="inlineStr">
        <is>
          <t>NORRBOTTENS LÄN</t>
        </is>
      </c>
      <c r="E304" t="inlineStr">
        <is>
          <t>JOKKMOKK</t>
        </is>
      </c>
      <c r="F304" t="inlineStr">
        <is>
          <t>Sveaskog</t>
        </is>
      </c>
      <c r="G304" t="n">
        <v>22.4</v>
      </c>
      <c r="H304" t="n">
        <v>0</v>
      </c>
      <c r="I304" t="n">
        <v>0</v>
      </c>
      <c r="J304" t="n">
        <v>0</v>
      </c>
      <c r="K304" t="n">
        <v>0</v>
      </c>
      <c r="L304" t="n">
        <v>0</v>
      </c>
      <c r="M304" t="n">
        <v>0</v>
      </c>
      <c r="N304" t="n">
        <v>0</v>
      </c>
      <c r="O304" t="n">
        <v>0</v>
      </c>
      <c r="P304" t="n">
        <v>0</v>
      </c>
      <c r="Q304" t="n">
        <v>0</v>
      </c>
      <c r="R304" s="2" t="inlineStr"/>
    </row>
    <row r="305" ht="15" customHeight="1">
      <c r="A305" t="inlineStr">
        <is>
          <t>A 32899-2023</t>
        </is>
      </c>
      <c r="B305" s="1" t="n">
        <v>45124</v>
      </c>
      <c r="C305" s="1" t="n">
        <v>45969</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49856-2025</t>
        </is>
      </c>
      <c r="B306" s="1" t="n">
        <v>45940.50591435185</v>
      </c>
      <c r="C306" s="1" t="n">
        <v>45969</v>
      </c>
      <c r="D306" t="inlineStr">
        <is>
          <t>NORRBOTTENS LÄN</t>
        </is>
      </c>
      <c r="E306" t="inlineStr">
        <is>
          <t>JOKKMOKK</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3055-2025</t>
        </is>
      </c>
      <c r="B307" s="1" t="n">
        <v>45678.61530092593</v>
      </c>
      <c r="C307" s="1" t="n">
        <v>45969</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41403-2025</t>
        </is>
      </c>
      <c r="B308" s="1" t="n">
        <v>45901.344375</v>
      </c>
      <c r="C308" s="1" t="n">
        <v>45969</v>
      </c>
      <c r="D308" t="inlineStr">
        <is>
          <t>NORRBOTTENS LÄN</t>
        </is>
      </c>
      <c r="E308" t="inlineStr">
        <is>
          <t>JOKKMOKK</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42639-2024</t>
        </is>
      </c>
      <c r="B309" s="1" t="n">
        <v>45565.91135416667</v>
      </c>
      <c r="C309" s="1" t="n">
        <v>45969</v>
      </c>
      <c r="D309" t="inlineStr">
        <is>
          <t>NORRBOTTENS LÄN</t>
        </is>
      </c>
      <c r="E309" t="inlineStr">
        <is>
          <t>JOKKMOKK</t>
        </is>
      </c>
      <c r="G309" t="n">
        <v>34.5</v>
      </c>
      <c r="H309" t="n">
        <v>0</v>
      </c>
      <c r="I309" t="n">
        <v>0</v>
      </c>
      <c r="J309" t="n">
        <v>0</v>
      </c>
      <c r="K309" t="n">
        <v>0</v>
      </c>
      <c r="L309" t="n">
        <v>0</v>
      </c>
      <c r="M309" t="n">
        <v>0</v>
      </c>
      <c r="N309" t="n">
        <v>0</v>
      </c>
      <c r="O309" t="n">
        <v>0</v>
      </c>
      <c r="P309" t="n">
        <v>0</v>
      </c>
      <c r="Q309" t="n">
        <v>0</v>
      </c>
      <c r="R309" s="2" t="inlineStr"/>
    </row>
    <row r="310" ht="15" customHeight="1">
      <c r="A310" t="inlineStr">
        <is>
          <t>A 50185-2025</t>
        </is>
      </c>
      <c r="B310" s="1" t="n">
        <v>45943.62515046296</v>
      </c>
      <c r="C310" s="1" t="n">
        <v>45969</v>
      </c>
      <c r="D310" t="inlineStr">
        <is>
          <t>NORRBOTTENS LÄN</t>
        </is>
      </c>
      <c r="E310" t="inlineStr">
        <is>
          <t>JOKKMOKK</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52181-2023</t>
        </is>
      </c>
      <c r="B311" s="1" t="n">
        <v>45224</v>
      </c>
      <c r="C311" s="1" t="n">
        <v>45969</v>
      </c>
      <c r="D311" t="inlineStr">
        <is>
          <t>NORRBOTTENS LÄN</t>
        </is>
      </c>
      <c r="E311" t="inlineStr">
        <is>
          <t>JOKKMOKK</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49978-2025</t>
        </is>
      </c>
      <c r="B312" s="1" t="n">
        <v>45942.61520833334</v>
      </c>
      <c r="C312" s="1" t="n">
        <v>45969</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9852-2023</t>
        </is>
      </c>
      <c r="B313" s="1" t="n">
        <v>44984</v>
      </c>
      <c r="C313" s="1" t="n">
        <v>45969</v>
      </c>
      <c r="D313" t="inlineStr">
        <is>
          <t>NORRBOTTENS LÄN</t>
        </is>
      </c>
      <c r="E313" t="inlineStr">
        <is>
          <t>JOKKMOKK</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60193-2023</t>
        </is>
      </c>
      <c r="B314" s="1" t="n">
        <v>45258</v>
      </c>
      <c r="C314" s="1" t="n">
        <v>45969</v>
      </c>
      <c r="D314" t="inlineStr">
        <is>
          <t>NORRBOTTENS LÄN</t>
        </is>
      </c>
      <c r="E314" t="inlineStr">
        <is>
          <t>JOKKMOKK</t>
        </is>
      </c>
      <c r="F314" t="inlineStr">
        <is>
          <t>Allmännings- och besparingsskogar</t>
        </is>
      </c>
      <c r="G314" t="n">
        <v>11.1</v>
      </c>
      <c r="H314" t="n">
        <v>0</v>
      </c>
      <c r="I314" t="n">
        <v>0</v>
      </c>
      <c r="J314" t="n">
        <v>0</v>
      </c>
      <c r="K314" t="n">
        <v>0</v>
      </c>
      <c r="L314" t="n">
        <v>0</v>
      </c>
      <c r="M314" t="n">
        <v>0</v>
      </c>
      <c r="N314" t="n">
        <v>0</v>
      </c>
      <c r="O314" t="n">
        <v>0</v>
      </c>
      <c r="P314" t="n">
        <v>0</v>
      </c>
      <c r="Q314" t="n">
        <v>0</v>
      </c>
      <c r="R314" s="2" t="inlineStr"/>
    </row>
    <row r="315" ht="15" customHeight="1">
      <c r="A315" t="inlineStr">
        <is>
          <t>A 28036-2024</t>
        </is>
      </c>
      <c r="B315" s="1" t="n">
        <v>45476.49958333333</v>
      </c>
      <c r="C315" s="1" t="n">
        <v>45969</v>
      </c>
      <c r="D315" t="inlineStr">
        <is>
          <t>NORRBOTTENS LÄN</t>
        </is>
      </c>
      <c r="E315" t="inlineStr">
        <is>
          <t>JOKKMOKK</t>
        </is>
      </c>
      <c r="G315" t="n">
        <v>7.4</v>
      </c>
      <c r="H315" t="n">
        <v>0</v>
      </c>
      <c r="I315" t="n">
        <v>0</v>
      </c>
      <c r="J315" t="n">
        <v>0</v>
      </c>
      <c r="K315" t="n">
        <v>0</v>
      </c>
      <c r="L315" t="n">
        <v>0</v>
      </c>
      <c r="M315" t="n">
        <v>0</v>
      </c>
      <c r="N315" t="n">
        <v>0</v>
      </c>
      <c r="O315" t="n">
        <v>0</v>
      </c>
      <c r="P315" t="n">
        <v>0</v>
      </c>
      <c r="Q315" t="n">
        <v>0</v>
      </c>
      <c r="R315" s="2" t="inlineStr"/>
    </row>
    <row r="316" ht="15" customHeight="1">
      <c r="A316" t="inlineStr">
        <is>
          <t>A 50717-2025</t>
        </is>
      </c>
      <c r="B316" s="1" t="n">
        <v>45946.34598379629</v>
      </c>
      <c r="C316" s="1" t="n">
        <v>45969</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50723-2025</t>
        </is>
      </c>
      <c r="B317" s="1" t="n">
        <v>45946.34690972222</v>
      </c>
      <c r="C317" s="1" t="n">
        <v>45969</v>
      </c>
      <c r="D317" t="inlineStr">
        <is>
          <t>NORRBOTTENS LÄN</t>
        </is>
      </c>
      <c r="E317" t="inlineStr">
        <is>
          <t>JOKKMOKK</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50651-2024</t>
        </is>
      </c>
      <c r="B318" s="1" t="n">
        <v>45601.70364583333</v>
      </c>
      <c r="C318" s="1" t="n">
        <v>45969</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24746-2025</t>
        </is>
      </c>
      <c r="B319" s="1" t="n">
        <v>45799.34662037037</v>
      </c>
      <c r="C319" s="1" t="n">
        <v>45969</v>
      </c>
      <c r="D319" t="inlineStr">
        <is>
          <t>NORRBOTTENS LÄN</t>
        </is>
      </c>
      <c r="E319" t="inlineStr">
        <is>
          <t>JOKKMOKK</t>
        </is>
      </c>
      <c r="F319" t="inlineStr">
        <is>
          <t>SCA</t>
        </is>
      </c>
      <c r="G319" t="n">
        <v>6.1</v>
      </c>
      <c r="H319" t="n">
        <v>0</v>
      </c>
      <c r="I319" t="n">
        <v>0</v>
      </c>
      <c r="J319" t="n">
        <v>0</v>
      </c>
      <c r="K319" t="n">
        <v>0</v>
      </c>
      <c r="L319" t="n">
        <v>0</v>
      </c>
      <c r="M319" t="n">
        <v>0</v>
      </c>
      <c r="N319" t="n">
        <v>0</v>
      </c>
      <c r="O319" t="n">
        <v>0</v>
      </c>
      <c r="P319" t="n">
        <v>0</v>
      </c>
      <c r="Q319" t="n">
        <v>0</v>
      </c>
      <c r="R319" s="2" t="inlineStr"/>
    </row>
    <row r="320" ht="15" customHeight="1">
      <c r="A320" t="inlineStr">
        <is>
          <t>A 40432-2024</t>
        </is>
      </c>
      <c r="B320" s="1" t="n">
        <v>45555.47401620371</v>
      </c>
      <c r="C320" s="1" t="n">
        <v>45969</v>
      </c>
      <c r="D320" t="inlineStr">
        <is>
          <t>NORRBOTTENS LÄN</t>
        </is>
      </c>
      <c r="E320" t="inlineStr">
        <is>
          <t>JOKKMOKK</t>
        </is>
      </c>
      <c r="G320" t="n">
        <v>0.5</v>
      </c>
      <c r="H320" t="n">
        <v>0</v>
      </c>
      <c r="I320" t="n">
        <v>0</v>
      </c>
      <c r="J320" t="n">
        <v>0</v>
      </c>
      <c r="K320" t="n">
        <v>0</v>
      </c>
      <c r="L320" t="n">
        <v>0</v>
      </c>
      <c r="M320" t="n">
        <v>0</v>
      </c>
      <c r="N320" t="n">
        <v>0</v>
      </c>
      <c r="O320" t="n">
        <v>0</v>
      </c>
      <c r="P320" t="n">
        <v>0</v>
      </c>
      <c r="Q320" t="n">
        <v>0</v>
      </c>
      <c r="R320" s="2" t="inlineStr"/>
    </row>
    <row r="321" ht="15" customHeight="1">
      <c r="A321" t="inlineStr">
        <is>
          <t>A 7845-2024</t>
        </is>
      </c>
      <c r="B321" s="1" t="n">
        <v>45349</v>
      </c>
      <c r="C321" s="1" t="n">
        <v>45969</v>
      </c>
      <c r="D321" t="inlineStr">
        <is>
          <t>NORRBOTTENS LÄN</t>
        </is>
      </c>
      <c r="E321" t="inlineStr">
        <is>
          <t>JOKKMOKK</t>
        </is>
      </c>
      <c r="G321" t="n">
        <v>3</v>
      </c>
      <c r="H321" t="n">
        <v>0</v>
      </c>
      <c r="I321" t="n">
        <v>0</v>
      </c>
      <c r="J321" t="n">
        <v>0</v>
      </c>
      <c r="K321" t="n">
        <v>0</v>
      </c>
      <c r="L321" t="n">
        <v>0</v>
      </c>
      <c r="M321" t="n">
        <v>0</v>
      </c>
      <c r="N321" t="n">
        <v>0</v>
      </c>
      <c r="O321" t="n">
        <v>0</v>
      </c>
      <c r="P321" t="n">
        <v>0</v>
      </c>
      <c r="Q321" t="n">
        <v>0</v>
      </c>
      <c r="R321" s="2" t="inlineStr"/>
    </row>
    <row r="322" ht="15" customHeight="1">
      <c r="A322" t="inlineStr">
        <is>
          <t>A 24740-2025</t>
        </is>
      </c>
      <c r="B322" s="1" t="n">
        <v>45799.34543981482</v>
      </c>
      <c r="C322" s="1" t="n">
        <v>45969</v>
      </c>
      <c r="D322" t="inlineStr">
        <is>
          <t>NORRBOTTENS LÄN</t>
        </is>
      </c>
      <c r="E322" t="inlineStr">
        <is>
          <t>JOKKMOKK</t>
        </is>
      </c>
      <c r="F322" t="inlineStr">
        <is>
          <t>SCA</t>
        </is>
      </c>
      <c r="G322" t="n">
        <v>5.9</v>
      </c>
      <c r="H322" t="n">
        <v>0</v>
      </c>
      <c r="I322" t="n">
        <v>0</v>
      </c>
      <c r="J322" t="n">
        <v>0</v>
      </c>
      <c r="K322" t="n">
        <v>0</v>
      </c>
      <c r="L322" t="n">
        <v>0</v>
      </c>
      <c r="M322" t="n">
        <v>0</v>
      </c>
      <c r="N322" t="n">
        <v>0</v>
      </c>
      <c r="O322" t="n">
        <v>0</v>
      </c>
      <c r="P322" t="n">
        <v>0</v>
      </c>
      <c r="Q322" t="n">
        <v>0</v>
      </c>
      <c r="R322" s="2" t="inlineStr"/>
    </row>
    <row r="323" ht="15" customHeight="1">
      <c r="A323" t="inlineStr">
        <is>
          <t>A 24743-2025</t>
        </is>
      </c>
      <c r="B323" s="1" t="n">
        <v>45799.34598379629</v>
      </c>
      <c r="C323" s="1" t="n">
        <v>45969</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11657-2024</t>
        </is>
      </c>
      <c r="B324" s="1" t="n">
        <v>45373</v>
      </c>
      <c r="C324" s="1" t="n">
        <v>45969</v>
      </c>
      <c r="D324" t="inlineStr">
        <is>
          <t>NORRBOTTENS LÄN</t>
        </is>
      </c>
      <c r="E324" t="inlineStr">
        <is>
          <t>JOKKMOKK</t>
        </is>
      </c>
      <c r="G324" t="n">
        <v>14.3</v>
      </c>
      <c r="H324" t="n">
        <v>0</v>
      </c>
      <c r="I324" t="n">
        <v>0</v>
      </c>
      <c r="J324" t="n">
        <v>0</v>
      </c>
      <c r="K324" t="n">
        <v>0</v>
      </c>
      <c r="L324" t="n">
        <v>0</v>
      </c>
      <c r="M324" t="n">
        <v>0</v>
      </c>
      <c r="N324" t="n">
        <v>0</v>
      </c>
      <c r="O324" t="n">
        <v>0</v>
      </c>
      <c r="P324" t="n">
        <v>0</v>
      </c>
      <c r="Q324" t="n">
        <v>0</v>
      </c>
      <c r="R324" s="2" t="inlineStr"/>
    </row>
    <row r="325" ht="15" customHeight="1">
      <c r="A325" t="inlineStr">
        <is>
          <t>A 60418-2023</t>
        </is>
      </c>
      <c r="B325" s="1" t="n">
        <v>45259.49666666667</v>
      </c>
      <c r="C325" s="1" t="n">
        <v>45969</v>
      </c>
      <c r="D325" t="inlineStr">
        <is>
          <t>NORRBOTTENS LÄN</t>
        </is>
      </c>
      <c r="E325" t="inlineStr">
        <is>
          <t>JOKKMOKK</t>
        </is>
      </c>
      <c r="F325" t="inlineStr">
        <is>
          <t>Allmännings- och besparingsskogar</t>
        </is>
      </c>
      <c r="G325" t="n">
        <v>12.7</v>
      </c>
      <c r="H325" t="n">
        <v>0</v>
      </c>
      <c r="I325" t="n">
        <v>0</v>
      </c>
      <c r="J325" t="n">
        <v>0</v>
      </c>
      <c r="K325" t="n">
        <v>0</v>
      </c>
      <c r="L325" t="n">
        <v>0</v>
      </c>
      <c r="M325" t="n">
        <v>0</v>
      </c>
      <c r="N325" t="n">
        <v>0</v>
      </c>
      <c r="O325" t="n">
        <v>0</v>
      </c>
      <c r="P325" t="n">
        <v>0</v>
      </c>
      <c r="Q325" t="n">
        <v>0</v>
      </c>
      <c r="R325" s="2" t="inlineStr"/>
    </row>
    <row r="326" ht="15" customHeight="1">
      <c r="A326" t="inlineStr">
        <is>
          <t>A 42322-2025</t>
        </is>
      </c>
      <c r="B326" s="1" t="n">
        <v>45904</v>
      </c>
      <c r="C326" s="1" t="n">
        <v>45969</v>
      </c>
      <c r="D326" t="inlineStr">
        <is>
          <t>NORRBOTTENS LÄN</t>
        </is>
      </c>
      <c r="E326" t="inlineStr">
        <is>
          <t>JOKKMOKK</t>
        </is>
      </c>
      <c r="G326" t="n">
        <v>3.8</v>
      </c>
      <c r="H326" t="n">
        <v>0</v>
      </c>
      <c r="I326" t="n">
        <v>0</v>
      </c>
      <c r="J326" t="n">
        <v>0</v>
      </c>
      <c r="K326" t="n">
        <v>0</v>
      </c>
      <c r="L326" t="n">
        <v>0</v>
      </c>
      <c r="M326" t="n">
        <v>0</v>
      </c>
      <c r="N326" t="n">
        <v>0</v>
      </c>
      <c r="O326" t="n">
        <v>0</v>
      </c>
      <c r="P326" t="n">
        <v>0</v>
      </c>
      <c r="Q326" t="n">
        <v>0</v>
      </c>
      <c r="R326" s="2" t="inlineStr"/>
    </row>
    <row r="327" ht="15" customHeight="1">
      <c r="A327" t="inlineStr">
        <is>
          <t>A 60164-2023</t>
        </is>
      </c>
      <c r="B327" s="1" t="n">
        <v>45258</v>
      </c>
      <c r="C327" s="1" t="n">
        <v>45969</v>
      </c>
      <c r="D327" t="inlineStr">
        <is>
          <t>NORRBOTTENS LÄN</t>
        </is>
      </c>
      <c r="E327" t="inlineStr">
        <is>
          <t>JOKKMOKK</t>
        </is>
      </c>
      <c r="F327" t="inlineStr">
        <is>
          <t>Allmännings- och besparingsskogar</t>
        </is>
      </c>
      <c r="G327" t="n">
        <v>14.3</v>
      </c>
      <c r="H327" t="n">
        <v>0</v>
      </c>
      <c r="I327" t="n">
        <v>0</v>
      </c>
      <c r="J327" t="n">
        <v>0</v>
      </c>
      <c r="K327" t="n">
        <v>0</v>
      </c>
      <c r="L327" t="n">
        <v>0</v>
      </c>
      <c r="M327" t="n">
        <v>0</v>
      </c>
      <c r="N327" t="n">
        <v>0</v>
      </c>
      <c r="O327" t="n">
        <v>0</v>
      </c>
      <c r="P327" t="n">
        <v>0</v>
      </c>
      <c r="Q327" t="n">
        <v>0</v>
      </c>
      <c r="R327" s="2" t="inlineStr"/>
    </row>
    <row r="328" ht="15" customHeight="1">
      <c r="A328" t="inlineStr">
        <is>
          <t>A 49562-2024</t>
        </is>
      </c>
      <c r="B328" s="1" t="n">
        <v>45596</v>
      </c>
      <c r="C328" s="1" t="n">
        <v>45969</v>
      </c>
      <c r="D328" t="inlineStr">
        <is>
          <t>NORRBOTTENS LÄN</t>
        </is>
      </c>
      <c r="E328" t="inlineStr">
        <is>
          <t>JOKKMOKK</t>
        </is>
      </c>
      <c r="F328" t="inlineStr">
        <is>
          <t>Allmännings- och besparingsskogar</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42126-2025</t>
        </is>
      </c>
      <c r="B329" s="1" t="n">
        <v>45904.34486111111</v>
      </c>
      <c r="C329" s="1" t="n">
        <v>45969</v>
      </c>
      <c r="D329" t="inlineStr">
        <is>
          <t>NORRBOTTENS LÄN</t>
        </is>
      </c>
      <c r="E329" t="inlineStr">
        <is>
          <t>JOKKMOKK</t>
        </is>
      </c>
      <c r="F329" t="inlineStr">
        <is>
          <t>SCA</t>
        </is>
      </c>
      <c r="G329" t="n">
        <v>4.9</v>
      </c>
      <c r="H329" t="n">
        <v>0</v>
      </c>
      <c r="I329" t="n">
        <v>0</v>
      </c>
      <c r="J329" t="n">
        <v>0</v>
      </c>
      <c r="K329" t="n">
        <v>0</v>
      </c>
      <c r="L329" t="n">
        <v>0</v>
      </c>
      <c r="M329" t="n">
        <v>0</v>
      </c>
      <c r="N329" t="n">
        <v>0</v>
      </c>
      <c r="O329" t="n">
        <v>0</v>
      </c>
      <c r="P329" t="n">
        <v>0</v>
      </c>
      <c r="Q329" t="n">
        <v>0</v>
      </c>
      <c r="R329" s="2" t="inlineStr"/>
    </row>
    <row r="330" ht="15" customHeight="1">
      <c r="A330" t="inlineStr">
        <is>
          <t>A 49953-2024</t>
        </is>
      </c>
      <c r="B330" s="1" t="n">
        <v>45597</v>
      </c>
      <c r="C330" s="1" t="n">
        <v>45969</v>
      </c>
      <c r="D330" t="inlineStr">
        <is>
          <t>NORRBOTTENS LÄN</t>
        </is>
      </c>
      <c r="E330" t="inlineStr">
        <is>
          <t>JOKKMOKK</t>
        </is>
      </c>
      <c r="F330" t="inlineStr">
        <is>
          <t>Allmännings- och besparingsskogar</t>
        </is>
      </c>
      <c r="G330" t="n">
        <v>9.4</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45969</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52130-2024</t>
        </is>
      </c>
      <c r="B332" s="1" t="n">
        <v>45608</v>
      </c>
      <c r="C332" s="1" t="n">
        <v>45969</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18602-2024</t>
        </is>
      </c>
      <c r="B333" s="1" t="n">
        <v>45425</v>
      </c>
      <c r="C333" s="1" t="n">
        <v>45969</v>
      </c>
      <c r="D333" t="inlineStr">
        <is>
          <t>NORRBOTTENS LÄN</t>
        </is>
      </c>
      <c r="E333" t="inlineStr">
        <is>
          <t>JOKKMOKK</t>
        </is>
      </c>
      <c r="G333" t="n">
        <v>4.6</v>
      </c>
      <c r="H333" t="n">
        <v>0</v>
      </c>
      <c r="I333" t="n">
        <v>0</v>
      </c>
      <c r="J333" t="n">
        <v>0</v>
      </c>
      <c r="K333" t="n">
        <v>0</v>
      </c>
      <c r="L333" t="n">
        <v>0</v>
      </c>
      <c r="M333" t="n">
        <v>0</v>
      </c>
      <c r="N333" t="n">
        <v>0</v>
      </c>
      <c r="O333" t="n">
        <v>0</v>
      </c>
      <c r="P333" t="n">
        <v>0</v>
      </c>
      <c r="Q333" t="n">
        <v>0</v>
      </c>
      <c r="R333" s="2" t="inlineStr"/>
    </row>
    <row r="334" ht="15" customHeight="1">
      <c r="A334" t="inlineStr">
        <is>
          <t>A 55635-2024</t>
        </is>
      </c>
      <c r="B334" s="1" t="n">
        <v>45622</v>
      </c>
      <c r="C334" s="1" t="n">
        <v>45969</v>
      </c>
      <c r="D334" t="inlineStr">
        <is>
          <t>NORRBOTTENS LÄN</t>
        </is>
      </c>
      <c r="E334" t="inlineStr">
        <is>
          <t>JOKKMOKK</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35675-2024</t>
        </is>
      </c>
      <c r="B335" s="1" t="n">
        <v>45532</v>
      </c>
      <c r="C335" s="1" t="n">
        <v>45969</v>
      </c>
      <c r="D335" t="inlineStr">
        <is>
          <t>NORRBOTTENS LÄN</t>
        </is>
      </c>
      <c r="E335" t="inlineStr">
        <is>
          <t>JOKKMOKK</t>
        </is>
      </c>
      <c r="G335" t="n">
        <v>1.4</v>
      </c>
      <c r="H335" t="n">
        <v>0</v>
      </c>
      <c r="I335" t="n">
        <v>0</v>
      </c>
      <c r="J335" t="n">
        <v>0</v>
      </c>
      <c r="K335" t="n">
        <v>0</v>
      </c>
      <c r="L335" t="n">
        <v>0</v>
      </c>
      <c r="M335" t="n">
        <v>0</v>
      </c>
      <c r="N335" t="n">
        <v>0</v>
      </c>
      <c r="O335" t="n">
        <v>0</v>
      </c>
      <c r="P335" t="n">
        <v>0</v>
      </c>
      <c r="Q335" t="n">
        <v>0</v>
      </c>
      <c r="R335" s="2" t="inlineStr"/>
    </row>
    <row r="336" ht="15" customHeight="1">
      <c r="A336" t="inlineStr">
        <is>
          <t>A 30292-2023</t>
        </is>
      </c>
      <c r="B336" s="1" t="n">
        <v>45110</v>
      </c>
      <c r="C336" s="1" t="n">
        <v>45969</v>
      </c>
      <c r="D336" t="inlineStr">
        <is>
          <t>NORRBOTTENS LÄN</t>
        </is>
      </c>
      <c r="E336" t="inlineStr">
        <is>
          <t>JOKKMOKK</t>
        </is>
      </c>
      <c r="G336" t="n">
        <v>1.4</v>
      </c>
      <c r="H336" t="n">
        <v>0</v>
      </c>
      <c r="I336" t="n">
        <v>0</v>
      </c>
      <c r="J336" t="n">
        <v>0</v>
      </c>
      <c r="K336" t="n">
        <v>0</v>
      </c>
      <c r="L336" t="n">
        <v>0</v>
      </c>
      <c r="M336" t="n">
        <v>0</v>
      </c>
      <c r="N336" t="n">
        <v>0</v>
      </c>
      <c r="O336" t="n">
        <v>0</v>
      </c>
      <c r="P336" t="n">
        <v>0</v>
      </c>
      <c r="Q336" t="n">
        <v>0</v>
      </c>
      <c r="R336" s="2" t="inlineStr"/>
    </row>
    <row r="337" ht="15" customHeight="1">
      <c r="A337" t="inlineStr">
        <is>
          <t>A 50397-2025</t>
        </is>
      </c>
      <c r="B337" s="1" t="n">
        <v>45944.62211805556</v>
      </c>
      <c r="C337" s="1" t="n">
        <v>45969</v>
      </c>
      <c r="D337" t="inlineStr">
        <is>
          <t>NORRBOTTENS LÄN</t>
        </is>
      </c>
      <c r="E337" t="inlineStr">
        <is>
          <t>JOKKMOKK</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50732-2025</t>
        </is>
      </c>
      <c r="B338" s="1" t="n">
        <v>45946.36519675926</v>
      </c>
      <c r="C338" s="1" t="n">
        <v>45969</v>
      </c>
      <c r="D338" t="inlineStr">
        <is>
          <t>NORRBOTTENS LÄN</t>
        </is>
      </c>
      <c r="E338" t="inlineStr">
        <is>
          <t>JOKKMOKK</t>
        </is>
      </c>
      <c r="F338" t="inlineStr">
        <is>
          <t>SCA</t>
        </is>
      </c>
      <c r="G338" t="n">
        <v>45.9</v>
      </c>
      <c r="H338" t="n">
        <v>0</v>
      </c>
      <c r="I338" t="n">
        <v>0</v>
      </c>
      <c r="J338" t="n">
        <v>0</v>
      </c>
      <c r="K338" t="n">
        <v>0</v>
      </c>
      <c r="L338" t="n">
        <v>0</v>
      </c>
      <c r="M338" t="n">
        <v>0</v>
      </c>
      <c r="N338" t="n">
        <v>0</v>
      </c>
      <c r="O338" t="n">
        <v>0</v>
      </c>
      <c r="P338" t="n">
        <v>0</v>
      </c>
      <c r="Q338" t="n">
        <v>0</v>
      </c>
      <c r="R338" s="2" t="inlineStr"/>
    </row>
    <row r="339" ht="15" customHeight="1">
      <c r="A339" t="inlineStr">
        <is>
          <t>A 50731-2025</t>
        </is>
      </c>
      <c r="B339" s="1" t="n">
        <v>45946.36513888889</v>
      </c>
      <c r="C339" s="1" t="n">
        <v>45969</v>
      </c>
      <c r="D339" t="inlineStr">
        <is>
          <t>NORRBOTTENS LÄN</t>
        </is>
      </c>
      <c r="E339" t="inlineStr">
        <is>
          <t>JOKKMOKK</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50986-2025</t>
        </is>
      </c>
      <c r="B340" s="1" t="n">
        <v>45947.3453125</v>
      </c>
      <c r="C340" s="1" t="n">
        <v>45969</v>
      </c>
      <c r="D340" t="inlineStr">
        <is>
          <t>NORRBOTTENS LÄN</t>
        </is>
      </c>
      <c r="E340" t="inlineStr">
        <is>
          <t>JOKKMOKK</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42575-2025</t>
        </is>
      </c>
      <c r="B341" s="1" t="n">
        <v>45905.61263888889</v>
      </c>
      <c r="C341" s="1" t="n">
        <v>45969</v>
      </c>
      <c r="D341" t="inlineStr">
        <is>
          <t>NORRBOTTENS LÄN</t>
        </is>
      </c>
      <c r="E341" t="inlineStr">
        <is>
          <t>JOKKMOKK</t>
        </is>
      </c>
      <c r="F341" t="inlineStr">
        <is>
          <t>Sveaskog</t>
        </is>
      </c>
      <c r="G341" t="n">
        <v>17.4</v>
      </c>
      <c r="H341" t="n">
        <v>0</v>
      </c>
      <c r="I341" t="n">
        <v>0</v>
      </c>
      <c r="J341" t="n">
        <v>0</v>
      </c>
      <c r="K341" t="n">
        <v>0</v>
      </c>
      <c r="L341" t="n">
        <v>0</v>
      </c>
      <c r="M341" t="n">
        <v>0</v>
      </c>
      <c r="N341" t="n">
        <v>0</v>
      </c>
      <c r="O341" t="n">
        <v>0</v>
      </c>
      <c r="P341" t="n">
        <v>0</v>
      </c>
      <c r="Q341" t="n">
        <v>0</v>
      </c>
      <c r="R341" s="2" t="inlineStr"/>
    </row>
    <row r="342" ht="15" customHeight="1">
      <c r="A342" t="inlineStr">
        <is>
          <t>A 42664-2025</t>
        </is>
      </c>
      <c r="B342" s="1" t="n">
        <v>45907</v>
      </c>
      <c r="C342" s="1" t="n">
        <v>45969</v>
      </c>
      <c r="D342" t="inlineStr">
        <is>
          <t>NORRBOTTENS LÄN</t>
        </is>
      </c>
      <c r="E342" t="inlineStr">
        <is>
          <t>JOKKMOKK</t>
        </is>
      </c>
      <c r="G342" t="n">
        <v>1.9</v>
      </c>
      <c r="H342" t="n">
        <v>0</v>
      </c>
      <c r="I342" t="n">
        <v>0</v>
      </c>
      <c r="J342" t="n">
        <v>0</v>
      </c>
      <c r="K342" t="n">
        <v>0</v>
      </c>
      <c r="L342" t="n">
        <v>0</v>
      </c>
      <c r="M342" t="n">
        <v>0</v>
      </c>
      <c r="N342" t="n">
        <v>0</v>
      </c>
      <c r="O342" t="n">
        <v>0</v>
      </c>
      <c r="P342" t="n">
        <v>0</v>
      </c>
      <c r="Q342" t="n">
        <v>0</v>
      </c>
      <c r="R342" s="2" t="inlineStr"/>
    </row>
    <row r="343" ht="15" customHeight="1">
      <c r="A343" t="inlineStr">
        <is>
          <t>A 49976-2025</t>
        </is>
      </c>
      <c r="B343" s="1" t="n">
        <v>45942.61506944444</v>
      </c>
      <c r="C343" s="1" t="n">
        <v>45969</v>
      </c>
      <c r="D343" t="inlineStr">
        <is>
          <t>NORRBOTTENS LÄN</t>
        </is>
      </c>
      <c r="E343" t="inlineStr">
        <is>
          <t>JOKKMOKK</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51717-2025</t>
        </is>
      </c>
      <c r="B344" s="1" t="n">
        <v>45951.57743055555</v>
      </c>
      <c r="C344" s="1" t="n">
        <v>45969</v>
      </c>
      <c r="D344" t="inlineStr">
        <is>
          <t>NORRBOTTENS LÄN</t>
        </is>
      </c>
      <c r="E344" t="inlineStr">
        <is>
          <t>JOKKMOKK</t>
        </is>
      </c>
      <c r="F344" t="inlineStr">
        <is>
          <t>Övriga statliga verk och myndigheter</t>
        </is>
      </c>
      <c r="G344" t="n">
        <v>3.4</v>
      </c>
      <c r="H344" t="n">
        <v>0</v>
      </c>
      <c r="I344" t="n">
        <v>0</v>
      </c>
      <c r="J344" t="n">
        <v>0</v>
      </c>
      <c r="K344" t="n">
        <v>0</v>
      </c>
      <c r="L344" t="n">
        <v>0</v>
      </c>
      <c r="M344" t="n">
        <v>0</v>
      </c>
      <c r="N344" t="n">
        <v>0</v>
      </c>
      <c r="O344" t="n">
        <v>0</v>
      </c>
      <c r="P344" t="n">
        <v>0</v>
      </c>
      <c r="Q344" t="n">
        <v>0</v>
      </c>
      <c r="R344" s="2" t="inlineStr"/>
    </row>
    <row r="345" ht="15" customHeight="1">
      <c r="A345" t="inlineStr">
        <is>
          <t>A 51718-2025</t>
        </is>
      </c>
      <c r="B345" s="1" t="n">
        <v>45951.57791666667</v>
      </c>
      <c r="C345" s="1" t="n">
        <v>45969</v>
      </c>
      <c r="D345" t="inlineStr">
        <is>
          <t>NORRBOTTENS LÄN</t>
        </is>
      </c>
      <c r="E345" t="inlineStr">
        <is>
          <t>JOKKMOKK</t>
        </is>
      </c>
      <c r="F345" t="inlineStr">
        <is>
          <t>Övriga statliga verk och myndigheter</t>
        </is>
      </c>
      <c r="G345" t="n">
        <v>31.9</v>
      </c>
      <c r="H345" t="n">
        <v>0</v>
      </c>
      <c r="I345" t="n">
        <v>0</v>
      </c>
      <c r="J345" t="n">
        <v>0</v>
      </c>
      <c r="K345" t="n">
        <v>0</v>
      </c>
      <c r="L345" t="n">
        <v>0</v>
      </c>
      <c r="M345" t="n">
        <v>0</v>
      </c>
      <c r="N345" t="n">
        <v>0</v>
      </c>
      <c r="O345" t="n">
        <v>0</v>
      </c>
      <c r="P345" t="n">
        <v>0</v>
      </c>
      <c r="Q345" t="n">
        <v>0</v>
      </c>
      <c r="R345" s="2" t="inlineStr"/>
    </row>
    <row r="346" ht="15" customHeight="1">
      <c r="A346" t="inlineStr">
        <is>
          <t>A 12664-2025</t>
        </is>
      </c>
      <c r="B346" s="1" t="n">
        <v>45733</v>
      </c>
      <c r="C346" s="1" t="n">
        <v>45969</v>
      </c>
      <c r="D346" t="inlineStr">
        <is>
          <t>NORRBOTTENS LÄN</t>
        </is>
      </c>
      <c r="E346" t="inlineStr">
        <is>
          <t>JOKKMOKK</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51679-2025</t>
        </is>
      </c>
      <c r="B347" s="1" t="n">
        <v>45951.51141203703</v>
      </c>
      <c r="C347" s="1" t="n">
        <v>45969</v>
      </c>
      <c r="D347" t="inlineStr">
        <is>
          <t>NORRBOTTENS LÄN</t>
        </is>
      </c>
      <c r="E347" t="inlineStr">
        <is>
          <t>JOKKMOKK</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51721-2025</t>
        </is>
      </c>
      <c r="B348" s="1" t="n">
        <v>45951.58004629629</v>
      </c>
      <c r="C348" s="1" t="n">
        <v>45969</v>
      </c>
      <c r="D348" t="inlineStr">
        <is>
          <t>NORRBOTTENS LÄN</t>
        </is>
      </c>
      <c r="E348" t="inlineStr">
        <is>
          <t>JOKKMOKK</t>
        </is>
      </c>
      <c r="F348" t="inlineStr">
        <is>
          <t>Övriga statliga verk och myndigheter</t>
        </is>
      </c>
      <c r="G348" t="n">
        <v>16.3</v>
      </c>
      <c r="H348" t="n">
        <v>0</v>
      </c>
      <c r="I348" t="n">
        <v>0</v>
      </c>
      <c r="J348" t="n">
        <v>0</v>
      </c>
      <c r="K348" t="n">
        <v>0</v>
      </c>
      <c r="L348" t="n">
        <v>0</v>
      </c>
      <c r="M348" t="n">
        <v>0</v>
      </c>
      <c r="N348" t="n">
        <v>0</v>
      </c>
      <c r="O348" t="n">
        <v>0</v>
      </c>
      <c r="P348" t="n">
        <v>0</v>
      </c>
      <c r="Q348" t="n">
        <v>0</v>
      </c>
      <c r="R348" s="2" t="inlineStr"/>
    </row>
    <row r="349" ht="15" customHeight="1">
      <c r="A349" t="inlineStr">
        <is>
          <t>A 51699-2025</t>
        </is>
      </c>
      <c r="B349" s="1" t="n">
        <v>45951.55253472222</v>
      </c>
      <c r="C349" s="1" t="n">
        <v>45969</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51707-2025</t>
        </is>
      </c>
      <c r="B350" s="1" t="n">
        <v>45951.56545138889</v>
      </c>
      <c r="C350" s="1" t="n">
        <v>45969</v>
      </c>
      <c r="D350" t="inlineStr">
        <is>
          <t>NORRBOTTENS LÄN</t>
        </is>
      </c>
      <c r="E350" t="inlineStr">
        <is>
          <t>JOKKMOKK</t>
        </is>
      </c>
      <c r="F350" t="inlineStr">
        <is>
          <t>Övriga statliga verk och myndigheter</t>
        </is>
      </c>
      <c r="G350" t="n">
        <v>7.2</v>
      </c>
      <c r="H350" t="n">
        <v>0</v>
      </c>
      <c r="I350" t="n">
        <v>0</v>
      </c>
      <c r="J350" t="n">
        <v>0</v>
      </c>
      <c r="K350" t="n">
        <v>0</v>
      </c>
      <c r="L350" t="n">
        <v>0</v>
      </c>
      <c r="M350" t="n">
        <v>0</v>
      </c>
      <c r="N350" t="n">
        <v>0</v>
      </c>
      <c r="O350" t="n">
        <v>0</v>
      </c>
      <c r="P350" t="n">
        <v>0</v>
      </c>
      <c r="Q350" t="n">
        <v>0</v>
      </c>
      <c r="R350" s="2" t="inlineStr"/>
    </row>
    <row r="351" ht="15" customHeight="1">
      <c r="A351" t="inlineStr">
        <is>
          <t>A 51715-2025</t>
        </is>
      </c>
      <c r="B351" s="1" t="n">
        <v>45951.57585648148</v>
      </c>
      <c r="C351" s="1" t="n">
        <v>45969</v>
      </c>
      <c r="D351" t="inlineStr">
        <is>
          <t>NORRBOTTENS LÄN</t>
        </is>
      </c>
      <c r="E351" t="inlineStr">
        <is>
          <t>JOKKMOKK</t>
        </is>
      </c>
      <c r="F351" t="inlineStr">
        <is>
          <t>Övriga statliga verk och myndigheter</t>
        </is>
      </c>
      <c r="G351" t="n">
        <v>4.1</v>
      </c>
      <c r="H351" t="n">
        <v>0</v>
      </c>
      <c r="I351" t="n">
        <v>0</v>
      </c>
      <c r="J351" t="n">
        <v>0</v>
      </c>
      <c r="K351" t="n">
        <v>0</v>
      </c>
      <c r="L351" t="n">
        <v>0</v>
      </c>
      <c r="M351" t="n">
        <v>0</v>
      </c>
      <c r="N351" t="n">
        <v>0</v>
      </c>
      <c r="O351" t="n">
        <v>0</v>
      </c>
      <c r="P351" t="n">
        <v>0</v>
      </c>
      <c r="Q351" t="n">
        <v>0</v>
      </c>
      <c r="R351" s="2" t="inlineStr"/>
    </row>
    <row r="352" ht="15" customHeight="1">
      <c r="A352" t="inlineStr">
        <is>
          <t>A 42959-2025</t>
        </is>
      </c>
      <c r="B352" s="1" t="n">
        <v>45909</v>
      </c>
      <c r="C352" s="1" t="n">
        <v>45969</v>
      </c>
      <c r="D352" t="inlineStr">
        <is>
          <t>NORRBOTTENS LÄN</t>
        </is>
      </c>
      <c r="E352" t="inlineStr">
        <is>
          <t>JOKKMOKK</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52112-2025</t>
        </is>
      </c>
      <c r="B353" s="1" t="n">
        <v>45952.69846064815</v>
      </c>
      <c r="C353" s="1" t="n">
        <v>45969</v>
      </c>
      <c r="D353" t="inlineStr">
        <is>
          <t>NORRBOTTENS LÄN</t>
        </is>
      </c>
      <c r="E353" t="inlineStr">
        <is>
          <t>JOKKMOKK</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51617-2024</t>
        </is>
      </c>
      <c r="B354" s="1" t="n">
        <v>45604.71908564815</v>
      </c>
      <c r="C354" s="1" t="n">
        <v>45969</v>
      </c>
      <c r="D354" t="inlineStr">
        <is>
          <t>NORRBOTTENS LÄN</t>
        </is>
      </c>
      <c r="E354" t="inlineStr">
        <is>
          <t>JOKKMOKK</t>
        </is>
      </c>
      <c r="F354" t="inlineStr">
        <is>
          <t>SCA</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51700-2025</t>
        </is>
      </c>
      <c r="B355" s="1" t="n">
        <v>45951.55287037037</v>
      </c>
      <c r="C355" s="1" t="n">
        <v>45969</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27685-2025</t>
        </is>
      </c>
      <c r="B356" s="1" t="n">
        <v>45813.65023148148</v>
      </c>
      <c r="C356" s="1" t="n">
        <v>45969</v>
      </c>
      <c r="D356" t="inlineStr">
        <is>
          <t>NORRBOTTENS LÄN</t>
        </is>
      </c>
      <c r="E356" t="inlineStr">
        <is>
          <t>JOKKMOKK</t>
        </is>
      </c>
      <c r="G356" t="n">
        <v>2</v>
      </c>
      <c r="H356" t="n">
        <v>0</v>
      </c>
      <c r="I356" t="n">
        <v>0</v>
      </c>
      <c r="J356" t="n">
        <v>0</v>
      </c>
      <c r="K356" t="n">
        <v>0</v>
      </c>
      <c r="L356" t="n">
        <v>0</v>
      </c>
      <c r="M356" t="n">
        <v>0</v>
      </c>
      <c r="N356" t="n">
        <v>0</v>
      </c>
      <c r="O356" t="n">
        <v>0</v>
      </c>
      <c r="P356" t="n">
        <v>0</v>
      </c>
      <c r="Q356" t="n">
        <v>0</v>
      </c>
      <c r="R356" s="2" t="inlineStr"/>
    </row>
    <row r="357" ht="15" customHeight="1">
      <c r="A357" t="inlineStr">
        <is>
          <t>A 42944-2025</t>
        </is>
      </c>
      <c r="B357" s="1" t="n">
        <v>45909.34434027778</v>
      </c>
      <c r="C357" s="1" t="n">
        <v>45969</v>
      </c>
      <c r="D357" t="inlineStr">
        <is>
          <t>NORRBOTTENS LÄN</t>
        </is>
      </c>
      <c r="E357" t="inlineStr">
        <is>
          <t>JOKKMOKK</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52294-2025</t>
        </is>
      </c>
      <c r="B358" s="1" t="n">
        <v>45953.59979166667</v>
      </c>
      <c r="C358" s="1" t="n">
        <v>45969</v>
      </c>
      <c r="D358" t="inlineStr">
        <is>
          <t>NORRBOTTENS LÄN</t>
        </is>
      </c>
      <c r="E358" t="inlineStr">
        <is>
          <t>JOKKMOKK</t>
        </is>
      </c>
      <c r="F358" t="inlineStr">
        <is>
          <t>Övriga statliga verk och myndigheter</t>
        </is>
      </c>
      <c r="G358" t="n">
        <v>22</v>
      </c>
      <c r="H358" t="n">
        <v>0</v>
      </c>
      <c r="I358" t="n">
        <v>0</v>
      </c>
      <c r="J358" t="n">
        <v>0</v>
      </c>
      <c r="K358" t="n">
        <v>0</v>
      </c>
      <c r="L358" t="n">
        <v>0</v>
      </c>
      <c r="M358" t="n">
        <v>0</v>
      </c>
      <c r="N358" t="n">
        <v>0</v>
      </c>
      <c r="O358" t="n">
        <v>0</v>
      </c>
      <c r="P358" t="n">
        <v>0</v>
      </c>
      <c r="Q358" t="n">
        <v>0</v>
      </c>
      <c r="R358" s="2" t="inlineStr"/>
    </row>
    <row r="359" ht="15" customHeight="1">
      <c r="A359" t="inlineStr">
        <is>
          <t>A 52291-2025</t>
        </is>
      </c>
      <c r="B359" s="1" t="n">
        <v>45953.59836805556</v>
      </c>
      <c r="C359" s="1" t="n">
        <v>45969</v>
      </c>
      <c r="D359" t="inlineStr">
        <is>
          <t>NORRBOTTENS LÄN</t>
        </is>
      </c>
      <c r="E359" t="inlineStr">
        <is>
          <t>JOKKMOKK</t>
        </is>
      </c>
      <c r="F359" t="inlineStr">
        <is>
          <t>Övriga statliga verk och myndigheter</t>
        </is>
      </c>
      <c r="G359" t="n">
        <v>41.2</v>
      </c>
      <c r="H359" t="n">
        <v>0</v>
      </c>
      <c r="I359" t="n">
        <v>0</v>
      </c>
      <c r="J359" t="n">
        <v>0</v>
      </c>
      <c r="K359" t="n">
        <v>0</v>
      </c>
      <c r="L359" t="n">
        <v>0</v>
      </c>
      <c r="M359" t="n">
        <v>0</v>
      </c>
      <c r="N359" t="n">
        <v>0</v>
      </c>
      <c r="O359" t="n">
        <v>0</v>
      </c>
      <c r="P359" t="n">
        <v>0</v>
      </c>
      <c r="Q359" t="n">
        <v>0</v>
      </c>
      <c r="R359" s="2" t="inlineStr"/>
    </row>
    <row r="360" ht="15" customHeight="1">
      <c r="A360" t="inlineStr">
        <is>
          <t>A 52278-2025</t>
        </is>
      </c>
      <c r="B360" s="1" t="n">
        <v>45953.56256944445</v>
      </c>
      <c r="C360" s="1" t="n">
        <v>45969</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45969</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45969</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45969</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52240-2025</t>
        </is>
      </c>
      <c r="B364" s="1" t="n">
        <v>45953.46320601852</v>
      </c>
      <c r="C364" s="1" t="n">
        <v>45969</v>
      </c>
      <c r="D364" t="inlineStr">
        <is>
          <t>NORRBOTTENS LÄN</t>
        </is>
      </c>
      <c r="E364" t="inlineStr">
        <is>
          <t>JOKKMOKK</t>
        </is>
      </c>
      <c r="F364" t="inlineStr">
        <is>
          <t>Övriga statliga verk och myndigheter</t>
        </is>
      </c>
      <c r="G364" t="n">
        <v>17.6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45969</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28639-2025</t>
        </is>
      </c>
      <c r="B366" s="1" t="n">
        <v>45819.63649305556</v>
      </c>
      <c r="C366" s="1" t="n">
        <v>45969</v>
      </c>
      <c r="D366" t="inlineStr">
        <is>
          <t>NORRBOTTENS LÄN</t>
        </is>
      </c>
      <c r="E366" t="inlineStr">
        <is>
          <t>JOKKMOKK</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52293-2025</t>
        </is>
      </c>
      <c r="B367" s="1" t="n">
        <v>45953.59943287037</v>
      </c>
      <c r="C367" s="1" t="n">
        <v>45969</v>
      </c>
      <c r="D367" t="inlineStr">
        <is>
          <t>NORRBOTTENS LÄN</t>
        </is>
      </c>
      <c r="E367" t="inlineStr">
        <is>
          <t>JOKKMOKK</t>
        </is>
      </c>
      <c r="F367" t="inlineStr">
        <is>
          <t>Övriga statliga verk och myndigheter</t>
        </is>
      </c>
      <c r="G367" t="n">
        <v>65.09999999999999</v>
      </c>
      <c r="H367" t="n">
        <v>0</v>
      </c>
      <c r="I367" t="n">
        <v>0</v>
      </c>
      <c r="J367" t="n">
        <v>0</v>
      </c>
      <c r="K367" t="n">
        <v>0</v>
      </c>
      <c r="L367" t="n">
        <v>0</v>
      </c>
      <c r="M367" t="n">
        <v>0</v>
      </c>
      <c r="N367" t="n">
        <v>0</v>
      </c>
      <c r="O367" t="n">
        <v>0</v>
      </c>
      <c r="P367" t="n">
        <v>0</v>
      </c>
      <c r="Q367" t="n">
        <v>0</v>
      </c>
      <c r="R367" s="2" t="inlineStr"/>
    </row>
    <row r="368" ht="15" customHeight="1">
      <c r="A368" t="inlineStr">
        <is>
          <t>A 28601-2025</t>
        </is>
      </c>
      <c r="B368" s="1" t="n">
        <v>45819.59802083333</v>
      </c>
      <c r="C368" s="1" t="n">
        <v>45969</v>
      </c>
      <c r="D368" t="inlineStr">
        <is>
          <t>NORRBOTTENS LÄN</t>
        </is>
      </c>
      <c r="E368" t="inlineStr">
        <is>
          <t>JOKKMOKK</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29446-2025</t>
        </is>
      </c>
      <c r="B369" s="1" t="n">
        <v>45824</v>
      </c>
      <c r="C369" s="1" t="n">
        <v>45969</v>
      </c>
      <c r="D369" t="inlineStr">
        <is>
          <t>NORRBOTTENS LÄN</t>
        </is>
      </c>
      <c r="E369" t="inlineStr">
        <is>
          <t>JOKKMOKK</t>
        </is>
      </c>
      <c r="G369" t="n">
        <v>68.5</v>
      </c>
      <c r="H369" t="n">
        <v>0</v>
      </c>
      <c r="I369" t="n">
        <v>0</v>
      </c>
      <c r="J369" t="n">
        <v>0</v>
      </c>
      <c r="K369" t="n">
        <v>0</v>
      </c>
      <c r="L369" t="n">
        <v>0</v>
      </c>
      <c r="M369" t="n">
        <v>0</v>
      </c>
      <c r="N369" t="n">
        <v>0</v>
      </c>
      <c r="O369" t="n">
        <v>0</v>
      </c>
      <c r="P369" t="n">
        <v>0</v>
      </c>
      <c r="Q369" t="n">
        <v>0</v>
      </c>
      <c r="R369" s="2" t="inlineStr"/>
    </row>
    <row r="370" ht="15" customHeight="1">
      <c r="A370" t="inlineStr">
        <is>
          <t>A 43803-2025</t>
        </is>
      </c>
      <c r="B370" s="1" t="n">
        <v>45912</v>
      </c>
      <c r="C370" s="1" t="n">
        <v>45969</v>
      </c>
      <c r="D370" t="inlineStr">
        <is>
          <t>NORRBOTTENS LÄN</t>
        </is>
      </c>
      <c r="E370" t="inlineStr">
        <is>
          <t>JOKKMOKK</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29333-2025</t>
        </is>
      </c>
      <c r="B371" s="1" t="n">
        <v>45824</v>
      </c>
      <c r="C371" s="1" t="n">
        <v>45969</v>
      </c>
      <c r="D371" t="inlineStr">
        <is>
          <t>NORRBOTTENS LÄN</t>
        </is>
      </c>
      <c r="E371" t="inlineStr">
        <is>
          <t>JOKKMOKK</t>
        </is>
      </c>
      <c r="G371" t="n">
        <v>17.3</v>
      </c>
      <c r="H371" t="n">
        <v>0</v>
      </c>
      <c r="I371" t="n">
        <v>0</v>
      </c>
      <c r="J371" t="n">
        <v>0</v>
      </c>
      <c r="K371" t="n">
        <v>0</v>
      </c>
      <c r="L371" t="n">
        <v>0</v>
      </c>
      <c r="M371" t="n">
        <v>0</v>
      </c>
      <c r="N371" t="n">
        <v>0</v>
      </c>
      <c r="O371" t="n">
        <v>0</v>
      </c>
      <c r="P371" t="n">
        <v>0</v>
      </c>
      <c r="Q371" t="n">
        <v>0</v>
      </c>
      <c r="R371" s="2" t="inlineStr"/>
    </row>
    <row r="372" ht="15" customHeight="1">
      <c r="A372" t="inlineStr">
        <is>
          <t>A 29418-2025</t>
        </is>
      </c>
      <c r="B372" s="1" t="n">
        <v>45824.63607638889</v>
      </c>
      <c r="C372" s="1" t="n">
        <v>45969</v>
      </c>
      <c r="D372" t="inlineStr">
        <is>
          <t>NORRBOTTENS LÄN</t>
        </is>
      </c>
      <c r="E372" t="inlineStr">
        <is>
          <t>JOKKMOKK</t>
        </is>
      </c>
      <c r="G372" t="n">
        <v>17.8</v>
      </c>
      <c r="H372" t="n">
        <v>0</v>
      </c>
      <c r="I372" t="n">
        <v>0</v>
      </c>
      <c r="J372" t="n">
        <v>0</v>
      </c>
      <c r="K372" t="n">
        <v>0</v>
      </c>
      <c r="L372" t="n">
        <v>0</v>
      </c>
      <c r="M372" t="n">
        <v>0</v>
      </c>
      <c r="N372" t="n">
        <v>0</v>
      </c>
      <c r="O372" t="n">
        <v>0</v>
      </c>
      <c r="P372" t="n">
        <v>0</v>
      </c>
      <c r="Q372" t="n">
        <v>0</v>
      </c>
      <c r="R372" s="2" t="inlineStr"/>
    </row>
    <row r="373" ht="15" customHeight="1">
      <c r="A373" t="inlineStr">
        <is>
          <t>A 46418-2023</t>
        </is>
      </c>
      <c r="B373" s="1" t="n">
        <v>45197</v>
      </c>
      <c r="C373" s="1" t="n">
        <v>45969</v>
      </c>
      <c r="D373" t="inlineStr">
        <is>
          <t>NORRBOTTENS LÄN</t>
        </is>
      </c>
      <c r="E373" t="inlineStr">
        <is>
          <t>JOKKMOKK</t>
        </is>
      </c>
      <c r="G373" t="n">
        <v>7.4</v>
      </c>
      <c r="H373" t="n">
        <v>0</v>
      </c>
      <c r="I373" t="n">
        <v>0</v>
      </c>
      <c r="J373" t="n">
        <v>0</v>
      </c>
      <c r="K373" t="n">
        <v>0</v>
      </c>
      <c r="L373" t="n">
        <v>0</v>
      </c>
      <c r="M373" t="n">
        <v>0</v>
      </c>
      <c r="N373" t="n">
        <v>0</v>
      </c>
      <c r="O373" t="n">
        <v>0</v>
      </c>
      <c r="P373" t="n">
        <v>0</v>
      </c>
      <c r="Q373" t="n">
        <v>0</v>
      </c>
      <c r="R373" s="2" t="inlineStr"/>
    </row>
    <row r="374" ht="15" customHeight="1">
      <c r="A374" t="inlineStr">
        <is>
          <t>A 52877-2025</t>
        </is>
      </c>
      <c r="B374" s="1" t="n">
        <v>45957.53907407408</v>
      </c>
      <c r="C374" s="1" t="n">
        <v>45969</v>
      </c>
      <c r="D374" t="inlineStr">
        <is>
          <t>NORRBOTTENS LÄN</t>
        </is>
      </c>
      <c r="E374" t="inlineStr">
        <is>
          <t>JOKKMOKK</t>
        </is>
      </c>
      <c r="F374" t="inlineStr">
        <is>
          <t>Sveaskog</t>
        </is>
      </c>
      <c r="G374" t="n">
        <v>26.7</v>
      </c>
      <c r="H374" t="n">
        <v>0</v>
      </c>
      <c r="I374" t="n">
        <v>0</v>
      </c>
      <c r="J374" t="n">
        <v>0</v>
      </c>
      <c r="K374" t="n">
        <v>0</v>
      </c>
      <c r="L374" t="n">
        <v>0</v>
      </c>
      <c r="M374" t="n">
        <v>0</v>
      </c>
      <c r="N374" t="n">
        <v>0</v>
      </c>
      <c r="O374" t="n">
        <v>0</v>
      </c>
      <c r="P374" t="n">
        <v>0</v>
      </c>
      <c r="Q374" t="n">
        <v>0</v>
      </c>
      <c r="R374" s="2" t="inlineStr"/>
    </row>
    <row r="375" ht="15" customHeight="1">
      <c r="A375" t="inlineStr">
        <is>
          <t>A 29853-2025</t>
        </is>
      </c>
      <c r="B375" s="1" t="n">
        <v>45826.34438657408</v>
      </c>
      <c r="C375" s="1" t="n">
        <v>45969</v>
      </c>
      <c r="D375" t="inlineStr">
        <is>
          <t>NORRBOTTENS LÄN</t>
        </is>
      </c>
      <c r="E375" t="inlineStr">
        <is>
          <t>JOKKMOKK</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29857-2025</t>
        </is>
      </c>
      <c r="B376" s="1" t="n">
        <v>45826.3453125</v>
      </c>
      <c r="C376" s="1" t="n">
        <v>45969</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43997-2025</t>
        </is>
      </c>
      <c r="B377" s="1" t="n">
        <v>45915.44868055556</v>
      </c>
      <c r="C377" s="1" t="n">
        <v>45969</v>
      </c>
      <c r="D377" t="inlineStr">
        <is>
          <t>NORRBOTTENS LÄN</t>
        </is>
      </c>
      <c r="E377" t="inlineStr">
        <is>
          <t>JOKKMOKK</t>
        </is>
      </c>
      <c r="G377" t="n">
        <v>4.5</v>
      </c>
      <c r="H377" t="n">
        <v>0</v>
      </c>
      <c r="I377" t="n">
        <v>0</v>
      </c>
      <c r="J377" t="n">
        <v>0</v>
      </c>
      <c r="K377" t="n">
        <v>0</v>
      </c>
      <c r="L377" t="n">
        <v>0</v>
      </c>
      <c r="M377" t="n">
        <v>0</v>
      </c>
      <c r="N377" t="n">
        <v>0</v>
      </c>
      <c r="O377" t="n">
        <v>0</v>
      </c>
      <c r="P377" t="n">
        <v>0</v>
      </c>
      <c r="Q377" t="n">
        <v>0</v>
      </c>
      <c r="R377" s="2" t="inlineStr"/>
    </row>
    <row r="378" ht="15" customHeight="1">
      <c r="A378" t="inlineStr">
        <is>
          <t>A 29856-2025</t>
        </is>
      </c>
      <c r="B378" s="1" t="n">
        <v>45826.345</v>
      </c>
      <c r="C378" s="1" t="n">
        <v>45969</v>
      </c>
      <c r="D378" t="inlineStr">
        <is>
          <t>NORRBOTTENS LÄN</t>
        </is>
      </c>
      <c r="E378" t="inlineStr">
        <is>
          <t>JOKKMOKK</t>
        </is>
      </c>
      <c r="F378" t="inlineStr">
        <is>
          <t>SCA</t>
        </is>
      </c>
      <c r="G378" t="n">
        <v>7.1</v>
      </c>
      <c r="H378" t="n">
        <v>0</v>
      </c>
      <c r="I378" t="n">
        <v>0</v>
      </c>
      <c r="J378" t="n">
        <v>0</v>
      </c>
      <c r="K378" t="n">
        <v>0</v>
      </c>
      <c r="L378" t="n">
        <v>0</v>
      </c>
      <c r="M378" t="n">
        <v>0</v>
      </c>
      <c r="N378" t="n">
        <v>0</v>
      </c>
      <c r="O378" t="n">
        <v>0</v>
      </c>
      <c r="P378" t="n">
        <v>0</v>
      </c>
      <c r="Q378" t="n">
        <v>0</v>
      </c>
      <c r="R378" s="2" t="inlineStr"/>
    </row>
    <row r="379" ht="15" customHeight="1">
      <c r="A379" t="inlineStr">
        <is>
          <t>A 29858-2025</t>
        </is>
      </c>
      <c r="B379" s="1" t="n">
        <v>45826.34565972222</v>
      </c>
      <c r="C379" s="1" t="n">
        <v>45969</v>
      </c>
      <c r="D379" t="inlineStr">
        <is>
          <t>NORRBOTTENS LÄN</t>
        </is>
      </c>
      <c r="E379" t="inlineStr">
        <is>
          <t>JOKKMOKK</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30189-2025</t>
        </is>
      </c>
      <c r="B380" s="1" t="n">
        <v>45827.34756944444</v>
      </c>
      <c r="C380" s="1" t="n">
        <v>45969</v>
      </c>
      <c r="D380" t="inlineStr">
        <is>
          <t>NORRBOTTENS LÄN</t>
        </is>
      </c>
      <c r="E380" t="inlineStr">
        <is>
          <t>JOKKMOKK</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30178-2025</t>
        </is>
      </c>
      <c r="B381" s="1" t="n">
        <v>45827.34571759259</v>
      </c>
      <c r="C381" s="1" t="n">
        <v>45969</v>
      </c>
      <c r="D381" t="inlineStr">
        <is>
          <t>NORRBOTTENS LÄN</t>
        </is>
      </c>
      <c r="E381" t="inlineStr">
        <is>
          <t>JOKKMOKK</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60275-2023</t>
        </is>
      </c>
      <c r="B382" s="1" t="n">
        <v>45258.67847222222</v>
      </c>
      <c r="C382" s="1" t="n">
        <v>45969</v>
      </c>
      <c r="D382" t="inlineStr">
        <is>
          <t>NORRBOTTENS LÄN</t>
        </is>
      </c>
      <c r="E382" t="inlineStr">
        <is>
          <t>JOKKMOKK</t>
        </is>
      </c>
      <c r="G382" t="n">
        <v>3.2</v>
      </c>
      <c r="H382" t="n">
        <v>0</v>
      </c>
      <c r="I382" t="n">
        <v>0</v>
      </c>
      <c r="J382" t="n">
        <v>0</v>
      </c>
      <c r="K382" t="n">
        <v>0</v>
      </c>
      <c r="L382" t="n">
        <v>0</v>
      </c>
      <c r="M382" t="n">
        <v>0</v>
      </c>
      <c r="N382" t="n">
        <v>0</v>
      </c>
      <c r="O382" t="n">
        <v>0</v>
      </c>
      <c r="P382" t="n">
        <v>0</v>
      </c>
      <c r="Q382" t="n">
        <v>0</v>
      </c>
      <c r="R382" s="2" t="inlineStr"/>
    </row>
    <row r="383" ht="15" customHeight="1">
      <c r="A383" t="inlineStr">
        <is>
          <t>A 30181-2025</t>
        </is>
      </c>
      <c r="B383" s="1" t="n">
        <v>45827.34607638889</v>
      </c>
      <c r="C383" s="1" t="n">
        <v>45969</v>
      </c>
      <c r="D383" t="inlineStr">
        <is>
          <t>NORRBOTTENS LÄN</t>
        </is>
      </c>
      <c r="E383" t="inlineStr">
        <is>
          <t>JOKKMOKK</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30182-2025</t>
        </is>
      </c>
      <c r="B384" s="1" t="n">
        <v>45827.34640046296</v>
      </c>
      <c r="C384" s="1" t="n">
        <v>45969</v>
      </c>
      <c r="D384" t="inlineStr">
        <is>
          <t>NORRBOTTENS LÄN</t>
        </is>
      </c>
      <c r="E384" t="inlineStr">
        <is>
          <t>JOKKMOKK</t>
        </is>
      </c>
      <c r="F384" t="inlineStr">
        <is>
          <t>SCA</t>
        </is>
      </c>
      <c r="G384" t="n">
        <v>9.9</v>
      </c>
      <c r="H384" t="n">
        <v>0</v>
      </c>
      <c r="I384" t="n">
        <v>0</v>
      </c>
      <c r="J384" t="n">
        <v>0</v>
      </c>
      <c r="K384" t="n">
        <v>0</v>
      </c>
      <c r="L384" t="n">
        <v>0</v>
      </c>
      <c r="M384" t="n">
        <v>0</v>
      </c>
      <c r="N384" t="n">
        <v>0</v>
      </c>
      <c r="O384" t="n">
        <v>0</v>
      </c>
      <c r="P384" t="n">
        <v>0</v>
      </c>
      <c r="Q384" t="n">
        <v>0</v>
      </c>
      <c r="R384" s="2" t="inlineStr"/>
    </row>
    <row r="385" ht="15" customHeight="1">
      <c r="A385" t="inlineStr">
        <is>
          <t>A 30184-2025</t>
        </is>
      </c>
      <c r="B385" s="1" t="n">
        <v>45827.34695601852</v>
      </c>
      <c r="C385" s="1" t="n">
        <v>45969</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30177-2025</t>
        </is>
      </c>
      <c r="B386" s="1" t="n">
        <v>45827.34537037037</v>
      </c>
      <c r="C386" s="1" t="n">
        <v>45969</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30185-2025</t>
        </is>
      </c>
      <c r="B387" s="1" t="n">
        <v>45827.34717592593</v>
      </c>
      <c r="C387" s="1" t="n">
        <v>45969</v>
      </c>
      <c r="D387" t="inlineStr">
        <is>
          <t>NORRBOTTENS LÄN</t>
        </is>
      </c>
      <c r="E387" t="inlineStr">
        <is>
          <t>JOKKMOKK</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40771-2023</t>
        </is>
      </c>
      <c r="B388" s="1" t="n">
        <v>45170.95657407407</v>
      </c>
      <c r="C388" s="1" t="n">
        <v>45969</v>
      </c>
      <c r="D388" t="inlineStr">
        <is>
          <t>NORRBOTTENS LÄN</t>
        </is>
      </c>
      <c r="E388" t="inlineStr">
        <is>
          <t>JOKKMOKK</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53237-2025</t>
        </is>
      </c>
      <c r="B389" s="1" t="n">
        <v>45957</v>
      </c>
      <c r="C389" s="1" t="n">
        <v>45969</v>
      </c>
      <c r="D389" t="inlineStr">
        <is>
          <t>NORRBOTTENS LÄN</t>
        </is>
      </c>
      <c r="E389" t="inlineStr">
        <is>
          <t>JOKKMOKK</t>
        </is>
      </c>
      <c r="F389" t="inlineStr">
        <is>
          <t>Övriga Aktiebolag</t>
        </is>
      </c>
      <c r="G389" t="n">
        <v>28.1</v>
      </c>
      <c r="H389" t="n">
        <v>0</v>
      </c>
      <c r="I389" t="n">
        <v>0</v>
      </c>
      <c r="J389" t="n">
        <v>0</v>
      </c>
      <c r="K389" t="n">
        <v>0</v>
      </c>
      <c r="L389" t="n">
        <v>0</v>
      </c>
      <c r="M389" t="n">
        <v>0</v>
      </c>
      <c r="N389" t="n">
        <v>0</v>
      </c>
      <c r="O389" t="n">
        <v>0</v>
      </c>
      <c r="P389" t="n">
        <v>0</v>
      </c>
      <c r="Q389" t="n">
        <v>0</v>
      </c>
      <c r="R389" s="2" t="inlineStr"/>
    </row>
    <row r="390" ht="15" customHeight="1">
      <c r="A390" t="inlineStr">
        <is>
          <t>A 47208-2022</t>
        </is>
      </c>
      <c r="B390" s="1" t="n">
        <v>44851</v>
      </c>
      <c r="C390" s="1" t="n">
        <v>45969</v>
      </c>
      <c r="D390" t="inlineStr">
        <is>
          <t>NORRBOTTENS LÄN</t>
        </is>
      </c>
      <c r="E390" t="inlineStr">
        <is>
          <t>JOKKMOKK</t>
        </is>
      </c>
      <c r="G390" t="n">
        <v>1.2</v>
      </c>
      <c r="H390" t="n">
        <v>0</v>
      </c>
      <c r="I390" t="n">
        <v>0</v>
      </c>
      <c r="J390" t="n">
        <v>0</v>
      </c>
      <c r="K390" t="n">
        <v>0</v>
      </c>
      <c r="L390" t="n">
        <v>0</v>
      </c>
      <c r="M390" t="n">
        <v>0</v>
      </c>
      <c r="N390" t="n">
        <v>0</v>
      </c>
      <c r="O390" t="n">
        <v>0</v>
      </c>
      <c r="P390" t="n">
        <v>0</v>
      </c>
      <c r="Q390" t="n">
        <v>0</v>
      </c>
      <c r="R390" s="2" t="inlineStr"/>
    </row>
    <row r="391" ht="15" customHeight="1">
      <c r="A391" t="inlineStr">
        <is>
          <t>A 44842-2025</t>
        </is>
      </c>
      <c r="B391" s="1" t="n">
        <v>45918.42957175926</v>
      </c>
      <c r="C391" s="1" t="n">
        <v>45969</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31918-2025</t>
        </is>
      </c>
      <c r="B392" s="1" t="n">
        <v>45834</v>
      </c>
      <c r="C392" s="1" t="n">
        <v>45969</v>
      </c>
      <c r="D392" t="inlineStr">
        <is>
          <t>NORRBOTTENS LÄN</t>
        </is>
      </c>
      <c r="E392" t="inlineStr">
        <is>
          <t>JOKKMOKK</t>
        </is>
      </c>
      <c r="G392" t="n">
        <v>15.2</v>
      </c>
      <c r="H392" t="n">
        <v>0</v>
      </c>
      <c r="I392" t="n">
        <v>0</v>
      </c>
      <c r="J392" t="n">
        <v>0</v>
      </c>
      <c r="K392" t="n">
        <v>0</v>
      </c>
      <c r="L392" t="n">
        <v>0</v>
      </c>
      <c r="M392" t="n">
        <v>0</v>
      </c>
      <c r="N392" t="n">
        <v>0</v>
      </c>
      <c r="O392" t="n">
        <v>0</v>
      </c>
      <c r="P392" t="n">
        <v>0</v>
      </c>
      <c r="Q392" t="n">
        <v>0</v>
      </c>
      <c r="R392" s="2" t="inlineStr"/>
    </row>
    <row r="393" ht="15" customHeight="1">
      <c r="A393" t="inlineStr">
        <is>
          <t>A 51577-2025</t>
        </is>
      </c>
      <c r="B393" s="1" t="n">
        <v>45951</v>
      </c>
      <c r="C393" s="1" t="n">
        <v>45969</v>
      </c>
      <c r="D393" t="inlineStr">
        <is>
          <t>NORRBOTTENS LÄN</t>
        </is>
      </c>
      <c r="E393" t="inlineStr">
        <is>
          <t>JOKKMOKK</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44691-2025</t>
        </is>
      </c>
      <c r="B394" s="1" t="n">
        <v>45917.59425925926</v>
      </c>
      <c r="C394" s="1" t="n">
        <v>45969</v>
      </c>
      <c r="D394" t="inlineStr">
        <is>
          <t>NORRBOTTENS LÄN</t>
        </is>
      </c>
      <c r="E394" t="inlineStr">
        <is>
          <t>JOKKMOKK</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32670-2025</t>
        </is>
      </c>
      <c r="B395" s="1" t="n">
        <v>45838.70071759259</v>
      </c>
      <c r="C395" s="1" t="n">
        <v>45969</v>
      </c>
      <c r="D395" t="inlineStr">
        <is>
          <t>NORRBOTTENS LÄN</t>
        </is>
      </c>
      <c r="E395" t="inlineStr">
        <is>
          <t>JOKKMOKK</t>
        </is>
      </c>
      <c r="F395" t="inlineStr">
        <is>
          <t>Sveaskog</t>
        </is>
      </c>
      <c r="G395" t="n">
        <v>6.8</v>
      </c>
      <c r="H395" t="n">
        <v>0</v>
      </c>
      <c r="I395" t="n">
        <v>0</v>
      </c>
      <c r="J395" t="n">
        <v>0</v>
      </c>
      <c r="K395" t="n">
        <v>0</v>
      </c>
      <c r="L395" t="n">
        <v>0</v>
      </c>
      <c r="M395" t="n">
        <v>0</v>
      </c>
      <c r="N395" t="n">
        <v>0</v>
      </c>
      <c r="O395" t="n">
        <v>0</v>
      </c>
      <c r="P395" t="n">
        <v>0</v>
      </c>
      <c r="Q395" t="n">
        <v>0</v>
      </c>
      <c r="R395" s="2" t="inlineStr"/>
    </row>
    <row r="396" ht="15" customHeight="1">
      <c r="A396" t="inlineStr">
        <is>
          <t>A 33551-2025</t>
        </is>
      </c>
      <c r="B396" s="1" t="n">
        <v>45841.57357638889</v>
      </c>
      <c r="C396" s="1" t="n">
        <v>45969</v>
      </c>
      <c r="D396" t="inlineStr">
        <is>
          <t>NORRBOTTENS LÄN</t>
        </is>
      </c>
      <c r="E396" t="inlineStr">
        <is>
          <t>JOKKMOKK</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1615-2024</t>
        </is>
      </c>
      <c r="B397" s="1" t="n">
        <v>45306</v>
      </c>
      <c r="C397" s="1" t="n">
        <v>45969</v>
      </c>
      <c r="D397" t="inlineStr">
        <is>
          <t>NORRBOTTENS LÄN</t>
        </is>
      </c>
      <c r="E397" t="inlineStr">
        <is>
          <t>JOKKMOKK</t>
        </is>
      </c>
      <c r="G397" t="n">
        <v>10.8</v>
      </c>
      <c r="H397" t="n">
        <v>0</v>
      </c>
      <c r="I397" t="n">
        <v>0</v>
      </c>
      <c r="J397" t="n">
        <v>0</v>
      </c>
      <c r="K397" t="n">
        <v>0</v>
      </c>
      <c r="L397" t="n">
        <v>0</v>
      </c>
      <c r="M397" t="n">
        <v>0</v>
      </c>
      <c r="N397" t="n">
        <v>0</v>
      </c>
      <c r="O397" t="n">
        <v>0</v>
      </c>
      <c r="P397" t="n">
        <v>0</v>
      </c>
      <c r="Q397" t="n">
        <v>0</v>
      </c>
      <c r="R397" s="2" t="inlineStr"/>
    </row>
    <row r="398" ht="15" customHeight="1">
      <c r="A398" t="inlineStr">
        <is>
          <t>A 33349-2025</t>
        </is>
      </c>
      <c r="B398" s="1" t="n">
        <v>45841.3704050926</v>
      </c>
      <c r="C398" s="1" t="n">
        <v>45969</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33523-2025</t>
        </is>
      </c>
      <c r="B399" s="1" t="n">
        <v>45841.54601851852</v>
      </c>
      <c r="C399" s="1" t="n">
        <v>45969</v>
      </c>
      <c r="D399" t="inlineStr">
        <is>
          <t>NORRBOTTENS LÄN</t>
        </is>
      </c>
      <c r="E399" t="inlineStr">
        <is>
          <t>JOKKMOKK</t>
        </is>
      </c>
      <c r="F399" t="inlineStr">
        <is>
          <t>Sveaskog</t>
        </is>
      </c>
      <c r="G399" t="n">
        <v>5.5</v>
      </c>
      <c r="H399" t="n">
        <v>0</v>
      </c>
      <c r="I399" t="n">
        <v>0</v>
      </c>
      <c r="J399" t="n">
        <v>0</v>
      </c>
      <c r="K399" t="n">
        <v>0</v>
      </c>
      <c r="L399" t="n">
        <v>0</v>
      </c>
      <c r="M399" t="n">
        <v>0</v>
      </c>
      <c r="N399" t="n">
        <v>0</v>
      </c>
      <c r="O399" t="n">
        <v>0</v>
      </c>
      <c r="P399" t="n">
        <v>0</v>
      </c>
      <c r="Q399" t="n">
        <v>0</v>
      </c>
      <c r="R399" s="2" t="inlineStr"/>
    </row>
    <row r="400" ht="15" customHeight="1">
      <c r="A400" t="inlineStr">
        <is>
          <t>A 44606-2025</t>
        </is>
      </c>
      <c r="B400" s="1" t="n">
        <v>45917.4485300926</v>
      </c>
      <c r="C400" s="1" t="n">
        <v>45969</v>
      </c>
      <c r="D400" t="inlineStr">
        <is>
          <t>NORRBOTTENS LÄN</t>
        </is>
      </c>
      <c r="E400" t="inlineStr">
        <is>
          <t>JOKKMOKK</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33515-2025</t>
        </is>
      </c>
      <c r="B401" s="1" t="n">
        <v>45841.53164351852</v>
      </c>
      <c r="C401" s="1" t="n">
        <v>45969</v>
      </c>
      <c r="D401" t="inlineStr">
        <is>
          <t>NORRBOTTENS LÄN</t>
        </is>
      </c>
      <c r="E401" t="inlineStr">
        <is>
          <t>JOKKMOKK</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43997-2024</t>
        </is>
      </c>
      <c r="B402" s="1" t="n">
        <v>45572.54165509259</v>
      </c>
      <c r="C402" s="1" t="n">
        <v>45969</v>
      </c>
      <c r="D402" t="inlineStr">
        <is>
          <t>NORRBOTTENS LÄN</t>
        </is>
      </c>
      <c r="E402" t="inlineStr">
        <is>
          <t>JOKKMOKK</t>
        </is>
      </c>
      <c r="F402" t="inlineStr">
        <is>
          <t>Sveaskog</t>
        </is>
      </c>
      <c r="G402" t="n">
        <v>17.4</v>
      </c>
      <c r="H402" t="n">
        <v>0</v>
      </c>
      <c r="I402" t="n">
        <v>0</v>
      </c>
      <c r="J402" t="n">
        <v>0</v>
      </c>
      <c r="K402" t="n">
        <v>0</v>
      </c>
      <c r="L402" t="n">
        <v>0</v>
      </c>
      <c r="M402" t="n">
        <v>0</v>
      </c>
      <c r="N402" t="n">
        <v>0</v>
      </c>
      <c r="O402" t="n">
        <v>0</v>
      </c>
      <c r="P402" t="n">
        <v>0</v>
      </c>
      <c r="Q402" t="n">
        <v>0</v>
      </c>
      <c r="R402" s="2" t="inlineStr"/>
    </row>
    <row r="403" ht="15" customHeight="1">
      <c r="A403" t="inlineStr">
        <is>
          <t>A 33554-2025</t>
        </is>
      </c>
      <c r="B403" s="1" t="n">
        <v>45841.57400462963</v>
      </c>
      <c r="C403" s="1" t="n">
        <v>45969</v>
      </c>
      <c r="D403" t="inlineStr">
        <is>
          <t>NORRBOTTENS LÄN</t>
        </is>
      </c>
      <c r="E403" t="inlineStr">
        <is>
          <t>JOKKMOKK</t>
        </is>
      </c>
      <c r="F403" t="inlineStr">
        <is>
          <t>SCA</t>
        </is>
      </c>
      <c r="G403" t="n">
        <v>11.4</v>
      </c>
      <c r="H403" t="n">
        <v>0</v>
      </c>
      <c r="I403" t="n">
        <v>0</v>
      </c>
      <c r="J403" t="n">
        <v>0</v>
      </c>
      <c r="K403" t="n">
        <v>0</v>
      </c>
      <c r="L403" t="n">
        <v>0</v>
      </c>
      <c r="M403" t="n">
        <v>0</v>
      </c>
      <c r="N403" t="n">
        <v>0</v>
      </c>
      <c r="O403" t="n">
        <v>0</v>
      </c>
      <c r="P403" t="n">
        <v>0</v>
      </c>
      <c r="Q403" t="n">
        <v>0</v>
      </c>
      <c r="R403" s="2" t="inlineStr"/>
    </row>
    <row r="404" ht="15" customHeight="1">
      <c r="A404" t="inlineStr">
        <is>
          <t>A 59849-2023</t>
        </is>
      </c>
      <c r="B404" s="1" t="n">
        <v>45257</v>
      </c>
      <c r="C404" s="1" t="n">
        <v>45969</v>
      </c>
      <c r="D404" t="inlineStr">
        <is>
          <t>NORRBOTTENS LÄN</t>
        </is>
      </c>
      <c r="E404" t="inlineStr">
        <is>
          <t>JOKKMOKK</t>
        </is>
      </c>
      <c r="F404" t="inlineStr">
        <is>
          <t>Allmännings- och besparingsskogar</t>
        </is>
      </c>
      <c r="G404" t="n">
        <v>12.7</v>
      </c>
      <c r="H404" t="n">
        <v>0</v>
      </c>
      <c r="I404" t="n">
        <v>0</v>
      </c>
      <c r="J404" t="n">
        <v>0</v>
      </c>
      <c r="K404" t="n">
        <v>0</v>
      </c>
      <c r="L404" t="n">
        <v>0</v>
      </c>
      <c r="M404" t="n">
        <v>0</v>
      </c>
      <c r="N404" t="n">
        <v>0</v>
      </c>
      <c r="O404" t="n">
        <v>0</v>
      </c>
      <c r="P404" t="n">
        <v>0</v>
      </c>
      <c r="Q404" t="n">
        <v>0</v>
      </c>
      <c r="R404" s="2" t="inlineStr"/>
    </row>
    <row r="405" ht="15" customHeight="1">
      <c r="A405" t="inlineStr">
        <is>
          <t>A 33741-2025</t>
        </is>
      </c>
      <c r="B405" s="1" t="n">
        <v>45842.3446875</v>
      </c>
      <c r="C405" s="1" t="n">
        <v>45969</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44958-2025</t>
        </is>
      </c>
      <c r="B406" s="1" t="n">
        <v>45918.61519675926</v>
      </c>
      <c r="C406" s="1" t="n">
        <v>45969</v>
      </c>
      <c r="D406" t="inlineStr">
        <is>
          <t>NORRBOTTENS LÄN</t>
        </is>
      </c>
      <c r="E406" t="inlineStr">
        <is>
          <t>JOKKMOKK</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44151-2024</t>
        </is>
      </c>
      <c r="B407" s="1" t="n">
        <v>45572.67773148148</v>
      </c>
      <c r="C407" s="1" t="n">
        <v>45969</v>
      </c>
      <c r="D407" t="inlineStr">
        <is>
          <t>NORRBOTTENS LÄN</t>
        </is>
      </c>
      <c r="E407" t="inlineStr">
        <is>
          <t>JOKKMOKK</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35040-2025</t>
        </is>
      </c>
      <c r="B408" s="1" t="n">
        <v>45852.34420138889</v>
      </c>
      <c r="C408" s="1" t="n">
        <v>45969</v>
      </c>
      <c r="D408" t="inlineStr">
        <is>
          <t>NORRBOTTENS LÄN</t>
        </is>
      </c>
      <c r="E408" t="inlineStr">
        <is>
          <t>JOKKMOKK</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27652-2024</t>
        </is>
      </c>
      <c r="B409" s="1" t="n">
        <v>45474.94982638889</v>
      </c>
      <c r="C409" s="1" t="n">
        <v>45969</v>
      </c>
      <c r="D409" t="inlineStr">
        <is>
          <t>NORRBOTTENS LÄN</t>
        </is>
      </c>
      <c r="E409" t="inlineStr">
        <is>
          <t>JOKKMOKK</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51499-2025</t>
        </is>
      </c>
      <c r="B410" s="1" t="n">
        <v>45950.63737268518</v>
      </c>
      <c r="C410" s="1" t="n">
        <v>45969</v>
      </c>
      <c r="D410" t="inlineStr">
        <is>
          <t>NORRBOTTENS LÄN</t>
        </is>
      </c>
      <c r="E410" t="inlineStr">
        <is>
          <t>JOKKMOKK</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44150-2024</t>
        </is>
      </c>
      <c r="B411" s="1" t="n">
        <v>45572.67520833333</v>
      </c>
      <c r="C411" s="1" t="n">
        <v>45969</v>
      </c>
      <c r="D411" t="inlineStr">
        <is>
          <t>NORRBOTTENS LÄN</t>
        </is>
      </c>
      <c r="E411" t="inlineStr">
        <is>
          <t>JOKKMOKK</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45065-2025</t>
        </is>
      </c>
      <c r="B412" s="1" t="n">
        <v>45919.34540509259</v>
      </c>
      <c r="C412" s="1" t="n">
        <v>45969</v>
      </c>
      <c r="D412" t="inlineStr">
        <is>
          <t>NORRBOTTENS LÄN</t>
        </is>
      </c>
      <c r="E412" t="inlineStr">
        <is>
          <t>JOKKMOKK</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18493-2025</t>
        </is>
      </c>
      <c r="B413" s="1" t="n">
        <v>45763.34474537037</v>
      </c>
      <c r="C413" s="1" t="n">
        <v>45969</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53513-2025</t>
        </is>
      </c>
      <c r="B414" s="1" t="n">
        <v>45960</v>
      </c>
      <c r="C414" s="1" t="n">
        <v>45969</v>
      </c>
      <c r="D414" t="inlineStr">
        <is>
          <t>NORRBOTTENS LÄN</t>
        </is>
      </c>
      <c r="E414" t="inlineStr">
        <is>
          <t>JOKKMOKK</t>
        </is>
      </c>
      <c r="G414" t="n">
        <v>3.7</v>
      </c>
      <c r="H414" t="n">
        <v>0</v>
      </c>
      <c r="I414" t="n">
        <v>0</v>
      </c>
      <c r="J414" t="n">
        <v>0</v>
      </c>
      <c r="K414" t="n">
        <v>0</v>
      </c>
      <c r="L414" t="n">
        <v>0</v>
      </c>
      <c r="M414" t="n">
        <v>0</v>
      </c>
      <c r="N414" t="n">
        <v>0</v>
      </c>
      <c r="O414" t="n">
        <v>0</v>
      </c>
      <c r="P414" t="n">
        <v>0</v>
      </c>
      <c r="Q414" t="n">
        <v>0</v>
      </c>
      <c r="R414" s="2" t="inlineStr"/>
    </row>
    <row r="415" ht="15" customHeight="1">
      <c r="A415" t="inlineStr">
        <is>
          <t>A 54270-2025</t>
        </is>
      </c>
      <c r="B415" s="1" t="n">
        <v>45964.67798611111</v>
      </c>
      <c r="C415" s="1" t="n">
        <v>45969</v>
      </c>
      <c r="D415" t="inlineStr">
        <is>
          <t>NORRBOTTENS LÄN</t>
        </is>
      </c>
      <c r="E415" t="inlineStr">
        <is>
          <t>JOKKMOKK</t>
        </is>
      </c>
      <c r="F415" t="inlineStr">
        <is>
          <t>Allmännings- och besparingsskogar</t>
        </is>
      </c>
      <c r="G415" t="n">
        <v>5.3</v>
      </c>
      <c r="H415" t="n">
        <v>0</v>
      </c>
      <c r="I415" t="n">
        <v>0</v>
      </c>
      <c r="J415" t="n">
        <v>0</v>
      </c>
      <c r="K415" t="n">
        <v>0</v>
      </c>
      <c r="L415" t="n">
        <v>0</v>
      </c>
      <c r="M415" t="n">
        <v>0</v>
      </c>
      <c r="N415" t="n">
        <v>0</v>
      </c>
      <c r="O415" t="n">
        <v>0</v>
      </c>
      <c r="P415" t="n">
        <v>0</v>
      </c>
      <c r="Q415" t="n">
        <v>0</v>
      </c>
      <c r="R415" s="2" t="inlineStr"/>
    </row>
    <row r="416" ht="15" customHeight="1">
      <c r="A416" t="inlineStr">
        <is>
          <t>A 51500-2025</t>
        </is>
      </c>
      <c r="B416" s="1" t="n">
        <v>45950.63739583334</v>
      </c>
      <c r="C416" s="1" t="n">
        <v>45969</v>
      </c>
      <c r="D416" t="inlineStr">
        <is>
          <t>NORRBOTTENS LÄN</t>
        </is>
      </c>
      <c r="E416" t="inlineStr">
        <is>
          <t>JOKKMOKK</t>
        </is>
      </c>
      <c r="G416" t="n">
        <v>10.1</v>
      </c>
      <c r="H416" t="n">
        <v>0</v>
      </c>
      <c r="I416" t="n">
        <v>0</v>
      </c>
      <c r="J416" t="n">
        <v>0</v>
      </c>
      <c r="K416" t="n">
        <v>0</v>
      </c>
      <c r="L416" t="n">
        <v>0</v>
      </c>
      <c r="M416" t="n">
        <v>0</v>
      </c>
      <c r="N416" t="n">
        <v>0</v>
      </c>
      <c r="O416" t="n">
        <v>0</v>
      </c>
      <c r="P416" t="n">
        <v>0</v>
      </c>
      <c r="Q416" t="n">
        <v>0</v>
      </c>
      <c r="R416" s="2" t="inlineStr"/>
    </row>
    <row r="417" ht="15" customHeight="1">
      <c r="A417" t="inlineStr">
        <is>
          <t>A 51576-2025</t>
        </is>
      </c>
      <c r="B417" s="1" t="n">
        <v>45951.34469907408</v>
      </c>
      <c r="C417" s="1" t="n">
        <v>45969</v>
      </c>
      <c r="D417" t="inlineStr">
        <is>
          <t>NORRBOTTENS LÄN</t>
        </is>
      </c>
      <c r="E417" t="inlineStr">
        <is>
          <t>JOKKMOKK</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35511-2025</t>
        </is>
      </c>
      <c r="B418" s="1" t="n">
        <v>45856.36497685185</v>
      </c>
      <c r="C418" s="1" t="n">
        <v>45969</v>
      </c>
      <c r="D418" t="inlineStr">
        <is>
          <t>NORRBOTTENS LÄN</t>
        </is>
      </c>
      <c r="E418" t="inlineStr">
        <is>
          <t>JOKKMOKK</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52770-2025</t>
        </is>
      </c>
      <c r="B419" s="1" t="n">
        <v>45957</v>
      </c>
      <c r="C419" s="1" t="n">
        <v>45969</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35749-2025</t>
        </is>
      </c>
      <c r="B420" s="1" t="n">
        <v>45860</v>
      </c>
      <c r="C420" s="1" t="n">
        <v>45969</v>
      </c>
      <c r="D420" t="inlineStr">
        <is>
          <t>NORRBOTTENS LÄN</t>
        </is>
      </c>
      <c r="E420" t="inlineStr">
        <is>
          <t>JOKKMOKK</t>
        </is>
      </c>
      <c r="G420" t="n">
        <v>4.2</v>
      </c>
      <c r="H420" t="n">
        <v>0</v>
      </c>
      <c r="I420" t="n">
        <v>0</v>
      </c>
      <c r="J420" t="n">
        <v>0</v>
      </c>
      <c r="K420" t="n">
        <v>0</v>
      </c>
      <c r="L420" t="n">
        <v>0</v>
      </c>
      <c r="M420" t="n">
        <v>0</v>
      </c>
      <c r="N420" t="n">
        <v>0</v>
      </c>
      <c r="O420" t="n">
        <v>0</v>
      </c>
      <c r="P420" t="n">
        <v>0</v>
      </c>
      <c r="Q420" t="n">
        <v>0</v>
      </c>
      <c r="R420" s="2" t="inlineStr"/>
    </row>
    <row r="421" ht="15" customHeight="1">
      <c r="A421" t="inlineStr">
        <is>
          <t>A 35805-2025</t>
        </is>
      </c>
      <c r="B421" s="1" t="n">
        <v>45861.4019212963</v>
      </c>
      <c r="C421" s="1" t="n">
        <v>45969</v>
      </c>
      <c r="D421" t="inlineStr">
        <is>
          <t>NORRBOTTENS LÄN</t>
        </is>
      </c>
      <c r="E421" t="inlineStr">
        <is>
          <t>JOKKMOKK</t>
        </is>
      </c>
      <c r="G421" t="n">
        <v>7</v>
      </c>
      <c r="H421" t="n">
        <v>0</v>
      </c>
      <c r="I421" t="n">
        <v>0</v>
      </c>
      <c r="J421" t="n">
        <v>0</v>
      </c>
      <c r="K421" t="n">
        <v>0</v>
      </c>
      <c r="L421" t="n">
        <v>0</v>
      </c>
      <c r="M421" t="n">
        <v>0</v>
      </c>
      <c r="N421" t="n">
        <v>0</v>
      </c>
      <c r="O421" t="n">
        <v>0</v>
      </c>
      <c r="P421" t="n">
        <v>0</v>
      </c>
      <c r="Q421" t="n">
        <v>0</v>
      </c>
      <c r="R421" s="2" t="inlineStr"/>
    </row>
    <row r="422" ht="15" customHeight="1">
      <c r="A422" t="inlineStr">
        <is>
          <t>A 42095-2025</t>
        </is>
      </c>
      <c r="B422" s="1" t="n">
        <v>45903.71916666667</v>
      </c>
      <c r="C422" s="1" t="n">
        <v>45969</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45064-2025</t>
        </is>
      </c>
      <c r="B423" s="1" t="n">
        <v>45919.34533564815</v>
      </c>
      <c r="C423" s="1" t="n">
        <v>45969</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26552-2025</t>
        </is>
      </c>
      <c r="B424" s="1" t="n">
        <v>45807</v>
      </c>
      <c r="C424" s="1" t="n">
        <v>45969</v>
      </c>
      <c r="D424" t="inlineStr">
        <is>
          <t>NORRBOTTENS LÄN</t>
        </is>
      </c>
      <c r="E424" t="inlineStr">
        <is>
          <t>JOKKMOKK</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36325-2025</t>
        </is>
      </c>
      <c r="B425" s="1" t="n">
        <v>45868.40723379629</v>
      </c>
      <c r="C425" s="1" t="n">
        <v>45969</v>
      </c>
      <c r="D425" t="inlineStr">
        <is>
          <t>NORRBOTTENS LÄN</t>
        </is>
      </c>
      <c r="E425" t="inlineStr">
        <is>
          <t>JOKKMOKK</t>
        </is>
      </c>
      <c r="F425" t="inlineStr">
        <is>
          <t>SCA</t>
        </is>
      </c>
      <c r="G425" t="n">
        <v>14.4</v>
      </c>
      <c r="H425" t="n">
        <v>0</v>
      </c>
      <c r="I425" t="n">
        <v>0</v>
      </c>
      <c r="J425" t="n">
        <v>0</v>
      </c>
      <c r="K425" t="n">
        <v>0</v>
      </c>
      <c r="L425" t="n">
        <v>0</v>
      </c>
      <c r="M425" t="n">
        <v>0</v>
      </c>
      <c r="N425" t="n">
        <v>0</v>
      </c>
      <c r="O425" t="n">
        <v>0</v>
      </c>
      <c r="P425" t="n">
        <v>0</v>
      </c>
      <c r="Q425" t="n">
        <v>0</v>
      </c>
      <c r="R425" s="2" t="inlineStr"/>
    </row>
    <row r="426" ht="15" customHeight="1">
      <c r="A426" t="inlineStr">
        <is>
          <t>A 36357-2025</t>
        </is>
      </c>
      <c r="B426" s="1" t="n">
        <v>45868.5107175926</v>
      </c>
      <c r="C426" s="1" t="n">
        <v>45969</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36168-2025</t>
        </is>
      </c>
      <c r="B427" s="1" t="n">
        <v>45867.38582175926</v>
      </c>
      <c r="C427" s="1" t="n">
        <v>45969</v>
      </c>
      <c r="D427" t="inlineStr">
        <is>
          <t>NORRBOTTENS LÄN</t>
        </is>
      </c>
      <c r="E427" t="inlineStr">
        <is>
          <t>JOKKMOKK</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2040-2025</t>
        </is>
      </c>
      <c r="B428" s="1" t="n">
        <v>45671</v>
      </c>
      <c r="C428" s="1" t="n">
        <v>45969</v>
      </c>
      <c r="D428" t="inlineStr">
        <is>
          <t>NORRBOTTENS LÄN</t>
        </is>
      </c>
      <c r="E428" t="inlineStr">
        <is>
          <t>JOKKMOKK</t>
        </is>
      </c>
      <c r="G428" t="n">
        <v>5.1</v>
      </c>
      <c r="H428" t="n">
        <v>0</v>
      </c>
      <c r="I428" t="n">
        <v>0</v>
      </c>
      <c r="J428" t="n">
        <v>0</v>
      </c>
      <c r="K428" t="n">
        <v>0</v>
      </c>
      <c r="L428" t="n">
        <v>0</v>
      </c>
      <c r="M428" t="n">
        <v>0</v>
      </c>
      <c r="N428" t="n">
        <v>0</v>
      </c>
      <c r="O428" t="n">
        <v>0</v>
      </c>
      <c r="P428" t="n">
        <v>0</v>
      </c>
      <c r="Q428" t="n">
        <v>0</v>
      </c>
      <c r="R428" s="2" t="inlineStr"/>
    </row>
    <row r="429" ht="15" customHeight="1">
      <c r="A429" t="inlineStr">
        <is>
          <t>A 18772-2023</t>
        </is>
      </c>
      <c r="B429" s="1" t="n">
        <v>45043</v>
      </c>
      <c r="C429" s="1" t="n">
        <v>45969</v>
      </c>
      <c r="D429" t="inlineStr">
        <is>
          <t>NORRBOTTENS LÄN</t>
        </is>
      </c>
      <c r="E429" t="inlineStr">
        <is>
          <t>JOKKMOKK</t>
        </is>
      </c>
      <c r="F429" t="inlineStr">
        <is>
          <t>SCA</t>
        </is>
      </c>
      <c r="G429" t="n">
        <v>11.9</v>
      </c>
      <c r="H429" t="n">
        <v>0</v>
      </c>
      <c r="I429" t="n">
        <v>0</v>
      </c>
      <c r="J429" t="n">
        <v>0</v>
      </c>
      <c r="K429" t="n">
        <v>0</v>
      </c>
      <c r="L429" t="n">
        <v>0</v>
      </c>
      <c r="M429" t="n">
        <v>0</v>
      </c>
      <c r="N429" t="n">
        <v>0</v>
      </c>
      <c r="O429" t="n">
        <v>0</v>
      </c>
      <c r="P429" t="n">
        <v>0</v>
      </c>
      <c r="Q429" t="n">
        <v>0</v>
      </c>
      <c r="R429" s="2" t="inlineStr"/>
    </row>
    <row r="430" ht="15" customHeight="1">
      <c r="A430" t="inlineStr">
        <is>
          <t>A 54546-2025</t>
        </is>
      </c>
      <c r="B430" s="1" t="n">
        <v>45965.65212962963</v>
      </c>
      <c r="C430" s="1" t="n">
        <v>45969</v>
      </c>
      <c r="D430" t="inlineStr">
        <is>
          <t>NORRBOTTENS LÄN</t>
        </is>
      </c>
      <c r="E430" t="inlineStr">
        <is>
          <t>JOKKMOKK</t>
        </is>
      </c>
      <c r="F430" t="inlineStr">
        <is>
          <t>Allmännings- och besparingsskogar</t>
        </is>
      </c>
      <c r="G430" t="n">
        <v>5.4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45969</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9854-2023</t>
        </is>
      </c>
      <c r="B432" s="1" t="n">
        <v>44984</v>
      </c>
      <c r="C432" s="1" t="n">
        <v>45969</v>
      </c>
      <c r="D432" t="inlineStr">
        <is>
          <t>NORRBOTTENS LÄN</t>
        </is>
      </c>
      <c r="E432" t="inlineStr">
        <is>
          <t>JOKKMOKK</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54585-2025</t>
        </is>
      </c>
      <c r="B433" s="1" t="n">
        <v>45965.72071759259</v>
      </c>
      <c r="C433" s="1" t="n">
        <v>45969</v>
      </c>
      <c r="D433" t="inlineStr">
        <is>
          <t>NORRBOTTENS LÄN</t>
        </is>
      </c>
      <c r="E433" t="inlineStr">
        <is>
          <t>JOKKMOKK</t>
        </is>
      </c>
      <c r="F433" t="inlineStr">
        <is>
          <t>Allmännings- och besparingsskogar</t>
        </is>
      </c>
      <c r="G433" t="n">
        <v>10.2</v>
      </c>
      <c r="H433" t="n">
        <v>0</v>
      </c>
      <c r="I433" t="n">
        <v>0</v>
      </c>
      <c r="J433" t="n">
        <v>0</v>
      </c>
      <c r="K433" t="n">
        <v>0</v>
      </c>
      <c r="L433" t="n">
        <v>0</v>
      </c>
      <c r="M433" t="n">
        <v>0</v>
      </c>
      <c r="N433" t="n">
        <v>0</v>
      </c>
      <c r="O433" t="n">
        <v>0</v>
      </c>
      <c r="P433" t="n">
        <v>0</v>
      </c>
      <c r="Q433" t="n">
        <v>0</v>
      </c>
      <c r="R433" s="2" t="inlineStr"/>
    </row>
    <row r="434" ht="15" customHeight="1">
      <c r="A434" t="inlineStr">
        <is>
          <t>A 56168-2022</t>
        </is>
      </c>
      <c r="B434" s="1" t="n">
        <v>44889</v>
      </c>
      <c r="C434" s="1" t="n">
        <v>45969</v>
      </c>
      <c r="D434" t="inlineStr">
        <is>
          <t>NORRBOTTENS LÄN</t>
        </is>
      </c>
      <c r="E434" t="inlineStr">
        <is>
          <t>JOKKMOKK</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9865-2023</t>
        </is>
      </c>
      <c r="B435" s="1" t="n">
        <v>44984</v>
      </c>
      <c r="C435" s="1" t="n">
        <v>45969</v>
      </c>
      <c r="D435" t="inlineStr">
        <is>
          <t>NORRBOTTENS LÄN</t>
        </is>
      </c>
      <c r="E435" t="inlineStr">
        <is>
          <t>JOKKMOKK</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36361-2024</t>
        </is>
      </c>
      <c r="B436" s="1" t="n">
        <v>45534.64626157407</v>
      </c>
      <c r="C436" s="1" t="n">
        <v>45969</v>
      </c>
      <c r="D436" t="inlineStr">
        <is>
          <t>NORRBOTTENS LÄN</t>
        </is>
      </c>
      <c r="E436" t="inlineStr">
        <is>
          <t>JOKKMOKK</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10596-2025</t>
        </is>
      </c>
      <c r="B437" s="1" t="n">
        <v>45721</v>
      </c>
      <c r="C437" s="1" t="n">
        <v>45969</v>
      </c>
      <c r="D437" t="inlineStr">
        <is>
          <t>NORRBOTTENS LÄN</t>
        </is>
      </c>
      <c r="E437" t="inlineStr">
        <is>
          <t>JOKKMOKK</t>
        </is>
      </c>
      <c r="G437" t="n">
        <v>17.7</v>
      </c>
      <c r="H437" t="n">
        <v>0</v>
      </c>
      <c r="I437" t="n">
        <v>0</v>
      </c>
      <c r="J437" t="n">
        <v>0</v>
      </c>
      <c r="K437" t="n">
        <v>0</v>
      </c>
      <c r="L437" t="n">
        <v>0</v>
      </c>
      <c r="M437" t="n">
        <v>0</v>
      </c>
      <c r="N437" t="n">
        <v>0</v>
      </c>
      <c r="O437" t="n">
        <v>0</v>
      </c>
      <c r="P437" t="n">
        <v>0</v>
      </c>
      <c r="Q437" t="n">
        <v>0</v>
      </c>
      <c r="R437" s="2" t="inlineStr"/>
    </row>
    <row r="438" ht="15" customHeight="1">
      <c r="A438" t="inlineStr">
        <is>
          <t>A 33740-2025</t>
        </is>
      </c>
      <c r="B438" s="1" t="n">
        <v>45842.34456018519</v>
      </c>
      <c r="C438" s="1" t="n">
        <v>45969</v>
      </c>
      <c r="D438" t="inlineStr">
        <is>
          <t>NORRBOTTENS LÄN</t>
        </is>
      </c>
      <c r="E438" t="inlineStr">
        <is>
          <t>JOKKMOKK</t>
        </is>
      </c>
      <c r="F438" t="inlineStr">
        <is>
          <t>SCA</t>
        </is>
      </c>
      <c r="G438" t="n">
        <v>23.3</v>
      </c>
      <c r="H438" t="n">
        <v>0</v>
      </c>
      <c r="I438" t="n">
        <v>0</v>
      </c>
      <c r="J438" t="n">
        <v>0</v>
      </c>
      <c r="K438" t="n">
        <v>0</v>
      </c>
      <c r="L438" t="n">
        <v>0</v>
      </c>
      <c r="M438" t="n">
        <v>0</v>
      </c>
      <c r="N438" t="n">
        <v>0</v>
      </c>
      <c r="O438" t="n">
        <v>0</v>
      </c>
      <c r="P438" t="n">
        <v>0</v>
      </c>
      <c r="Q438" t="n">
        <v>0</v>
      </c>
      <c r="R438" s="2" t="inlineStr"/>
    </row>
    <row r="439" ht="15" customHeight="1">
      <c r="A439" t="inlineStr">
        <is>
          <t>A 37120-2025</t>
        </is>
      </c>
      <c r="B439" s="1" t="n">
        <v>45875.51827546296</v>
      </c>
      <c r="C439" s="1" t="n">
        <v>45969</v>
      </c>
      <c r="D439" t="inlineStr">
        <is>
          <t>NORRBOTTENS LÄN</t>
        </is>
      </c>
      <c r="E439" t="inlineStr">
        <is>
          <t>JOKKMOKK</t>
        </is>
      </c>
      <c r="G439" t="n">
        <v>17.6</v>
      </c>
      <c r="H439" t="n">
        <v>0</v>
      </c>
      <c r="I439" t="n">
        <v>0</v>
      </c>
      <c r="J439" t="n">
        <v>0</v>
      </c>
      <c r="K439" t="n">
        <v>0</v>
      </c>
      <c r="L439" t="n">
        <v>0</v>
      </c>
      <c r="M439" t="n">
        <v>0</v>
      </c>
      <c r="N439" t="n">
        <v>0</v>
      </c>
      <c r="O439" t="n">
        <v>0</v>
      </c>
      <c r="P439" t="n">
        <v>0</v>
      </c>
      <c r="Q439" t="n">
        <v>0</v>
      </c>
      <c r="R439" s="2" t="inlineStr"/>
    </row>
    <row r="440" ht="15" customHeight="1">
      <c r="A440" t="inlineStr">
        <is>
          <t>A 45469-2022</t>
        </is>
      </c>
      <c r="B440" s="1" t="n">
        <v>44841</v>
      </c>
      <c r="C440" s="1" t="n">
        <v>45969</v>
      </c>
      <c r="D440" t="inlineStr">
        <is>
          <t>NORRBOTTENS LÄN</t>
        </is>
      </c>
      <c r="E440" t="inlineStr">
        <is>
          <t>JOKKMOKK</t>
        </is>
      </c>
      <c r="F440" t="inlineStr">
        <is>
          <t>Övriga Aktiebolag</t>
        </is>
      </c>
      <c r="G440" t="n">
        <v>3.4</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45969</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37694-2025</t>
        </is>
      </c>
      <c r="B442" s="1" t="n">
        <v>45880.57349537037</v>
      </c>
      <c r="C442" s="1" t="n">
        <v>45969</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37917-2025</t>
        </is>
      </c>
      <c r="B443" s="1" t="n">
        <v>45881.57443287037</v>
      </c>
      <c r="C443" s="1" t="n">
        <v>45969</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32957-2024</t>
        </is>
      </c>
      <c r="B444" s="1" t="n">
        <v>45517.3762037037</v>
      </c>
      <c r="C444" s="1" t="n">
        <v>45969</v>
      </c>
      <c r="D444" t="inlineStr">
        <is>
          <t>NORRBOTTENS LÄN</t>
        </is>
      </c>
      <c r="E444" t="inlineStr">
        <is>
          <t>JOKKMOKK</t>
        </is>
      </c>
      <c r="F444" t="inlineStr">
        <is>
          <t>Sveaskog</t>
        </is>
      </c>
      <c r="G444" t="n">
        <v>5.4</v>
      </c>
      <c r="H444" t="n">
        <v>0</v>
      </c>
      <c r="I444" t="n">
        <v>0</v>
      </c>
      <c r="J444" t="n">
        <v>0</v>
      </c>
      <c r="K444" t="n">
        <v>0</v>
      </c>
      <c r="L444" t="n">
        <v>0</v>
      </c>
      <c r="M444" t="n">
        <v>0</v>
      </c>
      <c r="N444" t="n">
        <v>0</v>
      </c>
      <c r="O444" t="n">
        <v>0</v>
      </c>
      <c r="P444" t="n">
        <v>0</v>
      </c>
      <c r="Q444" t="n">
        <v>0</v>
      </c>
      <c r="R444" s="2" t="inlineStr"/>
    </row>
    <row r="445" ht="15" customHeight="1">
      <c r="A445" t="inlineStr">
        <is>
          <t>A 31902-2021</t>
        </is>
      </c>
      <c r="B445" s="1" t="n">
        <v>44370</v>
      </c>
      <c r="C445" s="1" t="n">
        <v>45969</v>
      </c>
      <c r="D445" t="inlineStr">
        <is>
          <t>NORRBOTTENS LÄN</t>
        </is>
      </c>
      <c r="E445" t="inlineStr">
        <is>
          <t>JOKKMOKK</t>
        </is>
      </c>
      <c r="G445" t="n">
        <v>20</v>
      </c>
      <c r="H445" t="n">
        <v>0</v>
      </c>
      <c r="I445" t="n">
        <v>0</v>
      </c>
      <c r="J445" t="n">
        <v>0</v>
      </c>
      <c r="K445" t="n">
        <v>0</v>
      </c>
      <c r="L445" t="n">
        <v>0</v>
      </c>
      <c r="M445" t="n">
        <v>0</v>
      </c>
      <c r="N445" t="n">
        <v>0</v>
      </c>
      <c r="O445" t="n">
        <v>0</v>
      </c>
      <c r="P445" t="n">
        <v>0</v>
      </c>
      <c r="Q445" t="n">
        <v>0</v>
      </c>
      <c r="R445" s="2" t="inlineStr"/>
    </row>
    <row r="446" ht="15" customHeight="1">
      <c r="A446" t="inlineStr">
        <is>
          <t>A 45333-2024</t>
        </is>
      </c>
      <c r="B446" s="1" t="n">
        <v>45576</v>
      </c>
      <c r="C446" s="1" t="n">
        <v>45969</v>
      </c>
      <c r="D446" t="inlineStr">
        <is>
          <t>NORRBOTTENS LÄN</t>
        </is>
      </c>
      <c r="E446" t="inlineStr">
        <is>
          <t>JOKKMOKK</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6778-2023</t>
        </is>
      </c>
      <c r="B447" s="1" t="n">
        <v>44966</v>
      </c>
      <c r="C447" s="1" t="n">
        <v>45969</v>
      </c>
      <c r="D447" t="inlineStr">
        <is>
          <t>NORRBOTTENS LÄN</t>
        </is>
      </c>
      <c r="E447" t="inlineStr">
        <is>
          <t>JOKKMOKK</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55195-2025</t>
        </is>
      </c>
      <c r="B448" s="1" t="n">
        <v>45968.5525</v>
      </c>
      <c r="C448" s="1" t="n">
        <v>45969</v>
      </c>
      <c r="D448" t="inlineStr">
        <is>
          <t>NORRBOTTENS LÄN</t>
        </is>
      </c>
      <c r="E448" t="inlineStr">
        <is>
          <t>JOKKMOKK</t>
        </is>
      </c>
      <c r="G448" t="n">
        <v>5.3</v>
      </c>
      <c r="H448" t="n">
        <v>0</v>
      </c>
      <c r="I448" t="n">
        <v>0</v>
      </c>
      <c r="J448" t="n">
        <v>0</v>
      </c>
      <c r="K448" t="n">
        <v>0</v>
      </c>
      <c r="L448" t="n">
        <v>0</v>
      </c>
      <c r="M448" t="n">
        <v>0</v>
      </c>
      <c r="N448" t="n">
        <v>0</v>
      </c>
      <c r="O448" t="n">
        <v>0</v>
      </c>
      <c r="P448" t="n">
        <v>0</v>
      </c>
      <c r="Q448" t="n">
        <v>0</v>
      </c>
      <c r="R448" s="2" t="inlineStr"/>
    </row>
    <row r="449" ht="15" customHeight="1">
      <c r="A449" t="inlineStr">
        <is>
          <t>A 31209-2023</t>
        </is>
      </c>
      <c r="B449" s="1" t="n">
        <v>45113.95096064815</v>
      </c>
      <c r="C449" s="1" t="n">
        <v>45969</v>
      </c>
      <c r="D449" t="inlineStr">
        <is>
          <t>NORRBOTTENS LÄN</t>
        </is>
      </c>
      <c r="E449" t="inlineStr">
        <is>
          <t>JOKKMOKK</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46458-2025</t>
        </is>
      </c>
      <c r="B450" s="1" t="n">
        <v>45925.66335648148</v>
      </c>
      <c r="C450" s="1" t="n">
        <v>45969</v>
      </c>
      <c r="D450" t="inlineStr">
        <is>
          <t>NORRBOTTENS LÄN</t>
        </is>
      </c>
      <c r="E450" t="inlineStr">
        <is>
          <t>JOKKMOKK</t>
        </is>
      </c>
      <c r="G450" t="n">
        <v>0.9</v>
      </c>
      <c r="H450" t="n">
        <v>0</v>
      </c>
      <c r="I450" t="n">
        <v>0</v>
      </c>
      <c r="J450" t="n">
        <v>0</v>
      </c>
      <c r="K450" t="n">
        <v>0</v>
      </c>
      <c r="L450" t="n">
        <v>0</v>
      </c>
      <c r="M450" t="n">
        <v>0</v>
      </c>
      <c r="N450" t="n">
        <v>0</v>
      </c>
      <c r="O450" t="n">
        <v>0</v>
      </c>
      <c r="P450" t="n">
        <v>0</v>
      </c>
      <c r="Q450" t="n">
        <v>0</v>
      </c>
      <c r="R450" s="2" t="inlineStr"/>
    </row>
    <row r="451" ht="15" customHeight="1">
      <c r="A451" t="inlineStr">
        <is>
          <t>A 46465-2025</t>
        </is>
      </c>
      <c r="B451" s="1" t="n">
        <v>45925.67710648148</v>
      </c>
      <c r="C451" s="1" t="n">
        <v>45969</v>
      </c>
      <c r="D451" t="inlineStr">
        <is>
          <t>NORRBOTTENS LÄN</t>
        </is>
      </c>
      <c r="E451" t="inlineStr">
        <is>
          <t>JOKKMOKK</t>
        </is>
      </c>
      <c r="G451" t="n">
        <v>3.6</v>
      </c>
      <c r="H451" t="n">
        <v>0</v>
      </c>
      <c r="I451" t="n">
        <v>0</v>
      </c>
      <c r="J451" t="n">
        <v>0</v>
      </c>
      <c r="K451" t="n">
        <v>0</v>
      </c>
      <c r="L451" t="n">
        <v>0</v>
      </c>
      <c r="M451" t="n">
        <v>0</v>
      </c>
      <c r="N451" t="n">
        <v>0</v>
      </c>
      <c r="O451" t="n">
        <v>0</v>
      </c>
      <c r="P451" t="n">
        <v>0</v>
      </c>
      <c r="Q451" t="n">
        <v>0</v>
      </c>
      <c r="R451" s="2" t="inlineStr"/>
    </row>
    <row r="452">
      <c r="A452" t="inlineStr">
        <is>
          <t>A 46460-2025</t>
        </is>
      </c>
      <c r="B452" s="1" t="n">
        <v>45925.66606481482</v>
      </c>
      <c r="C452" s="1" t="n">
        <v>45969</v>
      </c>
      <c r="D452" t="inlineStr">
        <is>
          <t>NORRBOTTENS LÄN</t>
        </is>
      </c>
      <c r="E452" t="inlineStr">
        <is>
          <t>JOKKMOKK</t>
        </is>
      </c>
      <c r="G452" t="n">
        <v>1.2</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2025-11-08T10:09:24Z</dcterms:created>
  <dcterms:modified xmlns:dcterms="http://purl.org/dc/terms/" xmlns:xsi="http://www.w3.org/2001/XMLSchema-instance" xsi:type="dcterms:W3CDTF">2025-11-08T10:09:24Z</dcterms:modified>
</cp:coreProperties>
</file>