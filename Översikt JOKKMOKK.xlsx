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45508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45508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45508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45508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45508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45508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45508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45508</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45508</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20245-2019</t>
        </is>
      </c>
      <c r="B11" s="1" t="n">
        <v>43566</v>
      </c>
      <c r="C11" s="1" t="n">
        <v>45508</v>
      </c>
      <c r="D11" t="inlineStr">
        <is>
          <t>NORRBOTTENS LÄN</t>
        </is>
      </c>
      <c r="E11" t="inlineStr">
        <is>
          <t>JOKKMOKK</t>
        </is>
      </c>
      <c r="G11" t="n">
        <v>1.8</v>
      </c>
      <c r="H11" t="n">
        <v>3</v>
      </c>
      <c r="I11" t="n">
        <v>4</v>
      </c>
      <c r="J11" t="n">
        <v>11</v>
      </c>
      <c r="K11" t="n">
        <v>1</v>
      </c>
      <c r="L11" t="n">
        <v>0</v>
      </c>
      <c r="M11" t="n">
        <v>0</v>
      </c>
      <c r="N11" t="n">
        <v>0</v>
      </c>
      <c r="O11" t="n">
        <v>12</v>
      </c>
      <c r="P11" t="n">
        <v>1</v>
      </c>
      <c r="Q11" t="n">
        <v>17</v>
      </c>
      <c r="R11" s="2" t="inlineStr">
        <is>
          <t>Doftticka
Brunpudrad nållav
Gammelgransskål
Garnlav
Knottrig blåslav
Kolflarnlav
Lunglav
Skrovellav
Spillkråka
Vedflamlav
Vedskivlav
Vitgrynig nållav
Bårdlav
Luddlav
Nästlav
Stuplav
Revlummer</t>
        </is>
      </c>
      <c r="S11">
        <f>HYPERLINK("https://klasma.github.io/Logging_2510/artfynd/A 20245-2019 artfynd.xlsx", "A 20245-2019")</f>
        <v/>
      </c>
      <c r="T11">
        <f>HYPERLINK("https://klasma.github.io/Logging_2510/kartor/A 20245-2019 karta.png", "A 20245-2019")</f>
        <v/>
      </c>
      <c r="V11">
        <f>HYPERLINK("https://klasma.github.io/Logging_2510/klagomål/A 20245-2019 FSC-klagomål.docx", "A 20245-2019")</f>
        <v/>
      </c>
      <c r="W11">
        <f>HYPERLINK("https://klasma.github.io/Logging_2510/klagomålsmail/A 20245-2019 FSC-klagomål mail.docx", "A 20245-2019")</f>
        <v/>
      </c>
      <c r="X11">
        <f>HYPERLINK("https://klasma.github.io/Logging_2510/tillsyn/A 20245-2019 tillsynsbegäran.docx", "A 20245-2019")</f>
        <v/>
      </c>
      <c r="Y11">
        <f>HYPERLINK("https://klasma.github.io/Logging_2510/tillsynsmail/A 20245-2019 tillsynsbegäran mail.docx", "A 20245-2019")</f>
        <v/>
      </c>
      <c r="Z11">
        <f>HYPERLINK("https://klasma.github.io/Logging_2510/fåglar/A 20245-2019 prioriterade fågelarter.docx", "A 20245-2019")</f>
        <v/>
      </c>
    </row>
    <row r="12" ht="15" customHeight="1">
      <c r="A12" t="inlineStr">
        <is>
          <t>A 32121-2021</t>
        </is>
      </c>
      <c r="B12" s="1" t="n">
        <v>44370</v>
      </c>
      <c r="C12" s="1" t="n">
        <v>45508</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45508</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20487-2023</t>
        </is>
      </c>
      <c r="B14" s="1" t="n">
        <v>45057</v>
      </c>
      <c r="C14" s="1" t="n">
        <v>45508</v>
      </c>
      <c r="D14" t="inlineStr">
        <is>
          <t>NORRBOTTENS LÄN</t>
        </is>
      </c>
      <c r="E14" t="inlineStr">
        <is>
          <t>JOKKMOKK</t>
        </is>
      </c>
      <c r="G14" t="n">
        <v>6.2</v>
      </c>
      <c r="H14" t="n">
        <v>2</v>
      </c>
      <c r="I14" t="n">
        <v>6</v>
      </c>
      <c r="J14" t="n">
        <v>9</v>
      </c>
      <c r="K14" t="n">
        <v>1</v>
      </c>
      <c r="L14" t="n">
        <v>0</v>
      </c>
      <c r="M14" t="n">
        <v>0</v>
      </c>
      <c r="N14" t="n">
        <v>0</v>
      </c>
      <c r="O14" t="n">
        <v>10</v>
      </c>
      <c r="P14" t="n">
        <v>1</v>
      </c>
      <c r="Q14" t="n">
        <v>17</v>
      </c>
      <c r="R14" s="2" t="inlineStr">
        <is>
          <t>Doftticka
Gammelgransskål
Garnlav
Granticka
Kolflarnlav
Lunglav
Mörk kolflarnlav
Skrovellav
Stiftgelélav
Vedskivlav
Bårdlav
Dropptaggsvamp
Luddlav
Norrlandslav
Nästlav
Stuplav
Revlummer</t>
        </is>
      </c>
      <c r="S14">
        <f>HYPERLINK("https://klasma.github.io/Logging_2510/artfynd/A 20487-2023 artfynd.xlsx", "A 20487-2023")</f>
        <v/>
      </c>
      <c r="T14">
        <f>HYPERLINK("https://klasma.github.io/Logging_2510/kartor/A 20487-2023 karta.png", "A 20487-2023")</f>
        <v/>
      </c>
      <c r="V14">
        <f>HYPERLINK("https://klasma.github.io/Logging_2510/klagomål/A 20487-2023 FSC-klagomål.docx", "A 20487-2023")</f>
        <v/>
      </c>
      <c r="W14">
        <f>HYPERLINK("https://klasma.github.io/Logging_2510/klagomålsmail/A 20487-2023 FSC-klagomål mail.docx", "A 20487-2023")</f>
        <v/>
      </c>
      <c r="X14">
        <f>HYPERLINK("https://klasma.github.io/Logging_2510/tillsyn/A 20487-2023 tillsynsbegäran.docx", "A 20487-2023")</f>
        <v/>
      </c>
      <c r="Y14">
        <f>HYPERLINK("https://klasma.github.io/Logging_2510/tillsynsmail/A 20487-2023 tillsynsbegäran mail.docx", "A 20487-2023")</f>
        <v/>
      </c>
    </row>
    <row r="15" ht="15" customHeight="1">
      <c r="A15" t="inlineStr">
        <is>
          <t>A 20585-2023</t>
        </is>
      </c>
      <c r="B15" s="1" t="n">
        <v>45057</v>
      </c>
      <c r="C15" s="1" t="n">
        <v>45508</v>
      </c>
      <c r="D15" t="inlineStr">
        <is>
          <t>NORRBOTTENS LÄN</t>
        </is>
      </c>
      <c r="E15" t="inlineStr">
        <is>
          <t>JOKKMOKK</t>
        </is>
      </c>
      <c r="G15" t="n">
        <v>2.8</v>
      </c>
      <c r="H15" t="n">
        <v>3</v>
      </c>
      <c r="I15" t="n">
        <v>5</v>
      </c>
      <c r="J15" t="n">
        <v>10</v>
      </c>
      <c r="K15" t="n">
        <v>0</v>
      </c>
      <c r="L15" t="n">
        <v>0</v>
      </c>
      <c r="M15" t="n">
        <v>0</v>
      </c>
      <c r="N15" t="n">
        <v>0</v>
      </c>
      <c r="O15" t="n">
        <v>10</v>
      </c>
      <c r="P15" t="n">
        <v>0</v>
      </c>
      <c r="Q15" t="n">
        <v>16</v>
      </c>
      <c r="R15" s="2" t="inlineStr">
        <is>
          <t>Blanksvart spiklav
Blågrå svartspik
Gammelgransskål
Garnlav
Lunglav
Mörk kolflarnlav
Skrovellav
Spillkråka
Tretåig hackspett
Vedskivlav
Bårdlav
Luddlav
Norrlandslav
Stuplav
Vedticka
Revlummer</t>
        </is>
      </c>
      <c r="S15">
        <f>HYPERLINK("https://klasma.github.io/Logging_2510/artfynd/A 20585-2023 artfynd.xlsx", "A 20585-2023")</f>
        <v/>
      </c>
      <c r="T15">
        <f>HYPERLINK("https://klasma.github.io/Logging_2510/kartor/A 20585-2023 karta.png", "A 20585-2023")</f>
        <v/>
      </c>
      <c r="V15">
        <f>HYPERLINK("https://klasma.github.io/Logging_2510/klagomål/A 20585-2023 FSC-klagomål.docx", "A 20585-2023")</f>
        <v/>
      </c>
      <c r="W15">
        <f>HYPERLINK("https://klasma.github.io/Logging_2510/klagomålsmail/A 20585-2023 FSC-klagomål mail.docx", "A 20585-2023")</f>
        <v/>
      </c>
      <c r="X15">
        <f>HYPERLINK("https://klasma.github.io/Logging_2510/tillsyn/A 20585-2023 tillsynsbegäran.docx", "A 20585-2023")</f>
        <v/>
      </c>
      <c r="Y15">
        <f>HYPERLINK("https://klasma.github.io/Logging_2510/tillsynsmail/A 20585-2023 tillsynsbegäran mail.docx", "A 20585-2023")</f>
        <v/>
      </c>
      <c r="Z15">
        <f>HYPERLINK("https://klasma.github.io/Logging_2510/fåglar/A 20585-2023 prioriterade fågelarter.docx", "A 20585-2023")</f>
        <v/>
      </c>
    </row>
    <row r="16" ht="15" customHeight="1">
      <c r="A16" t="inlineStr">
        <is>
          <t>A 52408-2023</t>
        </is>
      </c>
      <c r="B16" s="1" t="n">
        <v>45224</v>
      </c>
      <c r="C16" s="1" t="n">
        <v>45508</v>
      </c>
      <c r="D16" t="inlineStr">
        <is>
          <t>NORRBOTTENS LÄN</t>
        </is>
      </c>
      <c r="E16" t="inlineStr">
        <is>
          <t>JOKKMOKK</t>
        </is>
      </c>
      <c r="F16" t="inlineStr">
        <is>
          <t>SCA</t>
        </is>
      </c>
      <c r="G16" t="n">
        <v>8.199999999999999</v>
      </c>
      <c r="H16" t="n">
        <v>2</v>
      </c>
      <c r="I16" t="n">
        <v>5</v>
      </c>
      <c r="J16" t="n">
        <v>9</v>
      </c>
      <c r="K16" t="n">
        <v>2</v>
      </c>
      <c r="L16" t="n">
        <v>0</v>
      </c>
      <c r="M16" t="n">
        <v>0</v>
      </c>
      <c r="N16" t="n">
        <v>0</v>
      </c>
      <c r="O16" t="n">
        <v>11</v>
      </c>
      <c r="P16" t="n">
        <v>2</v>
      </c>
      <c r="Q16" t="n">
        <v>16</v>
      </c>
      <c r="R16" s="2" t="inlineStr">
        <is>
          <t>Goliatmusseron
Tallgråticka
Blå taggsvamp
Knottrig blåslav
Mjölsvärting
Motaggsvamp
Orange taggsvamp
Skrovlig taggsvamp
Svartvit taggsvamp
Tallriska
Videsparv
Dropptaggsvamp
Norrlandslav
Plattlummer
Skarp dropptaggsvamp
Späd brosklav</t>
        </is>
      </c>
      <c r="S16">
        <f>HYPERLINK("https://klasma.github.io/Logging_2510/artfynd/A 52408-2023 artfynd.xlsx", "A 52408-2023")</f>
        <v/>
      </c>
      <c r="T16">
        <f>HYPERLINK("https://klasma.github.io/Logging_2510/kartor/A 52408-2023 karta.png", "A 52408-2023")</f>
        <v/>
      </c>
      <c r="V16">
        <f>HYPERLINK("https://klasma.github.io/Logging_2510/klagomål/A 52408-2023 FSC-klagomål.docx", "A 52408-2023")</f>
        <v/>
      </c>
      <c r="W16">
        <f>HYPERLINK("https://klasma.github.io/Logging_2510/klagomålsmail/A 52408-2023 FSC-klagomål mail.docx", "A 52408-2023")</f>
        <v/>
      </c>
      <c r="X16">
        <f>HYPERLINK("https://klasma.github.io/Logging_2510/tillsyn/A 52408-2023 tillsynsbegäran.docx", "A 52408-2023")</f>
        <v/>
      </c>
      <c r="Y16">
        <f>HYPERLINK("https://klasma.github.io/Logging_2510/tillsynsmail/A 52408-2023 tillsynsbegäran mail.docx", "A 52408-2023")</f>
        <v/>
      </c>
      <c r="Z16">
        <f>HYPERLINK("https://klasma.github.io/Logging_2510/fåglar/A 52408-2023 prioriterade fågelarter.docx", "A 52408-2023")</f>
        <v/>
      </c>
    </row>
    <row r="17" ht="15" customHeight="1">
      <c r="A17" t="inlineStr">
        <is>
          <t>A 53217-2023</t>
        </is>
      </c>
      <c r="B17" s="1" t="n">
        <v>45222</v>
      </c>
      <c r="C17" s="1" t="n">
        <v>45508</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25131-2020</t>
        </is>
      </c>
      <c r="B18" s="1" t="n">
        <v>43980</v>
      </c>
      <c r="C18" s="1" t="n">
        <v>45508</v>
      </c>
      <c r="D18" t="inlineStr">
        <is>
          <t>NORRBOTTENS LÄN</t>
        </is>
      </c>
      <c r="E18" t="inlineStr">
        <is>
          <t>JOKKMOKK</t>
        </is>
      </c>
      <c r="F18" t="inlineStr">
        <is>
          <t>Sveaskog</t>
        </is>
      </c>
      <c r="G18" t="n">
        <v>8.6</v>
      </c>
      <c r="H18" t="n">
        <v>0</v>
      </c>
      <c r="I18" t="n">
        <v>2</v>
      </c>
      <c r="J18" t="n">
        <v>10</v>
      </c>
      <c r="K18" t="n">
        <v>1</v>
      </c>
      <c r="L18" t="n">
        <v>0</v>
      </c>
      <c r="M18" t="n">
        <v>0</v>
      </c>
      <c r="N18" t="n">
        <v>0</v>
      </c>
      <c r="O18" t="n">
        <v>11</v>
      </c>
      <c r="P18" t="n">
        <v>1</v>
      </c>
      <c r="Q18" t="n">
        <v>13</v>
      </c>
      <c r="R18" s="2" t="inlineStr">
        <is>
          <t>Goliatmusseron
Blanksvart spiklav
Blå taggsvamp
Blågrå svartspik
Kolflarnlav
Orange taggsvamp
Skrovlig taggsvamp
Tallriska
Vaddporing
Vedflamlav
Vedskivlav
Dropptaggsvamp
Skarp dropptaggsvamp</t>
        </is>
      </c>
      <c r="S18">
        <f>HYPERLINK("https://klasma.github.io/Logging_2510/artfynd/A 25131-2020 artfynd.xlsx", "A 25131-2020")</f>
        <v/>
      </c>
      <c r="T18">
        <f>HYPERLINK("https://klasma.github.io/Logging_2510/kartor/A 25131-2020 karta.png", "A 25131-2020")</f>
        <v/>
      </c>
      <c r="V18">
        <f>HYPERLINK("https://klasma.github.io/Logging_2510/klagomål/A 25131-2020 FSC-klagomål.docx", "A 25131-2020")</f>
        <v/>
      </c>
      <c r="W18">
        <f>HYPERLINK("https://klasma.github.io/Logging_2510/klagomålsmail/A 25131-2020 FSC-klagomål mail.docx", "A 25131-2020")</f>
        <v/>
      </c>
      <c r="X18">
        <f>HYPERLINK("https://klasma.github.io/Logging_2510/tillsyn/A 25131-2020 tillsynsbegäran.docx", "A 25131-2020")</f>
        <v/>
      </c>
      <c r="Y18">
        <f>HYPERLINK("https://klasma.github.io/Logging_2510/tillsynsmail/A 25131-2020 tillsynsbegäran mail.docx", "A 25131-2020")</f>
        <v/>
      </c>
    </row>
    <row r="19" ht="15" customHeight="1">
      <c r="A19" t="inlineStr">
        <is>
          <t>A 24072-2022</t>
        </is>
      </c>
      <c r="B19" s="1" t="n">
        <v>44722</v>
      </c>
      <c r="C19" s="1" t="n">
        <v>45508</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45175</v>
      </c>
      <c r="C20" s="1" t="n">
        <v>45508</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45508</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55330-2023</t>
        </is>
      </c>
      <c r="B22" s="1" t="n">
        <v>45238</v>
      </c>
      <c r="C22" s="1" t="n">
        <v>45508</v>
      </c>
      <c r="D22" t="inlineStr">
        <is>
          <t>NORRBOTTENS LÄN</t>
        </is>
      </c>
      <c r="E22" t="inlineStr">
        <is>
          <t>JOKKMOKK</t>
        </is>
      </c>
      <c r="F22" t="inlineStr">
        <is>
          <t>SCA</t>
        </is>
      </c>
      <c r="G22" t="n">
        <v>10.1</v>
      </c>
      <c r="H22" t="n">
        <v>5</v>
      </c>
      <c r="I22" t="n">
        <v>3</v>
      </c>
      <c r="J22" t="n">
        <v>7</v>
      </c>
      <c r="K22" t="n">
        <v>1</v>
      </c>
      <c r="L22" t="n">
        <v>0</v>
      </c>
      <c r="M22" t="n">
        <v>0</v>
      </c>
      <c r="N22" t="n">
        <v>0</v>
      </c>
      <c r="O22" t="n">
        <v>8</v>
      </c>
      <c r="P22" t="n">
        <v>1</v>
      </c>
      <c r="Q22" t="n">
        <v>12</v>
      </c>
      <c r="R22" s="2" t="inlineStr">
        <is>
          <t>Grenlav
Garnlav
Järpe
Knottrig blåslav
Skrovellav
Spillkråka
Talltita
Tretåig hackspett
Bårdlav
Späd brosklav
Stuplav
Tjäder</t>
        </is>
      </c>
      <c r="S22">
        <f>HYPERLINK("https://klasma.github.io/Logging_2510/artfynd/A 55330-2023 artfynd.xlsx", "A 55330-2023")</f>
        <v/>
      </c>
      <c r="T22">
        <f>HYPERLINK("https://klasma.github.io/Logging_2510/kartor/A 55330-2023 karta.png", "A 55330-2023")</f>
        <v/>
      </c>
      <c r="V22">
        <f>HYPERLINK("https://klasma.github.io/Logging_2510/klagomål/A 55330-2023 FSC-klagomål.docx", "A 55330-2023")</f>
        <v/>
      </c>
      <c r="W22">
        <f>HYPERLINK("https://klasma.github.io/Logging_2510/klagomålsmail/A 55330-2023 FSC-klagomål mail.docx", "A 55330-2023")</f>
        <v/>
      </c>
      <c r="X22">
        <f>HYPERLINK("https://klasma.github.io/Logging_2510/tillsyn/A 55330-2023 tillsynsbegäran.docx", "A 55330-2023")</f>
        <v/>
      </c>
      <c r="Y22">
        <f>HYPERLINK("https://klasma.github.io/Logging_2510/tillsynsmail/A 55330-2023 tillsynsbegäran mail.docx", "A 55330-2023")</f>
        <v/>
      </c>
      <c r="Z22">
        <f>HYPERLINK("https://klasma.github.io/Logging_2510/fåglar/A 55330-2023 prioriterade fågelarter.docx", "A 55330-2023")</f>
        <v/>
      </c>
    </row>
    <row r="23" ht="15" customHeight="1">
      <c r="A23" t="inlineStr">
        <is>
          <t>A 61941-2023</t>
        </is>
      </c>
      <c r="B23" s="1" t="n">
        <v>45266</v>
      </c>
      <c r="C23" s="1" t="n">
        <v>45508</v>
      </c>
      <c r="D23" t="inlineStr">
        <is>
          <t>NORRBOTTENS LÄN</t>
        </is>
      </c>
      <c r="E23" t="inlineStr">
        <is>
          <t>JOKKMOKK</t>
        </is>
      </c>
      <c r="F23" t="inlineStr">
        <is>
          <t>Allmännings- och besparingsskogar</t>
        </is>
      </c>
      <c r="G23" t="n">
        <v>10.1</v>
      </c>
      <c r="H23" t="n">
        <v>3</v>
      </c>
      <c r="I23" t="n">
        <v>4</v>
      </c>
      <c r="J23" t="n">
        <v>7</v>
      </c>
      <c r="K23" t="n">
        <v>0</v>
      </c>
      <c r="L23" t="n">
        <v>0</v>
      </c>
      <c r="M23" t="n">
        <v>0</v>
      </c>
      <c r="N23" t="n">
        <v>0</v>
      </c>
      <c r="O23" t="n">
        <v>7</v>
      </c>
      <c r="P23" t="n">
        <v>0</v>
      </c>
      <c r="Q23" t="n">
        <v>12</v>
      </c>
      <c r="R23" s="2" t="inlineStr">
        <is>
          <t>Kolflarnlav
Skrovlig taggsvamp
Spillkråka
Tallriska
Talltaggsvamp
Vaxspindling
Vedskivlav
Norrlandslav
Plattlummer
Skarp dropptaggsvamp
Vedticka
Revlummer</t>
        </is>
      </c>
      <c r="S23">
        <f>HYPERLINK("https://klasma.github.io/Logging_2510/artfynd/A 61941-2023 artfynd.xlsx", "A 61941-2023")</f>
        <v/>
      </c>
      <c r="T23">
        <f>HYPERLINK("https://klasma.github.io/Logging_2510/kartor/A 61941-2023 karta.png", "A 61941-2023")</f>
        <v/>
      </c>
      <c r="V23">
        <f>HYPERLINK("https://klasma.github.io/Logging_2510/klagomål/A 61941-2023 FSC-klagomål.docx", "A 61941-2023")</f>
        <v/>
      </c>
      <c r="W23">
        <f>HYPERLINK("https://klasma.github.io/Logging_2510/klagomålsmail/A 61941-2023 FSC-klagomål mail.docx", "A 61941-2023")</f>
        <v/>
      </c>
      <c r="X23">
        <f>HYPERLINK("https://klasma.github.io/Logging_2510/tillsyn/A 61941-2023 tillsynsbegäran.docx", "A 61941-2023")</f>
        <v/>
      </c>
      <c r="Y23">
        <f>HYPERLINK("https://klasma.github.io/Logging_2510/tillsynsmail/A 61941-2023 tillsynsbegäran mail.docx", "A 61941-2023")</f>
        <v/>
      </c>
      <c r="Z23">
        <f>HYPERLINK("https://klasma.github.io/Logging_2510/fåglar/A 61941-2023 prioriterade fågelarter.docx", "A 61941-2023")</f>
        <v/>
      </c>
    </row>
    <row r="24" ht="15" customHeight="1">
      <c r="A24" t="inlineStr">
        <is>
          <t>A 19776-2019</t>
        </is>
      </c>
      <c r="B24" s="1" t="n">
        <v>43566</v>
      </c>
      <c r="C24" s="1" t="n">
        <v>45508</v>
      </c>
      <c r="D24" t="inlineStr">
        <is>
          <t>NORRBOTTENS LÄN</t>
        </is>
      </c>
      <c r="E24" t="inlineStr">
        <is>
          <t>JOKKMOKK</t>
        </is>
      </c>
      <c r="G24" t="n">
        <v>13.9</v>
      </c>
      <c r="H24" t="n">
        <v>2</v>
      </c>
      <c r="I24" t="n">
        <v>5</v>
      </c>
      <c r="J24" t="n">
        <v>5</v>
      </c>
      <c r="K24" t="n">
        <v>0</v>
      </c>
      <c r="L24" t="n">
        <v>0</v>
      </c>
      <c r="M24" t="n">
        <v>0</v>
      </c>
      <c r="N24" t="n">
        <v>0</v>
      </c>
      <c r="O24" t="n">
        <v>5</v>
      </c>
      <c r="P24" t="n">
        <v>0</v>
      </c>
      <c r="Q24" t="n">
        <v>11</v>
      </c>
      <c r="R24" s="2" t="inlineStr">
        <is>
          <t>Brunpudrad nållav
Gammelgransskål
Garnlav
Lunglav
Talltita
Bårdlav
Luddlav
Norrlandslav
Nästlav
Stuplav
Revlummer</t>
        </is>
      </c>
      <c r="S24">
        <f>HYPERLINK("https://klasma.github.io/Logging_2510/artfynd/A 19776-2019 artfynd.xlsx", "A 19776-2019")</f>
        <v/>
      </c>
      <c r="T24">
        <f>HYPERLINK("https://klasma.github.io/Logging_2510/kartor/A 19776-2019 karta.png", "A 19776-2019")</f>
        <v/>
      </c>
      <c r="V24">
        <f>HYPERLINK("https://klasma.github.io/Logging_2510/klagomål/A 19776-2019 FSC-klagomål.docx", "A 19776-2019")</f>
        <v/>
      </c>
      <c r="W24">
        <f>HYPERLINK("https://klasma.github.io/Logging_2510/klagomålsmail/A 19776-2019 FSC-klagomål mail.docx", "A 19776-2019")</f>
        <v/>
      </c>
      <c r="X24">
        <f>HYPERLINK("https://klasma.github.io/Logging_2510/tillsyn/A 19776-2019 tillsynsbegäran.docx", "A 19776-2019")</f>
        <v/>
      </c>
      <c r="Y24">
        <f>HYPERLINK("https://klasma.github.io/Logging_2510/tillsynsmail/A 19776-2019 tillsynsbegäran mail.docx", "A 19776-2019")</f>
        <v/>
      </c>
      <c r="Z24">
        <f>HYPERLINK("https://klasma.github.io/Logging_2510/fåglar/A 19776-2019 prioriterade fågelarter.docx", "A 19776-2019")</f>
        <v/>
      </c>
    </row>
    <row r="25" ht="15" customHeight="1">
      <c r="A25" t="inlineStr">
        <is>
          <t>A 28162-2020</t>
        </is>
      </c>
      <c r="B25" s="1" t="n">
        <v>43997</v>
      </c>
      <c r="C25" s="1" t="n">
        <v>45508</v>
      </c>
      <c r="D25" t="inlineStr">
        <is>
          <t>NORRBOTTENS LÄN</t>
        </is>
      </c>
      <c r="E25" t="inlineStr">
        <is>
          <t>JOKKMOKK</t>
        </is>
      </c>
      <c r="F25" t="inlineStr">
        <is>
          <t>Sveaskog</t>
        </is>
      </c>
      <c r="G25" t="n">
        <v>15.9</v>
      </c>
      <c r="H25" t="n">
        <v>0</v>
      </c>
      <c r="I25" t="n">
        <v>2</v>
      </c>
      <c r="J25" t="n">
        <v>6</v>
      </c>
      <c r="K25" t="n">
        <v>3</v>
      </c>
      <c r="L25" t="n">
        <v>0</v>
      </c>
      <c r="M25" t="n">
        <v>0</v>
      </c>
      <c r="N25" t="n">
        <v>0</v>
      </c>
      <c r="O25" t="n">
        <v>9</v>
      </c>
      <c r="P25" t="n">
        <v>3</v>
      </c>
      <c r="Q25" t="n">
        <v>11</v>
      </c>
      <c r="R25" s="2" t="inlineStr">
        <is>
          <t>Gräddporing
Smalfotad taggsvamp
Tajgataggsvamp
Dvärgbägarlav
Knottrig blåslav
Kolflarnlav
Mörk kolflarnlav
Orange taggsvamp
Vedskivlav
Skarp dropptaggsvamp
Vedticka</t>
        </is>
      </c>
      <c r="S25">
        <f>HYPERLINK("https://klasma.github.io/Logging_2510/artfynd/A 28162-2020 artfynd.xlsx", "A 28162-2020")</f>
        <v/>
      </c>
      <c r="T25">
        <f>HYPERLINK("https://klasma.github.io/Logging_2510/kartor/A 28162-2020 karta.png", "A 28162-2020")</f>
        <v/>
      </c>
      <c r="V25">
        <f>HYPERLINK("https://klasma.github.io/Logging_2510/klagomål/A 28162-2020 FSC-klagomål.docx", "A 28162-2020")</f>
        <v/>
      </c>
      <c r="W25">
        <f>HYPERLINK("https://klasma.github.io/Logging_2510/klagomålsmail/A 28162-2020 FSC-klagomål mail.docx", "A 28162-2020")</f>
        <v/>
      </c>
      <c r="X25">
        <f>HYPERLINK("https://klasma.github.io/Logging_2510/tillsyn/A 28162-2020 tillsynsbegäran.docx", "A 28162-2020")</f>
        <v/>
      </c>
      <c r="Y25">
        <f>HYPERLINK("https://klasma.github.io/Logging_2510/tillsynsmail/A 28162-2020 tillsynsbegäran mail.docx", "A 28162-2020")</f>
        <v/>
      </c>
    </row>
    <row r="26" ht="15" customHeight="1">
      <c r="A26" t="inlineStr">
        <is>
          <t>A 43544-2023</t>
        </is>
      </c>
      <c r="B26" s="1" t="n">
        <v>45184</v>
      </c>
      <c r="C26" s="1" t="n">
        <v>45508</v>
      </c>
      <c r="D26" t="inlineStr">
        <is>
          <t>NORRBOTTENS LÄN</t>
        </is>
      </c>
      <c r="E26" t="inlineStr">
        <is>
          <t>JOKKMOKK</t>
        </is>
      </c>
      <c r="F26" t="inlineStr">
        <is>
          <t>Sveaskog</t>
        </is>
      </c>
      <c r="G26" t="n">
        <v>3.7</v>
      </c>
      <c r="H26" t="n">
        <v>0</v>
      </c>
      <c r="I26" t="n">
        <v>1</v>
      </c>
      <c r="J26" t="n">
        <v>5</v>
      </c>
      <c r="K26" t="n">
        <v>4</v>
      </c>
      <c r="L26" t="n">
        <v>0</v>
      </c>
      <c r="M26" t="n">
        <v>0</v>
      </c>
      <c r="N26" t="n">
        <v>0</v>
      </c>
      <c r="O26" t="n">
        <v>9</v>
      </c>
      <c r="P26" t="n">
        <v>4</v>
      </c>
      <c r="Q26" t="n">
        <v>10</v>
      </c>
      <c r="R26" s="2" t="inlineStr">
        <is>
          <t>Goliatmusseron
Smalfotad taggsvamp
Tajgataggsvamp
Tallgråticka
Blå taggsvamp
Orange taggsvamp
Svart taggsvamp
Tallriska
Talltaggsvamp
Skarp dropptaggsvamp</t>
        </is>
      </c>
      <c r="S26">
        <f>HYPERLINK("https://klasma.github.io/Logging_2510/artfynd/A 43544-2023 artfynd.xlsx", "A 43544-2023")</f>
        <v/>
      </c>
      <c r="T26">
        <f>HYPERLINK("https://klasma.github.io/Logging_2510/kartor/A 43544-2023 karta.png", "A 43544-2023")</f>
        <v/>
      </c>
      <c r="V26">
        <f>HYPERLINK("https://klasma.github.io/Logging_2510/klagomål/A 43544-2023 FSC-klagomål.docx", "A 43544-2023")</f>
        <v/>
      </c>
      <c r="W26">
        <f>HYPERLINK("https://klasma.github.io/Logging_2510/klagomålsmail/A 43544-2023 FSC-klagomål mail.docx", "A 43544-2023")</f>
        <v/>
      </c>
      <c r="X26">
        <f>HYPERLINK("https://klasma.github.io/Logging_2510/tillsyn/A 43544-2023 tillsynsbegäran.docx", "A 43544-2023")</f>
        <v/>
      </c>
      <c r="Y26">
        <f>HYPERLINK("https://klasma.github.io/Logging_2510/tillsynsmail/A 43544-2023 tillsynsbegäran mail.docx", "A 43544-2023")</f>
        <v/>
      </c>
    </row>
    <row r="27" ht="15" customHeight="1">
      <c r="A27" t="inlineStr">
        <is>
          <t>A 53227-2023</t>
        </is>
      </c>
      <c r="B27" s="1" t="n">
        <v>45222</v>
      </c>
      <c r="C27" s="1" t="n">
        <v>45508</v>
      </c>
      <c r="D27" t="inlineStr">
        <is>
          <t>NORRBOTTENS LÄN</t>
        </is>
      </c>
      <c r="E27" t="inlineStr">
        <is>
          <t>JOKKMOKK</t>
        </is>
      </c>
      <c r="F27" t="inlineStr">
        <is>
          <t>Övriga statliga verk och myndigheter</t>
        </is>
      </c>
      <c r="G27" t="n">
        <v>61.5</v>
      </c>
      <c r="H27" t="n">
        <v>0</v>
      </c>
      <c r="I27" t="n">
        <v>2</v>
      </c>
      <c r="J27" t="n">
        <v>6</v>
      </c>
      <c r="K27" t="n">
        <v>2</v>
      </c>
      <c r="L27" t="n">
        <v>0</v>
      </c>
      <c r="M27" t="n">
        <v>0</v>
      </c>
      <c r="N27" t="n">
        <v>0</v>
      </c>
      <c r="O27" t="n">
        <v>8</v>
      </c>
      <c r="P27" t="n">
        <v>2</v>
      </c>
      <c r="Q27" t="n">
        <v>10</v>
      </c>
      <c r="R27" s="2" t="inlineStr">
        <is>
          <t>Smalfotad taggsvamp
Tajgataggsvamp
Blå taggsvamp
Motaggsvamp
Orange taggsvamp
Skrovlig taggsvamp
Talltaggsvamp
Vaddporing
Dropptaggsvamp
Skarp dropptaggsvamp</t>
        </is>
      </c>
      <c r="S27">
        <f>HYPERLINK("https://klasma.github.io/Logging_2510/artfynd/A 53227-2023 artfynd.xlsx", "A 53227-2023")</f>
        <v/>
      </c>
      <c r="T27">
        <f>HYPERLINK("https://klasma.github.io/Logging_2510/kartor/A 53227-2023 karta.png", "A 53227-2023")</f>
        <v/>
      </c>
      <c r="V27">
        <f>HYPERLINK("https://klasma.github.io/Logging_2510/klagomål/A 53227-2023 FSC-klagomål.docx", "A 53227-2023")</f>
        <v/>
      </c>
      <c r="W27">
        <f>HYPERLINK("https://klasma.github.io/Logging_2510/klagomålsmail/A 53227-2023 FSC-klagomål mail.docx", "A 53227-2023")</f>
        <v/>
      </c>
      <c r="X27">
        <f>HYPERLINK("https://klasma.github.io/Logging_2510/tillsyn/A 53227-2023 tillsynsbegäran.docx", "A 53227-2023")</f>
        <v/>
      </c>
      <c r="Y27">
        <f>HYPERLINK("https://klasma.github.io/Logging_2510/tillsynsmail/A 53227-2023 tillsynsbegäran mail.docx", "A 53227-2023")</f>
        <v/>
      </c>
    </row>
    <row r="28" ht="15" customHeight="1">
      <c r="A28" t="inlineStr">
        <is>
          <t>A 58473-2020</t>
        </is>
      </c>
      <c r="B28" s="1" t="n">
        <v>44144</v>
      </c>
      <c r="C28" s="1" t="n">
        <v>45508</v>
      </c>
      <c r="D28" t="inlineStr">
        <is>
          <t>NORRBOTTENS LÄN</t>
        </is>
      </c>
      <c r="E28" t="inlineStr">
        <is>
          <t>JOKKMOKK</t>
        </is>
      </c>
      <c r="F28" t="inlineStr">
        <is>
          <t>Övriga statliga verk och myndigheter</t>
        </is>
      </c>
      <c r="G28" t="n">
        <v>51</v>
      </c>
      <c r="H28" t="n">
        <v>0</v>
      </c>
      <c r="I28" t="n">
        <v>2</v>
      </c>
      <c r="J28" t="n">
        <v>6</v>
      </c>
      <c r="K28" t="n">
        <v>1</v>
      </c>
      <c r="L28" t="n">
        <v>0</v>
      </c>
      <c r="M28" t="n">
        <v>0</v>
      </c>
      <c r="N28" t="n">
        <v>0</v>
      </c>
      <c r="O28" t="n">
        <v>7</v>
      </c>
      <c r="P28" t="n">
        <v>1</v>
      </c>
      <c r="Q28" t="n">
        <v>9</v>
      </c>
      <c r="R28" s="2" t="inlineStr">
        <is>
          <t>Gräddporing
Blanksvart spiklav
Dvärgbägarlav
Gammelgransskål
Ullticka
Vedflamlav
Vedskivlav
Skarp dropptaggsvamp
Skinnlav</t>
        </is>
      </c>
      <c r="S28">
        <f>HYPERLINK("https://klasma.github.io/Logging_2510/artfynd/A 58473-2020 artfynd.xlsx", "A 58473-2020")</f>
        <v/>
      </c>
      <c r="T28">
        <f>HYPERLINK("https://klasma.github.io/Logging_2510/kartor/A 58473-2020 karta.png", "A 58473-2020")</f>
        <v/>
      </c>
      <c r="V28">
        <f>HYPERLINK("https://klasma.github.io/Logging_2510/klagomål/A 58473-2020 FSC-klagomål.docx", "A 58473-2020")</f>
        <v/>
      </c>
      <c r="W28">
        <f>HYPERLINK("https://klasma.github.io/Logging_2510/klagomålsmail/A 58473-2020 FSC-klagomål mail.docx", "A 58473-2020")</f>
        <v/>
      </c>
      <c r="X28">
        <f>HYPERLINK("https://klasma.github.io/Logging_2510/tillsyn/A 58473-2020 tillsynsbegäran.docx", "A 58473-2020")</f>
        <v/>
      </c>
      <c r="Y28">
        <f>HYPERLINK("https://klasma.github.io/Logging_2510/tillsynsmail/A 58473-2020 tillsynsbegäran mail.docx", "A 58473-2020")</f>
        <v/>
      </c>
    </row>
    <row r="29" ht="15" customHeight="1">
      <c r="A29" t="inlineStr">
        <is>
          <t>A 4896-2021</t>
        </is>
      </c>
      <c r="B29" s="1" t="n">
        <v>44225</v>
      </c>
      <c r="C29" s="1" t="n">
        <v>45508</v>
      </c>
      <c r="D29" t="inlineStr">
        <is>
          <t>NORRBOTTENS LÄN</t>
        </is>
      </c>
      <c r="E29" t="inlineStr">
        <is>
          <t>JOKKMOKK</t>
        </is>
      </c>
      <c r="F29" t="inlineStr">
        <is>
          <t>Sveaskog</t>
        </is>
      </c>
      <c r="G29" t="n">
        <v>7.1</v>
      </c>
      <c r="H29" t="n">
        <v>1</v>
      </c>
      <c r="I29" t="n">
        <v>1</v>
      </c>
      <c r="J29" t="n">
        <v>8</v>
      </c>
      <c r="K29" t="n">
        <v>0</v>
      </c>
      <c r="L29" t="n">
        <v>0</v>
      </c>
      <c r="M29" t="n">
        <v>0</v>
      </c>
      <c r="N29" t="n">
        <v>0</v>
      </c>
      <c r="O29" t="n">
        <v>8</v>
      </c>
      <c r="P29" t="n">
        <v>0</v>
      </c>
      <c r="Q29" t="n">
        <v>9</v>
      </c>
      <c r="R29" s="2" t="inlineStr">
        <is>
          <t>Blanksvart spiklav
Dvärgbägarlav
Gammelgransskål
Kolflarnlav
Mörk kolflarnlav
Tretåig hackspett
Vedflamlav
Vedskivlav
Luddlav</t>
        </is>
      </c>
      <c r="S29">
        <f>HYPERLINK("https://klasma.github.io/Logging_2510/artfynd/A 4896-2021 artfynd.xlsx", "A 4896-2021")</f>
        <v/>
      </c>
      <c r="T29">
        <f>HYPERLINK("https://klasma.github.io/Logging_2510/kartor/A 4896-2021 karta.png", "A 4896-2021")</f>
        <v/>
      </c>
      <c r="V29">
        <f>HYPERLINK("https://klasma.github.io/Logging_2510/klagomål/A 4896-2021 FSC-klagomål.docx", "A 4896-2021")</f>
        <v/>
      </c>
      <c r="W29">
        <f>HYPERLINK("https://klasma.github.io/Logging_2510/klagomålsmail/A 4896-2021 FSC-klagomål mail.docx", "A 4896-2021")</f>
        <v/>
      </c>
      <c r="X29">
        <f>HYPERLINK("https://klasma.github.io/Logging_2510/tillsyn/A 4896-2021 tillsynsbegäran.docx", "A 4896-2021")</f>
        <v/>
      </c>
      <c r="Y29">
        <f>HYPERLINK("https://klasma.github.io/Logging_2510/tillsynsmail/A 4896-2021 tillsynsbegäran mail.docx", "A 4896-2021")</f>
        <v/>
      </c>
      <c r="Z29">
        <f>HYPERLINK("https://klasma.github.io/Logging_2510/fåglar/A 4896-2021 prioriterade fågelarter.docx", "A 4896-2021")</f>
        <v/>
      </c>
    </row>
    <row r="30" ht="15" customHeight="1">
      <c r="A30" t="inlineStr">
        <is>
          <t>A 73873-2021</t>
        </is>
      </c>
      <c r="B30" s="1" t="n">
        <v>44552</v>
      </c>
      <c r="C30" s="1" t="n">
        <v>45508</v>
      </c>
      <c r="D30" t="inlineStr">
        <is>
          <t>NORRBOTTENS LÄN</t>
        </is>
      </c>
      <c r="E30" t="inlineStr">
        <is>
          <t>JOKKMOKK</t>
        </is>
      </c>
      <c r="G30" t="n">
        <v>27.9</v>
      </c>
      <c r="H30" t="n">
        <v>3</v>
      </c>
      <c r="I30" t="n">
        <v>1</v>
      </c>
      <c r="J30" t="n">
        <v>6</v>
      </c>
      <c r="K30" t="n">
        <v>0</v>
      </c>
      <c r="L30" t="n">
        <v>0</v>
      </c>
      <c r="M30" t="n">
        <v>0</v>
      </c>
      <c r="N30" t="n">
        <v>0</v>
      </c>
      <c r="O30" t="n">
        <v>6</v>
      </c>
      <c r="P30" t="n">
        <v>0</v>
      </c>
      <c r="Q30" t="n">
        <v>9</v>
      </c>
      <c r="R30" s="2" t="inlineStr">
        <is>
          <t>Blanksvart spiklav
Blågrå svartspik
Dvärgbägarlav
Gammelgransskål
Garnlav
Nordlig nållav
Plattlummer
Skogsödla
Revlummer</t>
        </is>
      </c>
      <c r="S30">
        <f>HYPERLINK("https://klasma.github.io/Logging_2510/artfynd/A 73873-2021 artfynd.xlsx", "A 73873-2021")</f>
        <v/>
      </c>
      <c r="T30">
        <f>HYPERLINK("https://klasma.github.io/Logging_2510/kartor/A 73873-2021 karta.png", "A 73873-2021")</f>
        <v/>
      </c>
      <c r="V30">
        <f>HYPERLINK("https://klasma.github.io/Logging_2510/klagomål/A 73873-2021 FSC-klagomål.docx", "A 73873-2021")</f>
        <v/>
      </c>
      <c r="W30">
        <f>HYPERLINK("https://klasma.github.io/Logging_2510/klagomålsmail/A 73873-2021 FSC-klagomål mail.docx", "A 73873-2021")</f>
        <v/>
      </c>
      <c r="X30">
        <f>HYPERLINK("https://klasma.github.io/Logging_2510/tillsyn/A 73873-2021 tillsynsbegäran.docx", "A 73873-2021")</f>
        <v/>
      </c>
      <c r="Y30">
        <f>HYPERLINK("https://klasma.github.io/Logging_2510/tillsynsmail/A 73873-2021 tillsynsbegäran mail.docx", "A 73873-2021")</f>
        <v/>
      </c>
    </row>
    <row r="31" ht="15" customHeight="1">
      <c r="A31" t="inlineStr">
        <is>
          <t>A 20583-2023</t>
        </is>
      </c>
      <c r="B31" s="1" t="n">
        <v>45057</v>
      </c>
      <c r="C31" s="1" t="n">
        <v>45508</v>
      </c>
      <c r="D31" t="inlineStr">
        <is>
          <t>NORRBOTTENS LÄN</t>
        </is>
      </c>
      <c r="E31" t="inlineStr">
        <is>
          <t>JOKKMOKK</t>
        </is>
      </c>
      <c r="G31" t="n">
        <v>4.1</v>
      </c>
      <c r="H31" t="n">
        <v>2</v>
      </c>
      <c r="I31" t="n">
        <v>4</v>
      </c>
      <c r="J31" t="n">
        <v>4</v>
      </c>
      <c r="K31" t="n">
        <v>1</v>
      </c>
      <c r="L31" t="n">
        <v>0</v>
      </c>
      <c r="M31" t="n">
        <v>0</v>
      </c>
      <c r="N31" t="n">
        <v>0</v>
      </c>
      <c r="O31" t="n">
        <v>5</v>
      </c>
      <c r="P31" t="n">
        <v>1</v>
      </c>
      <c r="Q31" t="n">
        <v>9</v>
      </c>
      <c r="R31" s="2" t="inlineStr">
        <is>
          <t>Knärot
Gammelgransskål
Garnlav
Lunglav
Tretåig hackspett
Bårdlav
Luddlav
Norrlandslav
Stuplav</t>
        </is>
      </c>
      <c r="S31">
        <f>HYPERLINK("https://klasma.github.io/Logging_2510/artfynd/A 20583-2023 artfynd.xlsx", "A 20583-2023")</f>
        <v/>
      </c>
      <c r="T31">
        <f>HYPERLINK("https://klasma.github.io/Logging_2510/kartor/A 20583-2023 karta.png", "A 20583-2023")</f>
        <v/>
      </c>
      <c r="U31">
        <f>HYPERLINK("https://klasma.github.io/Logging_2510/knärot/A 20583-2023 karta knärot.png", "A 20583-2023")</f>
        <v/>
      </c>
      <c r="V31">
        <f>HYPERLINK("https://klasma.github.io/Logging_2510/klagomål/A 20583-2023 FSC-klagomål.docx", "A 20583-2023")</f>
        <v/>
      </c>
      <c r="W31">
        <f>HYPERLINK("https://klasma.github.io/Logging_2510/klagomålsmail/A 20583-2023 FSC-klagomål mail.docx", "A 20583-2023")</f>
        <v/>
      </c>
      <c r="X31">
        <f>HYPERLINK("https://klasma.github.io/Logging_2510/tillsyn/A 20583-2023 tillsynsbegäran.docx", "A 20583-2023")</f>
        <v/>
      </c>
      <c r="Y31">
        <f>HYPERLINK("https://klasma.github.io/Logging_2510/tillsynsmail/A 20583-2023 tillsynsbegäran mail.docx", "A 20583-2023")</f>
        <v/>
      </c>
      <c r="Z31">
        <f>HYPERLINK("https://klasma.github.io/Logging_2510/fåglar/A 20583-2023 prioriterade fågelarter.docx", "A 20583-2023")</f>
        <v/>
      </c>
    </row>
    <row r="32" ht="15" customHeight="1">
      <c r="A32" t="inlineStr">
        <is>
          <t>A 28052-2024</t>
        </is>
      </c>
      <c r="B32" s="1" t="n">
        <v>45476</v>
      </c>
      <c r="C32" s="1" t="n">
        <v>45508</v>
      </c>
      <c r="D32" t="inlineStr">
        <is>
          <t>NORRBOTTENS LÄN</t>
        </is>
      </c>
      <c r="E32" t="inlineStr">
        <is>
          <t>JOKKMOKK</t>
        </is>
      </c>
      <c r="G32" t="n">
        <v>10.6</v>
      </c>
      <c r="H32" t="n">
        <v>2</v>
      </c>
      <c r="I32" t="n">
        <v>2</v>
      </c>
      <c r="J32" t="n">
        <v>7</v>
      </c>
      <c r="K32" t="n">
        <v>0</v>
      </c>
      <c r="L32" t="n">
        <v>0</v>
      </c>
      <c r="M32" t="n">
        <v>0</v>
      </c>
      <c r="N32" t="n">
        <v>0</v>
      </c>
      <c r="O32" t="n">
        <v>7</v>
      </c>
      <c r="P32" t="n">
        <v>0</v>
      </c>
      <c r="Q32" t="n">
        <v>9</v>
      </c>
      <c r="R32" s="2" t="inlineStr">
        <is>
          <t>Blanksvart spiklav
Gammelgransskål
Garnlav
Stjärntagging
Tretåig hackspett
Vaddporing
Vedflamlav
Dropptaggsvamp
Spindelblomster</t>
        </is>
      </c>
      <c r="S32">
        <f>HYPERLINK("https://klasma.github.io/Logging_2510/artfynd/A 28052-2024 artfynd.xlsx", "A 28052-2024")</f>
        <v/>
      </c>
      <c r="T32">
        <f>HYPERLINK("https://klasma.github.io/Logging_2510/kartor/A 28052-2024 karta.png", "A 28052-2024")</f>
        <v/>
      </c>
      <c r="V32">
        <f>HYPERLINK("https://klasma.github.io/Logging_2510/klagomål/A 28052-2024 FSC-klagomål.docx", "A 28052-2024")</f>
        <v/>
      </c>
      <c r="W32">
        <f>HYPERLINK("https://klasma.github.io/Logging_2510/klagomålsmail/A 28052-2024 FSC-klagomål mail.docx", "A 28052-2024")</f>
        <v/>
      </c>
      <c r="X32">
        <f>HYPERLINK("https://klasma.github.io/Logging_2510/tillsyn/A 28052-2024 tillsynsbegäran.docx", "A 28052-2024")</f>
        <v/>
      </c>
      <c r="Y32">
        <f>HYPERLINK("https://klasma.github.io/Logging_2510/tillsynsmail/A 28052-2024 tillsynsbegäran mail.docx", "A 28052-2024")</f>
        <v/>
      </c>
      <c r="Z32">
        <f>HYPERLINK("https://klasma.github.io/Logging_2510/fåglar/A 28052-2024 prioriterade fågelarter.docx", "A 28052-2024")</f>
        <v/>
      </c>
    </row>
    <row r="33" ht="15" customHeight="1">
      <c r="A33" t="inlineStr">
        <is>
          <t>A 42793-2020</t>
        </is>
      </c>
      <c r="B33" s="1" t="n">
        <v>44076</v>
      </c>
      <c r="C33" s="1" t="n">
        <v>45508</v>
      </c>
      <c r="D33" t="inlineStr">
        <is>
          <t>NORRBOTTENS LÄN</t>
        </is>
      </c>
      <c r="E33" t="inlineStr">
        <is>
          <t>JOKKMOKK</t>
        </is>
      </c>
      <c r="F33" t="inlineStr">
        <is>
          <t>Övriga statliga verk och myndigheter</t>
        </is>
      </c>
      <c r="G33" t="n">
        <v>13.2</v>
      </c>
      <c r="H33" t="n">
        <v>0</v>
      </c>
      <c r="I33" t="n">
        <v>1</v>
      </c>
      <c r="J33" t="n">
        <v>7</v>
      </c>
      <c r="K33" t="n">
        <v>0</v>
      </c>
      <c r="L33" t="n">
        <v>0</v>
      </c>
      <c r="M33" t="n">
        <v>0</v>
      </c>
      <c r="N33" t="n">
        <v>0</v>
      </c>
      <c r="O33" t="n">
        <v>7</v>
      </c>
      <c r="P33" t="n">
        <v>0</v>
      </c>
      <c r="Q33" t="n">
        <v>8</v>
      </c>
      <c r="R33" s="2" t="inlineStr">
        <is>
          <t>Dvärgbägarlav
Gammelgransskål
Granticka
Harticka
Knottrig blåslav
Rosenticka
Ullticka
Ögonpyrola</t>
        </is>
      </c>
      <c r="S33">
        <f>HYPERLINK("https://klasma.github.io/Logging_2510/artfynd/A 42793-2020 artfynd.xlsx", "A 42793-2020")</f>
        <v/>
      </c>
      <c r="T33">
        <f>HYPERLINK("https://klasma.github.io/Logging_2510/kartor/A 42793-2020 karta.png", "A 42793-2020")</f>
        <v/>
      </c>
      <c r="V33">
        <f>HYPERLINK("https://klasma.github.io/Logging_2510/klagomål/A 42793-2020 FSC-klagomål.docx", "A 42793-2020")</f>
        <v/>
      </c>
      <c r="W33">
        <f>HYPERLINK("https://klasma.github.io/Logging_2510/klagomålsmail/A 42793-2020 FSC-klagomål mail.docx", "A 42793-2020")</f>
        <v/>
      </c>
      <c r="X33">
        <f>HYPERLINK("https://klasma.github.io/Logging_2510/tillsyn/A 42793-2020 tillsynsbegäran.docx", "A 42793-2020")</f>
        <v/>
      </c>
      <c r="Y33">
        <f>HYPERLINK("https://klasma.github.io/Logging_2510/tillsynsmail/A 42793-2020 tillsynsbegäran mail.docx", "A 42793-2020")</f>
        <v/>
      </c>
    </row>
    <row r="34" ht="15" customHeight="1">
      <c r="A34" t="inlineStr">
        <is>
          <t>A 23018-2023</t>
        </is>
      </c>
      <c r="B34" s="1" t="n">
        <v>45073</v>
      </c>
      <c r="C34" s="1" t="n">
        <v>45508</v>
      </c>
      <c r="D34" t="inlineStr">
        <is>
          <t>NORRBOTTENS LÄN</t>
        </is>
      </c>
      <c r="E34" t="inlineStr">
        <is>
          <t>JOKKMOKK</t>
        </is>
      </c>
      <c r="F34" t="inlineStr">
        <is>
          <t>SCA</t>
        </is>
      </c>
      <c r="G34" t="n">
        <v>2.9</v>
      </c>
      <c r="H34" t="n">
        <v>3</v>
      </c>
      <c r="I34" t="n">
        <v>1</v>
      </c>
      <c r="J34" t="n">
        <v>6</v>
      </c>
      <c r="K34" t="n">
        <v>0</v>
      </c>
      <c r="L34" t="n">
        <v>0</v>
      </c>
      <c r="M34" t="n">
        <v>0</v>
      </c>
      <c r="N34" t="n">
        <v>0</v>
      </c>
      <c r="O34" t="n">
        <v>6</v>
      </c>
      <c r="P34" t="n">
        <v>0</v>
      </c>
      <c r="Q34" t="n">
        <v>8</v>
      </c>
      <c r="R34" s="2" t="inlineStr">
        <is>
          <t>Järpe
Knottrig blåslav
Motaggsvamp
Orange taggsvamp
Talltita
Vedskivlav
Norrlandslav
Revlummer</t>
        </is>
      </c>
      <c r="S34">
        <f>HYPERLINK("https://klasma.github.io/Logging_2510/artfynd/A 23018-2023 artfynd.xlsx", "A 23018-2023")</f>
        <v/>
      </c>
      <c r="T34">
        <f>HYPERLINK("https://klasma.github.io/Logging_2510/kartor/A 23018-2023 karta.png", "A 23018-2023")</f>
        <v/>
      </c>
      <c r="V34">
        <f>HYPERLINK("https://klasma.github.io/Logging_2510/klagomål/A 23018-2023 FSC-klagomål.docx", "A 23018-2023")</f>
        <v/>
      </c>
      <c r="W34">
        <f>HYPERLINK("https://klasma.github.io/Logging_2510/klagomålsmail/A 23018-2023 FSC-klagomål mail.docx", "A 23018-2023")</f>
        <v/>
      </c>
      <c r="X34">
        <f>HYPERLINK("https://klasma.github.io/Logging_2510/tillsyn/A 23018-2023 tillsynsbegäran.docx", "A 23018-2023")</f>
        <v/>
      </c>
      <c r="Y34">
        <f>HYPERLINK("https://klasma.github.io/Logging_2510/tillsynsmail/A 23018-2023 tillsynsbegäran mail.docx", "A 23018-2023")</f>
        <v/>
      </c>
      <c r="Z34">
        <f>HYPERLINK("https://klasma.github.io/Logging_2510/fåglar/A 23018-2023 prioriterade fågelarter.docx", "A 23018-2023")</f>
        <v/>
      </c>
    </row>
    <row r="35" ht="15" customHeight="1">
      <c r="A35" t="inlineStr">
        <is>
          <t>A 51520-2020</t>
        </is>
      </c>
      <c r="B35" s="1" t="n">
        <v>44109</v>
      </c>
      <c r="C35" s="1" t="n">
        <v>45508</v>
      </c>
      <c r="D35" t="inlineStr">
        <is>
          <t>NORRBOTTENS LÄN</t>
        </is>
      </c>
      <c r="E35" t="inlineStr">
        <is>
          <t>JOKKMOKK</t>
        </is>
      </c>
      <c r="F35" t="inlineStr">
        <is>
          <t>Allmännings- och besparingsskogar</t>
        </is>
      </c>
      <c r="G35" t="n">
        <v>30.5</v>
      </c>
      <c r="H35" t="n">
        <v>1</v>
      </c>
      <c r="I35" t="n">
        <v>1</v>
      </c>
      <c r="J35" t="n">
        <v>5</v>
      </c>
      <c r="K35" t="n">
        <v>1</v>
      </c>
      <c r="L35" t="n">
        <v>0</v>
      </c>
      <c r="M35" t="n">
        <v>0</v>
      </c>
      <c r="N35" t="n">
        <v>0</v>
      </c>
      <c r="O35" t="n">
        <v>6</v>
      </c>
      <c r="P35" t="n">
        <v>1</v>
      </c>
      <c r="Q35" t="n">
        <v>7</v>
      </c>
      <c r="R35" s="2" t="inlineStr">
        <is>
          <t>Mörk blåslav
Dvärgbägarlav
Gammelgransskål
Granticka
Tretåig hackspett
Ullticka
Skinnlav</t>
        </is>
      </c>
      <c r="S35">
        <f>HYPERLINK("https://klasma.github.io/Logging_2510/artfynd/A 51520-2020 artfynd.xlsx", "A 51520-2020")</f>
        <v/>
      </c>
      <c r="T35">
        <f>HYPERLINK("https://klasma.github.io/Logging_2510/kartor/A 51520-2020 karta.png", "A 51520-2020")</f>
        <v/>
      </c>
      <c r="V35">
        <f>HYPERLINK("https://klasma.github.io/Logging_2510/klagomål/A 51520-2020 FSC-klagomål.docx", "A 51520-2020")</f>
        <v/>
      </c>
      <c r="W35">
        <f>HYPERLINK("https://klasma.github.io/Logging_2510/klagomålsmail/A 51520-2020 FSC-klagomål mail.docx", "A 51520-2020")</f>
        <v/>
      </c>
      <c r="X35">
        <f>HYPERLINK("https://klasma.github.io/Logging_2510/tillsyn/A 51520-2020 tillsynsbegäran.docx", "A 51520-2020")</f>
        <v/>
      </c>
      <c r="Y35">
        <f>HYPERLINK("https://klasma.github.io/Logging_2510/tillsynsmail/A 51520-2020 tillsynsbegäran mail.docx", "A 51520-2020")</f>
        <v/>
      </c>
      <c r="Z35">
        <f>HYPERLINK("https://klasma.github.io/Logging_2510/fåglar/A 51520-2020 prioriterade fågelarter.docx", "A 51520-2020")</f>
        <v/>
      </c>
    </row>
    <row r="36" ht="15" customHeight="1">
      <c r="A36" t="inlineStr">
        <is>
          <t>A 65342-2020</t>
        </is>
      </c>
      <c r="B36" s="1" t="n">
        <v>44173</v>
      </c>
      <c r="C36" s="1" t="n">
        <v>45508</v>
      </c>
      <c r="D36" t="inlineStr">
        <is>
          <t>NORRBOTTENS LÄN</t>
        </is>
      </c>
      <c r="E36" t="inlineStr">
        <is>
          <t>JOKKMOKK</t>
        </is>
      </c>
      <c r="F36" t="inlineStr">
        <is>
          <t>Sveaskog</t>
        </is>
      </c>
      <c r="G36" t="n">
        <v>6.5</v>
      </c>
      <c r="H36" t="n">
        <v>2</v>
      </c>
      <c r="I36" t="n">
        <v>1</v>
      </c>
      <c r="J36" t="n">
        <v>6</v>
      </c>
      <c r="K36" t="n">
        <v>0</v>
      </c>
      <c r="L36" t="n">
        <v>0</v>
      </c>
      <c r="M36" t="n">
        <v>0</v>
      </c>
      <c r="N36" t="n">
        <v>0</v>
      </c>
      <c r="O36" t="n">
        <v>6</v>
      </c>
      <c r="P36" t="n">
        <v>0</v>
      </c>
      <c r="Q36" t="n">
        <v>7</v>
      </c>
      <c r="R36" s="2" t="inlineStr">
        <is>
          <t>Blågrå svartspik
Dvärgbägarlav
Gränsticka
Mörk kolflarnlav
Spillkråka
Vedskivlav
Plattlummer</t>
        </is>
      </c>
      <c r="S36">
        <f>HYPERLINK("https://klasma.github.io/Logging_2510/artfynd/A 65342-2020 artfynd.xlsx", "A 65342-2020")</f>
        <v/>
      </c>
      <c r="T36">
        <f>HYPERLINK("https://klasma.github.io/Logging_2510/kartor/A 65342-2020 karta.png", "A 65342-2020")</f>
        <v/>
      </c>
      <c r="V36">
        <f>HYPERLINK("https://klasma.github.io/Logging_2510/klagomål/A 65342-2020 FSC-klagomål.docx", "A 65342-2020")</f>
        <v/>
      </c>
      <c r="W36">
        <f>HYPERLINK("https://klasma.github.io/Logging_2510/klagomålsmail/A 65342-2020 FSC-klagomål mail.docx", "A 65342-2020")</f>
        <v/>
      </c>
      <c r="X36">
        <f>HYPERLINK("https://klasma.github.io/Logging_2510/tillsyn/A 65342-2020 tillsynsbegäran.docx", "A 65342-2020")</f>
        <v/>
      </c>
      <c r="Y36">
        <f>HYPERLINK("https://klasma.github.io/Logging_2510/tillsynsmail/A 65342-2020 tillsynsbegäran mail.docx", "A 65342-2020")</f>
        <v/>
      </c>
      <c r="Z36">
        <f>HYPERLINK("https://klasma.github.io/Logging_2510/fåglar/A 65342-2020 prioriterade fågelarter.docx", "A 65342-2020")</f>
        <v/>
      </c>
    </row>
    <row r="37" ht="15" customHeight="1">
      <c r="A37" t="inlineStr">
        <is>
          <t>A 52515-2023</t>
        </is>
      </c>
      <c r="B37" s="1" t="n">
        <v>45218</v>
      </c>
      <c r="C37" s="1" t="n">
        <v>45508</v>
      </c>
      <c r="D37" t="inlineStr">
        <is>
          <t>NORRBOTTENS LÄN</t>
        </is>
      </c>
      <c r="E37" t="inlineStr">
        <is>
          <t>JOKKMOKK</t>
        </is>
      </c>
      <c r="F37" t="inlineStr">
        <is>
          <t>Övriga statliga verk och myndigheter</t>
        </is>
      </c>
      <c r="G37" t="n">
        <v>31.3</v>
      </c>
      <c r="H37" t="n">
        <v>0</v>
      </c>
      <c r="I37" t="n">
        <v>1</v>
      </c>
      <c r="J37" t="n">
        <v>5</v>
      </c>
      <c r="K37" t="n">
        <v>1</v>
      </c>
      <c r="L37" t="n">
        <v>0</v>
      </c>
      <c r="M37" t="n">
        <v>0</v>
      </c>
      <c r="N37" t="n">
        <v>0</v>
      </c>
      <c r="O37" t="n">
        <v>6</v>
      </c>
      <c r="P37" t="n">
        <v>1</v>
      </c>
      <c r="Q37" t="n">
        <v>7</v>
      </c>
      <c r="R37" s="2" t="inlineStr">
        <is>
          <t>Tallgråticka
Blå taggsvamp
Motaggsvamp
Orange taggsvamp
Skrovlig taggsvamp
Vedflamlav
Dropptaggsvamp</t>
        </is>
      </c>
      <c r="S37">
        <f>HYPERLINK("https://klasma.github.io/Logging_2510/artfynd/A 52515-2023 artfynd.xlsx", "A 52515-2023")</f>
        <v/>
      </c>
      <c r="T37">
        <f>HYPERLINK("https://klasma.github.io/Logging_2510/kartor/A 52515-2023 karta.png", "A 52515-2023")</f>
        <v/>
      </c>
      <c r="V37">
        <f>HYPERLINK("https://klasma.github.io/Logging_2510/klagomål/A 52515-2023 FSC-klagomål.docx", "A 52515-2023")</f>
        <v/>
      </c>
      <c r="W37">
        <f>HYPERLINK("https://klasma.github.io/Logging_2510/klagomålsmail/A 52515-2023 FSC-klagomål mail.docx", "A 52515-2023")</f>
        <v/>
      </c>
      <c r="X37">
        <f>HYPERLINK("https://klasma.github.io/Logging_2510/tillsyn/A 52515-2023 tillsynsbegäran.docx", "A 52515-2023")</f>
        <v/>
      </c>
      <c r="Y37">
        <f>HYPERLINK("https://klasma.github.io/Logging_2510/tillsynsmail/A 52515-2023 tillsynsbegäran mail.docx", "A 52515-2023")</f>
        <v/>
      </c>
    </row>
    <row r="38" ht="15" customHeight="1">
      <c r="A38" t="inlineStr">
        <is>
          <t>A 61965-2023</t>
        </is>
      </c>
      <c r="B38" s="1" t="n">
        <v>45266</v>
      </c>
      <c r="C38" s="1" t="n">
        <v>45508</v>
      </c>
      <c r="D38" t="inlineStr">
        <is>
          <t>NORRBOTTENS LÄN</t>
        </is>
      </c>
      <c r="E38" t="inlineStr">
        <is>
          <t>JOKKMOKK</t>
        </is>
      </c>
      <c r="F38" t="inlineStr">
        <is>
          <t>Allmännings- och besparingsskogar</t>
        </is>
      </c>
      <c r="G38" t="n">
        <v>13.6</v>
      </c>
      <c r="H38" t="n">
        <v>1</v>
      </c>
      <c r="I38" t="n">
        <v>2</v>
      </c>
      <c r="J38" t="n">
        <v>4</v>
      </c>
      <c r="K38" t="n">
        <v>1</v>
      </c>
      <c r="L38" t="n">
        <v>0</v>
      </c>
      <c r="M38" t="n">
        <v>0</v>
      </c>
      <c r="N38" t="n">
        <v>0</v>
      </c>
      <c r="O38" t="n">
        <v>5</v>
      </c>
      <c r="P38" t="n">
        <v>1</v>
      </c>
      <c r="Q38" t="n">
        <v>7</v>
      </c>
      <c r="R38" s="2" t="inlineStr">
        <is>
          <t>Lammticka
Blå taggsvamp
Skrovlig taggsvamp
Tretåig hackspett
Vedskivlav
Dropptaggsvamp
Skarp dropptaggsvamp</t>
        </is>
      </c>
      <c r="S38">
        <f>HYPERLINK("https://klasma.github.io/Logging_2510/artfynd/A 61965-2023 artfynd.xlsx", "A 61965-2023")</f>
        <v/>
      </c>
      <c r="T38">
        <f>HYPERLINK("https://klasma.github.io/Logging_2510/kartor/A 61965-2023 karta.png", "A 61965-2023")</f>
        <v/>
      </c>
      <c r="V38">
        <f>HYPERLINK("https://klasma.github.io/Logging_2510/klagomål/A 61965-2023 FSC-klagomål.docx", "A 61965-2023")</f>
        <v/>
      </c>
      <c r="W38">
        <f>HYPERLINK("https://klasma.github.io/Logging_2510/klagomålsmail/A 61965-2023 FSC-klagomål mail.docx", "A 61965-2023")</f>
        <v/>
      </c>
      <c r="X38">
        <f>HYPERLINK("https://klasma.github.io/Logging_2510/tillsyn/A 61965-2023 tillsynsbegäran.docx", "A 61965-2023")</f>
        <v/>
      </c>
      <c r="Y38">
        <f>HYPERLINK("https://klasma.github.io/Logging_2510/tillsynsmail/A 61965-2023 tillsynsbegäran mail.docx", "A 61965-2023")</f>
        <v/>
      </c>
      <c r="Z38">
        <f>HYPERLINK("https://klasma.github.io/Logging_2510/fåglar/A 61965-2023 prioriterade fågelarter.docx", "A 61965-2023")</f>
        <v/>
      </c>
    </row>
    <row r="39" ht="15" customHeight="1">
      <c r="A39" t="inlineStr">
        <is>
          <t>A 36552-2019</t>
        </is>
      </c>
      <c r="B39" s="1" t="n">
        <v>43669</v>
      </c>
      <c r="C39" s="1" t="n">
        <v>45508</v>
      </c>
      <c r="D39" t="inlineStr">
        <is>
          <t>NORRBOTTENS LÄN</t>
        </is>
      </c>
      <c r="E39" t="inlineStr">
        <is>
          <t>JOKKMOKK</t>
        </is>
      </c>
      <c r="F39" t="inlineStr">
        <is>
          <t>Övriga statliga verk och myndigheter</t>
        </is>
      </c>
      <c r="G39" t="n">
        <v>38</v>
      </c>
      <c r="H39" t="n">
        <v>0</v>
      </c>
      <c r="I39" t="n">
        <v>2</v>
      </c>
      <c r="J39" t="n">
        <v>4</v>
      </c>
      <c r="K39" t="n">
        <v>0</v>
      </c>
      <c r="L39" t="n">
        <v>0</v>
      </c>
      <c r="M39" t="n">
        <v>0</v>
      </c>
      <c r="N39" t="n">
        <v>0</v>
      </c>
      <c r="O39" t="n">
        <v>4</v>
      </c>
      <c r="P39" t="n">
        <v>0</v>
      </c>
      <c r="Q39" t="n">
        <v>6</v>
      </c>
      <c r="R39" s="2" t="inlineStr">
        <is>
          <t>Granticka
Kolflarnlav
Ullticka
Vedskivlav
Skarp dropptaggsvamp
Skinnlav</t>
        </is>
      </c>
      <c r="S39">
        <f>HYPERLINK("https://klasma.github.io/Logging_2510/artfynd/A 36552-2019 artfynd.xlsx", "A 36552-2019")</f>
        <v/>
      </c>
      <c r="T39">
        <f>HYPERLINK("https://klasma.github.io/Logging_2510/kartor/A 36552-2019 karta.png", "A 36552-2019")</f>
        <v/>
      </c>
      <c r="V39">
        <f>HYPERLINK("https://klasma.github.io/Logging_2510/klagomål/A 36552-2019 FSC-klagomål.docx", "A 36552-2019")</f>
        <v/>
      </c>
      <c r="W39">
        <f>HYPERLINK("https://klasma.github.io/Logging_2510/klagomålsmail/A 36552-2019 FSC-klagomål mail.docx", "A 36552-2019")</f>
        <v/>
      </c>
      <c r="X39">
        <f>HYPERLINK("https://klasma.github.io/Logging_2510/tillsyn/A 36552-2019 tillsynsbegäran.docx", "A 36552-2019")</f>
        <v/>
      </c>
      <c r="Y39">
        <f>HYPERLINK("https://klasma.github.io/Logging_2510/tillsynsmail/A 36552-2019 tillsynsbegäran mail.docx", "A 36552-2019")</f>
        <v/>
      </c>
    </row>
    <row r="40" ht="15" customHeight="1">
      <c r="A40" t="inlineStr">
        <is>
          <t>A 34560-2020</t>
        </is>
      </c>
      <c r="B40" s="1" t="n">
        <v>44033</v>
      </c>
      <c r="C40" s="1" t="n">
        <v>45508</v>
      </c>
      <c r="D40" t="inlineStr">
        <is>
          <t>NORRBOTTENS LÄN</t>
        </is>
      </c>
      <c r="E40" t="inlineStr">
        <is>
          <t>JOKKMOKK</t>
        </is>
      </c>
      <c r="G40" t="n">
        <v>21.8</v>
      </c>
      <c r="H40" t="n">
        <v>0</v>
      </c>
      <c r="I40" t="n">
        <v>0</v>
      </c>
      <c r="J40" t="n">
        <v>4</v>
      </c>
      <c r="K40" t="n">
        <v>2</v>
      </c>
      <c r="L40" t="n">
        <v>0</v>
      </c>
      <c r="M40" t="n">
        <v>0</v>
      </c>
      <c r="N40" t="n">
        <v>0</v>
      </c>
      <c r="O40" t="n">
        <v>6</v>
      </c>
      <c r="P40" t="n">
        <v>2</v>
      </c>
      <c r="Q40" t="n">
        <v>6</v>
      </c>
      <c r="R40" s="2" t="inlineStr">
        <is>
          <t>Goliatmusseron
Tajgataggsvamp
Blå taggsvamp
Dvärgbägarlav
Talltaggsvamp
Vaddporing</t>
        </is>
      </c>
      <c r="S40">
        <f>HYPERLINK("https://klasma.github.io/Logging_2510/artfynd/A 34560-2020 artfynd.xlsx", "A 34560-2020")</f>
        <v/>
      </c>
      <c r="T40">
        <f>HYPERLINK("https://klasma.github.io/Logging_2510/kartor/A 34560-2020 karta.png", "A 34560-2020")</f>
        <v/>
      </c>
      <c r="V40">
        <f>HYPERLINK("https://klasma.github.io/Logging_2510/klagomål/A 34560-2020 FSC-klagomål.docx", "A 34560-2020")</f>
        <v/>
      </c>
      <c r="W40">
        <f>HYPERLINK("https://klasma.github.io/Logging_2510/klagomålsmail/A 34560-2020 FSC-klagomål mail.docx", "A 34560-2020")</f>
        <v/>
      </c>
      <c r="X40">
        <f>HYPERLINK("https://klasma.github.io/Logging_2510/tillsyn/A 34560-2020 tillsynsbegäran.docx", "A 34560-2020")</f>
        <v/>
      </c>
      <c r="Y40">
        <f>HYPERLINK("https://klasma.github.io/Logging_2510/tillsynsmail/A 34560-2020 tillsynsbegäran mail.docx", "A 34560-2020")</f>
        <v/>
      </c>
    </row>
    <row r="41" ht="15" customHeight="1">
      <c r="A41" t="inlineStr">
        <is>
          <t>A 24068-2022</t>
        </is>
      </c>
      <c r="B41" s="1" t="n">
        <v>44722</v>
      </c>
      <c r="C41" s="1" t="n">
        <v>45508</v>
      </c>
      <c r="D41" t="inlineStr">
        <is>
          <t>NORRBOTTENS LÄN</t>
        </is>
      </c>
      <c r="E41" t="inlineStr">
        <is>
          <t>JOKKMOKK</t>
        </is>
      </c>
      <c r="F41" t="inlineStr">
        <is>
          <t>Övriga statliga verk och myndigheter</t>
        </is>
      </c>
      <c r="G41" t="n">
        <v>5</v>
      </c>
      <c r="H41" t="n">
        <v>0</v>
      </c>
      <c r="I41" t="n">
        <v>3</v>
      </c>
      <c r="J41" t="n">
        <v>3</v>
      </c>
      <c r="K41" t="n">
        <v>0</v>
      </c>
      <c r="L41" t="n">
        <v>0</v>
      </c>
      <c r="M41" t="n">
        <v>0</v>
      </c>
      <c r="N41" t="n">
        <v>0</v>
      </c>
      <c r="O41" t="n">
        <v>3</v>
      </c>
      <c r="P41" t="n">
        <v>0</v>
      </c>
      <c r="Q41" t="n">
        <v>6</v>
      </c>
      <c r="R41" s="2" t="inlineStr">
        <is>
          <t>Blanksvart spiklav
Blå taggsvamp
Talltaggsvamp
Dropptaggsvamp
Skarp dropptaggsvamp
Stuplav</t>
        </is>
      </c>
      <c r="S41">
        <f>HYPERLINK("https://klasma.github.io/Logging_2510/artfynd/A 24068-2022 artfynd.xlsx", "A 24068-2022")</f>
        <v/>
      </c>
      <c r="T41">
        <f>HYPERLINK("https://klasma.github.io/Logging_2510/kartor/A 24068-2022 karta.png", "A 24068-2022")</f>
        <v/>
      </c>
      <c r="V41">
        <f>HYPERLINK("https://klasma.github.io/Logging_2510/klagomål/A 24068-2022 FSC-klagomål.docx", "A 24068-2022")</f>
        <v/>
      </c>
      <c r="W41">
        <f>HYPERLINK("https://klasma.github.io/Logging_2510/klagomålsmail/A 24068-2022 FSC-klagomål mail.docx", "A 24068-2022")</f>
        <v/>
      </c>
      <c r="X41">
        <f>HYPERLINK("https://klasma.github.io/Logging_2510/tillsyn/A 24068-2022 tillsynsbegäran.docx", "A 24068-2022")</f>
        <v/>
      </c>
      <c r="Y41">
        <f>HYPERLINK("https://klasma.github.io/Logging_2510/tillsynsmail/A 24068-2022 tillsynsbegäran mail.docx", "A 24068-2022")</f>
        <v/>
      </c>
    </row>
    <row r="42" ht="15" customHeight="1">
      <c r="A42" t="inlineStr">
        <is>
          <t>A 36879-2023</t>
        </is>
      </c>
      <c r="B42" s="1" t="n">
        <v>45153</v>
      </c>
      <c r="C42" s="1" t="n">
        <v>45508</v>
      </c>
      <c r="D42" t="inlineStr">
        <is>
          <t>NORRBOTTENS LÄN</t>
        </is>
      </c>
      <c r="E42" t="inlineStr">
        <is>
          <t>JOKKMOKK</t>
        </is>
      </c>
      <c r="F42" t="inlineStr">
        <is>
          <t>Övriga statliga verk och myndigheter</t>
        </is>
      </c>
      <c r="G42" t="n">
        <v>44.9</v>
      </c>
      <c r="H42" t="n">
        <v>1</v>
      </c>
      <c r="I42" t="n">
        <v>0</v>
      </c>
      <c r="J42" t="n">
        <v>6</v>
      </c>
      <c r="K42" t="n">
        <v>0</v>
      </c>
      <c r="L42" t="n">
        <v>0</v>
      </c>
      <c r="M42" t="n">
        <v>0</v>
      </c>
      <c r="N42" t="n">
        <v>0</v>
      </c>
      <c r="O42" t="n">
        <v>6</v>
      </c>
      <c r="P42" t="n">
        <v>0</v>
      </c>
      <c r="Q42" t="n">
        <v>6</v>
      </c>
      <c r="R42" s="2" t="inlineStr">
        <is>
          <t>Dvärgbägarlav
Knottrig blåslav
Mörk kolflarnlav
Tretåig hackspett
Vedflamlav
Vedskivlav</t>
        </is>
      </c>
      <c r="S42">
        <f>HYPERLINK("https://klasma.github.io/Logging_2510/artfynd/A 36879-2023 artfynd.xlsx", "A 36879-2023")</f>
        <v/>
      </c>
      <c r="T42">
        <f>HYPERLINK("https://klasma.github.io/Logging_2510/kartor/A 36879-2023 karta.png", "A 36879-2023")</f>
        <v/>
      </c>
      <c r="V42">
        <f>HYPERLINK("https://klasma.github.io/Logging_2510/klagomål/A 36879-2023 FSC-klagomål.docx", "A 36879-2023")</f>
        <v/>
      </c>
      <c r="W42">
        <f>HYPERLINK("https://klasma.github.io/Logging_2510/klagomålsmail/A 36879-2023 FSC-klagomål mail.docx", "A 36879-2023")</f>
        <v/>
      </c>
      <c r="X42">
        <f>HYPERLINK("https://klasma.github.io/Logging_2510/tillsyn/A 36879-2023 tillsynsbegäran.docx", "A 36879-2023")</f>
        <v/>
      </c>
      <c r="Y42">
        <f>HYPERLINK("https://klasma.github.io/Logging_2510/tillsynsmail/A 36879-2023 tillsynsbegäran mail.docx", "A 36879-2023")</f>
        <v/>
      </c>
      <c r="Z42">
        <f>HYPERLINK("https://klasma.github.io/Logging_2510/fåglar/A 36879-2023 prioriterade fågelarter.docx", "A 36879-2023")</f>
        <v/>
      </c>
    </row>
    <row r="43" ht="15" customHeight="1">
      <c r="A43" t="inlineStr">
        <is>
          <t>A 52293-2023</t>
        </is>
      </c>
      <c r="B43" s="1" t="n">
        <v>45217</v>
      </c>
      <c r="C43" s="1" t="n">
        <v>45508</v>
      </c>
      <c r="D43" t="inlineStr">
        <is>
          <t>NORRBOTTENS LÄN</t>
        </is>
      </c>
      <c r="E43" t="inlineStr">
        <is>
          <t>JOKKMOKK</t>
        </is>
      </c>
      <c r="F43" t="inlineStr">
        <is>
          <t>Övriga statliga verk och myndigheter</t>
        </is>
      </c>
      <c r="G43" t="n">
        <v>32.6</v>
      </c>
      <c r="H43" t="n">
        <v>0</v>
      </c>
      <c r="I43" t="n">
        <v>2</v>
      </c>
      <c r="J43" t="n">
        <v>4</v>
      </c>
      <c r="K43" t="n">
        <v>0</v>
      </c>
      <c r="L43" t="n">
        <v>0</v>
      </c>
      <c r="M43" t="n">
        <v>0</v>
      </c>
      <c r="N43" t="n">
        <v>0</v>
      </c>
      <c r="O43" t="n">
        <v>4</v>
      </c>
      <c r="P43" t="n">
        <v>0</v>
      </c>
      <c r="Q43" t="n">
        <v>6</v>
      </c>
      <c r="R43" s="2" t="inlineStr">
        <is>
          <t>Orange taggsvamp
Talltaggsvamp
Vedflamlav
Vedskivlav
Dropptaggsvamp
Skarp dropptaggsvamp</t>
        </is>
      </c>
      <c r="S43">
        <f>HYPERLINK("https://klasma.github.io/Logging_2510/artfynd/A 52293-2023 artfynd.xlsx", "A 52293-2023")</f>
        <v/>
      </c>
      <c r="T43">
        <f>HYPERLINK("https://klasma.github.io/Logging_2510/kartor/A 52293-2023 karta.png", "A 52293-2023")</f>
        <v/>
      </c>
      <c r="V43">
        <f>HYPERLINK("https://klasma.github.io/Logging_2510/klagomål/A 52293-2023 FSC-klagomål.docx", "A 52293-2023")</f>
        <v/>
      </c>
      <c r="W43">
        <f>HYPERLINK("https://klasma.github.io/Logging_2510/klagomålsmail/A 52293-2023 FSC-klagomål mail.docx", "A 52293-2023")</f>
        <v/>
      </c>
      <c r="X43">
        <f>HYPERLINK("https://klasma.github.io/Logging_2510/tillsyn/A 52293-2023 tillsynsbegäran.docx", "A 52293-2023")</f>
        <v/>
      </c>
      <c r="Y43">
        <f>HYPERLINK("https://klasma.github.io/Logging_2510/tillsynsmail/A 52293-2023 tillsynsbegäran mail.docx", "A 52293-2023")</f>
        <v/>
      </c>
    </row>
    <row r="44" ht="15" customHeight="1">
      <c r="A44" t="inlineStr">
        <is>
          <t>A 68299-2019</t>
        </is>
      </c>
      <c r="B44" s="1" t="n">
        <v>43817</v>
      </c>
      <c r="C44" s="1" t="n">
        <v>45508</v>
      </c>
      <c r="D44" t="inlineStr">
        <is>
          <t>NORRBOTTENS LÄN</t>
        </is>
      </c>
      <c r="E44" t="inlineStr">
        <is>
          <t>JOKKMOKK</t>
        </is>
      </c>
      <c r="F44" t="inlineStr">
        <is>
          <t>SCA</t>
        </is>
      </c>
      <c r="G44" t="n">
        <v>7.6</v>
      </c>
      <c r="H44" t="n">
        <v>1</v>
      </c>
      <c r="I44" t="n">
        <v>2</v>
      </c>
      <c r="J44" t="n">
        <v>2</v>
      </c>
      <c r="K44" t="n">
        <v>1</v>
      </c>
      <c r="L44" t="n">
        <v>0</v>
      </c>
      <c r="M44" t="n">
        <v>0</v>
      </c>
      <c r="N44" t="n">
        <v>0</v>
      </c>
      <c r="O44" t="n">
        <v>3</v>
      </c>
      <c r="P44" t="n">
        <v>1</v>
      </c>
      <c r="Q44" t="n">
        <v>5</v>
      </c>
      <c r="R44" s="2" t="inlineStr">
        <is>
          <t>Goliatmusseron
Blå taggsvamp
Tretåig hackspett
Dropptaggsvamp
Skarp dropptaggsvamp</t>
        </is>
      </c>
      <c r="S44">
        <f>HYPERLINK("https://klasma.github.io/Logging_2510/artfynd/A 68299-2019 artfynd.xlsx", "A 68299-2019")</f>
        <v/>
      </c>
      <c r="T44">
        <f>HYPERLINK("https://klasma.github.io/Logging_2510/kartor/A 68299-2019 karta.png", "A 68299-2019")</f>
        <v/>
      </c>
      <c r="V44">
        <f>HYPERLINK("https://klasma.github.io/Logging_2510/klagomål/A 68299-2019 FSC-klagomål.docx", "A 68299-2019")</f>
        <v/>
      </c>
      <c r="W44">
        <f>HYPERLINK("https://klasma.github.io/Logging_2510/klagomålsmail/A 68299-2019 FSC-klagomål mail.docx", "A 68299-2019")</f>
        <v/>
      </c>
      <c r="X44">
        <f>HYPERLINK("https://klasma.github.io/Logging_2510/tillsyn/A 68299-2019 tillsynsbegäran.docx", "A 68299-2019")</f>
        <v/>
      </c>
      <c r="Y44">
        <f>HYPERLINK("https://klasma.github.io/Logging_2510/tillsynsmail/A 68299-2019 tillsynsbegäran mail.docx", "A 68299-2019")</f>
        <v/>
      </c>
      <c r="Z44">
        <f>HYPERLINK("https://klasma.github.io/Logging_2510/fåglar/A 68299-2019 prioriterade fågelarter.docx", "A 68299-2019")</f>
        <v/>
      </c>
    </row>
    <row r="45" ht="15" customHeight="1">
      <c r="A45" t="inlineStr">
        <is>
          <t>A 59451-2021</t>
        </is>
      </c>
      <c r="B45" s="1" t="n">
        <v>44490</v>
      </c>
      <c r="C45" s="1" t="n">
        <v>45508</v>
      </c>
      <c r="D45" t="inlineStr">
        <is>
          <t>NORRBOTTENS LÄN</t>
        </is>
      </c>
      <c r="E45" t="inlineStr">
        <is>
          <t>JOKKMOKK</t>
        </is>
      </c>
      <c r="F45" t="inlineStr">
        <is>
          <t>Övriga statliga verk och myndigheter</t>
        </is>
      </c>
      <c r="G45" t="n">
        <v>9.699999999999999</v>
      </c>
      <c r="H45" t="n">
        <v>0</v>
      </c>
      <c r="I45" t="n">
        <v>1</v>
      </c>
      <c r="J45" t="n">
        <v>4</v>
      </c>
      <c r="K45" t="n">
        <v>0</v>
      </c>
      <c r="L45" t="n">
        <v>0</v>
      </c>
      <c r="M45" t="n">
        <v>0</v>
      </c>
      <c r="N45" t="n">
        <v>0</v>
      </c>
      <c r="O45" t="n">
        <v>4</v>
      </c>
      <c r="P45" t="n">
        <v>0</v>
      </c>
      <c r="Q45" t="n">
        <v>5</v>
      </c>
      <c r="R45" s="2" t="inlineStr">
        <is>
          <t>Blå taggsvamp
Mörk kolflarnlav
Talltaggsvamp
Violmussling
Dropptaggsvamp</t>
        </is>
      </c>
      <c r="S45">
        <f>HYPERLINK("https://klasma.github.io/Logging_2510/artfynd/A 59451-2021 artfynd.xlsx", "A 59451-2021")</f>
        <v/>
      </c>
      <c r="T45">
        <f>HYPERLINK("https://klasma.github.io/Logging_2510/kartor/A 59451-2021 karta.png", "A 59451-2021")</f>
        <v/>
      </c>
      <c r="V45">
        <f>HYPERLINK("https://klasma.github.io/Logging_2510/klagomål/A 59451-2021 FSC-klagomål.docx", "A 59451-2021")</f>
        <v/>
      </c>
      <c r="W45">
        <f>HYPERLINK("https://klasma.github.io/Logging_2510/klagomålsmail/A 59451-2021 FSC-klagomål mail.docx", "A 59451-2021")</f>
        <v/>
      </c>
      <c r="X45">
        <f>HYPERLINK("https://klasma.github.io/Logging_2510/tillsyn/A 59451-2021 tillsynsbegäran.docx", "A 59451-2021")</f>
        <v/>
      </c>
      <c r="Y45">
        <f>HYPERLINK("https://klasma.github.io/Logging_2510/tillsynsmail/A 59451-2021 tillsynsbegäran mail.docx", "A 59451-2021")</f>
        <v/>
      </c>
    </row>
    <row r="46" ht="15" customHeight="1">
      <c r="A46" t="inlineStr">
        <is>
          <t>A 30582-2022</t>
        </is>
      </c>
      <c r="B46" s="1" t="n">
        <v>44762</v>
      </c>
      <c r="C46" s="1" t="n">
        <v>45508</v>
      </c>
      <c r="D46" t="inlineStr">
        <is>
          <t>NORRBOTTENS LÄN</t>
        </is>
      </c>
      <c r="E46" t="inlineStr">
        <is>
          <t>JOKKMOKK</t>
        </is>
      </c>
      <c r="F46" t="inlineStr">
        <is>
          <t>Övriga statliga verk och myndigheter</t>
        </is>
      </c>
      <c r="G46" t="n">
        <v>49.5</v>
      </c>
      <c r="H46" t="n">
        <v>0</v>
      </c>
      <c r="I46" t="n">
        <v>0</v>
      </c>
      <c r="J46" t="n">
        <v>2</v>
      </c>
      <c r="K46" t="n">
        <v>3</v>
      </c>
      <c r="L46" t="n">
        <v>0</v>
      </c>
      <c r="M46" t="n">
        <v>0</v>
      </c>
      <c r="N46" t="n">
        <v>0</v>
      </c>
      <c r="O46" t="n">
        <v>5</v>
      </c>
      <c r="P46" t="n">
        <v>3</v>
      </c>
      <c r="Q46" t="n">
        <v>5</v>
      </c>
      <c r="R46" s="2" t="inlineStr">
        <is>
          <t>Goliatmusseron
Lateritticka
Tallstocksticka
Dvärgbägarlav
Knottrig blåslav</t>
        </is>
      </c>
      <c r="S46">
        <f>HYPERLINK("https://klasma.github.io/Logging_2510/artfynd/A 30582-2022 artfynd.xlsx", "A 30582-2022")</f>
        <v/>
      </c>
      <c r="T46">
        <f>HYPERLINK("https://klasma.github.io/Logging_2510/kartor/A 30582-2022 karta.png", "A 30582-2022")</f>
        <v/>
      </c>
      <c r="V46">
        <f>HYPERLINK("https://klasma.github.io/Logging_2510/klagomål/A 30582-2022 FSC-klagomål.docx", "A 30582-2022")</f>
        <v/>
      </c>
      <c r="W46">
        <f>HYPERLINK("https://klasma.github.io/Logging_2510/klagomålsmail/A 30582-2022 FSC-klagomål mail.docx", "A 30582-2022")</f>
        <v/>
      </c>
      <c r="X46">
        <f>HYPERLINK("https://klasma.github.io/Logging_2510/tillsyn/A 30582-2022 tillsynsbegäran.docx", "A 30582-2022")</f>
        <v/>
      </c>
      <c r="Y46">
        <f>HYPERLINK("https://klasma.github.io/Logging_2510/tillsynsmail/A 30582-2022 tillsynsbegäran mail.docx", "A 30582-2022")</f>
        <v/>
      </c>
    </row>
    <row r="47" ht="15" customHeight="1">
      <c r="A47" t="inlineStr">
        <is>
          <t>A 46059-2021</t>
        </is>
      </c>
      <c r="B47" s="1" t="n">
        <v>44442</v>
      </c>
      <c r="C47" s="1" t="n">
        <v>45508</v>
      </c>
      <c r="D47" t="inlineStr">
        <is>
          <t>NORRBOTTENS LÄN</t>
        </is>
      </c>
      <c r="E47" t="inlineStr">
        <is>
          <t>JOKKMOKK</t>
        </is>
      </c>
      <c r="F47" t="inlineStr">
        <is>
          <t>SCA</t>
        </is>
      </c>
      <c r="G47" t="n">
        <v>3.1</v>
      </c>
      <c r="H47" t="n">
        <v>0</v>
      </c>
      <c r="I47" t="n">
        <v>1</v>
      </c>
      <c r="J47" t="n">
        <v>2</v>
      </c>
      <c r="K47" t="n">
        <v>1</v>
      </c>
      <c r="L47" t="n">
        <v>0</v>
      </c>
      <c r="M47" t="n">
        <v>0</v>
      </c>
      <c r="N47" t="n">
        <v>0</v>
      </c>
      <c r="O47" t="n">
        <v>3</v>
      </c>
      <c r="P47" t="n">
        <v>1</v>
      </c>
      <c r="Q47" t="n">
        <v>4</v>
      </c>
      <c r="R47" s="2" t="inlineStr">
        <is>
          <t>Rynkskinn
Granticka
Vitskaftad svartspik
Skinnlav</t>
        </is>
      </c>
      <c r="S47">
        <f>HYPERLINK("https://klasma.github.io/Logging_2510/artfynd/A 46059-2021 artfynd.xlsx", "A 46059-2021")</f>
        <v/>
      </c>
      <c r="T47">
        <f>HYPERLINK("https://klasma.github.io/Logging_2510/kartor/A 46059-2021 karta.png", "A 46059-2021")</f>
        <v/>
      </c>
      <c r="V47">
        <f>HYPERLINK("https://klasma.github.io/Logging_2510/klagomål/A 46059-2021 FSC-klagomål.docx", "A 46059-2021")</f>
        <v/>
      </c>
      <c r="W47">
        <f>HYPERLINK("https://klasma.github.io/Logging_2510/klagomålsmail/A 46059-2021 FSC-klagomål mail.docx", "A 46059-2021")</f>
        <v/>
      </c>
      <c r="X47">
        <f>HYPERLINK("https://klasma.github.io/Logging_2510/tillsyn/A 46059-2021 tillsynsbegäran.docx", "A 46059-2021")</f>
        <v/>
      </c>
      <c r="Y47">
        <f>HYPERLINK("https://klasma.github.io/Logging_2510/tillsynsmail/A 46059-2021 tillsynsbegäran mail.docx", "A 46059-2021")</f>
        <v/>
      </c>
    </row>
    <row r="48" ht="15" customHeight="1">
      <c r="A48" t="inlineStr">
        <is>
          <t>A 54960-2021</t>
        </is>
      </c>
      <c r="B48" s="1" t="n">
        <v>44474</v>
      </c>
      <c r="C48" s="1" t="n">
        <v>45508</v>
      </c>
      <c r="D48" t="inlineStr">
        <is>
          <t>NORRBOTTENS LÄN</t>
        </is>
      </c>
      <c r="E48" t="inlineStr">
        <is>
          <t>JOKKMOKK</t>
        </is>
      </c>
      <c r="F48" t="inlineStr">
        <is>
          <t>Allmännings- och besparingsskogar</t>
        </is>
      </c>
      <c r="G48" t="n">
        <v>52.4</v>
      </c>
      <c r="H48" t="n">
        <v>1</v>
      </c>
      <c r="I48" t="n">
        <v>0</v>
      </c>
      <c r="J48" t="n">
        <v>4</v>
      </c>
      <c r="K48" t="n">
        <v>0</v>
      </c>
      <c r="L48" t="n">
        <v>0</v>
      </c>
      <c r="M48" t="n">
        <v>0</v>
      </c>
      <c r="N48" t="n">
        <v>0</v>
      </c>
      <c r="O48" t="n">
        <v>4</v>
      </c>
      <c r="P48" t="n">
        <v>0</v>
      </c>
      <c r="Q48" t="n">
        <v>4</v>
      </c>
      <c r="R48" s="2" t="inlineStr">
        <is>
          <t>Lunglav
Stiftgelélav
Tretåig hackspett
Ullticka</t>
        </is>
      </c>
      <c r="S48">
        <f>HYPERLINK("https://klasma.github.io/Logging_2510/artfynd/A 54960-2021 artfynd.xlsx", "A 54960-2021")</f>
        <v/>
      </c>
      <c r="T48">
        <f>HYPERLINK("https://klasma.github.io/Logging_2510/kartor/A 54960-2021 karta.png", "A 54960-2021")</f>
        <v/>
      </c>
      <c r="V48">
        <f>HYPERLINK("https://klasma.github.io/Logging_2510/klagomål/A 54960-2021 FSC-klagomål.docx", "A 54960-2021")</f>
        <v/>
      </c>
      <c r="W48">
        <f>HYPERLINK("https://klasma.github.io/Logging_2510/klagomålsmail/A 54960-2021 FSC-klagomål mail.docx", "A 54960-2021")</f>
        <v/>
      </c>
      <c r="X48">
        <f>HYPERLINK("https://klasma.github.io/Logging_2510/tillsyn/A 54960-2021 tillsynsbegäran.docx", "A 54960-2021")</f>
        <v/>
      </c>
      <c r="Y48">
        <f>HYPERLINK("https://klasma.github.io/Logging_2510/tillsynsmail/A 54960-2021 tillsynsbegäran mail.docx", "A 54960-2021")</f>
        <v/>
      </c>
      <c r="Z48">
        <f>HYPERLINK("https://klasma.github.io/Logging_2510/fåglar/A 54960-2021 prioriterade fågelarter.docx", "A 54960-2021")</f>
        <v/>
      </c>
    </row>
    <row r="49" ht="15" customHeight="1">
      <c r="A49" t="inlineStr">
        <is>
          <t>A 32990-2023</t>
        </is>
      </c>
      <c r="B49" s="1" t="n">
        <v>45113</v>
      </c>
      <c r="C49" s="1" t="n">
        <v>45508</v>
      </c>
      <c r="D49" t="inlineStr">
        <is>
          <t>NORRBOTTENS LÄN</t>
        </is>
      </c>
      <c r="E49" t="inlineStr">
        <is>
          <t>JOKKMOKK</t>
        </is>
      </c>
      <c r="F49" t="inlineStr">
        <is>
          <t>Övriga statliga verk och myndigheter</t>
        </is>
      </c>
      <c r="G49" t="n">
        <v>22.7</v>
      </c>
      <c r="H49" t="n">
        <v>0</v>
      </c>
      <c r="I49" t="n">
        <v>0</v>
      </c>
      <c r="J49" t="n">
        <v>3</v>
      </c>
      <c r="K49" t="n">
        <v>0</v>
      </c>
      <c r="L49" t="n">
        <v>1</v>
      </c>
      <c r="M49" t="n">
        <v>0</v>
      </c>
      <c r="N49" t="n">
        <v>0</v>
      </c>
      <c r="O49" t="n">
        <v>4</v>
      </c>
      <c r="P49" t="n">
        <v>1</v>
      </c>
      <c r="Q49" t="n">
        <v>4</v>
      </c>
      <c r="R49" s="2" t="inlineStr">
        <is>
          <t>Urskogsporing
Dvärgbägarlav
Vedflamlav
Vedskivlav</t>
        </is>
      </c>
      <c r="S49">
        <f>HYPERLINK("https://klasma.github.io/Logging_2510/artfynd/A 32990-2023 artfynd.xlsx", "A 32990-2023")</f>
        <v/>
      </c>
      <c r="T49">
        <f>HYPERLINK("https://klasma.github.io/Logging_2510/kartor/A 32990-2023 karta.png", "A 32990-2023")</f>
        <v/>
      </c>
      <c r="V49">
        <f>HYPERLINK("https://klasma.github.io/Logging_2510/klagomål/A 32990-2023 FSC-klagomål.docx", "A 32990-2023")</f>
        <v/>
      </c>
      <c r="W49">
        <f>HYPERLINK("https://klasma.github.io/Logging_2510/klagomålsmail/A 32990-2023 FSC-klagomål mail.docx", "A 32990-2023")</f>
        <v/>
      </c>
      <c r="X49">
        <f>HYPERLINK("https://klasma.github.io/Logging_2510/tillsyn/A 32990-2023 tillsynsbegäran.docx", "A 32990-2023")</f>
        <v/>
      </c>
      <c r="Y49">
        <f>HYPERLINK("https://klasma.github.io/Logging_2510/tillsynsmail/A 32990-2023 tillsynsbegäran mail.docx", "A 32990-2023")</f>
        <v/>
      </c>
    </row>
    <row r="50" ht="15" customHeight="1">
      <c r="A50" t="inlineStr">
        <is>
          <t>A 49513-2023</t>
        </is>
      </c>
      <c r="B50" s="1" t="n">
        <v>45211</v>
      </c>
      <c r="C50" s="1" t="n">
        <v>45508</v>
      </c>
      <c r="D50" t="inlineStr">
        <is>
          <t>NORRBOTTENS LÄN</t>
        </is>
      </c>
      <c r="E50" t="inlineStr">
        <is>
          <t>JOKKMOKK</t>
        </is>
      </c>
      <c r="F50" t="inlineStr">
        <is>
          <t>Sveaskog</t>
        </is>
      </c>
      <c r="G50" t="n">
        <v>34.1</v>
      </c>
      <c r="H50" t="n">
        <v>1</v>
      </c>
      <c r="I50" t="n">
        <v>2</v>
      </c>
      <c r="J50" t="n">
        <v>2</v>
      </c>
      <c r="K50" t="n">
        <v>0</v>
      </c>
      <c r="L50" t="n">
        <v>0</v>
      </c>
      <c r="M50" t="n">
        <v>0</v>
      </c>
      <c r="N50" t="n">
        <v>0</v>
      </c>
      <c r="O50" t="n">
        <v>2</v>
      </c>
      <c r="P50" t="n">
        <v>0</v>
      </c>
      <c r="Q50" t="n">
        <v>4</v>
      </c>
      <c r="R50" s="2" t="inlineStr">
        <is>
          <t>Garnlav
Tallriska
Plattlummer
Stuplav</t>
        </is>
      </c>
      <c r="S50">
        <f>HYPERLINK("https://klasma.github.io/Logging_2510/artfynd/A 49513-2023 artfynd.xlsx", "A 49513-2023")</f>
        <v/>
      </c>
      <c r="T50">
        <f>HYPERLINK("https://klasma.github.io/Logging_2510/kartor/A 49513-2023 karta.png", "A 49513-2023")</f>
        <v/>
      </c>
      <c r="V50">
        <f>HYPERLINK("https://klasma.github.io/Logging_2510/klagomål/A 49513-2023 FSC-klagomål.docx", "A 49513-2023")</f>
        <v/>
      </c>
      <c r="W50">
        <f>HYPERLINK("https://klasma.github.io/Logging_2510/klagomålsmail/A 49513-2023 FSC-klagomål mail.docx", "A 49513-2023")</f>
        <v/>
      </c>
      <c r="X50">
        <f>HYPERLINK("https://klasma.github.io/Logging_2510/tillsyn/A 49513-2023 tillsynsbegäran.docx", "A 49513-2023")</f>
        <v/>
      </c>
      <c r="Y50">
        <f>HYPERLINK("https://klasma.github.io/Logging_2510/tillsynsmail/A 49513-2023 tillsynsbegäran mail.docx", "A 49513-2023")</f>
        <v/>
      </c>
    </row>
    <row r="51" ht="15" customHeight="1">
      <c r="A51" t="inlineStr">
        <is>
          <t>A 52332-2023</t>
        </is>
      </c>
      <c r="B51" s="1" t="n">
        <v>45217</v>
      </c>
      <c r="C51" s="1" t="n">
        <v>45508</v>
      </c>
      <c r="D51" t="inlineStr">
        <is>
          <t>NORRBOTTENS LÄN</t>
        </is>
      </c>
      <c r="E51" t="inlineStr">
        <is>
          <t>JOKKMOKK</t>
        </is>
      </c>
      <c r="F51" t="inlineStr">
        <is>
          <t>Övriga statliga verk och myndigheter</t>
        </is>
      </c>
      <c r="G51" t="n">
        <v>23.3</v>
      </c>
      <c r="H51" t="n">
        <v>1</v>
      </c>
      <c r="I51" t="n">
        <v>1</v>
      </c>
      <c r="J51" t="n">
        <v>2</v>
      </c>
      <c r="K51" t="n">
        <v>0</v>
      </c>
      <c r="L51" t="n">
        <v>0</v>
      </c>
      <c r="M51" t="n">
        <v>0</v>
      </c>
      <c r="N51" t="n">
        <v>0</v>
      </c>
      <c r="O51" t="n">
        <v>2</v>
      </c>
      <c r="P51" t="n">
        <v>0</v>
      </c>
      <c r="Q51" t="n">
        <v>4</v>
      </c>
      <c r="R51" s="2" t="inlineStr">
        <is>
          <t>Vedflamlav
Vedskivlav
Dropptaggsvamp
Fjällummer</t>
        </is>
      </c>
      <c r="S51">
        <f>HYPERLINK("https://klasma.github.io/Logging_2510/artfynd/A 52332-2023 artfynd.xlsx", "A 52332-2023")</f>
        <v/>
      </c>
      <c r="T51">
        <f>HYPERLINK("https://klasma.github.io/Logging_2510/kartor/A 52332-2023 karta.png", "A 52332-2023")</f>
        <v/>
      </c>
      <c r="V51">
        <f>HYPERLINK("https://klasma.github.io/Logging_2510/klagomål/A 52332-2023 FSC-klagomål.docx", "A 52332-2023")</f>
        <v/>
      </c>
      <c r="W51">
        <f>HYPERLINK("https://klasma.github.io/Logging_2510/klagomålsmail/A 52332-2023 FSC-klagomål mail.docx", "A 52332-2023")</f>
        <v/>
      </c>
      <c r="X51">
        <f>HYPERLINK("https://klasma.github.io/Logging_2510/tillsyn/A 52332-2023 tillsynsbegäran.docx", "A 52332-2023")</f>
        <v/>
      </c>
      <c r="Y51">
        <f>HYPERLINK("https://klasma.github.io/Logging_2510/tillsynsmail/A 52332-2023 tillsynsbegäran mail.docx", "A 52332-2023")</f>
        <v/>
      </c>
    </row>
    <row r="52" ht="15" customHeight="1">
      <c r="A52" t="inlineStr">
        <is>
          <t>A 52523-2023</t>
        </is>
      </c>
      <c r="B52" s="1" t="n">
        <v>45218</v>
      </c>
      <c r="C52" s="1" t="n">
        <v>45508</v>
      </c>
      <c r="D52" t="inlineStr">
        <is>
          <t>NORRBOTTENS LÄN</t>
        </is>
      </c>
      <c r="E52" t="inlineStr">
        <is>
          <t>JOKKMOKK</t>
        </is>
      </c>
      <c r="F52" t="inlineStr">
        <is>
          <t>Övriga statliga verk och myndigheter</t>
        </is>
      </c>
      <c r="G52" t="n">
        <v>12.9</v>
      </c>
      <c r="H52" t="n">
        <v>0</v>
      </c>
      <c r="I52" t="n">
        <v>2</v>
      </c>
      <c r="J52" t="n">
        <v>2</v>
      </c>
      <c r="K52" t="n">
        <v>0</v>
      </c>
      <c r="L52" t="n">
        <v>0</v>
      </c>
      <c r="M52" t="n">
        <v>0</v>
      </c>
      <c r="N52" t="n">
        <v>0</v>
      </c>
      <c r="O52" t="n">
        <v>2</v>
      </c>
      <c r="P52" t="n">
        <v>0</v>
      </c>
      <c r="Q52" t="n">
        <v>4</v>
      </c>
      <c r="R52" s="2" t="inlineStr">
        <is>
          <t>Motaggsvamp
Vaddporing
Dropptaggsvamp
Vedticka</t>
        </is>
      </c>
      <c r="S52">
        <f>HYPERLINK("https://klasma.github.io/Logging_2510/artfynd/A 52523-2023 artfynd.xlsx", "A 52523-2023")</f>
        <v/>
      </c>
      <c r="T52">
        <f>HYPERLINK("https://klasma.github.io/Logging_2510/kartor/A 52523-2023 karta.png", "A 52523-2023")</f>
        <v/>
      </c>
      <c r="V52">
        <f>HYPERLINK("https://klasma.github.io/Logging_2510/klagomål/A 52523-2023 FSC-klagomål.docx", "A 52523-2023")</f>
        <v/>
      </c>
      <c r="W52">
        <f>HYPERLINK("https://klasma.github.io/Logging_2510/klagomålsmail/A 52523-2023 FSC-klagomål mail.docx", "A 52523-2023")</f>
        <v/>
      </c>
      <c r="X52">
        <f>HYPERLINK("https://klasma.github.io/Logging_2510/tillsyn/A 52523-2023 tillsynsbegäran.docx", "A 52523-2023")</f>
        <v/>
      </c>
      <c r="Y52">
        <f>HYPERLINK("https://klasma.github.io/Logging_2510/tillsynsmail/A 52523-2023 tillsynsbegäran mail.docx", "A 52523-2023")</f>
        <v/>
      </c>
    </row>
    <row r="53" ht="15" customHeight="1">
      <c r="A53" t="inlineStr">
        <is>
          <t>A 21352-2024</t>
        </is>
      </c>
      <c r="B53" s="1" t="n">
        <v>45440</v>
      </c>
      <c r="C53" s="1" t="n">
        <v>45508</v>
      </c>
      <c r="D53" t="inlineStr">
        <is>
          <t>NORRBOTTENS LÄN</t>
        </is>
      </c>
      <c r="E53" t="inlineStr">
        <is>
          <t>JOKKMOKK</t>
        </is>
      </c>
      <c r="F53" t="inlineStr">
        <is>
          <t>SCA</t>
        </is>
      </c>
      <c r="G53" t="n">
        <v>2.7</v>
      </c>
      <c r="H53" t="n">
        <v>2</v>
      </c>
      <c r="I53" t="n">
        <v>0</v>
      </c>
      <c r="J53" t="n">
        <v>3</v>
      </c>
      <c r="K53" t="n">
        <v>0</v>
      </c>
      <c r="L53" t="n">
        <v>0</v>
      </c>
      <c r="M53" t="n">
        <v>0</v>
      </c>
      <c r="N53" t="n">
        <v>0</v>
      </c>
      <c r="O53" t="n">
        <v>3</v>
      </c>
      <c r="P53" t="n">
        <v>0</v>
      </c>
      <c r="Q53" t="n">
        <v>4</v>
      </c>
      <c r="R53" s="2" t="inlineStr">
        <is>
          <t>Gammelgransskål
Stjärntagging
Tretåig hackspett
Fläcknycklar</t>
        </is>
      </c>
      <c r="S53">
        <f>HYPERLINK("https://klasma.github.io/Logging_2510/artfynd/A 21352-2024 artfynd.xlsx", "A 21352-2024")</f>
        <v/>
      </c>
      <c r="T53">
        <f>HYPERLINK("https://klasma.github.io/Logging_2510/kartor/A 21352-2024 karta.png", "A 21352-2024")</f>
        <v/>
      </c>
      <c r="V53">
        <f>HYPERLINK("https://klasma.github.io/Logging_2510/klagomål/A 21352-2024 FSC-klagomål.docx", "A 21352-2024")</f>
        <v/>
      </c>
      <c r="W53">
        <f>HYPERLINK("https://klasma.github.io/Logging_2510/klagomålsmail/A 21352-2024 FSC-klagomål mail.docx", "A 21352-2024")</f>
        <v/>
      </c>
      <c r="X53">
        <f>HYPERLINK("https://klasma.github.io/Logging_2510/tillsyn/A 21352-2024 tillsynsbegäran.docx", "A 21352-2024")</f>
        <v/>
      </c>
      <c r="Y53">
        <f>HYPERLINK("https://klasma.github.io/Logging_2510/tillsynsmail/A 21352-2024 tillsynsbegäran mail.docx", "A 21352-2024")</f>
        <v/>
      </c>
      <c r="Z53">
        <f>HYPERLINK("https://klasma.github.io/Logging_2510/fåglar/A 21352-2024 prioriterade fågelarter.docx", "A 21352-2024")</f>
        <v/>
      </c>
    </row>
    <row r="54" ht="15" customHeight="1">
      <c r="A54" t="inlineStr">
        <is>
          <t>A 25619-2019</t>
        </is>
      </c>
      <c r="B54" s="1" t="n">
        <v>43602</v>
      </c>
      <c r="C54" s="1" t="n">
        <v>45508</v>
      </c>
      <c r="D54" t="inlineStr">
        <is>
          <t>NORRBOTTENS LÄN</t>
        </is>
      </c>
      <c r="E54" t="inlineStr">
        <is>
          <t>JOKKMOKK</t>
        </is>
      </c>
      <c r="F54" t="inlineStr">
        <is>
          <t>Allmännings- och besparingsskogar</t>
        </is>
      </c>
      <c r="G54" t="n">
        <v>37.3</v>
      </c>
      <c r="H54" t="n">
        <v>0</v>
      </c>
      <c r="I54" t="n">
        <v>0</v>
      </c>
      <c r="J54" t="n">
        <v>3</v>
      </c>
      <c r="K54" t="n">
        <v>0</v>
      </c>
      <c r="L54" t="n">
        <v>0</v>
      </c>
      <c r="M54" t="n">
        <v>0</v>
      </c>
      <c r="N54" t="n">
        <v>0</v>
      </c>
      <c r="O54" t="n">
        <v>3</v>
      </c>
      <c r="P54" t="n">
        <v>0</v>
      </c>
      <c r="Q54" t="n">
        <v>3</v>
      </c>
      <c r="R54" s="2" t="inlineStr">
        <is>
          <t>Gammelgransskål
Motaggsvamp
Vaddporing</t>
        </is>
      </c>
      <c r="S54">
        <f>HYPERLINK("https://klasma.github.io/Logging_2510/artfynd/A 25619-2019 artfynd.xlsx", "A 25619-2019")</f>
        <v/>
      </c>
      <c r="T54">
        <f>HYPERLINK("https://klasma.github.io/Logging_2510/kartor/A 25619-2019 karta.png", "A 25619-2019")</f>
        <v/>
      </c>
      <c r="V54">
        <f>HYPERLINK("https://klasma.github.io/Logging_2510/klagomål/A 25619-2019 FSC-klagomål.docx", "A 25619-2019")</f>
        <v/>
      </c>
      <c r="W54">
        <f>HYPERLINK("https://klasma.github.io/Logging_2510/klagomålsmail/A 25619-2019 FSC-klagomål mail.docx", "A 25619-2019")</f>
        <v/>
      </c>
      <c r="X54">
        <f>HYPERLINK("https://klasma.github.io/Logging_2510/tillsyn/A 25619-2019 tillsynsbegäran.docx", "A 25619-2019")</f>
        <v/>
      </c>
      <c r="Y54">
        <f>HYPERLINK("https://klasma.github.io/Logging_2510/tillsynsmail/A 25619-2019 tillsynsbegäran mail.docx", "A 25619-2019")</f>
        <v/>
      </c>
    </row>
    <row r="55" ht="15" customHeight="1">
      <c r="A55" t="inlineStr">
        <is>
          <t>A 24420-2020</t>
        </is>
      </c>
      <c r="B55" s="1" t="n">
        <v>43976</v>
      </c>
      <c r="C55" s="1" t="n">
        <v>45508</v>
      </c>
      <c r="D55" t="inlineStr">
        <is>
          <t>NORRBOTTENS LÄN</t>
        </is>
      </c>
      <c r="E55" t="inlineStr">
        <is>
          <t>JOKKMOKK</t>
        </is>
      </c>
      <c r="F55" t="inlineStr">
        <is>
          <t>SCA</t>
        </is>
      </c>
      <c r="G55" t="n">
        <v>2.9</v>
      </c>
      <c r="H55" t="n">
        <v>0</v>
      </c>
      <c r="I55" t="n">
        <v>0</v>
      </c>
      <c r="J55" t="n">
        <v>0</v>
      </c>
      <c r="K55" t="n">
        <v>3</v>
      </c>
      <c r="L55" t="n">
        <v>0</v>
      </c>
      <c r="M55" t="n">
        <v>0</v>
      </c>
      <c r="N55" t="n">
        <v>0</v>
      </c>
      <c r="O55" t="n">
        <v>3</v>
      </c>
      <c r="P55" t="n">
        <v>3</v>
      </c>
      <c r="Q55" t="n">
        <v>3</v>
      </c>
      <c r="R55" s="2" t="inlineStr">
        <is>
          <t>Goliatmusseron
Gräddporing
Tallgråticka</t>
        </is>
      </c>
      <c r="S55">
        <f>HYPERLINK("https://klasma.github.io/Logging_2510/artfynd/A 24420-2020 artfynd.xlsx", "A 24420-2020")</f>
        <v/>
      </c>
      <c r="T55">
        <f>HYPERLINK("https://klasma.github.io/Logging_2510/kartor/A 24420-2020 karta.png", "A 24420-2020")</f>
        <v/>
      </c>
      <c r="V55">
        <f>HYPERLINK("https://klasma.github.io/Logging_2510/klagomål/A 24420-2020 FSC-klagomål.docx", "A 24420-2020")</f>
        <v/>
      </c>
      <c r="W55">
        <f>HYPERLINK("https://klasma.github.io/Logging_2510/klagomålsmail/A 24420-2020 FSC-klagomål mail.docx", "A 24420-2020")</f>
        <v/>
      </c>
      <c r="X55">
        <f>HYPERLINK("https://klasma.github.io/Logging_2510/tillsyn/A 24420-2020 tillsynsbegäran.docx", "A 24420-2020")</f>
        <v/>
      </c>
      <c r="Y55">
        <f>HYPERLINK("https://klasma.github.io/Logging_2510/tillsynsmail/A 24420-2020 tillsynsbegäran mail.docx", "A 24420-2020")</f>
        <v/>
      </c>
    </row>
    <row r="56" ht="15" customHeight="1">
      <c r="A56" t="inlineStr">
        <is>
          <t>A 72477-2021</t>
        </is>
      </c>
      <c r="B56" s="1" t="n">
        <v>44545</v>
      </c>
      <c r="C56" s="1" t="n">
        <v>45508</v>
      </c>
      <c r="D56" t="inlineStr">
        <is>
          <t>NORRBOTTENS LÄN</t>
        </is>
      </c>
      <c r="E56" t="inlineStr">
        <is>
          <t>JOKKMOKK</t>
        </is>
      </c>
      <c r="G56" t="n">
        <v>18.1</v>
      </c>
      <c r="H56" t="n">
        <v>0</v>
      </c>
      <c r="I56" t="n">
        <v>0</v>
      </c>
      <c r="J56" t="n">
        <v>2</v>
      </c>
      <c r="K56" t="n">
        <v>1</v>
      </c>
      <c r="L56" t="n">
        <v>0</v>
      </c>
      <c r="M56" t="n">
        <v>0</v>
      </c>
      <c r="N56" t="n">
        <v>0</v>
      </c>
      <c r="O56" t="n">
        <v>3</v>
      </c>
      <c r="P56" t="n">
        <v>1</v>
      </c>
      <c r="Q56" t="n">
        <v>3</v>
      </c>
      <c r="R56" s="2" t="inlineStr">
        <is>
          <t>Gräddporing
Blågrå svartspik
Ladlav</t>
        </is>
      </c>
      <c r="S56">
        <f>HYPERLINK("https://klasma.github.io/Logging_2510/artfynd/A 72477-2021 artfynd.xlsx", "A 72477-2021")</f>
        <v/>
      </c>
      <c r="T56">
        <f>HYPERLINK("https://klasma.github.io/Logging_2510/kartor/A 72477-2021 karta.png", "A 72477-2021")</f>
        <v/>
      </c>
      <c r="V56">
        <f>HYPERLINK("https://klasma.github.io/Logging_2510/klagomål/A 72477-2021 FSC-klagomål.docx", "A 72477-2021")</f>
        <v/>
      </c>
      <c r="W56">
        <f>HYPERLINK("https://klasma.github.io/Logging_2510/klagomålsmail/A 72477-2021 FSC-klagomål mail.docx", "A 72477-2021")</f>
        <v/>
      </c>
      <c r="X56">
        <f>HYPERLINK("https://klasma.github.io/Logging_2510/tillsyn/A 72477-2021 tillsynsbegäran.docx", "A 72477-2021")</f>
        <v/>
      </c>
      <c r="Y56">
        <f>HYPERLINK("https://klasma.github.io/Logging_2510/tillsynsmail/A 72477-2021 tillsynsbegäran mail.docx", "A 72477-2021")</f>
        <v/>
      </c>
    </row>
    <row r="57" ht="15" customHeight="1">
      <c r="A57" t="inlineStr">
        <is>
          <t>A 23020-2023</t>
        </is>
      </c>
      <c r="B57" s="1" t="n">
        <v>45073</v>
      </c>
      <c r="C57" s="1" t="n">
        <v>45508</v>
      </c>
      <c r="D57" t="inlineStr">
        <is>
          <t>NORRBOTTENS LÄN</t>
        </is>
      </c>
      <c r="E57" t="inlineStr">
        <is>
          <t>JOKKMOKK</t>
        </is>
      </c>
      <c r="F57" t="inlineStr">
        <is>
          <t>SCA</t>
        </is>
      </c>
      <c r="G57" t="n">
        <v>3.7</v>
      </c>
      <c r="H57" t="n">
        <v>0</v>
      </c>
      <c r="I57" t="n">
        <v>1</v>
      </c>
      <c r="J57" t="n">
        <v>2</v>
      </c>
      <c r="K57" t="n">
        <v>0</v>
      </c>
      <c r="L57" t="n">
        <v>0</v>
      </c>
      <c r="M57" t="n">
        <v>0</v>
      </c>
      <c r="N57" t="n">
        <v>0</v>
      </c>
      <c r="O57" t="n">
        <v>2</v>
      </c>
      <c r="P57" t="n">
        <v>0</v>
      </c>
      <c r="Q57" t="n">
        <v>3</v>
      </c>
      <c r="R57" s="2" t="inlineStr">
        <is>
          <t>Gammelgransskål
Garnlav
Bollvitmossa</t>
        </is>
      </c>
      <c r="S57">
        <f>HYPERLINK("https://klasma.github.io/Logging_2510/artfynd/A 23020-2023 artfynd.xlsx", "A 23020-2023")</f>
        <v/>
      </c>
      <c r="T57">
        <f>HYPERLINK("https://klasma.github.io/Logging_2510/kartor/A 23020-2023 karta.png", "A 23020-2023")</f>
        <v/>
      </c>
      <c r="V57">
        <f>HYPERLINK("https://klasma.github.io/Logging_2510/klagomål/A 23020-2023 FSC-klagomål.docx", "A 23020-2023")</f>
        <v/>
      </c>
      <c r="W57">
        <f>HYPERLINK("https://klasma.github.io/Logging_2510/klagomålsmail/A 23020-2023 FSC-klagomål mail.docx", "A 23020-2023")</f>
        <v/>
      </c>
      <c r="X57">
        <f>HYPERLINK("https://klasma.github.io/Logging_2510/tillsyn/A 23020-2023 tillsynsbegäran.docx", "A 23020-2023")</f>
        <v/>
      </c>
      <c r="Y57">
        <f>HYPERLINK("https://klasma.github.io/Logging_2510/tillsynsmail/A 23020-2023 tillsynsbegäran mail.docx", "A 23020-2023")</f>
        <v/>
      </c>
    </row>
    <row r="58" ht="15" customHeight="1">
      <c r="A58" t="inlineStr">
        <is>
          <t>A 23017-2023</t>
        </is>
      </c>
      <c r="B58" s="1" t="n">
        <v>45073</v>
      </c>
      <c r="C58" s="1" t="n">
        <v>45508</v>
      </c>
      <c r="D58" t="inlineStr">
        <is>
          <t>NORRBOTTENS LÄN</t>
        </is>
      </c>
      <c r="E58" t="inlineStr">
        <is>
          <t>JOKKMOKK</t>
        </is>
      </c>
      <c r="F58" t="inlineStr">
        <is>
          <t>SCA</t>
        </is>
      </c>
      <c r="G58" t="n">
        <v>6</v>
      </c>
      <c r="H58" t="n">
        <v>2</v>
      </c>
      <c r="I58" t="n">
        <v>2</v>
      </c>
      <c r="J58" t="n">
        <v>0</v>
      </c>
      <c r="K58" t="n">
        <v>1</v>
      </c>
      <c r="L58" t="n">
        <v>0</v>
      </c>
      <c r="M58" t="n">
        <v>0</v>
      </c>
      <c r="N58" t="n">
        <v>0</v>
      </c>
      <c r="O58" t="n">
        <v>1</v>
      </c>
      <c r="P58" t="n">
        <v>1</v>
      </c>
      <c r="Q58" t="n">
        <v>3</v>
      </c>
      <c r="R58" s="2" t="inlineStr">
        <is>
          <t>Norna
Spindelblomster
Tibast</t>
        </is>
      </c>
      <c r="S58">
        <f>HYPERLINK("https://klasma.github.io/Logging_2510/artfynd/A 23017-2023 artfynd.xlsx", "A 23017-2023")</f>
        <v/>
      </c>
      <c r="T58">
        <f>HYPERLINK("https://klasma.github.io/Logging_2510/kartor/A 23017-2023 karta.png", "A 23017-2023")</f>
        <v/>
      </c>
      <c r="V58">
        <f>HYPERLINK("https://klasma.github.io/Logging_2510/klagomål/A 23017-2023 FSC-klagomål.docx", "A 23017-2023")</f>
        <v/>
      </c>
      <c r="W58">
        <f>HYPERLINK("https://klasma.github.io/Logging_2510/klagomålsmail/A 23017-2023 FSC-klagomål mail.docx", "A 23017-2023")</f>
        <v/>
      </c>
      <c r="X58">
        <f>HYPERLINK("https://klasma.github.io/Logging_2510/tillsyn/A 23017-2023 tillsynsbegäran.docx", "A 23017-2023")</f>
        <v/>
      </c>
      <c r="Y58">
        <f>HYPERLINK("https://klasma.github.io/Logging_2510/tillsynsmail/A 23017-2023 tillsynsbegäran mail.docx", "A 23017-2023")</f>
        <v/>
      </c>
    </row>
    <row r="59" ht="15" customHeight="1">
      <c r="A59" t="inlineStr">
        <is>
          <t>A 24055-2023</t>
        </is>
      </c>
      <c r="B59" s="1" t="n">
        <v>45078</v>
      </c>
      <c r="C59" s="1" t="n">
        <v>45508</v>
      </c>
      <c r="D59" t="inlineStr">
        <is>
          <t>NORRBOTTENS LÄN</t>
        </is>
      </c>
      <c r="E59" t="inlineStr">
        <is>
          <t>JOKKMOKK</t>
        </is>
      </c>
      <c r="F59" t="inlineStr">
        <is>
          <t>SCA</t>
        </is>
      </c>
      <c r="G59" t="n">
        <v>9.9</v>
      </c>
      <c r="H59" t="n">
        <v>0</v>
      </c>
      <c r="I59" t="n">
        <v>0</v>
      </c>
      <c r="J59" t="n">
        <v>2</v>
      </c>
      <c r="K59" t="n">
        <v>1</v>
      </c>
      <c r="L59" t="n">
        <v>0</v>
      </c>
      <c r="M59" t="n">
        <v>0</v>
      </c>
      <c r="N59" t="n">
        <v>0</v>
      </c>
      <c r="O59" t="n">
        <v>3</v>
      </c>
      <c r="P59" t="n">
        <v>1</v>
      </c>
      <c r="Q59" t="n">
        <v>3</v>
      </c>
      <c r="R59" s="2" t="inlineStr">
        <is>
          <t>Goliatmusseron
Blå taggsvamp
Orange taggsvamp</t>
        </is>
      </c>
      <c r="S59">
        <f>HYPERLINK("https://klasma.github.io/Logging_2510/artfynd/A 24055-2023 artfynd.xlsx", "A 24055-2023")</f>
        <v/>
      </c>
      <c r="T59">
        <f>HYPERLINK("https://klasma.github.io/Logging_2510/kartor/A 24055-2023 karta.png", "A 24055-2023")</f>
        <v/>
      </c>
      <c r="V59">
        <f>HYPERLINK("https://klasma.github.io/Logging_2510/klagomål/A 24055-2023 FSC-klagomål.docx", "A 24055-2023")</f>
        <v/>
      </c>
      <c r="W59">
        <f>HYPERLINK("https://klasma.github.io/Logging_2510/klagomålsmail/A 24055-2023 FSC-klagomål mail.docx", "A 24055-2023")</f>
        <v/>
      </c>
      <c r="X59">
        <f>HYPERLINK("https://klasma.github.io/Logging_2510/tillsyn/A 24055-2023 tillsynsbegäran.docx", "A 24055-2023")</f>
        <v/>
      </c>
      <c r="Y59">
        <f>HYPERLINK("https://klasma.github.io/Logging_2510/tillsynsmail/A 24055-2023 tillsynsbegäran mail.docx", "A 24055-2023")</f>
        <v/>
      </c>
    </row>
    <row r="60" ht="15" customHeight="1">
      <c r="A60" t="inlineStr">
        <is>
          <t>A 32913-2023</t>
        </is>
      </c>
      <c r="B60" s="1" t="n">
        <v>45124</v>
      </c>
      <c r="C60" s="1" t="n">
        <v>45508</v>
      </c>
      <c r="D60" t="inlineStr">
        <is>
          <t>NORRBOTTENS LÄN</t>
        </is>
      </c>
      <c r="E60" t="inlineStr">
        <is>
          <t>JOKKMOKK</t>
        </is>
      </c>
      <c r="F60" t="inlineStr">
        <is>
          <t>SCA</t>
        </is>
      </c>
      <c r="G60" t="n">
        <v>3.2</v>
      </c>
      <c r="H60" t="n">
        <v>0</v>
      </c>
      <c r="I60" t="n">
        <v>1</v>
      </c>
      <c r="J60" t="n">
        <v>2</v>
      </c>
      <c r="K60" t="n">
        <v>0</v>
      </c>
      <c r="L60" t="n">
        <v>0</v>
      </c>
      <c r="M60" t="n">
        <v>0</v>
      </c>
      <c r="N60" t="n">
        <v>0</v>
      </c>
      <c r="O60" t="n">
        <v>2</v>
      </c>
      <c r="P60" t="n">
        <v>0</v>
      </c>
      <c r="Q60" t="n">
        <v>3</v>
      </c>
      <c r="R60" s="2" t="inlineStr">
        <is>
          <t>Blå taggsvamp
Orange taggsvamp
Dropptaggsvamp</t>
        </is>
      </c>
      <c r="S60">
        <f>HYPERLINK("https://klasma.github.io/Logging_2510/artfynd/A 32913-2023 artfynd.xlsx", "A 32913-2023")</f>
        <v/>
      </c>
      <c r="T60">
        <f>HYPERLINK("https://klasma.github.io/Logging_2510/kartor/A 32913-2023 karta.png", "A 32913-2023")</f>
        <v/>
      </c>
      <c r="V60">
        <f>HYPERLINK("https://klasma.github.io/Logging_2510/klagomål/A 32913-2023 FSC-klagomål.docx", "A 32913-2023")</f>
        <v/>
      </c>
      <c r="W60">
        <f>HYPERLINK("https://klasma.github.io/Logging_2510/klagomålsmail/A 32913-2023 FSC-klagomål mail.docx", "A 32913-2023")</f>
        <v/>
      </c>
      <c r="X60">
        <f>HYPERLINK("https://klasma.github.io/Logging_2510/tillsyn/A 32913-2023 tillsynsbegäran.docx", "A 32913-2023")</f>
        <v/>
      </c>
      <c r="Y60">
        <f>HYPERLINK("https://klasma.github.io/Logging_2510/tillsynsmail/A 32913-2023 tillsynsbegäran mail.docx", "A 32913-2023")</f>
        <v/>
      </c>
    </row>
    <row r="61" ht="15" customHeight="1">
      <c r="A61" t="inlineStr">
        <is>
          <t>A 33994-2023</t>
        </is>
      </c>
      <c r="B61" s="1" t="n">
        <v>45134</v>
      </c>
      <c r="C61" s="1" t="n">
        <v>45508</v>
      </c>
      <c r="D61" t="inlineStr">
        <is>
          <t>NORRBOTTENS LÄN</t>
        </is>
      </c>
      <c r="E61" t="inlineStr">
        <is>
          <t>JOKKMOKK</t>
        </is>
      </c>
      <c r="G61" t="n">
        <v>9.1</v>
      </c>
      <c r="H61" t="n">
        <v>1</v>
      </c>
      <c r="I61" t="n">
        <v>1</v>
      </c>
      <c r="J61" t="n">
        <v>1</v>
      </c>
      <c r="K61" t="n">
        <v>1</v>
      </c>
      <c r="L61" t="n">
        <v>0</v>
      </c>
      <c r="M61" t="n">
        <v>0</v>
      </c>
      <c r="N61" t="n">
        <v>0</v>
      </c>
      <c r="O61" t="n">
        <v>2</v>
      </c>
      <c r="P61" t="n">
        <v>1</v>
      </c>
      <c r="Q61" t="n">
        <v>3</v>
      </c>
      <c r="R61" s="2" t="inlineStr">
        <is>
          <t>Doftticka
Lunglav
Skinnlav</t>
        </is>
      </c>
      <c r="S61">
        <f>HYPERLINK("https://klasma.github.io/Logging_2510/artfynd/A 33994-2023 artfynd.xlsx", "A 33994-2023")</f>
        <v/>
      </c>
      <c r="T61">
        <f>HYPERLINK("https://klasma.github.io/Logging_2510/kartor/A 33994-2023 karta.png", "A 33994-2023")</f>
        <v/>
      </c>
      <c r="V61">
        <f>HYPERLINK("https://klasma.github.io/Logging_2510/klagomål/A 33994-2023 FSC-klagomål.docx", "A 33994-2023")</f>
        <v/>
      </c>
      <c r="W61">
        <f>HYPERLINK("https://klasma.github.io/Logging_2510/klagomålsmail/A 33994-2023 FSC-klagomål mail.docx", "A 33994-2023")</f>
        <v/>
      </c>
      <c r="X61">
        <f>HYPERLINK("https://klasma.github.io/Logging_2510/tillsyn/A 33994-2023 tillsynsbegäran.docx", "A 33994-2023")</f>
        <v/>
      </c>
      <c r="Y61">
        <f>HYPERLINK("https://klasma.github.io/Logging_2510/tillsynsmail/A 33994-2023 tillsynsbegäran mail.docx", "A 33994-2023")</f>
        <v/>
      </c>
    </row>
    <row r="62" ht="15" customHeight="1">
      <c r="A62" t="inlineStr">
        <is>
          <t>A 50785-2023</t>
        </is>
      </c>
      <c r="B62" s="1" t="n">
        <v>45217</v>
      </c>
      <c r="C62" s="1" t="n">
        <v>45508</v>
      </c>
      <c r="D62" t="inlineStr">
        <is>
          <t>NORRBOTTENS LÄN</t>
        </is>
      </c>
      <c r="E62" t="inlineStr">
        <is>
          <t>JOKKMOKK</t>
        </is>
      </c>
      <c r="F62" t="inlineStr">
        <is>
          <t>Sveaskog</t>
        </is>
      </c>
      <c r="G62" t="n">
        <v>24.9</v>
      </c>
      <c r="H62" t="n">
        <v>1</v>
      </c>
      <c r="I62" t="n">
        <v>0</v>
      </c>
      <c r="J62" t="n">
        <v>3</v>
      </c>
      <c r="K62" t="n">
        <v>0</v>
      </c>
      <c r="L62" t="n">
        <v>0</v>
      </c>
      <c r="M62" t="n">
        <v>0</v>
      </c>
      <c r="N62" t="n">
        <v>0</v>
      </c>
      <c r="O62" t="n">
        <v>3</v>
      </c>
      <c r="P62" t="n">
        <v>0</v>
      </c>
      <c r="Q62" t="n">
        <v>3</v>
      </c>
      <c r="R62" s="2" t="inlineStr">
        <is>
          <t>Gammelgransskål
Kolflarnlav
Tretåig hackspett</t>
        </is>
      </c>
      <c r="S62">
        <f>HYPERLINK("https://klasma.github.io/Logging_2510/artfynd/A 50785-2023 artfynd.xlsx", "A 50785-2023")</f>
        <v/>
      </c>
      <c r="T62">
        <f>HYPERLINK("https://klasma.github.io/Logging_2510/kartor/A 50785-2023 karta.png", "A 50785-2023")</f>
        <v/>
      </c>
      <c r="V62">
        <f>HYPERLINK("https://klasma.github.io/Logging_2510/klagomål/A 50785-2023 FSC-klagomål.docx", "A 50785-2023")</f>
        <v/>
      </c>
      <c r="W62">
        <f>HYPERLINK("https://klasma.github.io/Logging_2510/klagomålsmail/A 50785-2023 FSC-klagomål mail.docx", "A 50785-2023")</f>
        <v/>
      </c>
      <c r="X62">
        <f>HYPERLINK("https://klasma.github.io/Logging_2510/tillsyn/A 50785-2023 tillsynsbegäran.docx", "A 50785-2023")</f>
        <v/>
      </c>
      <c r="Y62">
        <f>HYPERLINK("https://klasma.github.io/Logging_2510/tillsynsmail/A 50785-2023 tillsynsbegäran mail.docx", "A 50785-2023")</f>
        <v/>
      </c>
      <c r="Z62">
        <f>HYPERLINK("https://klasma.github.io/Logging_2510/fåglar/A 50785-2023 prioriterade fågelarter.docx", "A 50785-2023")</f>
        <v/>
      </c>
    </row>
    <row r="63" ht="15" customHeight="1">
      <c r="A63" t="inlineStr">
        <is>
          <t>A 60379-2023</t>
        </is>
      </c>
      <c r="B63" s="1" t="n">
        <v>45259</v>
      </c>
      <c r="C63" s="1" t="n">
        <v>45508</v>
      </c>
      <c r="D63" t="inlineStr">
        <is>
          <t>NORRBOTTENS LÄN</t>
        </is>
      </c>
      <c r="E63" t="inlineStr">
        <is>
          <t>JOKKMOKK</t>
        </is>
      </c>
      <c r="F63" t="inlineStr">
        <is>
          <t>Sveaskog</t>
        </is>
      </c>
      <c r="G63" t="n">
        <v>22.2</v>
      </c>
      <c r="H63" t="n">
        <v>1</v>
      </c>
      <c r="I63" t="n">
        <v>0</v>
      </c>
      <c r="J63" t="n">
        <v>3</v>
      </c>
      <c r="K63" t="n">
        <v>0</v>
      </c>
      <c r="L63" t="n">
        <v>0</v>
      </c>
      <c r="M63" t="n">
        <v>0</v>
      </c>
      <c r="N63" t="n">
        <v>0</v>
      </c>
      <c r="O63" t="n">
        <v>3</v>
      </c>
      <c r="P63" t="n">
        <v>0</v>
      </c>
      <c r="Q63" t="n">
        <v>3</v>
      </c>
      <c r="R63" s="2" t="inlineStr">
        <is>
          <t>Dvärgbägarlav
Nordtagging
Tretåig hackspett</t>
        </is>
      </c>
      <c r="S63">
        <f>HYPERLINK("https://klasma.github.io/Logging_2510/artfynd/A 60379-2023 artfynd.xlsx", "A 60379-2023")</f>
        <v/>
      </c>
      <c r="T63">
        <f>HYPERLINK("https://klasma.github.io/Logging_2510/kartor/A 60379-2023 karta.png", "A 60379-2023")</f>
        <v/>
      </c>
      <c r="V63">
        <f>HYPERLINK("https://klasma.github.io/Logging_2510/klagomål/A 60379-2023 FSC-klagomål.docx", "A 60379-2023")</f>
        <v/>
      </c>
      <c r="W63">
        <f>HYPERLINK("https://klasma.github.io/Logging_2510/klagomålsmail/A 60379-2023 FSC-klagomål mail.docx", "A 60379-2023")</f>
        <v/>
      </c>
      <c r="X63">
        <f>HYPERLINK("https://klasma.github.io/Logging_2510/tillsyn/A 60379-2023 tillsynsbegäran.docx", "A 60379-2023")</f>
        <v/>
      </c>
      <c r="Y63">
        <f>HYPERLINK("https://klasma.github.io/Logging_2510/tillsynsmail/A 60379-2023 tillsynsbegäran mail.docx", "A 60379-2023")</f>
        <v/>
      </c>
      <c r="Z63">
        <f>HYPERLINK("https://klasma.github.io/Logging_2510/fåglar/A 60379-2023 prioriterade fågelarter.docx", "A 60379-2023")</f>
        <v/>
      </c>
    </row>
    <row r="64" ht="15" customHeight="1">
      <c r="A64" t="inlineStr">
        <is>
          <t>A 21356-2024</t>
        </is>
      </c>
      <c r="B64" s="1" t="n">
        <v>45440</v>
      </c>
      <c r="C64" s="1" t="n">
        <v>45508</v>
      </c>
      <c r="D64" t="inlineStr">
        <is>
          <t>NORRBOTTENS LÄN</t>
        </is>
      </c>
      <c r="E64" t="inlineStr">
        <is>
          <t>JOKKMOKK</t>
        </is>
      </c>
      <c r="F64" t="inlineStr">
        <is>
          <t>SCA</t>
        </is>
      </c>
      <c r="G64" t="n">
        <v>1.4</v>
      </c>
      <c r="H64" t="n">
        <v>1</v>
      </c>
      <c r="I64" t="n">
        <v>0</v>
      </c>
      <c r="J64" t="n">
        <v>3</v>
      </c>
      <c r="K64" t="n">
        <v>0</v>
      </c>
      <c r="L64" t="n">
        <v>0</v>
      </c>
      <c r="M64" t="n">
        <v>0</v>
      </c>
      <c r="N64" t="n">
        <v>0</v>
      </c>
      <c r="O64" t="n">
        <v>3</v>
      </c>
      <c r="P64" t="n">
        <v>0</v>
      </c>
      <c r="Q64" t="n">
        <v>3</v>
      </c>
      <c r="R64" s="2" t="inlineStr">
        <is>
          <t>Kolflarnlav
Lunglav
Tretåig hackspett</t>
        </is>
      </c>
      <c r="S64">
        <f>HYPERLINK("https://klasma.github.io/Logging_2510/artfynd/A 21356-2024 artfynd.xlsx", "A 21356-2024")</f>
        <v/>
      </c>
      <c r="T64">
        <f>HYPERLINK("https://klasma.github.io/Logging_2510/kartor/A 21356-2024 karta.png", "A 21356-2024")</f>
        <v/>
      </c>
      <c r="V64">
        <f>HYPERLINK("https://klasma.github.io/Logging_2510/klagomål/A 21356-2024 FSC-klagomål.docx", "A 21356-2024")</f>
        <v/>
      </c>
      <c r="W64">
        <f>HYPERLINK("https://klasma.github.io/Logging_2510/klagomålsmail/A 21356-2024 FSC-klagomål mail.docx", "A 21356-2024")</f>
        <v/>
      </c>
      <c r="X64">
        <f>HYPERLINK("https://klasma.github.io/Logging_2510/tillsyn/A 21356-2024 tillsynsbegäran.docx", "A 21356-2024")</f>
        <v/>
      </c>
      <c r="Y64">
        <f>HYPERLINK("https://klasma.github.io/Logging_2510/tillsynsmail/A 21356-2024 tillsynsbegäran mail.docx", "A 21356-2024")</f>
        <v/>
      </c>
      <c r="Z64">
        <f>HYPERLINK("https://klasma.github.io/Logging_2510/fåglar/A 21356-2024 prioriterade fågelarter.docx", "A 21356-2024")</f>
        <v/>
      </c>
    </row>
    <row r="65" ht="15" customHeight="1">
      <c r="A65" t="inlineStr">
        <is>
          <t>A 21355-2024</t>
        </is>
      </c>
      <c r="B65" s="1" t="n">
        <v>45440</v>
      </c>
      <c r="C65" s="1" t="n">
        <v>45508</v>
      </c>
      <c r="D65" t="inlineStr">
        <is>
          <t>NORRBOTTENS LÄN</t>
        </is>
      </c>
      <c r="E65" t="inlineStr">
        <is>
          <t>JOKKMOKK</t>
        </is>
      </c>
      <c r="F65" t="inlineStr">
        <is>
          <t>SCA</t>
        </is>
      </c>
      <c r="G65" t="n">
        <v>1.9</v>
      </c>
      <c r="H65" t="n">
        <v>0</v>
      </c>
      <c r="I65" t="n">
        <v>0</v>
      </c>
      <c r="J65" t="n">
        <v>3</v>
      </c>
      <c r="K65" t="n">
        <v>0</v>
      </c>
      <c r="L65" t="n">
        <v>0</v>
      </c>
      <c r="M65" t="n">
        <v>0</v>
      </c>
      <c r="N65" t="n">
        <v>0</v>
      </c>
      <c r="O65" t="n">
        <v>3</v>
      </c>
      <c r="P65" t="n">
        <v>0</v>
      </c>
      <c r="Q65" t="n">
        <v>3</v>
      </c>
      <c r="R65" s="2" t="inlineStr">
        <is>
          <t>Gammelgransskål
Garnlav
Knottrig blåslav</t>
        </is>
      </c>
      <c r="S65">
        <f>HYPERLINK("https://klasma.github.io/Logging_2510/artfynd/A 21355-2024 artfynd.xlsx", "A 21355-2024")</f>
        <v/>
      </c>
      <c r="T65">
        <f>HYPERLINK("https://klasma.github.io/Logging_2510/kartor/A 21355-2024 karta.png", "A 21355-2024")</f>
        <v/>
      </c>
      <c r="V65">
        <f>HYPERLINK("https://klasma.github.io/Logging_2510/klagomål/A 21355-2024 FSC-klagomål.docx", "A 21355-2024")</f>
        <v/>
      </c>
      <c r="W65">
        <f>HYPERLINK("https://klasma.github.io/Logging_2510/klagomålsmail/A 21355-2024 FSC-klagomål mail.docx", "A 21355-2024")</f>
        <v/>
      </c>
      <c r="X65">
        <f>HYPERLINK("https://klasma.github.io/Logging_2510/tillsyn/A 21355-2024 tillsynsbegäran.docx", "A 21355-2024")</f>
        <v/>
      </c>
      <c r="Y65">
        <f>HYPERLINK("https://klasma.github.io/Logging_2510/tillsynsmail/A 21355-2024 tillsynsbegäran mail.docx", "A 21355-2024")</f>
        <v/>
      </c>
    </row>
    <row r="66" ht="15" customHeight="1">
      <c r="A66" t="inlineStr">
        <is>
          <t>A 24408-2022</t>
        </is>
      </c>
      <c r="B66" s="1" t="n">
        <v>44726</v>
      </c>
      <c r="C66" s="1" t="n">
        <v>45508</v>
      </c>
      <c r="D66" t="inlineStr">
        <is>
          <t>NORRBOTTENS LÄN</t>
        </is>
      </c>
      <c r="E66" t="inlineStr">
        <is>
          <t>JOKKMOKK</t>
        </is>
      </c>
      <c r="F66" t="inlineStr">
        <is>
          <t>Övriga statliga verk och myndigheter</t>
        </is>
      </c>
      <c r="G66" t="n">
        <v>4.8</v>
      </c>
      <c r="H66" t="n">
        <v>0</v>
      </c>
      <c r="I66" t="n">
        <v>0</v>
      </c>
      <c r="J66" t="n">
        <v>2</v>
      </c>
      <c r="K66" t="n">
        <v>0</v>
      </c>
      <c r="L66" t="n">
        <v>0</v>
      </c>
      <c r="M66" t="n">
        <v>0</v>
      </c>
      <c r="N66" t="n">
        <v>0</v>
      </c>
      <c r="O66" t="n">
        <v>2</v>
      </c>
      <c r="P66" t="n">
        <v>0</v>
      </c>
      <c r="Q66" t="n">
        <v>2</v>
      </c>
      <c r="R66" s="2" t="inlineStr">
        <is>
          <t>Gammelgransskål
Knottrig blåslav</t>
        </is>
      </c>
      <c r="S66">
        <f>HYPERLINK("https://klasma.github.io/Logging_2510/artfynd/A 24408-2022 artfynd.xlsx", "A 24408-2022")</f>
        <v/>
      </c>
      <c r="T66">
        <f>HYPERLINK("https://klasma.github.io/Logging_2510/kartor/A 24408-2022 karta.png", "A 24408-2022")</f>
        <v/>
      </c>
      <c r="V66">
        <f>HYPERLINK("https://klasma.github.io/Logging_2510/klagomål/A 24408-2022 FSC-klagomål.docx", "A 24408-2022")</f>
        <v/>
      </c>
      <c r="W66">
        <f>HYPERLINK("https://klasma.github.io/Logging_2510/klagomålsmail/A 24408-2022 FSC-klagomål mail.docx", "A 24408-2022")</f>
        <v/>
      </c>
      <c r="X66">
        <f>HYPERLINK("https://klasma.github.io/Logging_2510/tillsyn/A 24408-2022 tillsynsbegäran.docx", "A 24408-2022")</f>
        <v/>
      </c>
      <c r="Y66">
        <f>HYPERLINK("https://klasma.github.io/Logging_2510/tillsynsmail/A 24408-2022 tillsynsbegäran mail.docx", "A 24408-2022")</f>
        <v/>
      </c>
    </row>
    <row r="67" ht="15" customHeight="1">
      <c r="A67" t="inlineStr">
        <is>
          <t>A 50237-2022</t>
        </is>
      </c>
      <c r="B67" s="1" t="n">
        <v>44865</v>
      </c>
      <c r="C67" s="1" t="n">
        <v>45508</v>
      </c>
      <c r="D67" t="inlineStr">
        <is>
          <t>NORRBOTTENS LÄN</t>
        </is>
      </c>
      <c r="E67" t="inlineStr">
        <is>
          <t>JOKKMOKK</t>
        </is>
      </c>
      <c r="F67" t="inlineStr">
        <is>
          <t>Sveaskog</t>
        </is>
      </c>
      <c r="G67" t="n">
        <v>13.4</v>
      </c>
      <c r="H67" t="n">
        <v>1</v>
      </c>
      <c r="I67" t="n">
        <v>1</v>
      </c>
      <c r="J67" t="n">
        <v>0</v>
      </c>
      <c r="K67" t="n">
        <v>0</v>
      </c>
      <c r="L67" t="n">
        <v>0</v>
      </c>
      <c r="M67" t="n">
        <v>0</v>
      </c>
      <c r="N67" t="n">
        <v>0</v>
      </c>
      <c r="O67" t="n">
        <v>0</v>
      </c>
      <c r="P67" t="n">
        <v>0</v>
      </c>
      <c r="Q67" t="n">
        <v>2</v>
      </c>
      <c r="R67" s="2" t="inlineStr">
        <is>
          <t>Vedticka
Lavskrika</t>
        </is>
      </c>
      <c r="S67">
        <f>HYPERLINK("https://klasma.github.io/Logging_2510/artfynd/A 50237-2022 artfynd.xlsx", "A 50237-2022")</f>
        <v/>
      </c>
      <c r="T67">
        <f>HYPERLINK("https://klasma.github.io/Logging_2510/kartor/A 50237-2022 karta.png", "A 50237-2022")</f>
        <v/>
      </c>
      <c r="V67">
        <f>HYPERLINK("https://klasma.github.io/Logging_2510/klagomål/A 50237-2022 FSC-klagomål.docx", "A 50237-2022")</f>
        <v/>
      </c>
      <c r="W67">
        <f>HYPERLINK("https://klasma.github.io/Logging_2510/klagomålsmail/A 50237-2022 FSC-klagomål mail.docx", "A 50237-2022")</f>
        <v/>
      </c>
      <c r="X67">
        <f>HYPERLINK("https://klasma.github.io/Logging_2510/tillsyn/A 50237-2022 tillsynsbegäran.docx", "A 50237-2022")</f>
        <v/>
      </c>
      <c r="Y67">
        <f>HYPERLINK("https://klasma.github.io/Logging_2510/tillsynsmail/A 50237-2022 tillsynsbegäran mail.docx", "A 50237-2022")</f>
        <v/>
      </c>
      <c r="Z67">
        <f>HYPERLINK("https://klasma.github.io/Logging_2510/fåglar/A 50237-2022 prioriterade fågelarter.docx", "A 50237-2022")</f>
        <v/>
      </c>
    </row>
    <row r="68" ht="15" customHeight="1">
      <c r="A68" t="inlineStr">
        <is>
          <t>A 27018-2023</t>
        </is>
      </c>
      <c r="B68" s="1" t="n">
        <v>45094</v>
      </c>
      <c r="C68" s="1" t="n">
        <v>45508</v>
      </c>
      <c r="D68" t="inlineStr">
        <is>
          <t>NORRBOTTENS LÄN</t>
        </is>
      </c>
      <c r="E68" t="inlineStr">
        <is>
          <t>JOKKMOKK</t>
        </is>
      </c>
      <c r="F68" t="inlineStr">
        <is>
          <t>SCA</t>
        </is>
      </c>
      <c r="G68" t="n">
        <v>4.9</v>
      </c>
      <c r="H68" t="n">
        <v>0</v>
      </c>
      <c r="I68" t="n">
        <v>2</v>
      </c>
      <c r="J68" t="n">
        <v>0</v>
      </c>
      <c r="K68" t="n">
        <v>0</v>
      </c>
      <c r="L68" t="n">
        <v>0</v>
      </c>
      <c r="M68" t="n">
        <v>0</v>
      </c>
      <c r="N68" t="n">
        <v>0</v>
      </c>
      <c r="O68" t="n">
        <v>0</v>
      </c>
      <c r="P68" t="n">
        <v>0</v>
      </c>
      <c r="Q68" t="n">
        <v>2</v>
      </c>
      <c r="R68" s="2" t="inlineStr">
        <is>
          <t>Skinnlav
Vedticka</t>
        </is>
      </c>
      <c r="S68">
        <f>HYPERLINK("https://klasma.github.io/Logging_2510/artfynd/A 27018-2023 artfynd.xlsx", "A 27018-2023")</f>
        <v/>
      </c>
      <c r="T68">
        <f>HYPERLINK("https://klasma.github.io/Logging_2510/kartor/A 27018-2023 karta.png", "A 27018-2023")</f>
        <v/>
      </c>
      <c r="V68">
        <f>HYPERLINK("https://klasma.github.io/Logging_2510/klagomål/A 27018-2023 FSC-klagomål.docx", "A 27018-2023")</f>
        <v/>
      </c>
      <c r="W68">
        <f>HYPERLINK("https://klasma.github.io/Logging_2510/klagomålsmail/A 27018-2023 FSC-klagomål mail.docx", "A 27018-2023")</f>
        <v/>
      </c>
      <c r="X68">
        <f>HYPERLINK("https://klasma.github.io/Logging_2510/tillsyn/A 27018-2023 tillsynsbegäran.docx", "A 27018-2023")</f>
        <v/>
      </c>
      <c r="Y68">
        <f>HYPERLINK("https://klasma.github.io/Logging_2510/tillsynsmail/A 27018-2023 tillsynsbegäran mail.docx", "A 27018-2023")</f>
        <v/>
      </c>
    </row>
    <row r="69" ht="15" customHeight="1">
      <c r="A69" t="inlineStr">
        <is>
          <t>A 32982-2023</t>
        </is>
      </c>
      <c r="B69" s="1" t="n">
        <v>45113</v>
      </c>
      <c r="C69" s="1" t="n">
        <v>45508</v>
      </c>
      <c r="D69" t="inlineStr">
        <is>
          <t>NORRBOTTENS LÄN</t>
        </is>
      </c>
      <c r="E69" t="inlineStr">
        <is>
          <t>JOKKMOKK</t>
        </is>
      </c>
      <c r="F69" t="inlineStr">
        <is>
          <t>Övriga statliga verk och myndigheter</t>
        </is>
      </c>
      <c r="G69" t="n">
        <v>21</v>
      </c>
      <c r="H69" t="n">
        <v>0</v>
      </c>
      <c r="I69" t="n">
        <v>0</v>
      </c>
      <c r="J69" t="n">
        <v>0</v>
      </c>
      <c r="K69" t="n">
        <v>2</v>
      </c>
      <c r="L69" t="n">
        <v>0</v>
      </c>
      <c r="M69" t="n">
        <v>0</v>
      </c>
      <c r="N69" t="n">
        <v>0</v>
      </c>
      <c r="O69" t="n">
        <v>2</v>
      </c>
      <c r="P69" t="n">
        <v>2</v>
      </c>
      <c r="Q69" t="n">
        <v>2</v>
      </c>
      <c r="R69" s="2" t="inlineStr">
        <is>
          <t>Smalfotad taggsvamp
Tajgataggsvamp</t>
        </is>
      </c>
      <c r="S69">
        <f>HYPERLINK("https://klasma.github.io/Logging_2510/artfynd/A 32982-2023 artfynd.xlsx", "A 32982-2023")</f>
        <v/>
      </c>
      <c r="T69">
        <f>HYPERLINK("https://klasma.github.io/Logging_2510/kartor/A 32982-2023 karta.png", "A 32982-2023")</f>
        <v/>
      </c>
      <c r="V69">
        <f>HYPERLINK("https://klasma.github.io/Logging_2510/klagomål/A 32982-2023 FSC-klagomål.docx", "A 32982-2023")</f>
        <v/>
      </c>
      <c r="W69">
        <f>HYPERLINK("https://klasma.github.io/Logging_2510/klagomålsmail/A 32982-2023 FSC-klagomål mail.docx", "A 32982-2023")</f>
        <v/>
      </c>
      <c r="X69">
        <f>HYPERLINK("https://klasma.github.io/Logging_2510/tillsyn/A 32982-2023 tillsynsbegäran.docx", "A 32982-2023")</f>
        <v/>
      </c>
      <c r="Y69">
        <f>HYPERLINK("https://klasma.github.io/Logging_2510/tillsynsmail/A 32982-2023 tillsynsbegäran mail.docx", "A 32982-2023")</f>
        <v/>
      </c>
    </row>
    <row r="70" ht="15" customHeight="1">
      <c r="A70" t="inlineStr">
        <is>
          <t>A 1890-2024</t>
        </is>
      </c>
      <c r="B70" s="1" t="n">
        <v>45308</v>
      </c>
      <c r="C70" s="1" t="n">
        <v>45508</v>
      </c>
      <c r="D70" t="inlineStr">
        <is>
          <t>NORRBOTTENS LÄN</t>
        </is>
      </c>
      <c r="E70" t="inlineStr">
        <is>
          <t>JOKKMOKK</t>
        </is>
      </c>
      <c r="F70" t="inlineStr">
        <is>
          <t>Sveaskog</t>
        </is>
      </c>
      <c r="G70" t="n">
        <v>2.9</v>
      </c>
      <c r="H70" t="n">
        <v>0</v>
      </c>
      <c r="I70" t="n">
        <v>0</v>
      </c>
      <c r="J70" t="n">
        <v>2</v>
      </c>
      <c r="K70" t="n">
        <v>0</v>
      </c>
      <c r="L70" t="n">
        <v>0</v>
      </c>
      <c r="M70" t="n">
        <v>0</v>
      </c>
      <c r="N70" t="n">
        <v>0</v>
      </c>
      <c r="O70" t="n">
        <v>2</v>
      </c>
      <c r="P70" t="n">
        <v>0</v>
      </c>
      <c r="Q70" t="n">
        <v>2</v>
      </c>
      <c r="R70" s="2" t="inlineStr">
        <is>
          <t>Kolflarnlav
Tallticka</t>
        </is>
      </c>
      <c r="S70">
        <f>HYPERLINK("https://klasma.github.io/Logging_2510/artfynd/A 1890-2024 artfynd.xlsx", "A 1890-2024")</f>
        <v/>
      </c>
      <c r="T70">
        <f>HYPERLINK("https://klasma.github.io/Logging_2510/kartor/A 1890-2024 karta.png", "A 1890-2024")</f>
        <v/>
      </c>
      <c r="V70">
        <f>HYPERLINK("https://klasma.github.io/Logging_2510/klagomål/A 1890-2024 FSC-klagomål.docx", "A 1890-2024")</f>
        <v/>
      </c>
      <c r="W70">
        <f>HYPERLINK("https://klasma.github.io/Logging_2510/klagomålsmail/A 1890-2024 FSC-klagomål mail.docx", "A 1890-2024")</f>
        <v/>
      </c>
      <c r="X70">
        <f>HYPERLINK("https://klasma.github.io/Logging_2510/tillsyn/A 1890-2024 tillsynsbegäran.docx", "A 1890-2024")</f>
        <v/>
      </c>
      <c r="Y70">
        <f>HYPERLINK("https://klasma.github.io/Logging_2510/tillsynsmail/A 1890-2024 tillsynsbegäran mail.docx", "A 1890-2024")</f>
        <v/>
      </c>
    </row>
    <row r="71" ht="15" customHeight="1">
      <c r="A71" t="inlineStr">
        <is>
          <t>A 33473-2019</t>
        </is>
      </c>
      <c r="B71" s="1" t="n">
        <v>43650</v>
      </c>
      <c r="C71" s="1" t="n">
        <v>45508</v>
      </c>
      <c r="D71" t="inlineStr">
        <is>
          <t>NORRBOTTENS LÄN</t>
        </is>
      </c>
      <c r="E71" t="inlineStr">
        <is>
          <t>JOKKMOKK</t>
        </is>
      </c>
      <c r="F71" t="inlineStr">
        <is>
          <t>SCA</t>
        </is>
      </c>
      <c r="G71" t="n">
        <v>3.7</v>
      </c>
      <c r="H71" t="n">
        <v>0</v>
      </c>
      <c r="I71" t="n">
        <v>1</v>
      </c>
      <c r="J71" t="n">
        <v>0</v>
      </c>
      <c r="K71" t="n">
        <v>0</v>
      </c>
      <c r="L71" t="n">
        <v>0</v>
      </c>
      <c r="M71" t="n">
        <v>0</v>
      </c>
      <c r="N71" t="n">
        <v>0</v>
      </c>
      <c r="O71" t="n">
        <v>0</v>
      </c>
      <c r="P71" t="n">
        <v>0</v>
      </c>
      <c r="Q71" t="n">
        <v>1</v>
      </c>
      <c r="R71" s="2" t="inlineStr">
        <is>
          <t>Dropptaggsvamp</t>
        </is>
      </c>
      <c r="S71">
        <f>HYPERLINK("https://klasma.github.io/Logging_2510/artfynd/A 33473-2019 artfynd.xlsx", "A 33473-2019")</f>
        <v/>
      </c>
      <c r="T71">
        <f>HYPERLINK("https://klasma.github.io/Logging_2510/kartor/A 33473-2019 karta.png", "A 33473-2019")</f>
        <v/>
      </c>
      <c r="V71">
        <f>HYPERLINK("https://klasma.github.io/Logging_2510/klagomål/A 33473-2019 FSC-klagomål.docx", "A 33473-2019")</f>
        <v/>
      </c>
      <c r="W71">
        <f>HYPERLINK("https://klasma.github.io/Logging_2510/klagomålsmail/A 33473-2019 FSC-klagomål mail.docx", "A 33473-2019")</f>
        <v/>
      </c>
      <c r="X71">
        <f>HYPERLINK("https://klasma.github.io/Logging_2510/tillsyn/A 33473-2019 tillsynsbegäran.docx", "A 33473-2019")</f>
        <v/>
      </c>
      <c r="Y71">
        <f>HYPERLINK("https://klasma.github.io/Logging_2510/tillsynsmail/A 33473-2019 tillsynsbegäran mail.docx", "A 33473-2019")</f>
        <v/>
      </c>
    </row>
    <row r="72" ht="15" customHeight="1">
      <c r="A72" t="inlineStr">
        <is>
          <t>A 33820-2019</t>
        </is>
      </c>
      <c r="B72" s="1" t="n">
        <v>43651</v>
      </c>
      <c r="C72" s="1" t="n">
        <v>45508</v>
      </c>
      <c r="D72" t="inlineStr">
        <is>
          <t>NORRBOTTENS LÄN</t>
        </is>
      </c>
      <c r="E72" t="inlineStr">
        <is>
          <t>JOKKMOKK</t>
        </is>
      </c>
      <c r="F72" t="inlineStr">
        <is>
          <t>SCA</t>
        </is>
      </c>
      <c r="G72" t="n">
        <v>3.7</v>
      </c>
      <c r="H72" t="n">
        <v>0</v>
      </c>
      <c r="I72" t="n">
        <v>1</v>
      </c>
      <c r="J72" t="n">
        <v>0</v>
      </c>
      <c r="K72" t="n">
        <v>0</v>
      </c>
      <c r="L72" t="n">
        <v>0</v>
      </c>
      <c r="M72" t="n">
        <v>0</v>
      </c>
      <c r="N72" t="n">
        <v>0</v>
      </c>
      <c r="O72" t="n">
        <v>0</v>
      </c>
      <c r="P72" t="n">
        <v>0</v>
      </c>
      <c r="Q72" t="n">
        <v>1</v>
      </c>
      <c r="R72" s="2" t="inlineStr">
        <is>
          <t>Dropptaggsvamp</t>
        </is>
      </c>
      <c r="S72">
        <f>HYPERLINK("https://klasma.github.io/Logging_2510/artfynd/A 33820-2019 artfynd.xlsx", "A 33820-2019")</f>
        <v/>
      </c>
      <c r="T72">
        <f>HYPERLINK("https://klasma.github.io/Logging_2510/kartor/A 33820-2019 karta.png", "A 33820-2019")</f>
        <v/>
      </c>
      <c r="V72">
        <f>HYPERLINK("https://klasma.github.io/Logging_2510/klagomål/A 33820-2019 FSC-klagomål.docx", "A 33820-2019")</f>
        <v/>
      </c>
      <c r="W72">
        <f>HYPERLINK("https://klasma.github.io/Logging_2510/klagomålsmail/A 33820-2019 FSC-klagomål mail.docx", "A 33820-2019")</f>
        <v/>
      </c>
      <c r="X72">
        <f>HYPERLINK("https://klasma.github.io/Logging_2510/tillsyn/A 33820-2019 tillsynsbegäran.docx", "A 33820-2019")</f>
        <v/>
      </c>
      <c r="Y72">
        <f>HYPERLINK("https://klasma.github.io/Logging_2510/tillsynsmail/A 33820-2019 tillsynsbegäran mail.docx", "A 33820-2019")</f>
        <v/>
      </c>
    </row>
    <row r="73" ht="15" customHeight="1">
      <c r="A73" t="inlineStr">
        <is>
          <t>A 51875-2020</t>
        </is>
      </c>
      <c r="B73" s="1" t="n">
        <v>44109</v>
      </c>
      <c r="C73" s="1" t="n">
        <v>45508</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36594-2021</t>
        </is>
      </c>
      <c r="B74" s="1" t="n">
        <v>44391</v>
      </c>
      <c r="C74" s="1" t="n">
        <v>45508</v>
      </c>
      <c r="D74" t="inlineStr">
        <is>
          <t>NORRBOTTENS LÄN</t>
        </is>
      </c>
      <c r="E74" t="inlineStr">
        <is>
          <t>JOKKMOKK</t>
        </is>
      </c>
      <c r="F74" t="inlineStr">
        <is>
          <t>Sveaskog</t>
        </is>
      </c>
      <c r="G74" t="n">
        <v>5.8</v>
      </c>
      <c r="H74" t="n">
        <v>1</v>
      </c>
      <c r="I74" t="n">
        <v>0</v>
      </c>
      <c r="J74" t="n">
        <v>0</v>
      </c>
      <c r="K74" t="n">
        <v>1</v>
      </c>
      <c r="L74" t="n">
        <v>0</v>
      </c>
      <c r="M74" t="n">
        <v>0</v>
      </c>
      <c r="N74" t="n">
        <v>0</v>
      </c>
      <c r="O74" t="n">
        <v>1</v>
      </c>
      <c r="P74" t="n">
        <v>1</v>
      </c>
      <c r="Q74" t="n">
        <v>1</v>
      </c>
      <c r="R74" s="2" t="inlineStr">
        <is>
          <t>Doftticka</t>
        </is>
      </c>
      <c r="S74">
        <f>HYPERLINK("https://klasma.github.io/Logging_2510/artfynd/A 36594-2021 artfynd.xlsx", "A 36594-2021")</f>
        <v/>
      </c>
      <c r="T74">
        <f>HYPERLINK("https://klasma.github.io/Logging_2510/kartor/A 36594-2021 karta.png", "A 36594-2021")</f>
        <v/>
      </c>
      <c r="V74">
        <f>HYPERLINK("https://klasma.github.io/Logging_2510/klagomål/A 36594-2021 FSC-klagomål.docx", "A 36594-2021")</f>
        <v/>
      </c>
      <c r="W74">
        <f>HYPERLINK("https://klasma.github.io/Logging_2510/klagomålsmail/A 36594-2021 FSC-klagomål mail.docx", "A 36594-2021")</f>
        <v/>
      </c>
      <c r="X74">
        <f>HYPERLINK("https://klasma.github.io/Logging_2510/tillsyn/A 36594-2021 tillsynsbegäran.docx", "A 36594-2021")</f>
        <v/>
      </c>
      <c r="Y74">
        <f>HYPERLINK("https://klasma.github.io/Logging_2510/tillsynsmail/A 36594-2021 tillsynsbegäran mail.docx", "A 36594-2021")</f>
        <v/>
      </c>
    </row>
    <row r="75" ht="15" customHeight="1">
      <c r="A75" t="inlineStr">
        <is>
          <t>A 72480-2021</t>
        </is>
      </c>
      <c r="B75" s="1" t="n">
        <v>44545</v>
      </c>
      <c r="C75" s="1" t="n">
        <v>45508</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47505-2022</t>
        </is>
      </c>
      <c r="B76" s="1" t="n">
        <v>44853</v>
      </c>
      <c r="C76" s="1" t="n">
        <v>45508</v>
      </c>
      <c r="D76" t="inlineStr">
        <is>
          <t>NORRBOTTENS LÄN</t>
        </is>
      </c>
      <c r="E76" t="inlineStr">
        <is>
          <t>JOKKMOKK</t>
        </is>
      </c>
      <c r="F76" t="inlineStr">
        <is>
          <t>Sveaskog</t>
        </is>
      </c>
      <c r="G76" t="n">
        <v>2.7</v>
      </c>
      <c r="H76" t="n">
        <v>1</v>
      </c>
      <c r="I76" t="n">
        <v>0</v>
      </c>
      <c r="J76" t="n">
        <v>0</v>
      </c>
      <c r="K76" t="n">
        <v>0</v>
      </c>
      <c r="L76" t="n">
        <v>0</v>
      </c>
      <c r="M76" t="n">
        <v>0</v>
      </c>
      <c r="N76" t="n">
        <v>0</v>
      </c>
      <c r="O76" t="n">
        <v>0</v>
      </c>
      <c r="P76" t="n">
        <v>0</v>
      </c>
      <c r="Q76" t="n">
        <v>1</v>
      </c>
      <c r="R76" s="2" t="inlineStr">
        <is>
          <t>Lavskrika</t>
        </is>
      </c>
      <c r="S76">
        <f>HYPERLINK("https://klasma.github.io/Logging_2510/artfynd/A 47505-2022 artfynd.xlsx", "A 47505-2022")</f>
        <v/>
      </c>
      <c r="T76">
        <f>HYPERLINK("https://klasma.github.io/Logging_2510/kartor/A 47505-2022 karta.png", "A 47505-2022")</f>
        <v/>
      </c>
      <c r="V76">
        <f>HYPERLINK("https://klasma.github.io/Logging_2510/klagomål/A 47505-2022 FSC-klagomål.docx", "A 47505-2022")</f>
        <v/>
      </c>
      <c r="W76">
        <f>HYPERLINK("https://klasma.github.io/Logging_2510/klagomålsmail/A 47505-2022 FSC-klagomål mail.docx", "A 47505-2022")</f>
        <v/>
      </c>
      <c r="X76">
        <f>HYPERLINK("https://klasma.github.io/Logging_2510/tillsyn/A 47505-2022 tillsynsbegäran.docx", "A 47505-2022")</f>
        <v/>
      </c>
      <c r="Y76">
        <f>HYPERLINK("https://klasma.github.io/Logging_2510/tillsynsmail/A 47505-2022 tillsynsbegäran mail.docx", "A 47505-2022")</f>
        <v/>
      </c>
      <c r="Z76">
        <f>HYPERLINK("https://klasma.github.io/Logging_2510/fåglar/A 47505-2022 prioriterade fågelarter.docx", "A 47505-2022")</f>
        <v/>
      </c>
    </row>
    <row r="77" ht="15" customHeight="1">
      <c r="A77" t="inlineStr">
        <is>
          <t>A 5824-2023</t>
        </is>
      </c>
      <c r="B77" s="1" t="n">
        <v>44958</v>
      </c>
      <c r="C77" s="1" t="n">
        <v>45508</v>
      </c>
      <c r="D77" t="inlineStr">
        <is>
          <t>NORRBOTTENS LÄN</t>
        </is>
      </c>
      <c r="E77" t="inlineStr">
        <is>
          <t>JOKKMOKK</t>
        </is>
      </c>
      <c r="G77" t="n">
        <v>6.7</v>
      </c>
      <c r="H77" t="n">
        <v>0</v>
      </c>
      <c r="I77" t="n">
        <v>0</v>
      </c>
      <c r="J77" t="n">
        <v>1</v>
      </c>
      <c r="K77" t="n">
        <v>0</v>
      </c>
      <c r="L77" t="n">
        <v>0</v>
      </c>
      <c r="M77" t="n">
        <v>0</v>
      </c>
      <c r="N77" t="n">
        <v>0</v>
      </c>
      <c r="O77" t="n">
        <v>1</v>
      </c>
      <c r="P77" t="n">
        <v>0</v>
      </c>
      <c r="Q77" t="n">
        <v>1</v>
      </c>
      <c r="R77" s="2" t="inlineStr">
        <is>
          <t>Granticka</t>
        </is>
      </c>
      <c r="S77">
        <f>HYPERLINK("https://klasma.github.io/Logging_2510/artfynd/A 5824-2023 artfynd.xlsx", "A 5824-2023")</f>
        <v/>
      </c>
      <c r="T77">
        <f>HYPERLINK("https://klasma.github.io/Logging_2510/kartor/A 5824-2023 karta.png", "A 5824-2023")</f>
        <v/>
      </c>
      <c r="V77">
        <f>HYPERLINK("https://klasma.github.io/Logging_2510/klagomål/A 5824-2023 FSC-klagomål.docx", "A 5824-2023")</f>
        <v/>
      </c>
      <c r="W77">
        <f>HYPERLINK("https://klasma.github.io/Logging_2510/klagomålsmail/A 5824-2023 FSC-klagomål mail.docx", "A 5824-2023")</f>
        <v/>
      </c>
      <c r="X77">
        <f>HYPERLINK("https://klasma.github.io/Logging_2510/tillsyn/A 5824-2023 tillsynsbegäran.docx", "A 5824-2023")</f>
        <v/>
      </c>
      <c r="Y77">
        <f>HYPERLINK("https://klasma.github.io/Logging_2510/tillsynsmail/A 5824-2023 tillsynsbegäran mail.docx", "A 5824-2023")</f>
        <v/>
      </c>
    </row>
    <row r="78" ht="15" customHeight="1">
      <c r="A78" t="inlineStr">
        <is>
          <t>A 23026-2023</t>
        </is>
      </c>
      <c r="B78" s="1" t="n">
        <v>45073</v>
      </c>
      <c r="C78" s="1" t="n">
        <v>45508</v>
      </c>
      <c r="D78" t="inlineStr">
        <is>
          <t>NORRBOTTENS LÄN</t>
        </is>
      </c>
      <c r="E78" t="inlineStr">
        <is>
          <t>JOKKMOKK</t>
        </is>
      </c>
      <c r="F78" t="inlineStr">
        <is>
          <t>SCA</t>
        </is>
      </c>
      <c r="G78" t="n">
        <v>3.1</v>
      </c>
      <c r="H78" t="n">
        <v>0</v>
      </c>
      <c r="I78" t="n">
        <v>1</v>
      </c>
      <c r="J78" t="n">
        <v>0</v>
      </c>
      <c r="K78" t="n">
        <v>0</v>
      </c>
      <c r="L78" t="n">
        <v>0</v>
      </c>
      <c r="M78" t="n">
        <v>0</v>
      </c>
      <c r="N78" t="n">
        <v>0</v>
      </c>
      <c r="O78" t="n">
        <v>0</v>
      </c>
      <c r="P78" t="n">
        <v>0</v>
      </c>
      <c r="Q78" t="n">
        <v>1</v>
      </c>
      <c r="R78" s="2" t="inlineStr">
        <is>
          <t>Bollvitmossa</t>
        </is>
      </c>
      <c r="S78">
        <f>HYPERLINK("https://klasma.github.io/Logging_2510/artfynd/A 23026-2023 artfynd.xlsx", "A 23026-2023")</f>
        <v/>
      </c>
      <c r="T78">
        <f>HYPERLINK("https://klasma.github.io/Logging_2510/kartor/A 23026-2023 karta.png", "A 23026-2023")</f>
        <v/>
      </c>
      <c r="V78">
        <f>HYPERLINK("https://klasma.github.io/Logging_2510/klagomål/A 23026-2023 FSC-klagomål.docx", "A 23026-2023")</f>
        <v/>
      </c>
      <c r="W78">
        <f>HYPERLINK("https://klasma.github.io/Logging_2510/klagomålsmail/A 23026-2023 FSC-klagomål mail.docx", "A 23026-2023")</f>
        <v/>
      </c>
      <c r="X78">
        <f>HYPERLINK("https://klasma.github.io/Logging_2510/tillsyn/A 23026-2023 tillsynsbegäran.docx", "A 23026-2023")</f>
        <v/>
      </c>
      <c r="Y78">
        <f>HYPERLINK("https://klasma.github.io/Logging_2510/tillsynsmail/A 23026-2023 tillsynsbegäran mail.docx", "A 23026-2023")</f>
        <v/>
      </c>
    </row>
    <row r="79" ht="15" customHeight="1">
      <c r="A79" t="inlineStr">
        <is>
          <t>A 28089-2023</t>
        </is>
      </c>
      <c r="B79" s="1" t="n">
        <v>45099</v>
      </c>
      <c r="C79" s="1" t="n">
        <v>45508</v>
      </c>
      <c r="D79" t="inlineStr">
        <is>
          <t>NORRBOTTENS LÄN</t>
        </is>
      </c>
      <c r="E79" t="inlineStr">
        <is>
          <t>JOKKMOKK</t>
        </is>
      </c>
      <c r="F79" t="inlineStr">
        <is>
          <t>Sveaskog</t>
        </is>
      </c>
      <c r="G79" t="n">
        <v>2.1</v>
      </c>
      <c r="H79" t="n">
        <v>0</v>
      </c>
      <c r="I79" t="n">
        <v>0</v>
      </c>
      <c r="J79" t="n">
        <v>1</v>
      </c>
      <c r="K79" t="n">
        <v>0</v>
      </c>
      <c r="L79" t="n">
        <v>0</v>
      </c>
      <c r="M79" t="n">
        <v>0</v>
      </c>
      <c r="N79" t="n">
        <v>0</v>
      </c>
      <c r="O79" t="n">
        <v>1</v>
      </c>
      <c r="P79" t="n">
        <v>0</v>
      </c>
      <c r="Q79" t="n">
        <v>1</v>
      </c>
      <c r="R79" s="2" t="inlineStr">
        <is>
          <t>Kolflarnlav</t>
        </is>
      </c>
      <c r="S79">
        <f>HYPERLINK("https://klasma.github.io/Logging_2510/artfynd/A 28089-2023 artfynd.xlsx", "A 28089-2023")</f>
        <v/>
      </c>
      <c r="T79">
        <f>HYPERLINK("https://klasma.github.io/Logging_2510/kartor/A 28089-2023 karta.png", "A 28089-2023")</f>
        <v/>
      </c>
      <c r="V79">
        <f>HYPERLINK("https://klasma.github.io/Logging_2510/klagomål/A 28089-2023 FSC-klagomål.docx", "A 28089-2023")</f>
        <v/>
      </c>
      <c r="W79">
        <f>HYPERLINK("https://klasma.github.io/Logging_2510/klagomålsmail/A 28089-2023 FSC-klagomål mail.docx", "A 28089-2023")</f>
        <v/>
      </c>
      <c r="X79">
        <f>HYPERLINK("https://klasma.github.io/Logging_2510/tillsyn/A 28089-2023 tillsynsbegäran.docx", "A 28089-2023")</f>
        <v/>
      </c>
      <c r="Y79">
        <f>HYPERLINK("https://klasma.github.io/Logging_2510/tillsynsmail/A 28089-2023 tillsynsbegäran mail.docx", "A 28089-2023")</f>
        <v/>
      </c>
    </row>
    <row r="80" ht="15" customHeight="1">
      <c r="A80" t="inlineStr">
        <is>
          <t>A 31490-2023</t>
        </is>
      </c>
      <c r="B80" s="1" t="n">
        <v>45114</v>
      </c>
      <c r="C80" s="1" t="n">
        <v>45508</v>
      </c>
      <c r="D80" t="inlineStr">
        <is>
          <t>NORRBOTTENS LÄN</t>
        </is>
      </c>
      <c r="E80" t="inlineStr">
        <is>
          <t>JOKKMOKK</t>
        </is>
      </c>
      <c r="F80" t="inlineStr">
        <is>
          <t>Allmännings- och besparingsskogar</t>
        </is>
      </c>
      <c r="G80" t="n">
        <v>7.7</v>
      </c>
      <c r="H80" t="n">
        <v>0</v>
      </c>
      <c r="I80" t="n">
        <v>1</v>
      </c>
      <c r="J80" t="n">
        <v>0</v>
      </c>
      <c r="K80" t="n">
        <v>0</v>
      </c>
      <c r="L80" t="n">
        <v>0</v>
      </c>
      <c r="M80" t="n">
        <v>0</v>
      </c>
      <c r="N80" t="n">
        <v>0</v>
      </c>
      <c r="O80" t="n">
        <v>0</v>
      </c>
      <c r="P80" t="n">
        <v>0</v>
      </c>
      <c r="Q80" t="n">
        <v>1</v>
      </c>
      <c r="R80" s="2" t="inlineStr">
        <is>
          <t>Norrlandslav</t>
        </is>
      </c>
      <c r="S80">
        <f>HYPERLINK("https://klasma.github.io/Logging_2510/artfynd/A 31490-2023 artfynd.xlsx", "A 31490-2023")</f>
        <v/>
      </c>
      <c r="T80">
        <f>HYPERLINK("https://klasma.github.io/Logging_2510/kartor/A 31490-2023 karta.png", "A 31490-2023")</f>
        <v/>
      </c>
      <c r="V80">
        <f>HYPERLINK("https://klasma.github.io/Logging_2510/klagomål/A 31490-2023 FSC-klagomål.docx", "A 31490-2023")</f>
        <v/>
      </c>
      <c r="W80">
        <f>HYPERLINK("https://klasma.github.io/Logging_2510/klagomålsmail/A 31490-2023 FSC-klagomål mail.docx", "A 31490-2023")</f>
        <v/>
      </c>
      <c r="X80">
        <f>HYPERLINK("https://klasma.github.io/Logging_2510/tillsyn/A 31490-2023 tillsynsbegäran.docx", "A 31490-2023")</f>
        <v/>
      </c>
      <c r="Y80">
        <f>HYPERLINK("https://klasma.github.io/Logging_2510/tillsynsmail/A 31490-2023 tillsynsbegäran mail.docx", "A 31490-2023")</f>
        <v/>
      </c>
    </row>
    <row r="81" ht="15" customHeight="1">
      <c r="A81" t="inlineStr">
        <is>
          <t>A 40466-2023</t>
        </is>
      </c>
      <c r="B81" s="1" t="n">
        <v>45170</v>
      </c>
      <c r="C81" s="1" t="n">
        <v>45508</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51580-2023</t>
        </is>
      </c>
      <c r="B82" s="1" t="n">
        <v>45222</v>
      </c>
      <c r="C82" s="1" t="n">
        <v>45508</v>
      </c>
      <c r="D82" t="inlineStr">
        <is>
          <t>NORRBOTTENS LÄN</t>
        </is>
      </c>
      <c r="E82" t="inlineStr">
        <is>
          <t>JOKKMOKK</t>
        </is>
      </c>
      <c r="G82" t="n">
        <v>11.1</v>
      </c>
      <c r="H82" t="n">
        <v>1</v>
      </c>
      <c r="I82" t="n">
        <v>0</v>
      </c>
      <c r="J82" t="n">
        <v>0</v>
      </c>
      <c r="K82" t="n">
        <v>1</v>
      </c>
      <c r="L82" t="n">
        <v>0</v>
      </c>
      <c r="M82" t="n">
        <v>0</v>
      </c>
      <c r="N82" t="n">
        <v>0</v>
      </c>
      <c r="O82" t="n">
        <v>1</v>
      </c>
      <c r="P82" t="n">
        <v>1</v>
      </c>
      <c r="Q82" t="n">
        <v>1</v>
      </c>
      <c r="R82" s="2" t="inlineStr">
        <is>
          <t>Norna</t>
        </is>
      </c>
      <c r="S82">
        <f>HYPERLINK("https://klasma.github.io/Logging_2510/artfynd/A 51580-2023 artfynd.xlsx", "A 51580-2023")</f>
        <v/>
      </c>
      <c r="T82">
        <f>HYPERLINK("https://klasma.github.io/Logging_2510/kartor/A 51580-2023 karta.png", "A 51580-2023")</f>
        <v/>
      </c>
      <c r="V82">
        <f>HYPERLINK("https://klasma.github.io/Logging_2510/klagomål/A 51580-2023 FSC-klagomål.docx", "A 51580-2023")</f>
        <v/>
      </c>
      <c r="W82">
        <f>HYPERLINK("https://klasma.github.io/Logging_2510/klagomålsmail/A 51580-2023 FSC-klagomål mail.docx", "A 51580-2023")</f>
        <v/>
      </c>
      <c r="X82">
        <f>HYPERLINK("https://klasma.github.io/Logging_2510/tillsyn/A 51580-2023 tillsynsbegäran.docx", "A 51580-2023")</f>
        <v/>
      </c>
      <c r="Y82">
        <f>HYPERLINK("https://klasma.github.io/Logging_2510/tillsynsmail/A 51580-2023 tillsynsbegäran mail.docx", "A 51580-2023")</f>
        <v/>
      </c>
    </row>
    <row r="83" ht="15" customHeight="1">
      <c r="A83" t="inlineStr">
        <is>
          <t>A 52537-2023</t>
        </is>
      </c>
      <c r="B83" s="1" t="n">
        <v>45225</v>
      </c>
      <c r="C83" s="1" t="n">
        <v>45508</v>
      </c>
      <c r="D83" t="inlineStr">
        <is>
          <t>NORRBOTTENS LÄN</t>
        </is>
      </c>
      <c r="E83" t="inlineStr">
        <is>
          <t>JOKKMOKK</t>
        </is>
      </c>
      <c r="F83" t="inlineStr">
        <is>
          <t>Övriga statliga verk och myndigheter</t>
        </is>
      </c>
      <c r="G83" t="n">
        <v>15.3</v>
      </c>
      <c r="H83" t="n">
        <v>0</v>
      </c>
      <c r="I83" t="n">
        <v>0</v>
      </c>
      <c r="J83" t="n">
        <v>1</v>
      </c>
      <c r="K83" t="n">
        <v>0</v>
      </c>
      <c r="L83" t="n">
        <v>0</v>
      </c>
      <c r="M83" t="n">
        <v>0</v>
      </c>
      <c r="N83" t="n">
        <v>0</v>
      </c>
      <c r="O83" t="n">
        <v>1</v>
      </c>
      <c r="P83" t="n">
        <v>0</v>
      </c>
      <c r="Q83" t="n">
        <v>1</v>
      </c>
      <c r="R83" s="2" t="inlineStr">
        <is>
          <t>Reliktbock</t>
        </is>
      </c>
      <c r="S83">
        <f>HYPERLINK("https://klasma.github.io/Logging_2510/artfynd/A 52537-2023 artfynd.xlsx", "A 52537-2023")</f>
        <v/>
      </c>
      <c r="T83">
        <f>HYPERLINK("https://klasma.github.io/Logging_2510/kartor/A 52537-2023 karta.png", "A 52537-2023")</f>
        <v/>
      </c>
      <c r="V83">
        <f>HYPERLINK("https://klasma.github.io/Logging_2510/klagomål/A 52537-2023 FSC-klagomål.docx", "A 52537-2023")</f>
        <v/>
      </c>
      <c r="W83">
        <f>HYPERLINK("https://klasma.github.io/Logging_2510/klagomålsmail/A 52537-2023 FSC-klagomål mail.docx", "A 52537-2023")</f>
        <v/>
      </c>
      <c r="X83">
        <f>HYPERLINK("https://klasma.github.io/Logging_2510/tillsyn/A 52537-2023 tillsynsbegäran.docx", "A 52537-2023")</f>
        <v/>
      </c>
      <c r="Y83">
        <f>HYPERLINK("https://klasma.github.io/Logging_2510/tillsynsmail/A 52537-2023 tillsynsbegäran mail.docx", "A 52537-2023")</f>
        <v/>
      </c>
    </row>
    <row r="84" ht="15" customHeight="1">
      <c r="A84" t="inlineStr">
        <is>
          <t>A 58068-2023</t>
        </is>
      </c>
      <c r="B84" s="1" t="n">
        <v>45247</v>
      </c>
      <c r="C84" s="1" t="n">
        <v>45508</v>
      </c>
      <c r="D84" t="inlineStr">
        <is>
          <t>NORRBOTTENS LÄN</t>
        </is>
      </c>
      <c r="E84" t="inlineStr">
        <is>
          <t>JOKKMOKK</t>
        </is>
      </c>
      <c r="G84" t="n">
        <v>3.1</v>
      </c>
      <c r="H84" t="n">
        <v>0</v>
      </c>
      <c r="I84" t="n">
        <v>1</v>
      </c>
      <c r="J84" t="n">
        <v>0</v>
      </c>
      <c r="K84" t="n">
        <v>0</v>
      </c>
      <c r="L84" t="n">
        <v>0</v>
      </c>
      <c r="M84" t="n">
        <v>0</v>
      </c>
      <c r="N84" t="n">
        <v>0</v>
      </c>
      <c r="O84" t="n">
        <v>0</v>
      </c>
      <c r="P84" t="n">
        <v>0</v>
      </c>
      <c r="Q84" t="n">
        <v>1</v>
      </c>
      <c r="R84" s="2" t="inlineStr">
        <is>
          <t>Källmossa</t>
        </is>
      </c>
      <c r="S84">
        <f>HYPERLINK("https://klasma.github.io/Logging_2510/artfynd/A 58068-2023 artfynd.xlsx", "A 58068-2023")</f>
        <v/>
      </c>
      <c r="T84">
        <f>HYPERLINK("https://klasma.github.io/Logging_2510/kartor/A 58068-2023 karta.png", "A 58068-2023")</f>
        <v/>
      </c>
      <c r="V84">
        <f>HYPERLINK("https://klasma.github.io/Logging_2510/klagomål/A 58068-2023 FSC-klagomål.docx", "A 58068-2023")</f>
        <v/>
      </c>
      <c r="W84">
        <f>HYPERLINK("https://klasma.github.io/Logging_2510/klagomålsmail/A 58068-2023 FSC-klagomål mail.docx", "A 58068-2023")</f>
        <v/>
      </c>
      <c r="X84">
        <f>HYPERLINK("https://klasma.github.io/Logging_2510/tillsyn/A 58068-2023 tillsynsbegäran.docx", "A 58068-2023")</f>
        <v/>
      </c>
      <c r="Y84">
        <f>HYPERLINK("https://klasma.github.io/Logging_2510/tillsynsmail/A 58068-2023 tillsynsbegäran mail.docx", "A 58068-2023")</f>
        <v/>
      </c>
    </row>
    <row r="85" ht="15" customHeight="1">
      <c r="A85" t="inlineStr">
        <is>
          <t>A 18282-2019</t>
        </is>
      </c>
      <c r="B85" s="1" t="n">
        <v>43558</v>
      </c>
      <c r="C85" s="1" t="n">
        <v>45508</v>
      </c>
      <c r="D85" t="inlineStr">
        <is>
          <t>NORRBOTTENS LÄN</t>
        </is>
      </c>
      <c r="E85" t="inlineStr">
        <is>
          <t>JOKKMOKK</t>
        </is>
      </c>
      <c r="G85" t="n">
        <v>1.3</v>
      </c>
      <c r="H85" t="n">
        <v>0</v>
      </c>
      <c r="I85" t="n">
        <v>0</v>
      </c>
      <c r="J85" t="n">
        <v>0</v>
      </c>
      <c r="K85" t="n">
        <v>0</v>
      </c>
      <c r="L85" t="n">
        <v>0</v>
      </c>
      <c r="M85" t="n">
        <v>0</v>
      </c>
      <c r="N85" t="n">
        <v>0</v>
      </c>
      <c r="O85" t="n">
        <v>0</v>
      </c>
      <c r="P85" t="n">
        <v>0</v>
      </c>
      <c r="Q85" t="n">
        <v>0</v>
      </c>
      <c r="R85" s="2" t="inlineStr"/>
    </row>
    <row r="86" ht="15" customHeight="1">
      <c r="A86" t="inlineStr">
        <is>
          <t>A 25606-2019</t>
        </is>
      </c>
      <c r="B86" s="1" t="n">
        <v>43602</v>
      </c>
      <c r="C86" s="1" t="n">
        <v>45508</v>
      </c>
      <c r="D86" t="inlineStr">
        <is>
          <t>NORRBOTTENS LÄN</t>
        </is>
      </c>
      <c r="E86" t="inlineStr">
        <is>
          <t>JOKKMOKK</t>
        </is>
      </c>
      <c r="F86" t="inlineStr">
        <is>
          <t>Allmännings- och besparingsskogar</t>
        </is>
      </c>
      <c r="G86" t="n">
        <v>17.9</v>
      </c>
      <c r="H86" t="n">
        <v>0</v>
      </c>
      <c r="I86" t="n">
        <v>0</v>
      </c>
      <c r="J86" t="n">
        <v>0</v>
      </c>
      <c r="K86" t="n">
        <v>0</v>
      </c>
      <c r="L86" t="n">
        <v>0</v>
      </c>
      <c r="M86" t="n">
        <v>0</v>
      </c>
      <c r="N86" t="n">
        <v>0</v>
      </c>
      <c r="O86" t="n">
        <v>0</v>
      </c>
      <c r="P86" t="n">
        <v>0</v>
      </c>
      <c r="Q86" t="n">
        <v>0</v>
      </c>
      <c r="R86" s="2" t="inlineStr"/>
    </row>
    <row r="87" ht="15" customHeight="1">
      <c r="A87" t="inlineStr">
        <is>
          <t>A 25351-2019</t>
        </is>
      </c>
      <c r="B87" s="1" t="n">
        <v>43606</v>
      </c>
      <c r="C87" s="1" t="n">
        <v>45508</v>
      </c>
      <c r="D87" t="inlineStr">
        <is>
          <t>NORRBOTTENS LÄN</t>
        </is>
      </c>
      <c r="E87" t="inlineStr">
        <is>
          <t>JOKKMOKK</t>
        </is>
      </c>
      <c r="F87" t="inlineStr">
        <is>
          <t>Sveaskog</t>
        </is>
      </c>
      <c r="G87" t="n">
        <v>47.8</v>
      </c>
      <c r="H87" t="n">
        <v>0</v>
      </c>
      <c r="I87" t="n">
        <v>0</v>
      </c>
      <c r="J87" t="n">
        <v>0</v>
      </c>
      <c r="K87" t="n">
        <v>0</v>
      </c>
      <c r="L87" t="n">
        <v>0</v>
      </c>
      <c r="M87" t="n">
        <v>0</v>
      </c>
      <c r="N87" t="n">
        <v>0</v>
      </c>
      <c r="O87" t="n">
        <v>0</v>
      </c>
      <c r="P87" t="n">
        <v>0</v>
      </c>
      <c r="Q87" t="n">
        <v>0</v>
      </c>
      <c r="R87" s="2" t="inlineStr"/>
    </row>
    <row r="88" ht="15" customHeight="1">
      <c r="A88" t="inlineStr">
        <is>
          <t>A 25352-2019</t>
        </is>
      </c>
      <c r="B88" s="1" t="n">
        <v>43606</v>
      </c>
      <c r="C88" s="1" t="n">
        <v>45508</v>
      </c>
      <c r="D88" t="inlineStr">
        <is>
          <t>NORRBOTTENS LÄN</t>
        </is>
      </c>
      <c r="E88" t="inlineStr">
        <is>
          <t>JOKKMOKK</t>
        </is>
      </c>
      <c r="F88" t="inlineStr">
        <is>
          <t>Sveaskog</t>
        </is>
      </c>
      <c r="G88" t="n">
        <v>60.5</v>
      </c>
      <c r="H88" t="n">
        <v>0</v>
      </c>
      <c r="I88" t="n">
        <v>0</v>
      </c>
      <c r="J88" t="n">
        <v>0</v>
      </c>
      <c r="K88" t="n">
        <v>0</v>
      </c>
      <c r="L88" t="n">
        <v>0</v>
      </c>
      <c r="M88" t="n">
        <v>0</v>
      </c>
      <c r="N88" t="n">
        <v>0</v>
      </c>
      <c r="O88" t="n">
        <v>0</v>
      </c>
      <c r="P88" t="n">
        <v>0</v>
      </c>
      <c r="Q88" t="n">
        <v>0</v>
      </c>
      <c r="R88" s="2" t="inlineStr"/>
    </row>
    <row r="89" ht="15" customHeight="1">
      <c r="A89" t="inlineStr">
        <is>
          <t>A 25981-2019</t>
        </is>
      </c>
      <c r="B89" s="1" t="n">
        <v>43608</v>
      </c>
      <c r="C89" s="1" t="n">
        <v>45508</v>
      </c>
      <c r="D89" t="inlineStr">
        <is>
          <t>NORRBOTTENS LÄN</t>
        </is>
      </c>
      <c r="E89" t="inlineStr">
        <is>
          <t>JOKKMOKK</t>
        </is>
      </c>
      <c r="G89" t="n">
        <v>2.6</v>
      </c>
      <c r="H89" t="n">
        <v>0</v>
      </c>
      <c r="I89" t="n">
        <v>0</v>
      </c>
      <c r="J89" t="n">
        <v>0</v>
      </c>
      <c r="K89" t="n">
        <v>0</v>
      </c>
      <c r="L89" t="n">
        <v>0</v>
      </c>
      <c r="M89" t="n">
        <v>0</v>
      </c>
      <c r="N89" t="n">
        <v>0</v>
      </c>
      <c r="O89" t="n">
        <v>0</v>
      </c>
      <c r="P89" t="n">
        <v>0</v>
      </c>
      <c r="Q89" t="n">
        <v>0</v>
      </c>
      <c r="R89" s="2" t="inlineStr"/>
    </row>
    <row r="90" ht="15" customHeight="1">
      <c r="A90" t="inlineStr">
        <is>
          <t>A 27041-2019</t>
        </is>
      </c>
      <c r="B90" s="1" t="n">
        <v>43614</v>
      </c>
      <c r="C90" s="1" t="n">
        <v>45508</v>
      </c>
      <c r="D90" t="inlineStr">
        <is>
          <t>NORRBOTTENS LÄN</t>
        </is>
      </c>
      <c r="E90" t="inlineStr">
        <is>
          <t>JOKKMOKK</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28379-2019</t>
        </is>
      </c>
      <c r="B91" s="1" t="n">
        <v>43626</v>
      </c>
      <c r="C91" s="1" t="n">
        <v>45508</v>
      </c>
      <c r="D91" t="inlineStr">
        <is>
          <t>NORRBOTTENS LÄN</t>
        </is>
      </c>
      <c r="E91" t="inlineStr">
        <is>
          <t>JOKKMOKK</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29447-2019</t>
        </is>
      </c>
      <c r="B92" s="1" t="n">
        <v>43626</v>
      </c>
      <c r="C92" s="1" t="n">
        <v>45508</v>
      </c>
      <c r="D92" t="inlineStr">
        <is>
          <t>NORRBOTTENS LÄN</t>
        </is>
      </c>
      <c r="E92" t="inlineStr">
        <is>
          <t>JOKKMOKK</t>
        </is>
      </c>
      <c r="G92" t="n">
        <v>1.5</v>
      </c>
      <c r="H92" t="n">
        <v>0</v>
      </c>
      <c r="I92" t="n">
        <v>0</v>
      </c>
      <c r="J92" t="n">
        <v>0</v>
      </c>
      <c r="K92" t="n">
        <v>0</v>
      </c>
      <c r="L92" t="n">
        <v>0</v>
      </c>
      <c r="M92" t="n">
        <v>0</v>
      </c>
      <c r="N92" t="n">
        <v>0</v>
      </c>
      <c r="O92" t="n">
        <v>0</v>
      </c>
      <c r="P92" t="n">
        <v>0</v>
      </c>
      <c r="Q92" t="n">
        <v>0</v>
      </c>
      <c r="R92" s="2" t="inlineStr"/>
    </row>
    <row r="93" ht="15" customHeight="1">
      <c r="A93" t="inlineStr">
        <is>
          <t>A 30042-2019</t>
        </is>
      </c>
      <c r="B93" s="1" t="n">
        <v>43633</v>
      </c>
      <c r="C93" s="1" t="n">
        <v>45508</v>
      </c>
      <c r="D93" t="inlineStr">
        <is>
          <t>NORRBOTTENS LÄN</t>
        </is>
      </c>
      <c r="E93" t="inlineStr">
        <is>
          <t>JOKKMOKK</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30264-2019</t>
        </is>
      </c>
      <c r="B94" s="1" t="n">
        <v>43633</v>
      </c>
      <c r="C94" s="1" t="n">
        <v>45508</v>
      </c>
      <c r="D94" t="inlineStr">
        <is>
          <t>NORRBOTTENS LÄN</t>
        </is>
      </c>
      <c r="E94" t="inlineStr">
        <is>
          <t>JOKKMOKK</t>
        </is>
      </c>
      <c r="G94" t="n">
        <v>1.4</v>
      </c>
      <c r="H94" t="n">
        <v>0</v>
      </c>
      <c r="I94" t="n">
        <v>0</v>
      </c>
      <c r="J94" t="n">
        <v>0</v>
      </c>
      <c r="K94" t="n">
        <v>0</v>
      </c>
      <c r="L94" t="n">
        <v>0</v>
      </c>
      <c r="M94" t="n">
        <v>0</v>
      </c>
      <c r="N94" t="n">
        <v>0</v>
      </c>
      <c r="O94" t="n">
        <v>0</v>
      </c>
      <c r="P94" t="n">
        <v>0</v>
      </c>
      <c r="Q94" t="n">
        <v>0</v>
      </c>
      <c r="R94" s="2" t="inlineStr"/>
    </row>
    <row r="95" ht="15" customHeight="1">
      <c r="A95" t="inlineStr">
        <is>
          <t>A 31895-2019</t>
        </is>
      </c>
      <c r="B95" s="1" t="n">
        <v>43642</v>
      </c>
      <c r="C95" s="1" t="n">
        <v>45508</v>
      </c>
      <c r="D95" t="inlineStr">
        <is>
          <t>NORRBOTTENS LÄN</t>
        </is>
      </c>
      <c r="E95" t="inlineStr">
        <is>
          <t>JOKKMOKK</t>
        </is>
      </c>
      <c r="G95" t="n">
        <v>0.8</v>
      </c>
      <c r="H95" t="n">
        <v>0</v>
      </c>
      <c r="I95" t="n">
        <v>0</v>
      </c>
      <c r="J95" t="n">
        <v>0</v>
      </c>
      <c r="K95" t="n">
        <v>0</v>
      </c>
      <c r="L95" t="n">
        <v>0</v>
      </c>
      <c r="M95" t="n">
        <v>0</v>
      </c>
      <c r="N95" t="n">
        <v>0</v>
      </c>
      <c r="O95" t="n">
        <v>0</v>
      </c>
      <c r="P95" t="n">
        <v>0</v>
      </c>
      <c r="Q95" t="n">
        <v>0</v>
      </c>
      <c r="R95" s="2" t="inlineStr"/>
    </row>
    <row r="96" ht="15" customHeight="1">
      <c r="A96" t="inlineStr">
        <is>
          <t>A 31896-2019</t>
        </is>
      </c>
      <c r="B96" s="1" t="n">
        <v>43642</v>
      </c>
      <c r="C96" s="1" t="n">
        <v>45508</v>
      </c>
      <c r="D96" t="inlineStr">
        <is>
          <t>NORRBOTTENS LÄN</t>
        </is>
      </c>
      <c r="E96" t="inlineStr">
        <is>
          <t>JOKKMOKK</t>
        </is>
      </c>
      <c r="G96" t="n">
        <v>7.1</v>
      </c>
      <c r="H96" t="n">
        <v>0</v>
      </c>
      <c r="I96" t="n">
        <v>0</v>
      </c>
      <c r="J96" t="n">
        <v>0</v>
      </c>
      <c r="K96" t="n">
        <v>0</v>
      </c>
      <c r="L96" t="n">
        <v>0</v>
      </c>
      <c r="M96" t="n">
        <v>0</v>
      </c>
      <c r="N96" t="n">
        <v>0</v>
      </c>
      <c r="O96" t="n">
        <v>0</v>
      </c>
      <c r="P96" t="n">
        <v>0</v>
      </c>
      <c r="Q96" t="n">
        <v>0</v>
      </c>
      <c r="R96" s="2" t="inlineStr"/>
    </row>
    <row r="97" ht="15" customHeight="1">
      <c r="A97" t="inlineStr">
        <is>
          <t>A 32476-2019</t>
        </is>
      </c>
      <c r="B97" s="1" t="n">
        <v>43644</v>
      </c>
      <c r="C97" s="1" t="n">
        <v>45508</v>
      </c>
      <c r="D97" t="inlineStr">
        <is>
          <t>NORRBOTTENS LÄN</t>
        </is>
      </c>
      <c r="E97" t="inlineStr">
        <is>
          <t>JOKKMOKK</t>
        </is>
      </c>
      <c r="F97" t="inlineStr">
        <is>
          <t>Naturvårdsverket</t>
        </is>
      </c>
      <c r="G97" t="n">
        <v>13.1</v>
      </c>
      <c r="H97" t="n">
        <v>0</v>
      </c>
      <c r="I97" t="n">
        <v>0</v>
      </c>
      <c r="J97" t="n">
        <v>0</v>
      </c>
      <c r="K97" t="n">
        <v>0</v>
      </c>
      <c r="L97" t="n">
        <v>0</v>
      </c>
      <c r="M97" t="n">
        <v>0</v>
      </c>
      <c r="N97" t="n">
        <v>0</v>
      </c>
      <c r="O97" t="n">
        <v>0</v>
      </c>
      <c r="P97" t="n">
        <v>0</v>
      </c>
      <c r="Q97" t="n">
        <v>0</v>
      </c>
      <c r="R97" s="2" t="inlineStr"/>
    </row>
    <row r="98" ht="15" customHeight="1">
      <c r="A98" t="inlineStr">
        <is>
          <t>A 33212-2019</t>
        </is>
      </c>
      <c r="B98" s="1" t="n">
        <v>43649</v>
      </c>
      <c r="C98" s="1" t="n">
        <v>45508</v>
      </c>
      <c r="D98" t="inlineStr">
        <is>
          <t>NORRBOTTENS LÄN</t>
        </is>
      </c>
      <c r="E98" t="inlineStr">
        <is>
          <t>JOKKMOKK</t>
        </is>
      </c>
      <c r="G98" t="n">
        <v>7.3</v>
      </c>
      <c r="H98" t="n">
        <v>0</v>
      </c>
      <c r="I98" t="n">
        <v>0</v>
      </c>
      <c r="J98" t="n">
        <v>0</v>
      </c>
      <c r="K98" t="n">
        <v>0</v>
      </c>
      <c r="L98" t="n">
        <v>0</v>
      </c>
      <c r="M98" t="n">
        <v>0</v>
      </c>
      <c r="N98" t="n">
        <v>0</v>
      </c>
      <c r="O98" t="n">
        <v>0</v>
      </c>
      <c r="P98" t="n">
        <v>0</v>
      </c>
      <c r="Q98" t="n">
        <v>0</v>
      </c>
      <c r="R98" s="2" t="inlineStr"/>
    </row>
    <row r="99" ht="15" customHeight="1">
      <c r="A99" t="inlineStr">
        <is>
          <t>A 33211-2019</t>
        </is>
      </c>
      <c r="B99" s="1" t="n">
        <v>43649</v>
      </c>
      <c r="C99" s="1" t="n">
        <v>45508</v>
      </c>
      <c r="D99" t="inlineStr">
        <is>
          <t>NORRBOTTENS LÄN</t>
        </is>
      </c>
      <c r="E99" t="inlineStr">
        <is>
          <t>JOKKMOKK</t>
        </is>
      </c>
      <c r="G99" t="n">
        <v>7.6</v>
      </c>
      <c r="H99" t="n">
        <v>0</v>
      </c>
      <c r="I99" t="n">
        <v>0</v>
      </c>
      <c r="J99" t="n">
        <v>0</v>
      </c>
      <c r="K99" t="n">
        <v>0</v>
      </c>
      <c r="L99" t="n">
        <v>0</v>
      </c>
      <c r="M99" t="n">
        <v>0</v>
      </c>
      <c r="N99" t="n">
        <v>0</v>
      </c>
      <c r="O99" t="n">
        <v>0</v>
      </c>
      <c r="P99" t="n">
        <v>0</v>
      </c>
      <c r="Q99" t="n">
        <v>0</v>
      </c>
      <c r="R99" s="2" t="inlineStr"/>
    </row>
    <row r="100" ht="15" customHeight="1">
      <c r="A100" t="inlineStr">
        <is>
          <t>A 33756-2019</t>
        </is>
      </c>
      <c r="B100" s="1" t="n">
        <v>43651</v>
      </c>
      <c r="C100" s="1" t="n">
        <v>45508</v>
      </c>
      <c r="D100" t="inlineStr">
        <is>
          <t>NORRBOTTENS LÄN</t>
        </is>
      </c>
      <c r="E100" t="inlineStr">
        <is>
          <t>JOKKMOKK</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33821-2019</t>
        </is>
      </c>
      <c r="B101" s="1" t="n">
        <v>43651</v>
      </c>
      <c r="C101" s="1" t="n">
        <v>45508</v>
      </c>
      <c r="D101" t="inlineStr">
        <is>
          <t>NORRBOTTENS LÄN</t>
        </is>
      </c>
      <c r="E101" t="inlineStr">
        <is>
          <t>JOKKMOKK</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34046-2019</t>
        </is>
      </c>
      <c r="B102" s="1" t="n">
        <v>43654</v>
      </c>
      <c r="C102" s="1" t="n">
        <v>45508</v>
      </c>
      <c r="D102" t="inlineStr">
        <is>
          <t>NORRBOTTENS LÄN</t>
        </is>
      </c>
      <c r="E102" t="inlineStr">
        <is>
          <t>JOKKMOKK</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34586-2019</t>
        </is>
      </c>
      <c r="B103" s="1" t="n">
        <v>43657</v>
      </c>
      <c r="C103" s="1" t="n">
        <v>45508</v>
      </c>
      <c r="D103" t="inlineStr">
        <is>
          <t>NORRBOTTENS LÄN</t>
        </is>
      </c>
      <c r="E103" t="inlineStr">
        <is>
          <t>JOKKMOKK</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34571-2019</t>
        </is>
      </c>
      <c r="B104" s="1" t="n">
        <v>43657</v>
      </c>
      <c r="C104" s="1" t="n">
        <v>45508</v>
      </c>
      <c r="D104" t="inlineStr">
        <is>
          <t>NORRBOTTENS LÄN</t>
        </is>
      </c>
      <c r="E104" t="inlineStr">
        <is>
          <t>JOKKMOKK</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34590-2019</t>
        </is>
      </c>
      <c r="B105" s="1" t="n">
        <v>43657</v>
      </c>
      <c r="C105" s="1" t="n">
        <v>45508</v>
      </c>
      <c r="D105" t="inlineStr">
        <is>
          <t>NORRBOTTENS LÄN</t>
        </is>
      </c>
      <c r="E105" t="inlineStr">
        <is>
          <t>JOKKMOKK</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36821-2019</t>
        </is>
      </c>
      <c r="B106" s="1" t="n">
        <v>43673</v>
      </c>
      <c r="C106" s="1" t="n">
        <v>45508</v>
      </c>
      <c r="D106" t="inlineStr">
        <is>
          <t>NORRBOTTENS LÄN</t>
        </is>
      </c>
      <c r="E106" t="inlineStr">
        <is>
          <t>JOKKMOKK</t>
        </is>
      </c>
      <c r="G106" t="n">
        <v>0.3</v>
      </c>
      <c r="H106" t="n">
        <v>0</v>
      </c>
      <c r="I106" t="n">
        <v>0</v>
      </c>
      <c r="J106" t="n">
        <v>0</v>
      </c>
      <c r="K106" t="n">
        <v>0</v>
      </c>
      <c r="L106" t="n">
        <v>0</v>
      </c>
      <c r="M106" t="n">
        <v>0</v>
      </c>
      <c r="N106" t="n">
        <v>0</v>
      </c>
      <c r="O106" t="n">
        <v>0</v>
      </c>
      <c r="P106" t="n">
        <v>0</v>
      </c>
      <c r="Q106" t="n">
        <v>0</v>
      </c>
      <c r="R106" s="2" t="inlineStr"/>
    </row>
    <row r="107" ht="15" customHeight="1">
      <c r="A107" t="inlineStr">
        <is>
          <t>A 38093-2019</t>
        </is>
      </c>
      <c r="B107" s="1" t="n">
        <v>43677</v>
      </c>
      <c r="C107" s="1" t="n">
        <v>45508</v>
      </c>
      <c r="D107" t="inlineStr">
        <is>
          <t>NORRBOTTENS LÄN</t>
        </is>
      </c>
      <c r="E107" t="inlineStr">
        <is>
          <t>JOKKMOKK</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38089-2019</t>
        </is>
      </c>
      <c r="B108" s="1" t="n">
        <v>43677</v>
      </c>
      <c r="C108" s="1" t="n">
        <v>45508</v>
      </c>
      <c r="D108" t="inlineStr">
        <is>
          <t>NORRBOTTENS LÄN</t>
        </is>
      </c>
      <c r="E108" t="inlineStr">
        <is>
          <t>JOKKMOKK</t>
        </is>
      </c>
      <c r="F108" t="inlineStr">
        <is>
          <t>Övriga Aktiebolag</t>
        </is>
      </c>
      <c r="G108" t="n">
        <v>8.6</v>
      </c>
      <c r="H108" t="n">
        <v>0</v>
      </c>
      <c r="I108" t="n">
        <v>0</v>
      </c>
      <c r="J108" t="n">
        <v>0</v>
      </c>
      <c r="K108" t="n">
        <v>0</v>
      </c>
      <c r="L108" t="n">
        <v>0</v>
      </c>
      <c r="M108" t="n">
        <v>0</v>
      </c>
      <c r="N108" t="n">
        <v>0</v>
      </c>
      <c r="O108" t="n">
        <v>0</v>
      </c>
      <c r="P108" t="n">
        <v>0</v>
      </c>
      <c r="Q108" t="n">
        <v>0</v>
      </c>
      <c r="R108" s="2" t="inlineStr"/>
    </row>
    <row r="109" ht="15" customHeight="1">
      <c r="A109" t="inlineStr">
        <is>
          <t>A 38092-2019</t>
        </is>
      </c>
      <c r="B109" s="1" t="n">
        <v>43677</v>
      </c>
      <c r="C109" s="1" t="n">
        <v>45508</v>
      </c>
      <c r="D109" t="inlineStr">
        <is>
          <t>NORRBOTTENS LÄN</t>
        </is>
      </c>
      <c r="E109" t="inlineStr">
        <is>
          <t>JOKKMOKK</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38005-2019</t>
        </is>
      </c>
      <c r="B110" s="1" t="n">
        <v>43683</v>
      </c>
      <c r="C110" s="1" t="n">
        <v>45508</v>
      </c>
      <c r="D110" t="inlineStr">
        <is>
          <t>NORRBOTTENS LÄN</t>
        </is>
      </c>
      <c r="E110" t="inlineStr">
        <is>
          <t>JOKKMOKK</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38006-2019</t>
        </is>
      </c>
      <c r="B111" s="1" t="n">
        <v>43683</v>
      </c>
      <c r="C111" s="1" t="n">
        <v>45508</v>
      </c>
      <c r="D111" t="inlineStr">
        <is>
          <t>NORRBOTTENS LÄN</t>
        </is>
      </c>
      <c r="E111" t="inlineStr">
        <is>
          <t>JOKKMOKK</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38659-2019</t>
        </is>
      </c>
      <c r="B112" s="1" t="n">
        <v>43684</v>
      </c>
      <c r="C112" s="1" t="n">
        <v>45508</v>
      </c>
      <c r="D112" t="inlineStr">
        <is>
          <t>NORRBOTTENS LÄN</t>
        </is>
      </c>
      <c r="E112" t="inlineStr">
        <is>
          <t>JOKKMOKK</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39710-2019</t>
        </is>
      </c>
      <c r="B113" s="1" t="n">
        <v>43689</v>
      </c>
      <c r="C113" s="1" t="n">
        <v>45508</v>
      </c>
      <c r="D113" t="inlineStr">
        <is>
          <t>NORRBOTTENS LÄN</t>
        </is>
      </c>
      <c r="E113" t="inlineStr">
        <is>
          <t>JOKKMOKK</t>
        </is>
      </c>
      <c r="F113" t="inlineStr">
        <is>
          <t>Allmännings- och besparingsskogar</t>
        </is>
      </c>
      <c r="G113" t="n">
        <v>18.7</v>
      </c>
      <c r="H113" t="n">
        <v>0</v>
      </c>
      <c r="I113" t="n">
        <v>0</v>
      </c>
      <c r="J113" t="n">
        <v>0</v>
      </c>
      <c r="K113" t="n">
        <v>0</v>
      </c>
      <c r="L113" t="n">
        <v>0</v>
      </c>
      <c r="M113" t="n">
        <v>0</v>
      </c>
      <c r="N113" t="n">
        <v>0</v>
      </c>
      <c r="O113" t="n">
        <v>0</v>
      </c>
      <c r="P113" t="n">
        <v>0</v>
      </c>
      <c r="Q113" t="n">
        <v>0</v>
      </c>
      <c r="R113" s="2" t="inlineStr"/>
    </row>
    <row r="114" ht="15" customHeight="1">
      <c r="A114" t="inlineStr">
        <is>
          <t>A 39398-2019</t>
        </is>
      </c>
      <c r="B114" s="1" t="n">
        <v>43690</v>
      </c>
      <c r="C114" s="1" t="n">
        <v>45508</v>
      </c>
      <c r="D114" t="inlineStr">
        <is>
          <t>NORRBOTTENS LÄN</t>
        </is>
      </c>
      <c r="E114" t="inlineStr">
        <is>
          <t>JOKKMOKK</t>
        </is>
      </c>
      <c r="F114" t="inlineStr">
        <is>
          <t>SCA</t>
        </is>
      </c>
      <c r="G114" t="n">
        <v>9.4</v>
      </c>
      <c r="H114" t="n">
        <v>0</v>
      </c>
      <c r="I114" t="n">
        <v>0</v>
      </c>
      <c r="J114" t="n">
        <v>0</v>
      </c>
      <c r="K114" t="n">
        <v>0</v>
      </c>
      <c r="L114" t="n">
        <v>0</v>
      </c>
      <c r="M114" t="n">
        <v>0</v>
      </c>
      <c r="N114" t="n">
        <v>0</v>
      </c>
      <c r="O114" t="n">
        <v>0</v>
      </c>
      <c r="P114" t="n">
        <v>0</v>
      </c>
      <c r="Q114" t="n">
        <v>0</v>
      </c>
      <c r="R114" s="2" t="inlineStr"/>
    </row>
    <row r="115" ht="15" customHeight="1">
      <c r="A115" t="inlineStr">
        <is>
          <t>A 40418-2019</t>
        </is>
      </c>
      <c r="B115" s="1" t="n">
        <v>43696</v>
      </c>
      <c r="C115" s="1" t="n">
        <v>45508</v>
      </c>
      <c r="D115" t="inlineStr">
        <is>
          <t>NORRBOTTENS LÄN</t>
        </is>
      </c>
      <c r="E115" t="inlineStr">
        <is>
          <t>JOKKMOKK</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42020-2019</t>
        </is>
      </c>
      <c r="B116" s="1" t="n">
        <v>43700</v>
      </c>
      <c r="C116" s="1" t="n">
        <v>45508</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42300-2019</t>
        </is>
      </c>
      <c r="B117" s="1" t="n">
        <v>43703</v>
      </c>
      <c r="C117" s="1" t="n">
        <v>45508</v>
      </c>
      <c r="D117" t="inlineStr">
        <is>
          <t>NORRBOTTENS LÄN</t>
        </is>
      </c>
      <c r="E117" t="inlineStr">
        <is>
          <t>JOKKMOKK</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42413-2019</t>
        </is>
      </c>
      <c r="B118" s="1" t="n">
        <v>43703</v>
      </c>
      <c r="C118" s="1" t="n">
        <v>45508</v>
      </c>
      <c r="D118" t="inlineStr">
        <is>
          <t>NORRBOTTENS LÄN</t>
        </is>
      </c>
      <c r="E118" t="inlineStr">
        <is>
          <t>JOKKMOKK</t>
        </is>
      </c>
      <c r="G118" t="n">
        <v>17.5</v>
      </c>
      <c r="H118" t="n">
        <v>0</v>
      </c>
      <c r="I118" t="n">
        <v>0</v>
      </c>
      <c r="J118" t="n">
        <v>0</v>
      </c>
      <c r="K118" t="n">
        <v>0</v>
      </c>
      <c r="L118" t="n">
        <v>0</v>
      </c>
      <c r="M118" t="n">
        <v>0</v>
      </c>
      <c r="N118" t="n">
        <v>0</v>
      </c>
      <c r="O118" t="n">
        <v>0</v>
      </c>
      <c r="P118" t="n">
        <v>0</v>
      </c>
      <c r="Q118" t="n">
        <v>0</v>
      </c>
      <c r="R118" s="2" t="inlineStr"/>
    </row>
    <row r="119" ht="15" customHeight="1">
      <c r="A119" t="inlineStr">
        <is>
          <t>A 44269-2019</t>
        </is>
      </c>
      <c r="B119" s="1" t="n">
        <v>43704</v>
      </c>
      <c r="C119" s="1" t="n">
        <v>45508</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44263-2019</t>
        </is>
      </c>
      <c r="B120" s="1" t="n">
        <v>43704</v>
      </c>
      <c r="C120" s="1" t="n">
        <v>45508</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44171-2019</t>
        </is>
      </c>
      <c r="B121" s="1" t="n">
        <v>43710</v>
      </c>
      <c r="C121" s="1" t="n">
        <v>45508</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45452-2019</t>
        </is>
      </c>
      <c r="B122" s="1" t="n">
        <v>43714</v>
      </c>
      <c r="C122" s="1" t="n">
        <v>45508</v>
      </c>
      <c r="D122" t="inlineStr">
        <is>
          <t>NORRBOTTENS LÄN</t>
        </is>
      </c>
      <c r="E122" t="inlineStr">
        <is>
          <t>JOKKMOKK</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47456-2019</t>
        </is>
      </c>
      <c r="B123" s="1" t="n">
        <v>43721</v>
      </c>
      <c r="C123" s="1" t="n">
        <v>45508</v>
      </c>
      <c r="D123" t="inlineStr">
        <is>
          <t>NORRBOTTENS LÄN</t>
        </is>
      </c>
      <c r="E123" t="inlineStr">
        <is>
          <t>JOKKMOKK</t>
        </is>
      </c>
      <c r="F123" t="inlineStr">
        <is>
          <t>Övriga Aktiebolag</t>
        </is>
      </c>
      <c r="G123" t="n">
        <v>14.2</v>
      </c>
      <c r="H123" t="n">
        <v>0</v>
      </c>
      <c r="I123" t="n">
        <v>0</v>
      </c>
      <c r="J123" t="n">
        <v>0</v>
      </c>
      <c r="K123" t="n">
        <v>0</v>
      </c>
      <c r="L123" t="n">
        <v>0</v>
      </c>
      <c r="M123" t="n">
        <v>0</v>
      </c>
      <c r="N123" t="n">
        <v>0</v>
      </c>
      <c r="O123" t="n">
        <v>0</v>
      </c>
      <c r="P123" t="n">
        <v>0</v>
      </c>
      <c r="Q123" t="n">
        <v>0</v>
      </c>
      <c r="R123" s="2" t="inlineStr"/>
    </row>
    <row r="124" ht="15" customHeight="1">
      <c r="A124" t="inlineStr">
        <is>
          <t>A 50288-2019</t>
        </is>
      </c>
      <c r="B124" s="1" t="n">
        <v>43734</v>
      </c>
      <c r="C124" s="1" t="n">
        <v>45508</v>
      </c>
      <c r="D124" t="inlineStr">
        <is>
          <t>NORRBOTTENS LÄN</t>
        </is>
      </c>
      <c r="E124" t="inlineStr">
        <is>
          <t>JOKKMOKK</t>
        </is>
      </c>
      <c r="G124" t="n">
        <v>6.1</v>
      </c>
      <c r="H124" t="n">
        <v>0</v>
      </c>
      <c r="I124" t="n">
        <v>0</v>
      </c>
      <c r="J124" t="n">
        <v>0</v>
      </c>
      <c r="K124" t="n">
        <v>0</v>
      </c>
      <c r="L124" t="n">
        <v>0</v>
      </c>
      <c r="M124" t="n">
        <v>0</v>
      </c>
      <c r="N124" t="n">
        <v>0</v>
      </c>
      <c r="O124" t="n">
        <v>0</v>
      </c>
      <c r="P124" t="n">
        <v>0</v>
      </c>
      <c r="Q124" t="n">
        <v>0</v>
      </c>
      <c r="R124" s="2" t="inlineStr"/>
    </row>
    <row r="125" ht="15" customHeight="1">
      <c r="A125" t="inlineStr">
        <is>
          <t>A 50287-2019</t>
        </is>
      </c>
      <c r="B125" s="1" t="n">
        <v>43734</v>
      </c>
      <c r="C125" s="1" t="n">
        <v>45508</v>
      </c>
      <c r="D125" t="inlineStr">
        <is>
          <t>NORRBOTTENS LÄN</t>
        </is>
      </c>
      <c r="E125" t="inlineStr">
        <is>
          <t>JOKKMOKK</t>
        </is>
      </c>
      <c r="G125" t="n">
        <v>3.5</v>
      </c>
      <c r="H125" t="n">
        <v>0</v>
      </c>
      <c r="I125" t="n">
        <v>0</v>
      </c>
      <c r="J125" t="n">
        <v>0</v>
      </c>
      <c r="K125" t="n">
        <v>0</v>
      </c>
      <c r="L125" t="n">
        <v>0</v>
      </c>
      <c r="M125" t="n">
        <v>0</v>
      </c>
      <c r="N125" t="n">
        <v>0</v>
      </c>
      <c r="O125" t="n">
        <v>0</v>
      </c>
      <c r="P125" t="n">
        <v>0</v>
      </c>
      <c r="Q125" t="n">
        <v>0</v>
      </c>
      <c r="R125" s="2" t="inlineStr"/>
    </row>
    <row r="126" ht="15" customHeight="1">
      <c r="A126" t="inlineStr">
        <is>
          <t>A 51840-2019</t>
        </is>
      </c>
      <c r="B126" s="1" t="n">
        <v>43734</v>
      </c>
      <c r="C126" s="1" t="n">
        <v>45508</v>
      </c>
      <c r="D126" t="inlineStr">
        <is>
          <t>NORRBOTTENS LÄN</t>
        </is>
      </c>
      <c r="E126" t="inlineStr">
        <is>
          <t>JOKKMOKK</t>
        </is>
      </c>
      <c r="G126" t="n">
        <v>10.2</v>
      </c>
      <c r="H126" t="n">
        <v>0</v>
      </c>
      <c r="I126" t="n">
        <v>0</v>
      </c>
      <c r="J126" t="n">
        <v>0</v>
      </c>
      <c r="K126" t="n">
        <v>0</v>
      </c>
      <c r="L126" t="n">
        <v>0</v>
      </c>
      <c r="M126" t="n">
        <v>0</v>
      </c>
      <c r="N126" t="n">
        <v>0</v>
      </c>
      <c r="O126" t="n">
        <v>0</v>
      </c>
      <c r="P126" t="n">
        <v>0</v>
      </c>
      <c r="Q126" t="n">
        <v>0</v>
      </c>
      <c r="R126" s="2" t="inlineStr"/>
    </row>
    <row r="127" ht="15" customHeight="1">
      <c r="A127" t="inlineStr">
        <is>
          <t>A 51829-2019</t>
        </is>
      </c>
      <c r="B127" s="1" t="n">
        <v>43734</v>
      </c>
      <c r="C127" s="1" t="n">
        <v>45508</v>
      </c>
      <c r="D127" t="inlineStr">
        <is>
          <t>NORRBOTTENS LÄN</t>
        </is>
      </c>
      <c r="E127" t="inlineStr">
        <is>
          <t>JOKKMOKK</t>
        </is>
      </c>
      <c r="G127" t="n">
        <v>13.7</v>
      </c>
      <c r="H127" t="n">
        <v>0</v>
      </c>
      <c r="I127" t="n">
        <v>0</v>
      </c>
      <c r="J127" t="n">
        <v>0</v>
      </c>
      <c r="K127" t="n">
        <v>0</v>
      </c>
      <c r="L127" t="n">
        <v>0</v>
      </c>
      <c r="M127" t="n">
        <v>0</v>
      </c>
      <c r="N127" t="n">
        <v>0</v>
      </c>
      <c r="O127" t="n">
        <v>0</v>
      </c>
      <c r="P127" t="n">
        <v>0</v>
      </c>
      <c r="Q127" t="n">
        <v>0</v>
      </c>
      <c r="R127" s="2" t="inlineStr"/>
    </row>
    <row r="128" ht="15" customHeight="1">
      <c r="A128" t="inlineStr">
        <is>
          <t>A 50289-2019</t>
        </is>
      </c>
      <c r="B128" s="1" t="n">
        <v>43734</v>
      </c>
      <c r="C128" s="1" t="n">
        <v>45508</v>
      </c>
      <c r="D128" t="inlineStr">
        <is>
          <t>NORRBOTTENS LÄN</t>
        </is>
      </c>
      <c r="E128" t="inlineStr">
        <is>
          <t>JOKKMOKK</t>
        </is>
      </c>
      <c r="G128" t="n">
        <v>10.4</v>
      </c>
      <c r="H128" t="n">
        <v>0</v>
      </c>
      <c r="I128" t="n">
        <v>0</v>
      </c>
      <c r="J128" t="n">
        <v>0</v>
      </c>
      <c r="K128" t="n">
        <v>0</v>
      </c>
      <c r="L128" t="n">
        <v>0</v>
      </c>
      <c r="M128" t="n">
        <v>0</v>
      </c>
      <c r="N128" t="n">
        <v>0</v>
      </c>
      <c r="O128" t="n">
        <v>0</v>
      </c>
      <c r="P128" t="n">
        <v>0</v>
      </c>
      <c r="Q128" t="n">
        <v>0</v>
      </c>
      <c r="R128" s="2" t="inlineStr"/>
    </row>
    <row r="129" ht="15" customHeight="1">
      <c r="A129" t="inlineStr">
        <is>
          <t>A 51863-2019</t>
        </is>
      </c>
      <c r="B129" s="1" t="n">
        <v>43734</v>
      </c>
      <c r="C129" s="1" t="n">
        <v>45508</v>
      </c>
      <c r="D129" t="inlineStr">
        <is>
          <t>NORRBOTTENS LÄN</t>
        </is>
      </c>
      <c r="E129" t="inlineStr">
        <is>
          <t>JOKKMOKK</t>
        </is>
      </c>
      <c r="G129" t="n">
        <v>6.5</v>
      </c>
      <c r="H129" t="n">
        <v>0</v>
      </c>
      <c r="I129" t="n">
        <v>0</v>
      </c>
      <c r="J129" t="n">
        <v>0</v>
      </c>
      <c r="K129" t="n">
        <v>0</v>
      </c>
      <c r="L129" t="n">
        <v>0</v>
      </c>
      <c r="M129" t="n">
        <v>0</v>
      </c>
      <c r="N129" t="n">
        <v>0</v>
      </c>
      <c r="O129" t="n">
        <v>0</v>
      </c>
      <c r="P129" t="n">
        <v>0</v>
      </c>
      <c r="Q129" t="n">
        <v>0</v>
      </c>
      <c r="R129" s="2" t="inlineStr"/>
    </row>
    <row r="130" ht="15" customHeight="1">
      <c r="A130" t="inlineStr">
        <is>
          <t>A 52089-2019</t>
        </is>
      </c>
      <c r="B130" s="1" t="n">
        <v>43735</v>
      </c>
      <c r="C130" s="1" t="n">
        <v>45508</v>
      </c>
      <c r="D130" t="inlineStr">
        <is>
          <t>NORRBOTTENS LÄN</t>
        </is>
      </c>
      <c r="E130" t="inlineStr">
        <is>
          <t>JOKKMOKK</t>
        </is>
      </c>
      <c r="G130" t="n">
        <v>6.5</v>
      </c>
      <c r="H130" t="n">
        <v>0</v>
      </c>
      <c r="I130" t="n">
        <v>0</v>
      </c>
      <c r="J130" t="n">
        <v>0</v>
      </c>
      <c r="K130" t="n">
        <v>0</v>
      </c>
      <c r="L130" t="n">
        <v>0</v>
      </c>
      <c r="M130" t="n">
        <v>0</v>
      </c>
      <c r="N130" t="n">
        <v>0</v>
      </c>
      <c r="O130" t="n">
        <v>0</v>
      </c>
      <c r="P130" t="n">
        <v>0</v>
      </c>
      <c r="Q130" t="n">
        <v>0</v>
      </c>
      <c r="R130" s="2" t="inlineStr"/>
    </row>
    <row r="131" ht="15" customHeight="1">
      <c r="A131" t="inlineStr">
        <is>
          <t>A 59173-2019</t>
        </is>
      </c>
      <c r="B131" s="1" t="n">
        <v>43738</v>
      </c>
      <c r="C131" s="1" t="n">
        <v>45508</v>
      </c>
      <c r="D131" t="inlineStr">
        <is>
          <t>NORRBOTTENS LÄN</t>
        </is>
      </c>
      <c r="E131" t="inlineStr">
        <is>
          <t>JOKKMOKK</t>
        </is>
      </c>
      <c r="F131" t="inlineStr">
        <is>
          <t>Övriga statliga verk och myndigheter</t>
        </is>
      </c>
      <c r="G131" t="n">
        <v>167.3</v>
      </c>
      <c r="H131" t="n">
        <v>0</v>
      </c>
      <c r="I131" t="n">
        <v>0</v>
      </c>
      <c r="J131" t="n">
        <v>0</v>
      </c>
      <c r="K131" t="n">
        <v>0</v>
      </c>
      <c r="L131" t="n">
        <v>0</v>
      </c>
      <c r="M131" t="n">
        <v>0</v>
      </c>
      <c r="N131" t="n">
        <v>0</v>
      </c>
      <c r="O131" t="n">
        <v>0</v>
      </c>
      <c r="P131" t="n">
        <v>0</v>
      </c>
      <c r="Q131" t="n">
        <v>0</v>
      </c>
      <c r="R131" s="2" t="inlineStr"/>
    </row>
    <row r="132" ht="15" customHeight="1">
      <c r="A132" t="inlineStr">
        <is>
          <t>A 54036-2019</t>
        </is>
      </c>
      <c r="B132" s="1" t="n">
        <v>43752</v>
      </c>
      <c r="C132" s="1" t="n">
        <v>45508</v>
      </c>
      <c r="D132" t="inlineStr">
        <is>
          <t>NORRBOTTENS LÄN</t>
        </is>
      </c>
      <c r="E132" t="inlineStr">
        <is>
          <t>JOKKMOKK</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55731-2019</t>
        </is>
      </c>
      <c r="B133" s="1" t="n">
        <v>43760</v>
      </c>
      <c r="C133" s="1" t="n">
        <v>45508</v>
      </c>
      <c r="D133" t="inlineStr">
        <is>
          <t>NORRBOTTENS LÄN</t>
        </is>
      </c>
      <c r="E133" t="inlineStr">
        <is>
          <t>JOKKMOKK</t>
        </is>
      </c>
      <c r="G133" t="n">
        <v>1.3</v>
      </c>
      <c r="H133" t="n">
        <v>0</v>
      </c>
      <c r="I133" t="n">
        <v>0</v>
      </c>
      <c r="J133" t="n">
        <v>0</v>
      </c>
      <c r="K133" t="n">
        <v>0</v>
      </c>
      <c r="L133" t="n">
        <v>0</v>
      </c>
      <c r="M133" t="n">
        <v>0</v>
      </c>
      <c r="N133" t="n">
        <v>0</v>
      </c>
      <c r="O133" t="n">
        <v>0</v>
      </c>
      <c r="P133" t="n">
        <v>0</v>
      </c>
      <c r="Q133" t="n">
        <v>0</v>
      </c>
      <c r="R133" s="2" t="inlineStr"/>
    </row>
    <row r="134" ht="15" customHeight="1">
      <c r="A134" t="inlineStr">
        <is>
          <t>A 56588-2019</t>
        </is>
      </c>
      <c r="B134" s="1" t="n">
        <v>43762</v>
      </c>
      <c r="C134" s="1" t="n">
        <v>45508</v>
      </c>
      <c r="D134" t="inlineStr">
        <is>
          <t>NORRBOTTENS LÄN</t>
        </is>
      </c>
      <c r="E134" t="inlineStr">
        <is>
          <t>JOKKMOKK</t>
        </is>
      </c>
      <c r="F134" t="inlineStr">
        <is>
          <t>Allmännings- och besparingsskogar</t>
        </is>
      </c>
      <c r="G134" t="n">
        <v>175.4</v>
      </c>
      <c r="H134" t="n">
        <v>0</v>
      </c>
      <c r="I134" t="n">
        <v>0</v>
      </c>
      <c r="J134" t="n">
        <v>0</v>
      </c>
      <c r="K134" t="n">
        <v>0</v>
      </c>
      <c r="L134" t="n">
        <v>0</v>
      </c>
      <c r="M134" t="n">
        <v>0</v>
      </c>
      <c r="N134" t="n">
        <v>0</v>
      </c>
      <c r="O134" t="n">
        <v>0</v>
      </c>
      <c r="P134" t="n">
        <v>0</v>
      </c>
      <c r="Q134" t="n">
        <v>0</v>
      </c>
      <c r="R134" s="2" t="inlineStr"/>
    </row>
    <row r="135" ht="15" customHeight="1">
      <c r="A135" t="inlineStr">
        <is>
          <t>A 62190-2019</t>
        </is>
      </c>
      <c r="B135" s="1" t="n">
        <v>43787</v>
      </c>
      <c r="C135" s="1" t="n">
        <v>45508</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62191-2019</t>
        </is>
      </c>
      <c r="B136" s="1" t="n">
        <v>43787</v>
      </c>
      <c r="C136" s="1" t="n">
        <v>45508</v>
      </c>
      <c r="D136" t="inlineStr">
        <is>
          <t>NORRBOTTENS LÄN</t>
        </is>
      </c>
      <c r="E136" t="inlineStr">
        <is>
          <t>JOKKMOKK</t>
        </is>
      </c>
      <c r="G136" t="n">
        <v>2.6</v>
      </c>
      <c r="H136" t="n">
        <v>0</v>
      </c>
      <c r="I136" t="n">
        <v>0</v>
      </c>
      <c r="J136" t="n">
        <v>0</v>
      </c>
      <c r="K136" t="n">
        <v>0</v>
      </c>
      <c r="L136" t="n">
        <v>0</v>
      </c>
      <c r="M136" t="n">
        <v>0</v>
      </c>
      <c r="N136" t="n">
        <v>0</v>
      </c>
      <c r="O136" t="n">
        <v>0</v>
      </c>
      <c r="P136" t="n">
        <v>0</v>
      </c>
      <c r="Q136" t="n">
        <v>0</v>
      </c>
      <c r="R136" s="2" t="inlineStr"/>
    </row>
    <row r="137" ht="15" customHeight="1">
      <c r="A137" t="inlineStr">
        <is>
          <t>A 63349-2019</t>
        </is>
      </c>
      <c r="B137" s="1" t="n">
        <v>43787</v>
      </c>
      <c r="C137" s="1" t="n">
        <v>45508</v>
      </c>
      <c r="D137" t="inlineStr">
        <is>
          <t>NORRBOTTENS LÄN</t>
        </is>
      </c>
      <c r="E137" t="inlineStr">
        <is>
          <t>JOKKMOKK</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62461-2019</t>
        </is>
      </c>
      <c r="B138" s="1" t="n">
        <v>43788</v>
      </c>
      <c r="C138" s="1" t="n">
        <v>45508</v>
      </c>
      <c r="D138" t="inlineStr">
        <is>
          <t>NORRBOTTENS LÄN</t>
        </is>
      </c>
      <c r="E138" t="inlineStr">
        <is>
          <t>JOKKMOKK</t>
        </is>
      </c>
      <c r="G138" t="n">
        <v>3.6</v>
      </c>
      <c r="H138" t="n">
        <v>0</v>
      </c>
      <c r="I138" t="n">
        <v>0</v>
      </c>
      <c r="J138" t="n">
        <v>0</v>
      </c>
      <c r="K138" t="n">
        <v>0</v>
      </c>
      <c r="L138" t="n">
        <v>0</v>
      </c>
      <c r="M138" t="n">
        <v>0</v>
      </c>
      <c r="N138" t="n">
        <v>0</v>
      </c>
      <c r="O138" t="n">
        <v>0</v>
      </c>
      <c r="P138" t="n">
        <v>0</v>
      </c>
      <c r="Q138" t="n">
        <v>0</v>
      </c>
      <c r="R138" s="2" t="inlineStr"/>
    </row>
    <row r="139" ht="15" customHeight="1">
      <c r="A139" t="inlineStr">
        <is>
          <t>A 62480-2019</t>
        </is>
      </c>
      <c r="B139" s="1" t="n">
        <v>43788</v>
      </c>
      <c r="C139" s="1" t="n">
        <v>45508</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62481-2019</t>
        </is>
      </c>
      <c r="B140" s="1" t="n">
        <v>43788</v>
      </c>
      <c r="C140" s="1" t="n">
        <v>45508</v>
      </c>
      <c r="D140" t="inlineStr">
        <is>
          <t>NORRBOTTENS LÄN</t>
        </is>
      </c>
      <c r="E140" t="inlineStr">
        <is>
          <t>JOKKMOKK</t>
        </is>
      </c>
      <c r="G140" t="n">
        <v>6.2</v>
      </c>
      <c r="H140" t="n">
        <v>0</v>
      </c>
      <c r="I140" t="n">
        <v>0</v>
      </c>
      <c r="J140" t="n">
        <v>0</v>
      </c>
      <c r="K140" t="n">
        <v>0</v>
      </c>
      <c r="L140" t="n">
        <v>0</v>
      </c>
      <c r="M140" t="n">
        <v>0</v>
      </c>
      <c r="N140" t="n">
        <v>0</v>
      </c>
      <c r="O140" t="n">
        <v>0</v>
      </c>
      <c r="P140" t="n">
        <v>0</v>
      </c>
      <c r="Q140" t="n">
        <v>0</v>
      </c>
      <c r="R140" s="2" t="inlineStr"/>
    </row>
    <row r="141" ht="15" customHeight="1">
      <c r="A141" t="inlineStr">
        <is>
          <t>A 63390-2019</t>
        </is>
      </c>
      <c r="B141" s="1" t="n">
        <v>43790</v>
      </c>
      <c r="C141" s="1" t="n">
        <v>45508</v>
      </c>
      <c r="D141" t="inlineStr">
        <is>
          <t>NORRBOTTENS LÄN</t>
        </is>
      </c>
      <c r="E141" t="inlineStr">
        <is>
          <t>JOKKMOKK</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63219-2019</t>
        </is>
      </c>
      <c r="B142" s="1" t="n">
        <v>43791</v>
      </c>
      <c r="C142" s="1" t="n">
        <v>45508</v>
      </c>
      <c r="D142" t="inlineStr">
        <is>
          <t>NORRBOTTENS LÄN</t>
        </is>
      </c>
      <c r="E142" t="inlineStr">
        <is>
          <t>JOKKMOKK</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63243-2019</t>
        </is>
      </c>
      <c r="B143" s="1" t="n">
        <v>43792</v>
      </c>
      <c r="C143" s="1" t="n">
        <v>45508</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63261-2019</t>
        </is>
      </c>
      <c r="B144" s="1" t="n">
        <v>43793</v>
      </c>
      <c r="C144" s="1" t="n">
        <v>45508</v>
      </c>
      <c r="D144" t="inlineStr">
        <is>
          <t>NORRBOTTENS LÄN</t>
        </is>
      </c>
      <c r="E144" t="inlineStr">
        <is>
          <t>JOKKMOKK</t>
        </is>
      </c>
      <c r="G144" t="n">
        <v>3</v>
      </c>
      <c r="H144" t="n">
        <v>0</v>
      </c>
      <c r="I144" t="n">
        <v>0</v>
      </c>
      <c r="J144" t="n">
        <v>0</v>
      </c>
      <c r="K144" t="n">
        <v>0</v>
      </c>
      <c r="L144" t="n">
        <v>0</v>
      </c>
      <c r="M144" t="n">
        <v>0</v>
      </c>
      <c r="N144" t="n">
        <v>0</v>
      </c>
      <c r="O144" t="n">
        <v>0</v>
      </c>
      <c r="P144" t="n">
        <v>0</v>
      </c>
      <c r="Q144" t="n">
        <v>0</v>
      </c>
      <c r="R144" s="2" t="inlineStr"/>
    </row>
    <row r="145" ht="15" customHeight="1">
      <c r="A145" t="inlineStr">
        <is>
          <t>A 67227-2019</t>
        </is>
      </c>
      <c r="B145" s="1" t="n">
        <v>43811</v>
      </c>
      <c r="C145" s="1" t="n">
        <v>45508</v>
      </c>
      <c r="D145" t="inlineStr">
        <is>
          <t>NORRBOTTENS LÄN</t>
        </is>
      </c>
      <c r="E145" t="inlineStr">
        <is>
          <t>JOKKMOKK</t>
        </is>
      </c>
      <c r="G145" t="n">
        <v>3.7</v>
      </c>
      <c r="H145" t="n">
        <v>0</v>
      </c>
      <c r="I145" t="n">
        <v>0</v>
      </c>
      <c r="J145" t="n">
        <v>0</v>
      </c>
      <c r="K145" t="n">
        <v>0</v>
      </c>
      <c r="L145" t="n">
        <v>0</v>
      </c>
      <c r="M145" t="n">
        <v>0</v>
      </c>
      <c r="N145" t="n">
        <v>0</v>
      </c>
      <c r="O145" t="n">
        <v>0</v>
      </c>
      <c r="P145" t="n">
        <v>0</v>
      </c>
      <c r="Q145" t="n">
        <v>0</v>
      </c>
      <c r="R145" s="2" t="inlineStr"/>
    </row>
    <row r="146" ht="15" customHeight="1">
      <c r="A146" t="inlineStr">
        <is>
          <t>A 67809-2019</t>
        </is>
      </c>
      <c r="B146" s="1" t="n">
        <v>43815</v>
      </c>
      <c r="C146" s="1" t="n">
        <v>45508</v>
      </c>
      <c r="D146" t="inlineStr">
        <is>
          <t>NORRBOTTENS LÄN</t>
        </is>
      </c>
      <c r="E146" t="inlineStr">
        <is>
          <t>JOKKMOKK</t>
        </is>
      </c>
      <c r="G146" t="n">
        <v>6</v>
      </c>
      <c r="H146" t="n">
        <v>0</v>
      </c>
      <c r="I146" t="n">
        <v>0</v>
      </c>
      <c r="J146" t="n">
        <v>0</v>
      </c>
      <c r="K146" t="n">
        <v>0</v>
      </c>
      <c r="L146" t="n">
        <v>0</v>
      </c>
      <c r="M146" t="n">
        <v>0</v>
      </c>
      <c r="N146" t="n">
        <v>0</v>
      </c>
      <c r="O146" t="n">
        <v>0</v>
      </c>
      <c r="P146" t="n">
        <v>0</v>
      </c>
      <c r="Q146" t="n">
        <v>0</v>
      </c>
      <c r="R146" s="2" t="inlineStr"/>
    </row>
    <row r="147" ht="15" customHeight="1">
      <c r="A147" t="inlineStr">
        <is>
          <t>A 68307-2019</t>
        </is>
      </c>
      <c r="B147" s="1" t="n">
        <v>43817</v>
      </c>
      <c r="C147" s="1" t="n">
        <v>45508</v>
      </c>
      <c r="D147" t="inlineStr">
        <is>
          <t>NORRBOTTENS LÄN</t>
        </is>
      </c>
      <c r="E147" t="inlineStr">
        <is>
          <t>JOKKMOKK</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68301-2019</t>
        </is>
      </c>
      <c r="B148" s="1" t="n">
        <v>43817</v>
      </c>
      <c r="C148" s="1" t="n">
        <v>45508</v>
      </c>
      <c r="D148" t="inlineStr">
        <is>
          <t>NORRBOTTENS LÄN</t>
        </is>
      </c>
      <c r="E148" t="inlineStr">
        <is>
          <t>JOKKMOKK</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68310-2019</t>
        </is>
      </c>
      <c r="B149" s="1" t="n">
        <v>43817</v>
      </c>
      <c r="C149" s="1" t="n">
        <v>45508</v>
      </c>
      <c r="D149" t="inlineStr">
        <is>
          <t>NORRBOTTENS LÄN</t>
        </is>
      </c>
      <c r="E149" t="inlineStr">
        <is>
          <t>JOKKMOKK</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995-2020</t>
        </is>
      </c>
      <c r="B150" s="1" t="n">
        <v>43819</v>
      </c>
      <c r="C150" s="1" t="n">
        <v>45508</v>
      </c>
      <c r="D150" t="inlineStr">
        <is>
          <t>NORRBOTTENS LÄN</t>
        </is>
      </c>
      <c r="E150" t="inlineStr">
        <is>
          <t>JOKKMOKK</t>
        </is>
      </c>
      <c r="G150" t="n">
        <v>23.9</v>
      </c>
      <c r="H150" t="n">
        <v>0</v>
      </c>
      <c r="I150" t="n">
        <v>0</v>
      </c>
      <c r="J150" t="n">
        <v>0</v>
      </c>
      <c r="K150" t="n">
        <v>0</v>
      </c>
      <c r="L150" t="n">
        <v>0</v>
      </c>
      <c r="M150" t="n">
        <v>0</v>
      </c>
      <c r="N150" t="n">
        <v>0</v>
      </c>
      <c r="O150" t="n">
        <v>0</v>
      </c>
      <c r="P150" t="n">
        <v>0</v>
      </c>
      <c r="Q150" t="n">
        <v>0</v>
      </c>
      <c r="R150" s="2" t="inlineStr"/>
    </row>
    <row r="151" ht="15" customHeight="1">
      <c r="A151" t="inlineStr">
        <is>
          <t>A 4680-2020</t>
        </is>
      </c>
      <c r="B151" s="1" t="n">
        <v>43852</v>
      </c>
      <c r="C151" s="1" t="n">
        <v>45508</v>
      </c>
      <c r="D151" t="inlineStr">
        <is>
          <t>NORRBOTTENS LÄN</t>
        </is>
      </c>
      <c r="E151" t="inlineStr">
        <is>
          <t>JOKKMOKK</t>
        </is>
      </c>
      <c r="G151" t="n">
        <v>48</v>
      </c>
      <c r="H151" t="n">
        <v>0</v>
      </c>
      <c r="I151" t="n">
        <v>0</v>
      </c>
      <c r="J151" t="n">
        <v>0</v>
      </c>
      <c r="K151" t="n">
        <v>0</v>
      </c>
      <c r="L151" t="n">
        <v>0</v>
      </c>
      <c r="M151" t="n">
        <v>0</v>
      </c>
      <c r="N151" t="n">
        <v>0</v>
      </c>
      <c r="O151" t="n">
        <v>0</v>
      </c>
      <c r="P151" t="n">
        <v>0</v>
      </c>
      <c r="Q151" t="n">
        <v>0</v>
      </c>
      <c r="R151" s="2" t="inlineStr"/>
    </row>
    <row r="152" ht="15" customHeight="1">
      <c r="A152" t="inlineStr">
        <is>
          <t>A 18992-2020</t>
        </is>
      </c>
      <c r="B152" s="1" t="n">
        <v>43935</v>
      </c>
      <c r="C152" s="1" t="n">
        <v>45508</v>
      </c>
      <c r="D152" t="inlineStr">
        <is>
          <t>NORRBOTTENS LÄN</t>
        </is>
      </c>
      <c r="E152" t="inlineStr">
        <is>
          <t>JOKKMOKK</t>
        </is>
      </c>
      <c r="F152" t="inlineStr">
        <is>
          <t>SCA</t>
        </is>
      </c>
      <c r="G152" t="n">
        <v>3.9</v>
      </c>
      <c r="H152" t="n">
        <v>0</v>
      </c>
      <c r="I152" t="n">
        <v>0</v>
      </c>
      <c r="J152" t="n">
        <v>0</v>
      </c>
      <c r="K152" t="n">
        <v>0</v>
      </c>
      <c r="L152" t="n">
        <v>0</v>
      </c>
      <c r="M152" t="n">
        <v>0</v>
      </c>
      <c r="N152" t="n">
        <v>0</v>
      </c>
      <c r="O152" t="n">
        <v>0</v>
      </c>
      <c r="P152" t="n">
        <v>0</v>
      </c>
      <c r="Q152" t="n">
        <v>0</v>
      </c>
      <c r="R152" s="2" t="inlineStr"/>
    </row>
    <row r="153" ht="15" customHeight="1">
      <c r="A153" t="inlineStr">
        <is>
          <t>A 19150-2020</t>
        </is>
      </c>
      <c r="B153" s="1" t="n">
        <v>43936</v>
      </c>
      <c r="C153" s="1" t="n">
        <v>45508</v>
      </c>
      <c r="D153" t="inlineStr">
        <is>
          <t>NORRBOTTENS LÄN</t>
        </is>
      </c>
      <c r="E153" t="inlineStr">
        <is>
          <t>JOKKMOKK</t>
        </is>
      </c>
      <c r="F153" t="inlineStr">
        <is>
          <t>Naturvårdsverket</t>
        </is>
      </c>
      <c r="G153" t="n">
        <v>1.7</v>
      </c>
      <c r="H153" t="n">
        <v>0</v>
      </c>
      <c r="I153" t="n">
        <v>0</v>
      </c>
      <c r="J153" t="n">
        <v>0</v>
      </c>
      <c r="K153" t="n">
        <v>0</v>
      </c>
      <c r="L153" t="n">
        <v>0</v>
      </c>
      <c r="M153" t="n">
        <v>0</v>
      </c>
      <c r="N153" t="n">
        <v>0</v>
      </c>
      <c r="O153" t="n">
        <v>0</v>
      </c>
      <c r="P153" t="n">
        <v>0</v>
      </c>
      <c r="Q153" t="n">
        <v>0</v>
      </c>
      <c r="R153" s="2" t="inlineStr"/>
    </row>
    <row r="154" ht="15" customHeight="1">
      <c r="A154" t="inlineStr">
        <is>
          <t>A 23337-2020</t>
        </is>
      </c>
      <c r="B154" s="1" t="n">
        <v>43966</v>
      </c>
      <c r="C154" s="1" t="n">
        <v>45508</v>
      </c>
      <c r="D154" t="inlineStr">
        <is>
          <t>NORRBOTTENS LÄN</t>
        </is>
      </c>
      <c r="E154" t="inlineStr">
        <is>
          <t>JOKKMOKK</t>
        </is>
      </c>
      <c r="F154" t="inlineStr">
        <is>
          <t>SCA</t>
        </is>
      </c>
      <c r="G154" t="n">
        <v>22.6</v>
      </c>
      <c r="H154" t="n">
        <v>0</v>
      </c>
      <c r="I154" t="n">
        <v>0</v>
      </c>
      <c r="J154" t="n">
        <v>0</v>
      </c>
      <c r="K154" t="n">
        <v>0</v>
      </c>
      <c r="L154" t="n">
        <v>0</v>
      </c>
      <c r="M154" t="n">
        <v>0</v>
      </c>
      <c r="N154" t="n">
        <v>0</v>
      </c>
      <c r="O154" t="n">
        <v>0</v>
      </c>
      <c r="P154" t="n">
        <v>0</v>
      </c>
      <c r="Q154" t="n">
        <v>0</v>
      </c>
      <c r="R154" s="2" t="inlineStr"/>
    </row>
    <row r="155" ht="15" customHeight="1">
      <c r="A155" t="inlineStr">
        <is>
          <t>A 24055-2020</t>
        </is>
      </c>
      <c r="B155" s="1" t="n">
        <v>43971</v>
      </c>
      <c r="C155" s="1" t="n">
        <v>45508</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24422-2020</t>
        </is>
      </c>
      <c r="B156" s="1" t="n">
        <v>43976</v>
      </c>
      <c r="C156" s="1" t="n">
        <v>45508</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25163-2020</t>
        </is>
      </c>
      <c r="B157" s="1" t="n">
        <v>43980</v>
      </c>
      <c r="C157" s="1" t="n">
        <v>45508</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25305-2020</t>
        </is>
      </c>
      <c r="B158" s="1" t="n">
        <v>43980</v>
      </c>
      <c r="C158" s="1" t="n">
        <v>45508</v>
      </c>
      <c r="D158" t="inlineStr">
        <is>
          <t>NORRBOTTENS LÄN</t>
        </is>
      </c>
      <c r="E158" t="inlineStr">
        <is>
          <t>JOKKMOKK</t>
        </is>
      </c>
      <c r="F158" t="inlineStr">
        <is>
          <t>Sveaskog</t>
        </is>
      </c>
      <c r="G158" t="n">
        <v>5</v>
      </c>
      <c r="H158" t="n">
        <v>0</v>
      </c>
      <c r="I158" t="n">
        <v>0</v>
      </c>
      <c r="J158" t="n">
        <v>0</v>
      </c>
      <c r="K158" t="n">
        <v>0</v>
      </c>
      <c r="L158" t="n">
        <v>0</v>
      </c>
      <c r="M158" t="n">
        <v>0</v>
      </c>
      <c r="N158" t="n">
        <v>0</v>
      </c>
      <c r="O158" t="n">
        <v>0</v>
      </c>
      <c r="P158" t="n">
        <v>0</v>
      </c>
      <c r="Q158" t="n">
        <v>0</v>
      </c>
      <c r="R158" s="2" t="inlineStr"/>
    </row>
    <row r="159" ht="15" customHeight="1">
      <c r="A159" t="inlineStr">
        <is>
          <t>A 27058-2020</t>
        </is>
      </c>
      <c r="B159" s="1" t="n">
        <v>43987</v>
      </c>
      <c r="C159" s="1" t="n">
        <v>45508</v>
      </c>
      <c r="D159" t="inlineStr">
        <is>
          <t>NORRBOTTENS LÄN</t>
        </is>
      </c>
      <c r="E159" t="inlineStr">
        <is>
          <t>JOKKMOKK</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27165-2020</t>
        </is>
      </c>
      <c r="B160" s="1" t="n">
        <v>43991</v>
      </c>
      <c r="C160" s="1" t="n">
        <v>45508</v>
      </c>
      <c r="D160" t="inlineStr">
        <is>
          <t>NORRBOTTENS LÄN</t>
        </is>
      </c>
      <c r="E160" t="inlineStr">
        <is>
          <t>JOKKMOKK</t>
        </is>
      </c>
      <c r="F160" t="inlineStr">
        <is>
          <t>Sveaskog</t>
        </is>
      </c>
      <c r="G160" t="n">
        <v>10.3</v>
      </c>
      <c r="H160" t="n">
        <v>0</v>
      </c>
      <c r="I160" t="n">
        <v>0</v>
      </c>
      <c r="J160" t="n">
        <v>0</v>
      </c>
      <c r="K160" t="n">
        <v>0</v>
      </c>
      <c r="L160" t="n">
        <v>0</v>
      </c>
      <c r="M160" t="n">
        <v>0</v>
      </c>
      <c r="N160" t="n">
        <v>0</v>
      </c>
      <c r="O160" t="n">
        <v>0</v>
      </c>
      <c r="P160" t="n">
        <v>0</v>
      </c>
      <c r="Q160" t="n">
        <v>0</v>
      </c>
      <c r="R160" s="2" t="inlineStr"/>
    </row>
    <row r="161" ht="15" customHeight="1">
      <c r="A161" t="inlineStr">
        <is>
          <t>A 29798-2020</t>
        </is>
      </c>
      <c r="B161" s="1" t="n">
        <v>44005</v>
      </c>
      <c r="C161" s="1" t="n">
        <v>45508</v>
      </c>
      <c r="D161" t="inlineStr">
        <is>
          <t>NORRBOTTENS LÄN</t>
        </is>
      </c>
      <c r="E161" t="inlineStr">
        <is>
          <t>JOKKMOKK</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30809-2020</t>
        </is>
      </c>
      <c r="B162" s="1" t="n">
        <v>44011</v>
      </c>
      <c r="C162" s="1" t="n">
        <v>45508</v>
      </c>
      <c r="D162" t="inlineStr">
        <is>
          <t>NORRBOTTENS LÄN</t>
        </is>
      </c>
      <c r="E162" t="inlineStr">
        <is>
          <t>JOKKMOKK</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33730-2020</t>
        </is>
      </c>
      <c r="B163" s="1" t="n">
        <v>44022</v>
      </c>
      <c r="C163" s="1" t="n">
        <v>45508</v>
      </c>
      <c r="D163" t="inlineStr">
        <is>
          <t>NORRBOTTENS LÄN</t>
        </is>
      </c>
      <c r="E163" t="inlineStr">
        <is>
          <t>JOKKMOKK</t>
        </is>
      </c>
      <c r="F163" t="inlineStr">
        <is>
          <t>Övriga Aktiebolag</t>
        </is>
      </c>
      <c r="G163" t="n">
        <v>3.3</v>
      </c>
      <c r="H163" t="n">
        <v>0</v>
      </c>
      <c r="I163" t="n">
        <v>0</v>
      </c>
      <c r="J163" t="n">
        <v>0</v>
      </c>
      <c r="K163" t="n">
        <v>0</v>
      </c>
      <c r="L163" t="n">
        <v>0</v>
      </c>
      <c r="M163" t="n">
        <v>0</v>
      </c>
      <c r="N163" t="n">
        <v>0</v>
      </c>
      <c r="O163" t="n">
        <v>0</v>
      </c>
      <c r="P163" t="n">
        <v>0</v>
      </c>
      <c r="Q163" t="n">
        <v>0</v>
      </c>
      <c r="R163" s="2" t="inlineStr"/>
    </row>
    <row r="164" ht="15" customHeight="1">
      <c r="A164" t="inlineStr">
        <is>
          <t>A 34445-2020</t>
        </is>
      </c>
      <c r="B164" s="1" t="n">
        <v>44029</v>
      </c>
      <c r="C164" s="1" t="n">
        <v>45508</v>
      </c>
      <c r="D164" t="inlineStr">
        <is>
          <t>NORRBOTTENS LÄN</t>
        </is>
      </c>
      <c r="E164" t="inlineStr">
        <is>
          <t>JOKKMOKK</t>
        </is>
      </c>
      <c r="G164" t="n">
        <v>2</v>
      </c>
      <c r="H164" t="n">
        <v>0</v>
      </c>
      <c r="I164" t="n">
        <v>0</v>
      </c>
      <c r="J164" t="n">
        <v>0</v>
      </c>
      <c r="K164" t="n">
        <v>0</v>
      </c>
      <c r="L164" t="n">
        <v>0</v>
      </c>
      <c r="M164" t="n">
        <v>0</v>
      </c>
      <c r="N164" t="n">
        <v>0</v>
      </c>
      <c r="O164" t="n">
        <v>0</v>
      </c>
      <c r="P164" t="n">
        <v>0</v>
      </c>
      <c r="Q164" t="n">
        <v>0</v>
      </c>
      <c r="R164" s="2" t="inlineStr"/>
    </row>
    <row r="165" ht="15" customHeight="1">
      <c r="A165" t="inlineStr">
        <is>
          <t>A 38254-2020</t>
        </is>
      </c>
      <c r="B165" s="1" t="n">
        <v>44060</v>
      </c>
      <c r="C165" s="1" t="n">
        <v>45508</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38638-2020</t>
        </is>
      </c>
      <c r="B166" s="1" t="n">
        <v>44061</v>
      </c>
      <c r="C166" s="1" t="n">
        <v>45508</v>
      </c>
      <c r="D166" t="inlineStr">
        <is>
          <t>NORRBOTTENS LÄN</t>
        </is>
      </c>
      <c r="E166" t="inlineStr">
        <is>
          <t>JOKKMOKK</t>
        </is>
      </c>
      <c r="F166" t="inlineStr">
        <is>
          <t>Övriga Aktiebolag</t>
        </is>
      </c>
      <c r="G166" t="n">
        <v>22.2</v>
      </c>
      <c r="H166" t="n">
        <v>0</v>
      </c>
      <c r="I166" t="n">
        <v>0</v>
      </c>
      <c r="J166" t="n">
        <v>0</v>
      </c>
      <c r="K166" t="n">
        <v>0</v>
      </c>
      <c r="L166" t="n">
        <v>0</v>
      </c>
      <c r="M166" t="n">
        <v>0</v>
      </c>
      <c r="N166" t="n">
        <v>0</v>
      </c>
      <c r="O166" t="n">
        <v>0</v>
      </c>
      <c r="P166" t="n">
        <v>0</v>
      </c>
      <c r="Q166" t="n">
        <v>0</v>
      </c>
      <c r="R166" s="2" t="inlineStr"/>
    </row>
    <row r="167" ht="15" customHeight="1">
      <c r="A167" t="inlineStr">
        <is>
          <t>A 38711-2020</t>
        </is>
      </c>
      <c r="B167" s="1" t="n">
        <v>44061</v>
      </c>
      <c r="C167" s="1" t="n">
        <v>45508</v>
      </c>
      <c r="D167" t="inlineStr">
        <is>
          <t>NORRBOTTENS LÄN</t>
        </is>
      </c>
      <c r="E167" t="inlineStr">
        <is>
          <t>JOKKMOKK</t>
        </is>
      </c>
      <c r="F167" t="inlineStr">
        <is>
          <t>Övriga statliga verk och myndigheter</t>
        </is>
      </c>
      <c r="G167" t="n">
        <v>16.1</v>
      </c>
      <c r="H167" t="n">
        <v>0</v>
      </c>
      <c r="I167" t="n">
        <v>0</v>
      </c>
      <c r="J167" t="n">
        <v>0</v>
      </c>
      <c r="K167" t="n">
        <v>0</v>
      </c>
      <c r="L167" t="n">
        <v>0</v>
      </c>
      <c r="M167" t="n">
        <v>0</v>
      </c>
      <c r="N167" t="n">
        <v>0</v>
      </c>
      <c r="O167" t="n">
        <v>0</v>
      </c>
      <c r="P167" t="n">
        <v>0</v>
      </c>
      <c r="Q167" t="n">
        <v>0</v>
      </c>
      <c r="R167" s="2" t="inlineStr"/>
    </row>
    <row r="168" ht="15" customHeight="1">
      <c r="A168" t="inlineStr">
        <is>
          <t>A 39085-2020</t>
        </is>
      </c>
      <c r="B168" s="1" t="n">
        <v>44062</v>
      </c>
      <c r="C168" s="1" t="n">
        <v>45508</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40110-2020</t>
        </is>
      </c>
      <c r="B169" s="1" t="n">
        <v>44067</v>
      </c>
      <c r="C169" s="1" t="n">
        <v>45508</v>
      </c>
      <c r="D169" t="inlineStr">
        <is>
          <t>NORRBOTTENS LÄN</t>
        </is>
      </c>
      <c r="E169" t="inlineStr">
        <is>
          <t>JOKKMOKK</t>
        </is>
      </c>
      <c r="F169" t="inlineStr">
        <is>
          <t>Övriga Aktiebolag</t>
        </is>
      </c>
      <c r="G169" t="n">
        <v>14.4</v>
      </c>
      <c r="H169" t="n">
        <v>0</v>
      </c>
      <c r="I169" t="n">
        <v>0</v>
      </c>
      <c r="J169" t="n">
        <v>0</v>
      </c>
      <c r="K169" t="n">
        <v>0</v>
      </c>
      <c r="L169" t="n">
        <v>0</v>
      </c>
      <c r="M169" t="n">
        <v>0</v>
      </c>
      <c r="N169" t="n">
        <v>0</v>
      </c>
      <c r="O169" t="n">
        <v>0</v>
      </c>
      <c r="P169" t="n">
        <v>0</v>
      </c>
      <c r="Q169" t="n">
        <v>0</v>
      </c>
      <c r="R169" s="2" t="inlineStr"/>
    </row>
    <row r="170" ht="15" customHeight="1">
      <c r="A170" t="inlineStr">
        <is>
          <t>A 46097-2020</t>
        </is>
      </c>
      <c r="B170" s="1" t="n">
        <v>44088</v>
      </c>
      <c r="C170" s="1" t="n">
        <v>45508</v>
      </c>
      <c r="D170" t="inlineStr">
        <is>
          <t>NORRBOTTENS LÄN</t>
        </is>
      </c>
      <c r="E170" t="inlineStr">
        <is>
          <t>JOKKMOKK</t>
        </is>
      </c>
      <c r="F170" t="inlineStr">
        <is>
          <t>Övriga Aktiebolag</t>
        </is>
      </c>
      <c r="G170" t="n">
        <v>2</v>
      </c>
      <c r="H170" t="n">
        <v>0</v>
      </c>
      <c r="I170" t="n">
        <v>0</v>
      </c>
      <c r="J170" t="n">
        <v>0</v>
      </c>
      <c r="K170" t="n">
        <v>0</v>
      </c>
      <c r="L170" t="n">
        <v>0</v>
      </c>
      <c r="M170" t="n">
        <v>0</v>
      </c>
      <c r="N170" t="n">
        <v>0</v>
      </c>
      <c r="O170" t="n">
        <v>0</v>
      </c>
      <c r="P170" t="n">
        <v>0</v>
      </c>
      <c r="Q170" t="n">
        <v>0</v>
      </c>
      <c r="R170" s="2" t="inlineStr"/>
    </row>
    <row r="171" ht="15" customHeight="1">
      <c r="A171" t="inlineStr">
        <is>
          <t>A 46779-2020</t>
        </is>
      </c>
      <c r="B171" s="1" t="n">
        <v>44090</v>
      </c>
      <c r="C171" s="1" t="n">
        <v>45508</v>
      </c>
      <c r="D171" t="inlineStr">
        <is>
          <t>NORRBOTTENS LÄN</t>
        </is>
      </c>
      <c r="E171" t="inlineStr">
        <is>
          <t>JOKKMOKK</t>
        </is>
      </c>
      <c r="F171" t="inlineStr">
        <is>
          <t>Allmännings- och besparingsskogar</t>
        </is>
      </c>
      <c r="G171" t="n">
        <v>21.7</v>
      </c>
      <c r="H171" t="n">
        <v>0</v>
      </c>
      <c r="I171" t="n">
        <v>0</v>
      </c>
      <c r="J171" t="n">
        <v>0</v>
      </c>
      <c r="K171" t="n">
        <v>0</v>
      </c>
      <c r="L171" t="n">
        <v>0</v>
      </c>
      <c r="M171" t="n">
        <v>0</v>
      </c>
      <c r="N171" t="n">
        <v>0</v>
      </c>
      <c r="O171" t="n">
        <v>0</v>
      </c>
      <c r="P171" t="n">
        <v>0</v>
      </c>
      <c r="Q171" t="n">
        <v>0</v>
      </c>
      <c r="R171" s="2" t="inlineStr"/>
    </row>
    <row r="172" ht="15" customHeight="1">
      <c r="A172" t="inlineStr">
        <is>
          <t>A 46375-2020</t>
        </is>
      </c>
      <c r="B172" s="1" t="n">
        <v>44092</v>
      </c>
      <c r="C172" s="1" t="n">
        <v>45508</v>
      </c>
      <c r="D172" t="inlineStr">
        <is>
          <t>NORRBOTTENS LÄN</t>
        </is>
      </c>
      <c r="E172" t="inlineStr">
        <is>
          <t>JOKKMOKK</t>
        </is>
      </c>
      <c r="F172" t="inlineStr">
        <is>
          <t>SCA</t>
        </is>
      </c>
      <c r="G172" t="n">
        <v>25.4</v>
      </c>
      <c r="H172" t="n">
        <v>0</v>
      </c>
      <c r="I172" t="n">
        <v>0</v>
      </c>
      <c r="J172" t="n">
        <v>0</v>
      </c>
      <c r="K172" t="n">
        <v>0</v>
      </c>
      <c r="L172" t="n">
        <v>0</v>
      </c>
      <c r="M172" t="n">
        <v>0</v>
      </c>
      <c r="N172" t="n">
        <v>0</v>
      </c>
      <c r="O172" t="n">
        <v>0</v>
      </c>
      <c r="P172" t="n">
        <v>0</v>
      </c>
      <c r="Q172" t="n">
        <v>0</v>
      </c>
      <c r="R172" s="2" t="inlineStr"/>
    </row>
    <row r="173" ht="15" customHeight="1">
      <c r="A173" t="inlineStr">
        <is>
          <t>A 47397-2020</t>
        </is>
      </c>
      <c r="B173" s="1" t="n">
        <v>44095</v>
      </c>
      <c r="C173" s="1" t="n">
        <v>45508</v>
      </c>
      <c r="D173" t="inlineStr">
        <is>
          <t>NORRBOTTENS LÄN</t>
        </is>
      </c>
      <c r="E173" t="inlineStr">
        <is>
          <t>JOKKMOKK</t>
        </is>
      </c>
      <c r="F173" t="inlineStr">
        <is>
          <t>Allmännings- och besparingsskogar</t>
        </is>
      </c>
      <c r="G173" t="n">
        <v>3.5</v>
      </c>
      <c r="H173" t="n">
        <v>0</v>
      </c>
      <c r="I173" t="n">
        <v>0</v>
      </c>
      <c r="J173" t="n">
        <v>0</v>
      </c>
      <c r="K173" t="n">
        <v>0</v>
      </c>
      <c r="L173" t="n">
        <v>0</v>
      </c>
      <c r="M173" t="n">
        <v>0</v>
      </c>
      <c r="N173" t="n">
        <v>0</v>
      </c>
      <c r="O173" t="n">
        <v>0</v>
      </c>
      <c r="P173" t="n">
        <v>0</v>
      </c>
      <c r="Q173" t="n">
        <v>0</v>
      </c>
      <c r="R173" s="2" t="inlineStr"/>
    </row>
    <row r="174" ht="15" customHeight="1">
      <c r="A174" t="inlineStr">
        <is>
          <t>A 47252-2020</t>
        </is>
      </c>
      <c r="B174" s="1" t="n">
        <v>44096</v>
      </c>
      <c r="C174" s="1" t="n">
        <v>45508</v>
      </c>
      <c r="D174" t="inlineStr">
        <is>
          <t>NORRBOTTENS LÄN</t>
        </is>
      </c>
      <c r="E174" t="inlineStr">
        <is>
          <t>JOKKMOKK</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48338-2020</t>
        </is>
      </c>
      <c r="B175" s="1" t="n">
        <v>44098</v>
      </c>
      <c r="C175" s="1" t="n">
        <v>45508</v>
      </c>
      <c r="D175" t="inlineStr">
        <is>
          <t>NORRBOTTENS LÄN</t>
        </is>
      </c>
      <c r="E175" t="inlineStr">
        <is>
          <t>JOKKMOKK</t>
        </is>
      </c>
      <c r="F175" t="inlineStr">
        <is>
          <t>Allmännings- och besparingsskogar</t>
        </is>
      </c>
      <c r="G175" t="n">
        <v>3.4</v>
      </c>
      <c r="H175" t="n">
        <v>0</v>
      </c>
      <c r="I175" t="n">
        <v>0</v>
      </c>
      <c r="J175" t="n">
        <v>0</v>
      </c>
      <c r="K175" t="n">
        <v>0</v>
      </c>
      <c r="L175" t="n">
        <v>0</v>
      </c>
      <c r="M175" t="n">
        <v>0</v>
      </c>
      <c r="N175" t="n">
        <v>0</v>
      </c>
      <c r="O175" t="n">
        <v>0</v>
      </c>
      <c r="P175" t="n">
        <v>0</v>
      </c>
      <c r="Q175" t="n">
        <v>0</v>
      </c>
      <c r="R175" s="2" t="inlineStr"/>
    </row>
    <row r="176" ht="15" customHeight="1">
      <c r="A176" t="inlineStr">
        <is>
          <t>A 48463-2020</t>
        </is>
      </c>
      <c r="B176" s="1" t="n">
        <v>44102</v>
      </c>
      <c r="C176" s="1" t="n">
        <v>45508</v>
      </c>
      <c r="D176" t="inlineStr">
        <is>
          <t>NORRBOTTENS LÄN</t>
        </is>
      </c>
      <c r="E176" t="inlineStr">
        <is>
          <t>JOKKMOKK</t>
        </is>
      </c>
      <c r="G176" t="n">
        <v>7.5</v>
      </c>
      <c r="H176" t="n">
        <v>0</v>
      </c>
      <c r="I176" t="n">
        <v>0</v>
      </c>
      <c r="J176" t="n">
        <v>0</v>
      </c>
      <c r="K176" t="n">
        <v>0</v>
      </c>
      <c r="L176" t="n">
        <v>0</v>
      </c>
      <c r="M176" t="n">
        <v>0</v>
      </c>
      <c r="N176" t="n">
        <v>0</v>
      </c>
      <c r="O176" t="n">
        <v>0</v>
      </c>
      <c r="P176" t="n">
        <v>0</v>
      </c>
      <c r="Q176" t="n">
        <v>0</v>
      </c>
      <c r="R176" s="2" t="inlineStr"/>
    </row>
    <row r="177" ht="15" customHeight="1">
      <c r="A177" t="inlineStr">
        <is>
          <t>A 51438-2020</t>
        </is>
      </c>
      <c r="B177" s="1" t="n">
        <v>44113</v>
      </c>
      <c r="C177" s="1" t="n">
        <v>45508</v>
      </c>
      <c r="D177" t="inlineStr">
        <is>
          <t>NORRBOTTENS LÄN</t>
        </is>
      </c>
      <c r="E177" t="inlineStr">
        <is>
          <t>JOKKMOKK</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51436-2020</t>
        </is>
      </c>
      <c r="B178" s="1" t="n">
        <v>44113</v>
      </c>
      <c r="C178" s="1" t="n">
        <v>45508</v>
      </c>
      <c r="D178" t="inlineStr">
        <is>
          <t>NORRBOTTENS LÄN</t>
        </is>
      </c>
      <c r="E178" t="inlineStr">
        <is>
          <t>JOKKMOKK</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52043-2020</t>
        </is>
      </c>
      <c r="B179" s="1" t="n">
        <v>44116</v>
      </c>
      <c r="C179" s="1" t="n">
        <v>45508</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52047-2020</t>
        </is>
      </c>
      <c r="B180" s="1" t="n">
        <v>44117</v>
      </c>
      <c r="C180" s="1" t="n">
        <v>45508</v>
      </c>
      <c r="D180" t="inlineStr">
        <is>
          <t>NORRBOTTENS LÄN</t>
        </is>
      </c>
      <c r="E180" t="inlineStr">
        <is>
          <t>JOKKMOKK</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54863-2020</t>
        </is>
      </c>
      <c r="B181" s="1" t="n">
        <v>44126</v>
      </c>
      <c r="C181" s="1" t="n">
        <v>45508</v>
      </c>
      <c r="D181" t="inlineStr">
        <is>
          <t>NORRBOTTENS LÄN</t>
        </is>
      </c>
      <c r="E181" t="inlineStr">
        <is>
          <t>JOKKMOKK</t>
        </is>
      </c>
      <c r="F181" t="inlineStr">
        <is>
          <t>Allmännings- och besparingsskogar</t>
        </is>
      </c>
      <c r="G181" t="n">
        <v>43.3</v>
      </c>
      <c r="H181" t="n">
        <v>0</v>
      </c>
      <c r="I181" t="n">
        <v>0</v>
      </c>
      <c r="J181" t="n">
        <v>0</v>
      </c>
      <c r="K181" t="n">
        <v>0</v>
      </c>
      <c r="L181" t="n">
        <v>0</v>
      </c>
      <c r="M181" t="n">
        <v>0</v>
      </c>
      <c r="N181" t="n">
        <v>0</v>
      </c>
      <c r="O181" t="n">
        <v>0</v>
      </c>
      <c r="P181" t="n">
        <v>0</v>
      </c>
      <c r="Q181" t="n">
        <v>0</v>
      </c>
      <c r="R181" s="2" t="inlineStr"/>
    </row>
    <row r="182" ht="15" customHeight="1">
      <c r="A182" t="inlineStr">
        <is>
          <t>A 56851-2020</t>
        </is>
      </c>
      <c r="B182" s="1" t="n">
        <v>44133</v>
      </c>
      <c r="C182" s="1" t="n">
        <v>45508</v>
      </c>
      <c r="D182" t="inlineStr">
        <is>
          <t>NORRBOTTENS LÄN</t>
        </is>
      </c>
      <c r="E182" t="inlineStr">
        <is>
          <t>JOKKMOKK</t>
        </is>
      </c>
      <c r="F182" t="inlineStr">
        <is>
          <t>Övriga Aktiebolag</t>
        </is>
      </c>
      <c r="G182" t="n">
        <v>10.7</v>
      </c>
      <c r="H182" t="n">
        <v>0</v>
      </c>
      <c r="I182" t="n">
        <v>0</v>
      </c>
      <c r="J182" t="n">
        <v>0</v>
      </c>
      <c r="K182" t="n">
        <v>0</v>
      </c>
      <c r="L182" t="n">
        <v>0</v>
      </c>
      <c r="M182" t="n">
        <v>0</v>
      </c>
      <c r="N182" t="n">
        <v>0</v>
      </c>
      <c r="O182" t="n">
        <v>0</v>
      </c>
      <c r="P182" t="n">
        <v>0</v>
      </c>
      <c r="Q182" t="n">
        <v>0</v>
      </c>
      <c r="R182" s="2" t="inlineStr"/>
    </row>
    <row r="183" ht="15" customHeight="1">
      <c r="A183" t="inlineStr">
        <is>
          <t>A 57183-2020</t>
        </is>
      </c>
      <c r="B183" s="1" t="n">
        <v>44138</v>
      </c>
      <c r="C183" s="1" t="n">
        <v>45508</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57737-2020</t>
        </is>
      </c>
      <c r="B184" s="1" t="n">
        <v>44140</v>
      </c>
      <c r="C184" s="1" t="n">
        <v>45508</v>
      </c>
      <c r="D184" t="inlineStr">
        <is>
          <t>NORRBOTTENS LÄN</t>
        </is>
      </c>
      <c r="E184" t="inlineStr">
        <is>
          <t>JOKKMOKK</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58578-2020</t>
        </is>
      </c>
      <c r="B185" s="1" t="n">
        <v>44144</v>
      </c>
      <c r="C185" s="1" t="n">
        <v>45508</v>
      </c>
      <c r="D185" t="inlineStr">
        <is>
          <t>NORRBOTTENS LÄN</t>
        </is>
      </c>
      <c r="E185" t="inlineStr">
        <is>
          <t>JOKKMOKK</t>
        </is>
      </c>
      <c r="F185" t="inlineStr">
        <is>
          <t>Övriga statliga verk och myndigheter</t>
        </is>
      </c>
      <c r="G185" t="n">
        <v>20.4</v>
      </c>
      <c r="H185" t="n">
        <v>0</v>
      </c>
      <c r="I185" t="n">
        <v>0</v>
      </c>
      <c r="J185" t="n">
        <v>0</v>
      </c>
      <c r="K185" t="n">
        <v>0</v>
      </c>
      <c r="L185" t="n">
        <v>0</v>
      </c>
      <c r="M185" t="n">
        <v>0</v>
      </c>
      <c r="N185" t="n">
        <v>0</v>
      </c>
      <c r="O185" t="n">
        <v>0</v>
      </c>
      <c r="P185" t="n">
        <v>0</v>
      </c>
      <c r="Q185" t="n">
        <v>0</v>
      </c>
      <c r="R185" s="2" t="inlineStr"/>
    </row>
    <row r="186" ht="15" customHeight="1">
      <c r="A186" t="inlineStr">
        <is>
          <t>A 59103-2020</t>
        </is>
      </c>
      <c r="B186" s="1" t="n">
        <v>44147</v>
      </c>
      <c r="C186" s="1" t="n">
        <v>45508</v>
      </c>
      <c r="D186" t="inlineStr">
        <is>
          <t>NORRBOTTENS LÄN</t>
        </is>
      </c>
      <c r="E186" t="inlineStr">
        <is>
          <t>JOKKMOKK</t>
        </is>
      </c>
      <c r="F186" t="inlineStr">
        <is>
          <t>Allmännings- och besparingsskogar</t>
        </is>
      </c>
      <c r="G186" t="n">
        <v>1</v>
      </c>
      <c r="H186" t="n">
        <v>0</v>
      </c>
      <c r="I186" t="n">
        <v>0</v>
      </c>
      <c r="J186" t="n">
        <v>0</v>
      </c>
      <c r="K186" t="n">
        <v>0</v>
      </c>
      <c r="L186" t="n">
        <v>0</v>
      </c>
      <c r="M186" t="n">
        <v>0</v>
      </c>
      <c r="N186" t="n">
        <v>0</v>
      </c>
      <c r="O186" t="n">
        <v>0</v>
      </c>
      <c r="P186" t="n">
        <v>0</v>
      </c>
      <c r="Q186" t="n">
        <v>0</v>
      </c>
      <c r="R186" s="2" t="inlineStr"/>
    </row>
    <row r="187" ht="15" customHeight="1">
      <c r="A187" t="inlineStr">
        <is>
          <t>A 60142-2020</t>
        </is>
      </c>
      <c r="B187" s="1" t="n">
        <v>44151</v>
      </c>
      <c r="C187" s="1" t="n">
        <v>45508</v>
      </c>
      <c r="D187" t="inlineStr">
        <is>
          <t>NORRBOTTENS LÄN</t>
        </is>
      </c>
      <c r="E187" t="inlineStr">
        <is>
          <t>JOKKMOKK</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62038-2020</t>
        </is>
      </c>
      <c r="B188" s="1" t="n">
        <v>44158</v>
      </c>
      <c r="C188" s="1" t="n">
        <v>45508</v>
      </c>
      <c r="D188" t="inlineStr">
        <is>
          <t>NORRBOTTENS LÄN</t>
        </is>
      </c>
      <c r="E188" t="inlineStr">
        <is>
          <t>JOKKMOKK</t>
        </is>
      </c>
      <c r="F188" t="inlineStr">
        <is>
          <t>Övriga Aktiebolag</t>
        </is>
      </c>
      <c r="G188" t="n">
        <v>7.3</v>
      </c>
      <c r="H188" t="n">
        <v>0</v>
      </c>
      <c r="I188" t="n">
        <v>0</v>
      </c>
      <c r="J188" t="n">
        <v>0</v>
      </c>
      <c r="K188" t="n">
        <v>0</v>
      </c>
      <c r="L188" t="n">
        <v>0</v>
      </c>
      <c r="M188" t="n">
        <v>0</v>
      </c>
      <c r="N188" t="n">
        <v>0</v>
      </c>
      <c r="O188" t="n">
        <v>0</v>
      </c>
      <c r="P188" t="n">
        <v>0</v>
      </c>
      <c r="Q188" t="n">
        <v>0</v>
      </c>
      <c r="R188" s="2" t="inlineStr"/>
    </row>
    <row r="189" ht="15" customHeight="1">
      <c r="A189" t="inlineStr">
        <is>
          <t>A 62233-2020</t>
        </is>
      </c>
      <c r="B189" s="1" t="n">
        <v>44159</v>
      </c>
      <c r="C189" s="1" t="n">
        <v>45508</v>
      </c>
      <c r="D189" t="inlineStr">
        <is>
          <t>NORRBOTTENS LÄN</t>
        </is>
      </c>
      <c r="E189" t="inlineStr">
        <is>
          <t>JOKKMOKK</t>
        </is>
      </c>
      <c r="F189" t="inlineStr">
        <is>
          <t>SCA</t>
        </is>
      </c>
      <c r="G189" t="n">
        <v>7.1</v>
      </c>
      <c r="H189" t="n">
        <v>0</v>
      </c>
      <c r="I189" t="n">
        <v>0</v>
      </c>
      <c r="J189" t="n">
        <v>0</v>
      </c>
      <c r="K189" t="n">
        <v>0</v>
      </c>
      <c r="L189" t="n">
        <v>0</v>
      </c>
      <c r="M189" t="n">
        <v>0</v>
      </c>
      <c r="N189" t="n">
        <v>0</v>
      </c>
      <c r="O189" t="n">
        <v>0</v>
      </c>
      <c r="P189" t="n">
        <v>0</v>
      </c>
      <c r="Q189" t="n">
        <v>0</v>
      </c>
      <c r="R189" s="2" t="inlineStr"/>
    </row>
    <row r="190" ht="15" customHeight="1">
      <c r="A190" t="inlineStr">
        <is>
          <t>A 62757-2020</t>
        </is>
      </c>
      <c r="B190" s="1" t="n">
        <v>44161</v>
      </c>
      <c r="C190" s="1" t="n">
        <v>45508</v>
      </c>
      <c r="D190" t="inlineStr">
        <is>
          <t>NORRBOTTENS LÄN</t>
        </is>
      </c>
      <c r="E190" t="inlineStr">
        <is>
          <t>JOKKMOKK</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62759-2020</t>
        </is>
      </c>
      <c r="B191" s="1" t="n">
        <v>44161</v>
      </c>
      <c r="C191" s="1" t="n">
        <v>45508</v>
      </c>
      <c r="D191" t="inlineStr">
        <is>
          <t>NORRBOTTENS LÄN</t>
        </is>
      </c>
      <c r="E191" t="inlineStr">
        <is>
          <t>JOKKMOKK</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65652-2020</t>
        </is>
      </c>
      <c r="B192" s="1" t="n">
        <v>44172</v>
      </c>
      <c r="C192" s="1" t="n">
        <v>45508</v>
      </c>
      <c r="D192" t="inlineStr">
        <is>
          <t>NORRBOTTENS LÄN</t>
        </is>
      </c>
      <c r="E192" t="inlineStr">
        <is>
          <t>JOKKMOKK</t>
        </is>
      </c>
      <c r="G192" t="n">
        <v>6.2</v>
      </c>
      <c r="H192" t="n">
        <v>0</v>
      </c>
      <c r="I192" t="n">
        <v>0</v>
      </c>
      <c r="J192" t="n">
        <v>0</v>
      </c>
      <c r="K192" t="n">
        <v>0</v>
      </c>
      <c r="L192" t="n">
        <v>0</v>
      </c>
      <c r="M192" t="n">
        <v>0</v>
      </c>
      <c r="N192" t="n">
        <v>0</v>
      </c>
      <c r="O192" t="n">
        <v>0</v>
      </c>
      <c r="P192" t="n">
        <v>0</v>
      </c>
      <c r="Q192" t="n">
        <v>0</v>
      </c>
      <c r="R192" s="2" t="inlineStr"/>
    </row>
    <row r="193" ht="15" customHeight="1">
      <c r="A193" t="inlineStr">
        <is>
          <t>A 65648-2020</t>
        </is>
      </c>
      <c r="B193" s="1" t="n">
        <v>44172</v>
      </c>
      <c r="C193" s="1" t="n">
        <v>45508</v>
      </c>
      <c r="D193" t="inlineStr">
        <is>
          <t>NORRBOTTENS LÄN</t>
        </is>
      </c>
      <c r="E193" t="inlineStr">
        <is>
          <t>JOKKMOKK</t>
        </is>
      </c>
      <c r="G193" t="n">
        <v>1.8</v>
      </c>
      <c r="H193" t="n">
        <v>0</v>
      </c>
      <c r="I193" t="n">
        <v>0</v>
      </c>
      <c r="J193" t="n">
        <v>0</v>
      </c>
      <c r="K193" t="n">
        <v>0</v>
      </c>
      <c r="L193" t="n">
        <v>0</v>
      </c>
      <c r="M193" t="n">
        <v>0</v>
      </c>
      <c r="N193" t="n">
        <v>0</v>
      </c>
      <c r="O193" t="n">
        <v>0</v>
      </c>
      <c r="P193" t="n">
        <v>0</v>
      </c>
      <c r="Q193" t="n">
        <v>0</v>
      </c>
      <c r="R193" s="2" t="inlineStr"/>
    </row>
    <row r="194" ht="15" customHeight="1">
      <c r="A194" t="inlineStr">
        <is>
          <t>A 65343-2020</t>
        </is>
      </c>
      <c r="B194" s="1" t="n">
        <v>44173</v>
      </c>
      <c r="C194" s="1" t="n">
        <v>45508</v>
      </c>
      <c r="D194" t="inlineStr">
        <is>
          <t>NORRBOTTENS LÄN</t>
        </is>
      </c>
      <c r="E194" t="inlineStr">
        <is>
          <t>JOKKMOKK</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65542-2020</t>
        </is>
      </c>
      <c r="B195" s="1" t="n">
        <v>44173</v>
      </c>
      <c r="C195" s="1" t="n">
        <v>45508</v>
      </c>
      <c r="D195" t="inlineStr">
        <is>
          <t>NORRBOTTENS LÄN</t>
        </is>
      </c>
      <c r="E195" t="inlineStr">
        <is>
          <t>JOKKMOKK</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68583-2020</t>
        </is>
      </c>
      <c r="B196" s="1" t="n">
        <v>44186</v>
      </c>
      <c r="C196" s="1" t="n">
        <v>45508</v>
      </c>
      <c r="D196" t="inlineStr">
        <is>
          <t>NORRBOTTENS LÄN</t>
        </is>
      </c>
      <c r="E196" t="inlineStr">
        <is>
          <t>JOKKMOKK</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68636-2020</t>
        </is>
      </c>
      <c r="B197" s="1" t="n">
        <v>44186</v>
      </c>
      <c r="C197" s="1" t="n">
        <v>45508</v>
      </c>
      <c r="D197" t="inlineStr">
        <is>
          <t>NORRBOTTENS LÄN</t>
        </is>
      </c>
      <c r="E197" t="inlineStr">
        <is>
          <t>JOKKMOKK</t>
        </is>
      </c>
      <c r="F197" t="inlineStr">
        <is>
          <t>SCA</t>
        </is>
      </c>
      <c r="G197" t="n">
        <v>42.3</v>
      </c>
      <c r="H197" t="n">
        <v>0</v>
      </c>
      <c r="I197" t="n">
        <v>0</v>
      </c>
      <c r="J197" t="n">
        <v>0</v>
      </c>
      <c r="K197" t="n">
        <v>0</v>
      </c>
      <c r="L197" t="n">
        <v>0</v>
      </c>
      <c r="M197" t="n">
        <v>0</v>
      </c>
      <c r="N197" t="n">
        <v>0</v>
      </c>
      <c r="O197" t="n">
        <v>0</v>
      </c>
      <c r="P197" t="n">
        <v>0</v>
      </c>
      <c r="Q197" t="n">
        <v>0</v>
      </c>
      <c r="R197" s="2" t="inlineStr"/>
    </row>
    <row r="198" ht="15" customHeight="1">
      <c r="A198" t="inlineStr">
        <is>
          <t>A 7273-2021</t>
        </is>
      </c>
      <c r="B198" s="1" t="n">
        <v>44238</v>
      </c>
      <c r="C198" s="1" t="n">
        <v>45508</v>
      </c>
      <c r="D198" t="inlineStr">
        <is>
          <t>NORRBOTTENS LÄN</t>
        </is>
      </c>
      <c r="E198" t="inlineStr">
        <is>
          <t>JOKKMOKK</t>
        </is>
      </c>
      <c r="F198" t="inlineStr">
        <is>
          <t>Övriga statliga verk och myndigheter</t>
        </is>
      </c>
      <c r="G198" t="n">
        <v>19.8</v>
      </c>
      <c r="H198" t="n">
        <v>0</v>
      </c>
      <c r="I198" t="n">
        <v>0</v>
      </c>
      <c r="J198" t="n">
        <v>0</v>
      </c>
      <c r="K198" t="n">
        <v>0</v>
      </c>
      <c r="L198" t="n">
        <v>0</v>
      </c>
      <c r="M198" t="n">
        <v>0</v>
      </c>
      <c r="N198" t="n">
        <v>0</v>
      </c>
      <c r="O198" t="n">
        <v>0</v>
      </c>
      <c r="P198" t="n">
        <v>0</v>
      </c>
      <c r="Q198" t="n">
        <v>0</v>
      </c>
      <c r="R198" s="2" t="inlineStr"/>
    </row>
    <row r="199" ht="15" customHeight="1">
      <c r="A199" t="inlineStr">
        <is>
          <t>A 8350-2021</t>
        </is>
      </c>
      <c r="B199" s="1" t="n">
        <v>44244</v>
      </c>
      <c r="C199" s="1" t="n">
        <v>45508</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8357-2021</t>
        </is>
      </c>
      <c r="B200" s="1" t="n">
        <v>44244</v>
      </c>
      <c r="C200" s="1" t="n">
        <v>45508</v>
      </c>
      <c r="D200" t="inlineStr">
        <is>
          <t>NORRBOTTENS LÄN</t>
        </is>
      </c>
      <c r="E200" t="inlineStr">
        <is>
          <t>JOKKMOKK</t>
        </is>
      </c>
      <c r="F200" t="inlineStr">
        <is>
          <t>SCA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8358-2021</t>
        </is>
      </c>
      <c r="B201" s="1" t="n">
        <v>44244</v>
      </c>
      <c r="C201" s="1" t="n">
        <v>45508</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8360-2021</t>
        </is>
      </c>
      <c r="B202" s="1" t="n">
        <v>44244</v>
      </c>
      <c r="C202" s="1" t="n">
        <v>45508</v>
      </c>
      <c r="D202" t="inlineStr">
        <is>
          <t>NORRBOTTENS LÄN</t>
        </is>
      </c>
      <c r="E202" t="inlineStr">
        <is>
          <t>JOKKMOKK</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8354-2021</t>
        </is>
      </c>
      <c r="B203" s="1" t="n">
        <v>44244</v>
      </c>
      <c r="C203" s="1" t="n">
        <v>45508</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8641-2021</t>
        </is>
      </c>
      <c r="B204" s="1" t="n">
        <v>44245</v>
      </c>
      <c r="C204" s="1" t="n">
        <v>45508</v>
      </c>
      <c r="D204" t="inlineStr">
        <is>
          <t>NORRBOTTENS LÄN</t>
        </is>
      </c>
      <c r="E204" t="inlineStr">
        <is>
          <t>JOKKMOKK</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8855-2021</t>
        </is>
      </c>
      <c r="B205" s="1" t="n">
        <v>44246</v>
      </c>
      <c r="C205" s="1" t="n">
        <v>45508</v>
      </c>
      <c r="D205" t="inlineStr">
        <is>
          <t>NORRBOTTENS LÄN</t>
        </is>
      </c>
      <c r="E205" t="inlineStr">
        <is>
          <t>JOKKMOKK</t>
        </is>
      </c>
      <c r="F205" t="inlineStr">
        <is>
          <t>SCA</t>
        </is>
      </c>
      <c r="G205" t="n">
        <v>14.3</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45508</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29073-2021</t>
        </is>
      </c>
      <c r="B207" s="1" t="n">
        <v>44358</v>
      </c>
      <c r="C207" s="1" t="n">
        <v>45508</v>
      </c>
      <c r="D207" t="inlineStr">
        <is>
          <t>NORRBOTTENS LÄN</t>
        </is>
      </c>
      <c r="E207" t="inlineStr">
        <is>
          <t>JOKKMOKK</t>
        </is>
      </c>
      <c r="F207" t="inlineStr">
        <is>
          <t>Sveaskog</t>
        </is>
      </c>
      <c r="G207" t="n">
        <v>9.6</v>
      </c>
      <c r="H207" t="n">
        <v>0</v>
      </c>
      <c r="I207" t="n">
        <v>0</v>
      </c>
      <c r="J207" t="n">
        <v>0</v>
      </c>
      <c r="K207" t="n">
        <v>0</v>
      </c>
      <c r="L207" t="n">
        <v>0</v>
      </c>
      <c r="M207" t="n">
        <v>0</v>
      </c>
      <c r="N207" t="n">
        <v>0</v>
      </c>
      <c r="O207" t="n">
        <v>0</v>
      </c>
      <c r="P207" t="n">
        <v>0</v>
      </c>
      <c r="Q207" t="n">
        <v>0</v>
      </c>
      <c r="R207" s="2" t="inlineStr"/>
    </row>
    <row r="208" ht="15" customHeight="1">
      <c r="A208" t="inlineStr">
        <is>
          <t>A 29955-2021</t>
        </is>
      </c>
      <c r="B208" s="1" t="n">
        <v>44362</v>
      </c>
      <c r="C208" s="1" t="n">
        <v>45508</v>
      </c>
      <c r="D208" t="inlineStr">
        <is>
          <t>NORRBOTTENS LÄN</t>
        </is>
      </c>
      <c r="E208" t="inlineStr">
        <is>
          <t>JOKKMOKK</t>
        </is>
      </c>
      <c r="G208" t="n">
        <v>14.1</v>
      </c>
      <c r="H208" t="n">
        <v>0</v>
      </c>
      <c r="I208" t="n">
        <v>0</v>
      </c>
      <c r="J208" t="n">
        <v>0</v>
      </c>
      <c r="K208" t="n">
        <v>0</v>
      </c>
      <c r="L208" t="n">
        <v>0</v>
      </c>
      <c r="M208" t="n">
        <v>0</v>
      </c>
      <c r="N208" t="n">
        <v>0</v>
      </c>
      <c r="O208" t="n">
        <v>0</v>
      </c>
      <c r="P208" t="n">
        <v>0</v>
      </c>
      <c r="Q208" t="n">
        <v>0</v>
      </c>
      <c r="R208" s="2" t="inlineStr"/>
    </row>
    <row r="209" ht="15" customHeight="1">
      <c r="A209" t="inlineStr">
        <is>
          <t>A 31767-2021</t>
        </is>
      </c>
      <c r="B209" s="1" t="n">
        <v>44369</v>
      </c>
      <c r="C209" s="1" t="n">
        <v>45508</v>
      </c>
      <c r="D209" t="inlineStr">
        <is>
          <t>NORRBOTTENS LÄN</t>
        </is>
      </c>
      <c r="E209" t="inlineStr">
        <is>
          <t>JOKKMOKK</t>
        </is>
      </c>
      <c r="F209" t="inlineStr">
        <is>
          <t>Övriga statliga verk och myndigheter</t>
        </is>
      </c>
      <c r="G209" t="n">
        <v>12.1</v>
      </c>
      <c r="H209" t="n">
        <v>0</v>
      </c>
      <c r="I209" t="n">
        <v>0</v>
      </c>
      <c r="J209" t="n">
        <v>0</v>
      </c>
      <c r="K209" t="n">
        <v>0</v>
      </c>
      <c r="L209" t="n">
        <v>0</v>
      </c>
      <c r="M209" t="n">
        <v>0</v>
      </c>
      <c r="N209" t="n">
        <v>0</v>
      </c>
      <c r="O209" t="n">
        <v>0</v>
      </c>
      <c r="P209" t="n">
        <v>0</v>
      </c>
      <c r="Q209" t="n">
        <v>0</v>
      </c>
      <c r="R209" s="2" t="inlineStr"/>
    </row>
    <row r="210" ht="15" customHeight="1">
      <c r="A210" t="inlineStr">
        <is>
          <t>A 31902-2021</t>
        </is>
      </c>
      <c r="B210" s="1" t="n">
        <v>44370</v>
      </c>
      <c r="C210" s="1" t="n">
        <v>45508</v>
      </c>
      <c r="D210" t="inlineStr">
        <is>
          <t>NORRBOTTENS LÄN</t>
        </is>
      </c>
      <c r="E210" t="inlineStr">
        <is>
          <t>JOKKMOKK</t>
        </is>
      </c>
      <c r="G210" t="n">
        <v>20</v>
      </c>
      <c r="H210" t="n">
        <v>0</v>
      </c>
      <c r="I210" t="n">
        <v>0</v>
      </c>
      <c r="J210" t="n">
        <v>0</v>
      </c>
      <c r="K210" t="n">
        <v>0</v>
      </c>
      <c r="L210" t="n">
        <v>0</v>
      </c>
      <c r="M210" t="n">
        <v>0</v>
      </c>
      <c r="N210" t="n">
        <v>0</v>
      </c>
      <c r="O210" t="n">
        <v>0</v>
      </c>
      <c r="P210" t="n">
        <v>0</v>
      </c>
      <c r="Q210" t="n">
        <v>0</v>
      </c>
      <c r="R210" s="2" t="inlineStr"/>
    </row>
    <row r="211" ht="15" customHeight="1">
      <c r="A211" t="inlineStr">
        <is>
          <t>A 32751-2021</t>
        </is>
      </c>
      <c r="B211" s="1" t="n">
        <v>44375</v>
      </c>
      <c r="C211" s="1" t="n">
        <v>45508</v>
      </c>
      <c r="D211" t="inlineStr">
        <is>
          <t>NORRBOTTENS LÄN</t>
        </is>
      </c>
      <c r="E211" t="inlineStr">
        <is>
          <t>JOKKMOKK</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34062-2021</t>
        </is>
      </c>
      <c r="B212" s="1" t="n">
        <v>44378</v>
      </c>
      <c r="C212" s="1" t="n">
        <v>45508</v>
      </c>
      <c r="D212" t="inlineStr">
        <is>
          <t>NORRBOTTENS LÄN</t>
        </is>
      </c>
      <c r="E212" t="inlineStr">
        <is>
          <t>JOKKMOKK</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34084-2021</t>
        </is>
      </c>
      <c r="B213" s="1" t="n">
        <v>44378</v>
      </c>
      <c r="C213" s="1" t="n">
        <v>45508</v>
      </c>
      <c r="D213" t="inlineStr">
        <is>
          <t>NORRBOTTENS LÄN</t>
        </is>
      </c>
      <c r="E213" t="inlineStr">
        <is>
          <t>JOKKMOKK</t>
        </is>
      </c>
      <c r="G213" t="n">
        <v>9.6</v>
      </c>
      <c r="H213" t="n">
        <v>0</v>
      </c>
      <c r="I213" t="n">
        <v>0</v>
      </c>
      <c r="J213" t="n">
        <v>0</v>
      </c>
      <c r="K213" t="n">
        <v>0</v>
      </c>
      <c r="L213" t="n">
        <v>0</v>
      </c>
      <c r="M213" t="n">
        <v>0</v>
      </c>
      <c r="N213" t="n">
        <v>0</v>
      </c>
      <c r="O213" t="n">
        <v>0</v>
      </c>
      <c r="P213" t="n">
        <v>0</v>
      </c>
      <c r="Q213" t="n">
        <v>0</v>
      </c>
      <c r="R213" s="2" t="inlineStr"/>
    </row>
    <row r="214" ht="15" customHeight="1">
      <c r="A214" t="inlineStr">
        <is>
          <t>A 34752-2021</t>
        </is>
      </c>
      <c r="B214" s="1" t="n">
        <v>44382</v>
      </c>
      <c r="C214" s="1" t="n">
        <v>45508</v>
      </c>
      <c r="D214" t="inlineStr">
        <is>
          <t>NORRBOTTENS LÄN</t>
        </is>
      </c>
      <c r="E214" t="inlineStr">
        <is>
          <t>JOKKMOKK</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36607-2021</t>
        </is>
      </c>
      <c r="B215" s="1" t="n">
        <v>44391</v>
      </c>
      <c r="C215" s="1" t="n">
        <v>45508</v>
      </c>
      <c r="D215" t="inlineStr">
        <is>
          <t>NORRBOTTENS LÄN</t>
        </is>
      </c>
      <c r="E215" t="inlineStr">
        <is>
          <t>JOKKMOKK</t>
        </is>
      </c>
      <c r="F215" t="inlineStr">
        <is>
          <t>Allmännings- och besparingsskogar</t>
        </is>
      </c>
      <c r="G215" t="n">
        <v>9.5</v>
      </c>
      <c r="H215" t="n">
        <v>0</v>
      </c>
      <c r="I215" t="n">
        <v>0</v>
      </c>
      <c r="J215" t="n">
        <v>0</v>
      </c>
      <c r="K215" t="n">
        <v>0</v>
      </c>
      <c r="L215" t="n">
        <v>0</v>
      </c>
      <c r="M215" t="n">
        <v>0</v>
      </c>
      <c r="N215" t="n">
        <v>0</v>
      </c>
      <c r="O215" t="n">
        <v>0</v>
      </c>
      <c r="P215" t="n">
        <v>0</v>
      </c>
      <c r="Q215" t="n">
        <v>0</v>
      </c>
      <c r="R215" s="2" t="inlineStr"/>
    </row>
    <row r="216" ht="15" customHeight="1">
      <c r="A216" t="inlineStr">
        <is>
          <t>A 37114-2021</t>
        </is>
      </c>
      <c r="B216" s="1" t="n">
        <v>44393</v>
      </c>
      <c r="C216" s="1" t="n">
        <v>45508</v>
      </c>
      <c r="D216" t="inlineStr">
        <is>
          <t>NORRBOTTENS LÄN</t>
        </is>
      </c>
      <c r="E216" t="inlineStr">
        <is>
          <t>JOKKMOKK</t>
        </is>
      </c>
      <c r="F216" t="inlineStr">
        <is>
          <t>Övriga statliga verk och myndigheter</t>
        </is>
      </c>
      <c r="G216" t="n">
        <v>30</v>
      </c>
      <c r="H216" t="n">
        <v>0</v>
      </c>
      <c r="I216" t="n">
        <v>0</v>
      </c>
      <c r="J216" t="n">
        <v>0</v>
      </c>
      <c r="K216" t="n">
        <v>0</v>
      </c>
      <c r="L216" t="n">
        <v>0</v>
      </c>
      <c r="M216" t="n">
        <v>0</v>
      </c>
      <c r="N216" t="n">
        <v>0</v>
      </c>
      <c r="O216" t="n">
        <v>0</v>
      </c>
      <c r="P216" t="n">
        <v>0</v>
      </c>
      <c r="Q216" t="n">
        <v>0</v>
      </c>
      <c r="R216" s="2" t="inlineStr"/>
    </row>
    <row r="217" ht="15" customHeight="1">
      <c r="A217" t="inlineStr">
        <is>
          <t>A 38039-2021</t>
        </is>
      </c>
      <c r="B217" s="1" t="n">
        <v>44404</v>
      </c>
      <c r="C217" s="1" t="n">
        <v>45508</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39784-2021</t>
        </is>
      </c>
      <c r="B218" s="1" t="n">
        <v>44417</v>
      </c>
      <c r="C218" s="1" t="n">
        <v>45508</v>
      </c>
      <c r="D218" t="inlineStr">
        <is>
          <t>NORRBOTTENS LÄN</t>
        </is>
      </c>
      <c r="E218" t="inlineStr">
        <is>
          <t>JOKKMOKK</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45508</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43014-2021</t>
        </is>
      </c>
      <c r="B220" s="1" t="n">
        <v>44431</v>
      </c>
      <c r="C220" s="1" t="n">
        <v>45508</v>
      </c>
      <c r="D220" t="inlineStr">
        <is>
          <t>NORRBOTTENS LÄN</t>
        </is>
      </c>
      <c r="E220" t="inlineStr">
        <is>
          <t>JOKKMOKK</t>
        </is>
      </c>
      <c r="G220" t="n">
        <v>2.8</v>
      </c>
      <c r="H220" t="n">
        <v>0</v>
      </c>
      <c r="I220" t="n">
        <v>0</v>
      </c>
      <c r="J220" t="n">
        <v>0</v>
      </c>
      <c r="K220" t="n">
        <v>0</v>
      </c>
      <c r="L220" t="n">
        <v>0</v>
      </c>
      <c r="M220" t="n">
        <v>0</v>
      </c>
      <c r="N220" t="n">
        <v>0</v>
      </c>
      <c r="O220" t="n">
        <v>0</v>
      </c>
      <c r="P220" t="n">
        <v>0</v>
      </c>
      <c r="Q220" t="n">
        <v>0</v>
      </c>
      <c r="R220" s="2" t="inlineStr"/>
    </row>
    <row r="221" ht="15" customHeight="1">
      <c r="A221" t="inlineStr">
        <is>
          <t>A 43720-2021</t>
        </is>
      </c>
      <c r="B221" s="1" t="n">
        <v>44433</v>
      </c>
      <c r="C221" s="1" t="n">
        <v>45508</v>
      </c>
      <c r="D221" t="inlineStr">
        <is>
          <t>NORRBOTTENS LÄN</t>
        </is>
      </c>
      <c r="E221" t="inlineStr">
        <is>
          <t>JOKKMOKK</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43780-2021</t>
        </is>
      </c>
      <c r="B222" s="1" t="n">
        <v>44433</v>
      </c>
      <c r="C222" s="1" t="n">
        <v>45508</v>
      </c>
      <c r="D222" t="inlineStr">
        <is>
          <t>NORRBOTTENS LÄN</t>
        </is>
      </c>
      <c r="E222" t="inlineStr">
        <is>
          <t>JOKKMOKK</t>
        </is>
      </c>
      <c r="G222" t="n">
        <v>2.7</v>
      </c>
      <c r="H222" t="n">
        <v>0</v>
      </c>
      <c r="I222" t="n">
        <v>0</v>
      </c>
      <c r="J222" t="n">
        <v>0</v>
      </c>
      <c r="K222" t="n">
        <v>0</v>
      </c>
      <c r="L222" t="n">
        <v>0</v>
      </c>
      <c r="M222" t="n">
        <v>0</v>
      </c>
      <c r="N222" t="n">
        <v>0</v>
      </c>
      <c r="O222" t="n">
        <v>0</v>
      </c>
      <c r="P222" t="n">
        <v>0</v>
      </c>
      <c r="Q222" t="n">
        <v>0</v>
      </c>
      <c r="R222" s="2" t="inlineStr"/>
    </row>
    <row r="223" ht="15" customHeight="1">
      <c r="A223" t="inlineStr">
        <is>
          <t>A 43785-2021</t>
        </is>
      </c>
      <c r="B223" s="1" t="n">
        <v>44433</v>
      </c>
      <c r="C223" s="1" t="n">
        <v>45508</v>
      </c>
      <c r="D223" t="inlineStr">
        <is>
          <t>NORRBOTTENS LÄN</t>
        </is>
      </c>
      <c r="E223" t="inlineStr">
        <is>
          <t>JOKKMOKK</t>
        </is>
      </c>
      <c r="G223" t="n">
        <v>3.8</v>
      </c>
      <c r="H223" t="n">
        <v>0</v>
      </c>
      <c r="I223" t="n">
        <v>0</v>
      </c>
      <c r="J223" t="n">
        <v>0</v>
      </c>
      <c r="K223" t="n">
        <v>0</v>
      </c>
      <c r="L223" t="n">
        <v>0</v>
      </c>
      <c r="M223" t="n">
        <v>0</v>
      </c>
      <c r="N223" t="n">
        <v>0</v>
      </c>
      <c r="O223" t="n">
        <v>0</v>
      </c>
      <c r="P223" t="n">
        <v>0</v>
      </c>
      <c r="Q223" t="n">
        <v>0</v>
      </c>
      <c r="R223" s="2" t="inlineStr"/>
    </row>
    <row r="224" ht="15" customHeight="1">
      <c r="A224" t="inlineStr">
        <is>
          <t>A 43783-2021</t>
        </is>
      </c>
      <c r="B224" s="1" t="n">
        <v>44433</v>
      </c>
      <c r="C224" s="1" t="n">
        <v>45508</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43781-2021</t>
        </is>
      </c>
      <c r="B225" s="1" t="n">
        <v>44433</v>
      </c>
      <c r="C225" s="1" t="n">
        <v>45508</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45508</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45508</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49482-2021</t>
        </is>
      </c>
      <c r="B228" s="1" t="n">
        <v>44454</v>
      </c>
      <c r="C228" s="1" t="n">
        <v>45508</v>
      </c>
      <c r="D228" t="inlineStr">
        <is>
          <t>NORRBOTTENS LÄN</t>
        </is>
      </c>
      <c r="E228" t="inlineStr">
        <is>
          <t>JOKKMOKK</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45508</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45508</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45508</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56523-2021</t>
        </is>
      </c>
      <c r="B232" s="1" t="n">
        <v>44477</v>
      </c>
      <c r="C232" s="1" t="n">
        <v>45508</v>
      </c>
      <c r="D232" t="inlineStr">
        <is>
          <t>NORRBOTTENS LÄN</t>
        </is>
      </c>
      <c r="E232" t="inlineStr">
        <is>
          <t>JOKKMOKK</t>
        </is>
      </c>
      <c r="G232" t="n">
        <v>6.6</v>
      </c>
      <c r="H232" t="n">
        <v>0</v>
      </c>
      <c r="I232" t="n">
        <v>0</v>
      </c>
      <c r="J232" t="n">
        <v>0</v>
      </c>
      <c r="K232" t="n">
        <v>0</v>
      </c>
      <c r="L232" t="n">
        <v>0</v>
      </c>
      <c r="M232" t="n">
        <v>0</v>
      </c>
      <c r="N232" t="n">
        <v>0</v>
      </c>
      <c r="O232" t="n">
        <v>0</v>
      </c>
      <c r="P232" t="n">
        <v>0</v>
      </c>
      <c r="Q232" t="n">
        <v>0</v>
      </c>
      <c r="R232" s="2" t="inlineStr"/>
    </row>
    <row r="233" ht="15" customHeight="1">
      <c r="A233" t="inlineStr">
        <is>
          <t>A 59189-2021</t>
        </is>
      </c>
      <c r="B233" s="1" t="n">
        <v>44490</v>
      </c>
      <c r="C233" s="1" t="n">
        <v>45508</v>
      </c>
      <c r="D233" t="inlineStr">
        <is>
          <t>NORRBOTTENS LÄN</t>
        </is>
      </c>
      <c r="E233" t="inlineStr">
        <is>
          <t>JOKKMOKK</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45508</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68780-2021</t>
        </is>
      </c>
      <c r="B235" s="1" t="n">
        <v>44529</v>
      </c>
      <c r="C235" s="1" t="n">
        <v>45508</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69883-2021</t>
        </is>
      </c>
      <c r="B236" s="1" t="n">
        <v>44532</v>
      </c>
      <c r="C236" s="1" t="n">
        <v>45508</v>
      </c>
      <c r="D236" t="inlineStr">
        <is>
          <t>NORRBOTTENS LÄN</t>
        </is>
      </c>
      <c r="E236" t="inlineStr">
        <is>
          <t>JOKKMOKK</t>
        </is>
      </c>
      <c r="G236" t="n">
        <v>12.5</v>
      </c>
      <c r="H236" t="n">
        <v>0</v>
      </c>
      <c r="I236" t="n">
        <v>0</v>
      </c>
      <c r="J236" t="n">
        <v>0</v>
      </c>
      <c r="K236" t="n">
        <v>0</v>
      </c>
      <c r="L236" t="n">
        <v>0</v>
      </c>
      <c r="M236" t="n">
        <v>0</v>
      </c>
      <c r="N236" t="n">
        <v>0</v>
      </c>
      <c r="O236" t="n">
        <v>0</v>
      </c>
      <c r="P236" t="n">
        <v>0</v>
      </c>
      <c r="Q236" t="n">
        <v>0</v>
      </c>
      <c r="R236" s="2" t="inlineStr"/>
    </row>
    <row r="237" ht="15" customHeight="1">
      <c r="A237" t="inlineStr">
        <is>
          <t>A 71368-2021</t>
        </is>
      </c>
      <c r="B237" s="1" t="n">
        <v>44539</v>
      </c>
      <c r="C237" s="1" t="n">
        <v>45508</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71374-2021</t>
        </is>
      </c>
      <c r="B238" s="1" t="n">
        <v>44539</v>
      </c>
      <c r="C238" s="1" t="n">
        <v>45508</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71369-2021</t>
        </is>
      </c>
      <c r="B239" s="1" t="n">
        <v>44539</v>
      </c>
      <c r="C239" s="1" t="n">
        <v>45508</v>
      </c>
      <c r="D239" t="inlineStr">
        <is>
          <t>NORRBOTTENS LÄN</t>
        </is>
      </c>
      <c r="E239" t="inlineStr">
        <is>
          <t>JOKKMOKK</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71370-2021</t>
        </is>
      </c>
      <c r="B240" s="1" t="n">
        <v>44539</v>
      </c>
      <c r="C240" s="1" t="n">
        <v>45508</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71371-2021</t>
        </is>
      </c>
      <c r="B241" s="1" t="n">
        <v>44539</v>
      </c>
      <c r="C241" s="1" t="n">
        <v>45508</v>
      </c>
      <c r="D241" t="inlineStr">
        <is>
          <t>NORRBOTTENS LÄN</t>
        </is>
      </c>
      <c r="E241" t="inlineStr">
        <is>
          <t>JOKKMOKK</t>
        </is>
      </c>
      <c r="F241" t="inlineStr">
        <is>
          <t>SCA</t>
        </is>
      </c>
      <c r="G241" t="n">
        <v>4</v>
      </c>
      <c r="H241" t="n">
        <v>0</v>
      </c>
      <c r="I241" t="n">
        <v>0</v>
      </c>
      <c r="J241" t="n">
        <v>0</v>
      </c>
      <c r="K241" t="n">
        <v>0</v>
      </c>
      <c r="L241" t="n">
        <v>0</v>
      </c>
      <c r="M241" t="n">
        <v>0</v>
      </c>
      <c r="N241" t="n">
        <v>0</v>
      </c>
      <c r="O241" t="n">
        <v>0</v>
      </c>
      <c r="P241" t="n">
        <v>0</v>
      </c>
      <c r="Q241" t="n">
        <v>0</v>
      </c>
      <c r="R241" s="2" t="inlineStr"/>
    </row>
    <row r="242" ht="15" customHeight="1">
      <c r="A242" t="inlineStr">
        <is>
          <t>A 71402-2021</t>
        </is>
      </c>
      <c r="B242" s="1" t="n">
        <v>44540</v>
      </c>
      <c r="C242" s="1" t="n">
        <v>45508</v>
      </c>
      <c r="D242" t="inlineStr">
        <is>
          <t>NORRBOTTENS LÄN</t>
        </is>
      </c>
      <c r="E242" t="inlineStr">
        <is>
          <t>JOKKMOKK</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71921-2021</t>
        </is>
      </c>
      <c r="B243" s="1" t="n">
        <v>44543</v>
      </c>
      <c r="C243" s="1" t="n">
        <v>45508</v>
      </c>
      <c r="D243" t="inlineStr">
        <is>
          <t>NORRBOTTENS LÄN</t>
        </is>
      </c>
      <c r="E243" t="inlineStr">
        <is>
          <t>JOKKMOKK</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71932-2021</t>
        </is>
      </c>
      <c r="B244" s="1" t="n">
        <v>44543</v>
      </c>
      <c r="C244" s="1" t="n">
        <v>45508</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71937-2021</t>
        </is>
      </c>
      <c r="B245" s="1" t="n">
        <v>44543</v>
      </c>
      <c r="C245" s="1" t="n">
        <v>45508</v>
      </c>
      <c r="D245" t="inlineStr">
        <is>
          <t>NORRBOTTENS LÄN</t>
        </is>
      </c>
      <c r="E245" t="inlineStr">
        <is>
          <t>JOKKMOKK</t>
        </is>
      </c>
      <c r="F245" t="inlineStr">
        <is>
          <t>Naturvårdsverket</t>
        </is>
      </c>
      <c r="G245" t="n">
        <v>11</v>
      </c>
      <c r="H245" t="n">
        <v>0</v>
      </c>
      <c r="I245" t="n">
        <v>0</v>
      </c>
      <c r="J245" t="n">
        <v>0</v>
      </c>
      <c r="K245" t="n">
        <v>0</v>
      </c>
      <c r="L245" t="n">
        <v>0</v>
      </c>
      <c r="M245" t="n">
        <v>0</v>
      </c>
      <c r="N245" t="n">
        <v>0</v>
      </c>
      <c r="O245" t="n">
        <v>0</v>
      </c>
      <c r="P245" t="n">
        <v>0</v>
      </c>
      <c r="Q245" t="n">
        <v>0</v>
      </c>
      <c r="R245" s="2" t="inlineStr"/>
    </row>
    <row r="246" ht="15" customHeight="1">
      <c r="A246" t="inlineStr">
        <is>
          <t>A 71948-2021</t>
        </is>
      </c>
      <c r="B246" s="1" t="n">
        <v>44543</v>
      </c>
      <c r="C246" s="1" t="n">
        <v>45508</v>
      </c>
      <c r="D246" t="inlineStr">
        <is>
          <t>NORRBOTTENS LÄN</t>
        </is>
      </c>
      <c r="E246" t="inlineStr">
        <is>
          <t>JOKKMOKK</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71955-2021</t>
        </is>
      </c>
      <c r="B247" s="1" t="n">
        <v>44543</v>
      </c>
      <c r="C247" s="1" t="n">
        <v>45508</v>
      </c>
      <c r="D247" t="inlineStr">
        <is>
          <t>NORRBOTTENS LÄN</t>
        </is>
      </c>
      <c r="E247" t="inlineStr">
        <is>
          <t>JOKKMOKK</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71927-2021</t>
        </is>
      </c>
      <c r="B248" s="1" t="n">
        <v>44543</v>
      </c>
      <c r="C248" s="1" t="n">
        <v>45508</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71936-2021</t>
        </is>
      </c>
      <c r="B249" s="1" t="n">
        <v>44543</v>
      </c>
      <c r="C249" s="1" t="n">
        <v>45508</v>
      </c>
      <c r="D249" t="inlineStr">
        <is>
          <t>NORRBOTTENS LÄN</t>
        </is>
      </c>
      <c r="E249" t="inlineStr">
        <is>
          <t>JOKKMOKK</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71947-2021</t>
        </is>
      </c>
      <c r="B250" s="1" t="n">
        <v>44543</v>
      </c>
      <c r="C250" s="1" t="n">
        <v>45508</v>
      </c>
      <c r="D250" t="inlineStr">
        <is>
          <t>NORRBOTTENS LÄN</t>
        </is>
      </c>
      <c r="E250" t="inlineStr">
        <is>
          <t>JOKKMOKK</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71954-2021</t>
        </is>
      </c>
      <c r="B251" s="1" t="n">
        <v>44543</v>
      </c>
      <c r="C251" s="1" t="n">
        <v>45508</v>
      </c>
      <c r="D251" t="inlineStr">
        <is>
          <t>NORRBOTTENS LÄN</t>
        </is>
      </c>
      <c r="E251" t="inlineStr">
        <is>
          <t>JOKKMOKK</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71922-2021</t>
        </is>
      </c>
      <c r="B252" s="1" t="n">
        <v>44543</v>
      </c>
      <c r="C252" s="1" t="n">
        <v>45508</v>
      </c>
      <c r="D252" t="inlineStr">
        <is>
          <t>NORRBOTTENS LÄN</t>
        </is>
      </c>
      <c r="E252" t="inlineStr">
        <is>
          <t>JOKKMOKK</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71926-2021</t>
        </is>
      </c>
      <c r="B253" s="1" t="n">
        <v>44543</v>
      </c>
      <c r="C253" s="1" t="n">
        <v>45508</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71944-2021</t>
        </is>
      </c>
      <c r="B254" s="1" t="n">
        <v>44543</v>
      </c>
      <c r="C254" s="1" t="n">
        <v>45508</v>
      </c>
      <c r="D254" t="inlineStr">
        <is>
          <t>NORRBOTTENS LÄN</t>
        </is>
      </c>
      <c r="E254" t="inlineStr">
        <is>
          <t>JOKKMOKK</t>
        </is>
      </c>
      <c r="G254" t="n">
        <v>1.2</v>
      </c>
      <c r="H254" t="n">
        <v>0</v>
      </c>
      <c r="I254" t="n">
        <v>0</v>
      </c>
      <c r="J254" t="n">
        <v>0</v>
      </c>
      <c r="K254" t="n">
        <v>0</v>
      </c>
      <c r="L254" t="n">
        <v>0</v>
      </c>
      <c r="M254" t="n">
        <v>0</v>
      </c>
      <c r="N254" t="n">
        <v>0</v>
      </c>
      <c r="O254" t="n">
        <v>0</v>
      </c>
      <c r="P254" t="n">
        <v>0</v>
      </c>
      <c r="Q254" t="n">
        <v>0</v>
      </c>
      <c r="R254" s="2" t="inlineStr"/>
    </row>
    <row r="255" ht="15" customHeight="1">
      <c r="A255" t="inlineStr">
        <is>
          <t>A 71950-2021</t>
        </is>
      </c>
      <c r="B255" s="1" t="n">
        <v>44543</v>
      </c>
      <c r="C255" s="1" t="n">
        <v>45508</v>
      </c>
      <c r="D255" t="inlineStr">
        <is>
          <t>NORRBOTTENS LÄN</t>
        </is>
      </c>
      <c r="E255" t="inlineStr">
        <is>
          <t>JOKKMOKK</t>
        </is>
      </c>
      <c r="F255" t="inlineStr">
        <is>
          <t>Naturvårdsverket</t>
        </is>
      </c>
      <c r="G255" t="n">
        <v>13.3</v>
      </c>
      <c r="H255" t="n">
        <v>0</v>
      </c>
      <c r="I255" t="n">
        <v>0</v>
      </c>
      <c r="J255" t="n">
        <v>0</v>
      </c>
      <c r="K255" t="n">
        <v>0</v>
      </c>
      <c r="L255" t="n">
        <v>0</v>
      </c>
      <c r="M255" t="n">
        <v>0</v>
      </c>
      <c r="N255" t="n">
        <v>0</v>
      </c>
      <c r="O255" t="n">
        <v>0</v>
      </c>
      <c r="P255" t="n">
        <v>0</v>
      </c>
      <c r="Q255" t="n">
        <v>0</v>
      </c>
      <c r="R255" s="2" t="inlineStr"/>
    </row>
    <row r="256" ht="15" customHeight="1">
      <c r="A256" t="inlineStr">
        <is>
          <t>A 72242-2021</t>
        </is>
      </c>
      <c r="B256" s="1" t="n">
        <v>44544</v>
      </c>
      <c r="C256" s="1" t="n">
        <v>45508</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73393-2021</t>
        </is>
      </c>
      <c r="B257" s="1" t="n">
        <v>44550</v>
      </c>
      <c r="C257" s="1" t="n">
        <v>45508</v>
      </c>
      <c r="D257" t="inlineStr">
        <is>
          <t>NORRBOTTENS LÄN</t>
        </is>
      </c>
      <c r="E257" t="inlineStr">
        <is>
          <t>JOKKMOKK</t>
        </is>
      </c>
      <c r="G257" t="n">
        <v>0.8</v>
      </c>
      <c r="H257" t="n">
        <v>0</v>
      </c>
      <c r="I257" t="n">
        <v>0</v>
      </c>
      <c r="J257" t="n">
        <v>0</v>
      </c>
      <c r="K257" t="n">
        <v>0</v>
      </c>
      <c r="L257" t="n">
        <v>0</v>
      </c>
      <c r="M257" t="n">
        <v>0</v>
      </c>
      <c r="N257" t="n">
        <v>0</v>
      </c>
      <c r="O257" t="n">
        <v>0</v>
      </c>
      <c r="P257" t="n">
        <v>0</v>
      </c>
      <c r="Q257" t="n">
        <v>0</v>
      </c>
      <c r="R257" s="2" t="inlineStr"/>
    </row>
    <row r="258" ht="15" customHeight="1">
      <c r="A258" t="inlineStr">
        <is>
          <t>A 1633-2022</t>
        </is>
      </c>
      <c r="B258" s="1" t="n">
        <v>44573</v>
      </c>
      <c r="C258" s="1" t="n">
        <v>45508</v>
      </c>
      <c r="D258" t="inlineStr">
        <is>
          <t>NORRBOTTENS LÄN</t>
        </is>
      </c>
      <c r="E258" t="inlineStr">
        <is>
          <t>JOKKMOKK</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1631-2022</t>
        </is>
      </c>
      <c r="B259" s="1" t="n">
        <v>44573</v>
      </c>
      <c r="C259" s="1" t="n">
        <v>45508</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1872-2022</t>
        </is>
      </c>
      <c r="B260" s="1" t="n">
        <v>44574</v>
      </c>
      <c r="C260" s="1" t="n">
        <v>45508</v>
      </c>
      <c r="D260" t="inlineStr">
        <is>
          <t>NORRBOTTENS LÄN</t>
        </is>
      </c>
      <c r="E260" t="inlineStr">
        <is>
          <t>JOKKMOKK</t>
        </is>
      </c>
      <c r="F260" t="inlineStr">
        <is>
          <t>SCA</t>
        </is>
      </c>
      <c r="G260" t="n">
        <v>10.4</v>
      </c>
      <c r="H260" t="n">
        <v>0</v>
      </c>
      <c r="I260" t="n">
        <v>0</v>
      </c>
      <c r="J260" t="n">
        <v>0</v>
      </c>
      <c r="K260" t="n">
        <v>0</v>
      </c>
      <c r="L260" t="n">
        <v>0</v>
      </c>
      <c r="M260" t="n">
        <v>0</v>
      </c>
      <c r="N260" t="n">
        <v>0</v>
      </c>
      <c r="O260" t="n">
        <v>0</v>
      </c>
      <c r="P260" t="n">
        <v>0</v>
      </c>
      <c r="Q260" t="n">
        <v>0</v>
      </c>
      <c r="R260" s="2" t="inlineStr"/>
    </row>
    <row r="261" ht="15" customHeight="1">
      <c r="A261" t="inlineStr">
        <is>
          <t>A 3772-2022</t>
        </is>
      </c>
      <c r="B261" s="1" t="n">
        <v>44586</v>
      </c>
      <c r="C261" s="1" t="n">
        <v>45508</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3771-2022</t>
        </is>
      </c>
      <c r="B262" s="1" t="n">
        <v>44586</v>
      </c>
      <c r="C262" s="1" t="n">
        <v>45508</v>
      </c>
      <c r="D262" t="inlineStr">
        <is>
          <t>NORRBOTTENS LÄN</t>
        </is>
      </c>
      <c r="E262" t="inlineStr">
        <is>
          <t>JOKKMOKK</t>
        </is>
      </c>
      <c r="F262" t="inlineStr">
        <is>
          <t>SCA</t>
        </is>
      </c>
      <c r="G262" t="n">
        <v>10</v>
      </c>
      <c r="H262" t="n">
        <v>0</v>
      </c>
      <c r="I262" t="n">
        <v>0</v>
      </c>
      <c r="J262" t="n">
        <v>0</v>
      </c>
      <c r="K262" t="n">
        <v>0</v>
      </c>
      <c r="L262" t="n">
        <v>0</v>
      </c>
      <c r="M262" t="n">
        <v>0</v>
      </c>
      <c r="N262" t="n">
        <v>0</v>
      </c>
      <c r="O262" t="n">
        <v>0</v>
      </c>
      <c r="P262" t="n">
        <v>0</v>
      </c>
      <c r="Q262" t="n">
        <v>0</v>
      </c>
      <c r="R262" s="2" t="inlineStr"/>
    </row>
    <row r="263" ht="15" customHeight="1">
      <c r="A263" t="inlineStr">
        <is>
          <t>A 3776-2022</t>
        </is>
      </c>
      <c r="B263" s="1" t="n">
        <v>44586</v>
      </c>
      <c r="C263" s="1" t="n">
        <v>45508</v>
      </c>
      <c r="D263" t="inlineStr">
        <is>
          <t>NORRBOTTENS LÄN</t>
        </is>
      </c>
      <c r="E263" t="inlineStr">
        <is>
          <t>JOKKMOKK</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3786-2022</t>
        </is>
      </c>
      <c r="B264" s="1" t="n">
        <v>44586</v>
      </c>
      <c r="C264" s="1" t="n">
        <v>45508</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3778-2022</t>
        </is>
      </c>
      <c r="B265" s="1" t="n">
        <v>44586</v>
      </c>
      <c r="C265" s="1" t="n">
        <v>45508</v>
      </c>
      <c r="D265" t="inlineStr">
        <is>
          <t>NORRBOTTENS LÄN</t>
        </is>
      </c>
      <c r="E265" t="inlineStr">
        <is>
          <t>JOKKMOKK</t>
        </is>
      </c>
      <c r="G265" t="n">
        <v>13.2</v>
      </c>
      <c r="H265" t="n">
        <v>0</v>
      </c>
      <c r="I265" t="n">
        <v>0</v>
      </c>
      <c r="J265" t="n">
        <v>0</v>
      </c>
      <c r="K265" t="n">
        <v>0</v>
      </c>
      <c r="L265" t="n">
        <v>0</v>
      </c>
      <c r="M265" t="n">
        <v>0</v>
      </c>
      <c r="N265" t="n">
        <v>0</v>
      </c>
      <c r="O265" t="n">
        <v>0</v>
      </c>
      <c r="P265" t="n">
        <v>0</v>
      </c>
      <c r="Q265" t="n">
        <v>0</v>
      </c>
      <c r="R265" s="2" t="inlineStr"/>
    </row>
    <row r="266" ht="15" customHeight="1">
      <c r="A266" t="inlineStr">
        <is>
          <t>A 3787-2022</t>
        </is>
      </c>
      <c r="B266" s="1" t="n">
        <v>44586</v>
      </c>
      <c r="C266" s="1" t="n">
        <v>45508</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3783-2022</t>
        </is>
      </c>
      <c r="B267" s="1" t="n">
        <v>44586</v>
      </c>
      <c r="C267" s="1" t="n">
        <v>45508</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3784-2022</t>
        </is>
      </c>
      <c r="B268" s="1" t="n">
        <v>44586</v>
      </c>
      <c r="C268" s="1" t="n">
        <v>45508</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4022-2022</t>
        </is>
      </c>
      <c r="B269" s="1" t="n">
        <v>44587</v>
      </c>
      <c r="C269" s="1" t="n">
        <v>45508</v>
      </c>
      <c r="D269" t="inlineStr">
        <is>
          <t>NORRBOTTENS LÄN</t>
        </is>
      </c>
      <c r="E269" t="inlineStr">
        <is>
          <t>JOKKMOKK</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4517-2022</t>
        </is>
      </c>
      <c r="B270" s="1" t="n">
        <v>44589</v>
      </c>
      <c r="C270" s="1" t="n">
        <v>45508</v>
      </c>
      <c r="D270" t="inlineStr">
        <is>
          <t>NORRBOTTENS LÄN</t>
        </is>
      </c>
      <c r="E270" t="inlineStr">
        <is>
          <t>JOKKMOKK</t>
        </is>
      </c>
      <c r="G270" t="n">
        <v>0.8</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45508</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12576-2022</t>
        </is>
      </c>
      <c r="B272" s="1" t="n">
        <v>44638</v>
      </c>
      <c r="C272" s="1" t="n">
        <v>45508</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15714-2022</t>
        </is>
      </c>
      <c r="B273" s="1" t="n">
        <v>44663</v>
      </c>
      <c r="C273" s="1" t="n">
        <v>45508</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17000-2022</t>
        </is>
      </c>
      <c r="B274" s="1" t="n">
        <v>44676</v>
      </c>
      <c r="C274" s="1" t="n">
        <v>45508</v>
      </c>
      <c r="D274" t="inlineStr">
        <is>
          <t>NORRBOTTENS LÄN</t>
        </is>
      </c>
      <c r="E274" t="inlineStr">
        <is>
          <t>JOKKMOKK</t>
        </is>
      </c>
      <c r="G274" t="n">
        <v>36.6</v>
      </c>
      <c r="H274" t="n">
        <v>0</v>
      </c>
      <c r="I274" t="n">
        <v>0</v>
      </c>
      <c r="J274" t="n">
        <v>0</v>
      </c>
      <c r="K274" t="n">
        <v>0</v>
      </c>
      <c r="L274" t="n">
        <v>0</v>
      </c>
      <c r="M274" t="n">
        <v>0</v>
      </c>
      <c r="N274" t="n">
        <v>0</v>
      </c>
      <c r="O274" t="n">
        <v>0</v>
      </c>
      <c r="P274" t="n">
        <v>0</v>
      </c>
      <c r="Q274" t="n">
        <v>0</v>
      </c>
      <c r="R274" s="2" t="inlineStr"/>
    </row>
    <row r="275" ht="15" customHeight="1">
      <c r="A275" t="inlineStr">
        <is>
          <t>A 18248-2022</t>
        </is>
      </c>
      <c r="B275" s="1" t="n">
        <v>44685</v>
      </c>
      <c r="C275" s="1" t="n">
        <v>45508</v>
      </c>
      <c r="D275" t="inlineStr">
        <is>
          <t>NORRBOTTENS LÄN</t>
        </is>
      </c>
      <c r="E275" t="inlineStr">
        <is>
          <t>JOKKMOKK</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21236-2022</t>
        </is>
      </c>
      <c r="B276" s="1" t="n">
        <v>44705</v>
      </c>
      <c r="C276" s="1" t="n">
        <v>45508</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27781-2022</t>
        </is>
      </c>
      <c r="B277" s="1" t="n">
        <v>44743</v>
      </c>
      <c r="C277" s="1" t="n">
        <v>45508</v>
      </c>
      <c r="D277" t="inlineStr">
        <is>
          <t>NORRBOTTENS LÄN</t>
        </is>
      </c>
      <c r="E277" t="inlineStr">
        <is>
          <t>JOKKMOKK</t>
        </is>
      </c>
      <c r="F277" t="inlineStr">
        <is>
          <t>Sveaskog</t>
        </is>
      </c>
      <c r="G277" t="n">
        <v>0.1</v>
      </c>
      <c r="H277" t="n">
        <v>0</v>
      </c>
      <c r="I277" t="n">
        <v>0</v>
      </c>
      <c r="J277" t="n">
        <v>0</v>
      </c>
      <c r="K277" t="n">
        <v>0</v>
      </c>
      <c r="L277" t="n">
        <v>0</v>
      </c>
      <c r="M277" t="n">
        <v>0</v>
      </c>
      <c r="N277" t="n">
        <v>0</v>
      </c>
      <c r="O277" t="n">
        <v>0</v>
      </c>
      <c r="P277" t="n">
        <v>0</v>
      </c>
      <c r="Q277" t="n">
        <v>0</v>
      </c>
      <c r="R277" s="2" t="inlineStr"/>
    </row>
    <row r="278" ht="15" customHeight="1">
      <c r="A278" t="inlineStr">
        <is>
          <t>A 28079-2022</t>
        </is>
      </c>
      <c r="B278" s="1" t="n">
        <v>44746</v>
      </c>
      <c r="C278" s="1" t="n">
        <v>45508</v>
      </c>
      <c r="D278" t="inlineStr">
        <is>
          <t>NORRBOTTENS LÄN</t>
        </is>
      </c>
      <c r="E278" t="inlineStr">
        <is>
          <t>JOKKMOKK</t>
        </is>
      </c>
      <c r="G278" t="n">
        <v>17.6</v>
      </c>
      <c r="H278" t="n">
        <v>0</v>
      </c>
      <c r="I278" t="n">
        <v>0</v>
      </c>
      <c r="J278" t="n">
        <v>0</v>
      </c>
      <c r="K278" t="n">
        <v>0</v>
      </c>
      <c r="L278" t="n">
        <v>0</v>
      </c>
      <c r="M278" t="n">
        <v>0</v>
      </c>
      <c r="N278" t="n">
        <v>0</v>
      </c>
      <c r="O278" t="n">
        <v>0</v>
      </c>
      <c r="P278" t="n">
        <v>0</v>
      </c>
      <c r="Q278" t="n">
        <v>0</v>
      </c>
      <c r="R278" s="2" t="inlineStr"/>
    </row>
    <row r="279" ht="15" customHeight="1">
      <c r="A279" t="inlineStr">
        <is>
          <t>A 28370-2022</t>
        </is>
      </c>
      <c r="B279" s="1" t="n">
        <v>44747</v>
      </c>
      <c r="C279" s="1" t="n">
        <v>45508</v>
      </c>
      <c r="D279" t="inlineStr">
        <is>
          <t>NORRBOTTENS LÄN</t>
        </is>
      </c>
      <c r="E279" t="inlineStr">
        <is>
          <t>JOKKMOKK</t>
        </is>
      </c>
      <c r="F279" t="inlineStr">
        <is>
          <t>Övriga Aktiebolag</t>
        </is>
      </c>
      <c r="G279" t="n">
        <v>10.2</v>
      </c>
      <c r="H279" t="n">
        <v>0</v>
      </c>
      <c r="I279" t="n">
        <v>0</v>
      </c>
      <c r="J279" t="n">
        <v>0</v>
      </c>
      <c r="K279" t="n">
        <v>0</v>
      </c>
      <c r="L279" t="n">
        <v>0</v>
      </c>
      <c r="M279" t="n">
        <v>0</v>
      </c>
      <c r="N279" t="n">
        <v>0</v>
      </c>
      <c r="O279" t="n">
        <v>0</v>
      </c>
      <c r="P279" t="n">
        <v>0</v>
      </c>
      <c r="Q279" t="n">
        <v>0</v>
      </c>
      <c r="R279" s="2" t="inlineStr"/>
    </row>
    <row r="280" ht="15" customHeight="1">
      <c r="A280" t="inlineStr">
        <is>
          <t>A 28350-2022</t>
        </is>
      </c>
      <c r="B280" s="1" t="n">
        <v>44747</v>
      </c>
      <c r="C280" s="1" t="n">
        <v>45508</v>
      </c>
      <c r="D280" t="inlineStr">
        <is>
          <t>NORRBOTTENS LÄN</t>
        </is>
      </c>
      <c r="E280" t="inlineStr">
        <is>
          <t>JOKKMOKK</t>
        </is>
      </c>
      <c r="F280" t="inlineStr">
        <is>
          <t>Övriga Aktiebolag</t>
        </is>
      </c>
      <c r="G280" t="n">
        <v>48.8</v>
      </c>
      <c r="H280" t="n">
        <v>0</v>
      </c>
      <c r="I280" t="n">
        <v>0</v>
      </c>
      <c r="J280" t="n">
        <v>0</v>
      </c>
      <c r="K280" t="n">
        <v>0</v>
      </c>
      <c r="L280" t="n">
        <v>0</v>
      </c>
      <c r="M280" t="n">
        <v>0</v>
      </c>
      <c r="N280" t="n">
        <v>0</v>
      </c>
      <c r="O280" t="n">
        <v>0</v>
      </c>
      <c r="P280" t="n">
        <v>0</v>
      </c>
      <c r="Q280" t="n">
        <v>0</v>
      </c>
      <c r="R280" s="2" t="inlineStr"/>
    </row>
    <row r="281" ht="15" customHeight="1">
      <c r="A281" t="inlineStr">
        <is>
          <t>A 30588-2022</t>
        </is>
      </c>
      <c r="B281" s="1" t="n">
        <v>44762</v>
      </c>
      <c r="C281" s="1" t="n">
        <v>45508</v>
      </c>
      <c r="D281" t="inlineStr">
        <is>
          <t>NORRBOTTENS LÄN</t>
        </is>
      </c>
      <c r="E281" t="inlineStr">
        <is>
          <t>JOKKMOKK</t>
        </is>
      </c>
      <c r="F281" t="inlineStr">
        <is>
          <t>Övriga statliga verk och myndigheter</t>
        </is>
      </c>
      <c r="G281" t="n">
        <v>11.7</v>
      </c>
      <c r="H281" t="n">
        <v>0</v>
      </c>
      <c r="I281" t="n">
        <v>0</v>
      </c>
      <c r="J281" t="n">
        <v>0</v>
      </c>
      <c r="K281" t="n">
        <v>0</v>
      </c>
      <c r="L281" t="n">
        <v>0</v>
      </c>
      <c r="M281" t="n">
        <v>0</v>
      </c>
      <c r="N281" t="n">
        <v>0</v>
      </c>
      <c r="O281" t="n">
        <v>0</v>
      </c>
      <c r="P281" t="n">
        <v>0</v>
      </c>
      <c r="Q281" t="n">
        <v>0</v>
      </c>
      <c r="R281" s="2" t="inlineStr"/>
    </row>
    <row r="282" ht="15" customHeight="1">
      <c r="A282" t="inlineStr">
        <is>
          <t>A 30679-2022</t>
        </is>
      </c>
      <c r="B282" s="1" t="n">
        <v>44762</v>
      </c>
      <c r="C282" s="1" t="n">
        <v>45508</v>
      </c>
      <c r="D282" t="inlineStr">
        <is>
          <t>NORRBOTTENS LÄN</t>
        </is>
      </c>
      <c r="E282" t="inlineStr">
        <is>
          <t>JOKKMOKK</t>
        </is>
      </c>
      <c r="F282" t="inlineStr">
        <is>
          <t>Övriga statliga verk och myndigheter</t>
        </is>
      </c>
      <c r="G282" t="n">
        <v>3.3</v>
      </c>
      <c r="H282" t="n">
        <v>0</v>
      </c>
      <c r="I282" t="n">
        <v>0</v>
      </c>
      <c r="J282" t="n">
        <v>0</v>
      </c>
      <c r="K282" t="n">
        <v>0</v>
      </c>
      <c r="L282" t="n">
        <v>0</v>
      </c>
      <c r="M282" t="n">
        <v>0</v>
      </c>
      <c r="N282" t="n">
        <v>0</v>
      </c>
      <c r="O282" t="n">
        <v>0</v>
      </c>
      <c r="P282" t="n">
        <v>0</v>
      </c>
      <c r="Q282" t="n">
        <v>0</v>
      </c>
      <c r="R282" s="2" t="inlineStr"/>
    </row>
    <row r="283" ht="15" customHeight="1">
      <c r="A283" t="inlineStr">
        <is>
          <t>A 30610-2022</t>
        </is>
      </c>
      <c r="B283" s="1" t="n">
        <v>44762</v>
      </c>
      <c r="C283" s="1" t="n">
        <v>45508</v>
      </c>
      <c r="D283" t="inlineStr">
        <is>
          <t>NORRBOTTENS LÄN</t>
        </is>
      </c>
      <c r="E283" t="inlineStr">
        <is>
          <t>JOKKMOKK</t>
        </is>
      </c>
      <c r="F283" t="inlineStr">
        <is>
          <t>Övriga statliga verk och myndigheter</t>
        </is>
      </c>
      <c r="G283" t="n">
        <v>43.3</v>
      </c>
      <c r="H283" t="n">
        <v>0</v>
      </c>
      <c r="I283" t="n">
        <v>0</v>
      </c>
      <c r="J283" t="n">
        <v>0</v>
      </c>
      <c r="K283" t="n">
        <v>0</v>
      </c>
      <c r="L283" t="n">
        <v>0</v>
      </c>
      <c r="M283" t="n">
        <v>0</v>
      </c>
      <c r="N283" t="n">
        <v>0</v>
      </c>
      <c r="O283" t="n">
        <v>0</v>
      </c>
      <c r="P283" t="n">
        <v>0</v>
      </c>
      <c r="Q283" t="n">
        <v>0</v>
      </c>
      <c r="R283" s="2" t="inlineStr"/>
    </row>
    <row r="284" ht="15" customHeight="1">
      <c r="A284" t="inlineStr">
        <is>
          <t>A 31643-2022</t>
        </is>
      </c>
      <c r="B284" s="1" t="n">
        <v>44775</v>
      </c>
      <c r="C284" s="1" t="n">
        <v>45508</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34548-2022</t>
        </is>
      </c>
      <c r="B285" s="1" t="n">
        <v>44794</v>
      </c>
      <c r="C285" s="1" t="n">
        <v>45508</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35876-2022</t>
        </is>
      </c>
      <c r="B286" s="1" t="n">
        <v>44802</v>
      </c>
      <c r="C286" s="1" t="n">
        <v>45508</v>
      </c>
      <c r="D286" t="inlineStr">
        <is>
          <t>NORRBOTTENS LÄN</t>
        </is>
      </c>
      <c r="E286" t="inlineStr">
        <is>
          <t>JOKKMOKK</t>
        </is>
      </c>
      <c r="G286" t="n">
        <v>9.5</v>
      </c>
      <c r="H286" t="n">
        <v>0</v>
      </c>
      <c r="I286" t="n">
        <v>0</v>
      </c>
      <c r="J286" t="n">
        <v>0</v>
      </c>
      <c r="K286" t="n">
        <v>0</v>
      </c>
      <c r="L286" t="n">
        <v>0</v>
      </c>
      <c r="M286" t="n">
        <v>0</v>
      </c>
      <c r="N286" t="n">
        <v>0</v>
      </c>
      <c r="O286" t="n">
        <v>0</v>
      </c>
      <c r="P286" t="n">
        <v>0</v>
      </c>
      <c r="Q286" t="n">
        <v>0</v>
      </c>
      <c r="R286" s="2" t="inlineStr"/>
    </row>
    <row r="287" ht="15" customHeight="1">
      <c r="A287" t="inlineStr">
        <is>
          <t>A 37798-2022</t>
        </is>
      </c>
      <c r="B287" s="1" t="n">
        <v>44810</v>
      </c>
      <c r="C287" s="1" t="n">
        <v>45508</v>
      </c>
      <c r="D287" t="inlineStr">
        <is>
          <t>NORRBOTTENS LÄN</t>
        </is>
      </c>
      <c r="E287" t="inlineStr">
        <is>
          <t>JOKKMOKK</t>
        </is>
      </c>
      <c r="G287" t="n">
        <v>0.3</v>
      </c>
      <c r="H287" t="n">
        <v>0</v>
      </c>
      <c r="I287" t="n">
        <v>0</v>
      </c>
      <c r="J287" t="n">
        <v>0</v>
      </c>
      <c r="K287" t="n">
        <v>0</v>
      </c>
      <c r="L287" t="n">
        <v>0</v>
      </c>
      <c r="M287" t="n">
        <v>0</v>
      </c>
      <c r="N287" t="n">
        <v>0</v>
      </c>
      <c r="O287" t="n">
        <v>0</v>
      </c>
      <c r="P287" t="n">
        <v>0</v>
      </c>
      <c r="Q287" t="n">
        <v>0</v>
      </c>
      <c r="R287" s="2" t="inlineStr"/>
    </row>
    <row r="288" ht="15" customHeight="1">
      <c r="A288" t="inlineStr">
        <is>
          <t>A 40473-2022</t>
        </is>
      </c>
      <c r="B288" s="1" t="n">
        <v>44819</v>
      </c>
      <c r="C288" s="1" t="n">
        <v>45508</v>
      </c>
      <c r="D288" t="inlineStr">
        <is>
          <t>NORRBOTTENS LÄN</t>
        </is>
      </c>
      <c r="E288" t="inlineStr">
        <is>
          <t>JOKKMOKK</t>
        </is>
      </c>
      <c r="G288" t="n">
        <v>3.5</v>
      </c>
      <c r="H288" t="n">
        <v>0</v>
      </c>
      <c r="I288" t="n">
        <v>0</v>
      </c>
      <c r="J288" t="n">
        <v>0</v>
      </c>
      <c r="K288" t="n">
        <v>0</v>
      </c>
      <c r="L288" t="n">
        <v>0</v>
      </c>
      <c r="M288" t="n">
        <v>0</v>
      </c>
      <c r="N288" t="n">
        <v>0</v>
      </c>
      <c r="O288" t="n">
        <v>0</v>
      </c>
      <c r="P288" t="n">
        <v>0</v>
      </c>
      <c r="Q288" t="n">
        <v>0</v>
      </c>
      <c r="R288" s="2" t="inlineStr"/>
    </row>
    <row r="289" ht="15" customHeight="1">
      <c r="A289" t="inlineStr">
        <is>
          <t>A 40129-2022</t>
        </is>
      </c>
      <c r="B289" s="1" t="n">
        <v>44820</v>
      </c>
      <c r="C289" s="1" t="n">
        <v>45508</v>
      </c>
      <c r="D289" t="inlineStr">
        <is>
          <t>NORRBOTTENS LÄN</t>
        </is>
      </c>
      <c r="E289" t="inlineStr">
        <is>
          <t>JOKKMOKK</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40248-2022</t>
        </is>
      </c>
      <c r="B290" s="1" t="n">
        <v>44820</v>
      </c>
      <c r="C290" s="1" t="n">
        <v>45508</v>
      </c>
      <c r="D290" t="inlineStr">
        <is>
          <t>NORRBOTTENS LÄN</t>
        </is>
      </c>
      <c r="E290" t="inlineStr">
        <is>
          <t>JOKKMOKK</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40251-2022</t>
        </is>
      </c>
      <c r="B291" s="1" t="n">
        <v>44820</v>
      </c>
      <c r="C291" s="1" t="n">
        <v>45508</v>
      </c>
      <c r="D291" t="inlineStr">
        <is>
          <t>NORRBOTTENS LÄN</t>
        </is>
      </c>
      <c r="E291" t="inlineStr">
        <is>
          <t>JOKKMOKK</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40836-2022</t>
        </is>
      </c>
      <c r="B292" s="1" t="n">
        <v>44824</v>
      </c>
      <c r="C292" s="1" t="n">
        <v>45508</v>
      </c>
      <c r="D292" t="inlineStr">
        <is>
          <t>NORRBOTTENS LÄN</t>
        </is>
      </c>
      <c r="E292" t="inlineStr">
        <is>
          <t>JOKKMOKK</t>
        </is>
      </c>
      <c r="F292" t="inlineStr">
        <is>
          <t>SCA</t>
        </is>
      </c>
      <c r="G292" t="n">
        <v>229.8</v>
      </c>
      <c r="H292" t="n">
        <v>0</v>
      </c>
      <c r="I292" t="n">
        <v>0</v>
      </c>
      <c r="J292" t="n">
        <v>0</v>
      </c>
      <c r="K292" t="n">
        <v>0</v>
      </c>
      <c r="L292" t="n">
        <v>0</v>
      </c>
      <c r="M292" t="n">
        <v>0</v>
      </c>
      <c r="N292" t="n">
        <v>0</v>
      </c>
      <c r="O292" t="n">
        <v>0</v>
      </c>
      <c r="P292" t="n">
        <v>0</v>
      </c>
      <c r="Q292" t="n">
        <v>0</v>
      </c>
      <c r="R292" s="2" t="inlineStr"/>
    </row>
    <row r="293" ht="15" customHeight="1">
      <c r="A293" t="inlineStr">
        <is>
          <t>A 40833-2022</t>
        </is>
      </c>
      <c r="B293" s="1" t="n">
        <v>44824</v>
      </c>
      <c r="C293" s="1" t="n">
        <v>45508</v>
      </c>
      <c r="D293" t="inlineStr">
        <is>
          <t>NORRBOTTENS LÄN</t>
        </is>
      </c>
      <c r="E293" t="inlineStr">
        <is>
          <t>JOKKMOKK</t>
        </is>
      </c>
      <c r="F293" t="inlineStr">
        <is>
          <t>SCA</t>
        </is>
      </c>
      <c r="G293" t="n">
        <v>122.1</v>
      </c>
      <c r="H293" t="n">
        <v>0</v>
      </c>
      <c r="I293" t="n">
        <v>0</v>
      </c>
      <c r="J293" t="n">
        <v>0</v>
      </c>
      <c r="K293" t="n">
        <v>0</v>
      </c>
      <c r="L293" t="n">
        <v>0</v>
      </c>
      <c r="M293" t="n">
        <v>0</v>
      </c>
      <c r="N293" t="n">
        <v>0</v>
      </c>
      <c r="O293" t="n">
        <v>0</v>
      </c>
      <c r="P293" t="n">
        <v>0</v>
      </c>
      <c r="Q293" t="n">
        <v>0</v>
      </c>
      <c r="R293" s="2" t="inlineStr"/>
    </row>
    <row r="294" ht="15" customHeight="1">
      <c r="A294" t="inlineStr">
        <is>
          <t>A 41030-2022</t>
        </is>
      </c>
      <c r="B294" s="1" t="n">
        <v>44824</v>
      </c>
      <c r="C294" s="1" t="n">
        <v>45508</v>
      </c>
      <c r="D294" t="inlineStr">
        <is>
          <t>NORRBOTTENS LÄN</t>
        </is>
      </c>
      <c r="E294" t="inlineStr">
        <is>
          <t>JOKKMOKK</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40834-2022</t>
        </is>
      </c>
      <c r="B295" s="1" t="n">
        <v>44824</v>
      </c>
      <c r="C295" s="1" t="n">
        <v>45508</v>
      </c>
      <c r="D295" t="inlineStr">
        <is>
          <t>NORRBOTTENS LÄN</t>
        </is>
      </c>
      <c r="E295" t="inlineStr">
        <is>
          <t>JOKKMOKK</t>
        </is>
      </c>
      <c r="F295" t="inlineStr">
        <is>
          <t>SCA</t>
        </is>
      </c>
      <c r="G295" t="n">
        <v>106.1</v>
      </c>
      <c r="H295" t="n">
        <v>0</v>
      </c>
      <c r="I295" t="n">
        <v>0</v>
      </c>
      <c r="J295" t="n">
        <v>0</v>
      </c>
      <c r="K295" t="n">
        <v>0</v>
      </c>
      <c r="L295" t="n">
        <v>0</v>
      </c>
      <c r="M295" t="n">
        <v>0</v>
      </c>
      <c r="N295" t="n">
        <v>0</v>
      </c>
      <c r="O295" t="n">
        <v>0</v>
      </c>
      <c r="P295" t="n">
        <v>0</v>
      </c>
      <c r="Q295" t="n">
        <v>0</v>
      </c>
      <c r="R295" s="2" t="inlineStr"/>
    </row>
    <row r="296" ht="15" customHeight="1">
      <c r="A296" t="inlineStr">
        <is>
          <t>A 41579-2022</t>
        </is>
      </c>
      <c r="B296" s="1" t="n">
        <v>44827</v>
      </c>
      <c r="C296" s="1" t="n">
        <v>45508</v>
      </c>
      <c r="D296" t="inlineStr">
        <is>
          <t>NORRBOTTENS LÄN</t>
        </is>
      </c>
      <c r="E296" t="inlineStr">
        <is>
          <t>JOKKMOKK</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42258-2022</t>
        </is>
      </c>
      <c r="B297" s="1" t="n">
        <v>44831</v>
      </c>
      <c r="C297" s="1" t="n">
        <v>45508</v>
      </c>
      <c r="D297" t="inlineStr">
        <is>
          <t>NORRBOTTENS LÄN</t>
        </is>
      </c>
      <c r="E297" t="inlineStr">
        <is>
          <t>JOKKMOKK</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42256-2022</t>
        </is>
      </c>
      <c r="B298" s="1" t="n">
        <v>44831</v>
      </c>
      <c r="C298" s="1" t="n">
        <v>45508</v>
      </c>
      <c r="D298" t="inlineStr">
        <is>
          <t>NORRBOTTENS LÄN</t>
        </is>
      </c>
      <c r="E298" t="inlineStr">
        <is>
          <t>JOKKMOKK</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42257-2022</t>
        </is>
      </c>
      <c r="B299" s="1" t="n">
        <v>44831</v>
      </c>
      <c r="C299" s="1" t="n">
        <v>45508</v>
      </c>
      <c r="D299" t="inlineStr">
        <is>
          <t>NORRBOTTENS LÄN</t>
        </is>
      </c>
      <c r="E299" t="inlineStr">
        <is>
          <t>JOKKMOKK</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42263-2022</t>
        </is>
      </c>
      <c r="B300" s="1" t="n">
        <v>44830</v>
      </c>
      <c r="C300" s="1" t="n">
        <v>45508</v>
      </c>
      <c r="D300" t="inlineStr">
        <is>
          <t>NORRBOTTENS LÄN</t>
        </is>
      </c>
      <c r="E300" t="inlineStr">
        <is>
          <t>JOKKMOKK</t>
        </is>
      </c>
      <c r="F300" t="inlineStr">
        <is>
          <t>Allmännings- och besparingsskogar</t>
        </is>
      </c>
      <c r="G300" t="n">
        <v>10.6</v>
      </c>
      <c r="H300" t="n">
        <v>0</v>
      </c>
      <c r="I300" t="n">
        <v>0</v>
      </c>
      <c r="J300" t="n">
        <v>0</v>
      </c>
      <c r="K300" t="n">
        <v>0</v>
      </c>
      <c r="L300" t="n">
        <v>0</v>
      </c>
      <c r="M300" t="n">
        <v>0</v>
      </c>
      <c r="N300" t="n">
        <v>0</v>
      </c>
      <c r="O300" t="n">
        <v>0</v>
      </c>
      <c r="P300" t="n">
        <v>0</v>
      </c>
      <c r="Q300" t="n">
        <v>0</v>
      </c>
      <c r="R300" s="2" t="inlineStr"/>
    </row>
    <row r="301" ht="15" customHeight="1">
      <c r="A301" t="inlineStr">
        <is>
          <t>A 43878-2022</t>
        </is>
      </c>
      <c r="B301" s="1" t="n">
        <v>44838</v>
      </c>
      <c r="C301" s="1" t="n">
        <v>45508</v>
      </c>
      <c r="D301" t="inlineStr">
        <is>
          <t>NORRBOTTENS LÄN</t>
        </is>
      </c>
      <c r="E301" t="inlineStr">
        <is>
          <t>JOKKMOKK</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44335-2022</t>
        </is>
      </c>
      <c r="B302" s="1" t="n">
        <v>44839</v>
      </c>
      <c r="C302" s="1" t="n">
        <v>45508</v>
      </c>
      <c r="D302" t="inlineStr">
        <is>
          <t>NORRBOTTENS LÄN</t>
        </is>
      </c>
      <c r="E302" t="inlineStr">
        <is>
          <t>JOKKMOKK</t>
        </is>
      </c>
      <c r="F302" t="inlineStr">
        <is>
          <t>Allmännings- och besparingsskogar</t>
        </is>
      </c>
      <c r="G302" t="n">
        <v>8.4</v>
      </c>
      <c r="H302" t="n">
        <v>0</v>
      </c>
      <c r="I302" t="n">
        <v>0</v>
      </c>
      <c r="J302" t="n">
        <v>0</v>
      </c>
      <c r="K302" t="n">
        <v>0</v>
      </c>
      <c r="L302" t="n">
        <v>0</v>
      </c>
      <c r="M302" t="n">
        <v>0</v>
      </c>
      <c r="N302" t="n">
        <v>0</v>
      </c>
      <c r="O302" t="n">
        <v>0</v>
      </c>
      <c r="P302" t="n">
        <v>0</v>
      </c>
      <c r="Q302" t="n">
        <v>0</v>
      </c>
      <c r="R302" s="2" t="inlineStr"/>
    </row>
    <row r="303" ht="15" customHeight="1">
      <c r="A303" t="inlineStr">
        <is>
          <t>A 45468-2022</t>
        </is>
      </c>
      <c r="B303" s="1" t="n">
        <v>44841</v>
      </c>
      <c r="C303" s="1" t="n">
        <v>45508</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45508</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45508</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45505-2022</t>
        </is>
      </c>
      <c r="B306" s="1" t="n">
        <v>44841</v>
      </c>
      <c r="C306" s="1" t="n">
        <v>45508</v>
      </c>
      <c r="D306" t="inlineStr">
        <is>
          <t>NORRBOTTENS LÄN</t>
        </is>
      </c>
      <c r="E306" t="inlineStr">
        <is>
          <t>JOKKMOKK</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45510-2022</t>
        </is>
      </c>
      <c r="B307" s="1" t="n">
        <v>44841</v>
      </c>
      <c r="C307" s="1" t="n">
        <v>45508</v>
      </c>
      <c r="D307" t="inlineStr">
        <is>
          <t>NORRBOTTENS LÄN</t>
        </is>
      </c>
      <c r="E307" t="inlineStr">
        <is>
          <t>JOKKMOKK</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46957-2022</t>
        </is>
      </c>
      <c r="B308" s="1" t="n">
        <v>44851</v>
      </c>
      <c r="C308" s="1" t="n">
        <v>45508</v>
      </c>
      <c r="D308" t="inlineStr">
        <is>
          <t>NORRBOTTENS LÄN</t>
        </is>
      </c>
      <c r="E308" t="inlineStr">
        <is>
          <t>JOKKMOKK</t>
        </is>
      </c>
      <c r="G308" t="n">
        <v>11.2</v>
      </c>
      <c r="H308" t="n">
        <v>0</v>
      </c>
      <c r="I308" t="n">
        <v>0</v>
      </c>
      <c r="J308" t="n">
        <v>0</v>
      </c>
      <c r="K308" t="n">
        <v>0</v>
      </c>
      <c r="L308" t="n">
        <v>0</v>
      </c>
      <c r="M308" t="n">
        <v>0</v>
      </c>
      <c r="N308" t="n">
        <v>0</v>
      </c>
      <c r="O308" t="n">
        <v>0</v>
      </c>
      <c r="P308" t="n">
        <v>0</v>
      </c>
      <c r="Q308" t="n">
        <v>0</v>
      </c>
      <c r="R308" s="2" t="inlineStr"/>
    </row>
    <row r="309" ht="15" customHeight="1">
      <c r="A309" t="inlineStr">
        <is>
          <t>A 47208-2022</t>
        </is>
      </c>
      <c r="B309" s="1" t="n">
        <v>44851</v>
      </c>
      <c r="C309" s="1" t="n">
        <v>45508</v>
      </c>
      <c r="D309" t="inlineStr">
        <is>
          <t>NORRBOTTENS LÄN</t>
        </is>
      </c>
      <c r="E309" t="inlineStr">
        <is>
          <t>JOKKMOKK</t>
        </is>
      </c>
      <c r="G309" t="n">
        <v>1.2</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45508</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50716-2022</t>
        </is>
      </c>
      <c r="B311" s="1" t="n">
        <v>44862</v>
      </c>
      <c r="C311" s="1" t="n">
        <v>45508</v>
      </c>
      <c r="D311" t="inlineStr">
        <is>
          <t>NORRBOTTENS LÄN</t>
        </is>
      </c>
      <c r="E311" t="inlineStr">
        <is>
          <t>JOKKMOKK</t>
        </is>
      </c>
      <c r="G311" t="n">
        <v>30.2</v>
      </c>
      <c r="H311" t="n">
        <v>0</v>
      </c>
      <c r="I311" t="n">
        <v>0</v>
      </c>
      <c r="J311" t="n">
        <v>0</v>
      </c>
      <c r="K311" t="n">
        <v>0</v>
      </c>
      <c r="L311" t="n">
        <v>0</v>
      </c>
      <c r="M311" t="n">
        <v>0</v>
      </c>
      <c r="N311" t="n">
        <v>0</v>
      </c>
      <c r="O311" t="n">
        <v>0</v>
      </c>
      <c r="P311" t="n">
        <v>0</v>
      </c>
      <c r="Q311" t="n">
        <v>0</v>
      </c>
      <c r="R311" s="2" t="inlineStr"/>
    </row>
    <row r="312" ht="15" customHeight="1">
      <c r="A312" t="inlineStr">
        <is>
          <t>A 50568-2022</t>
        </is>
      </c>
      <c r="B312" s="1" t="n">
        <v>44866</v>
      </c>
      <c r="C312" s="1" t="n">
        <v>45508</v>
      </c>
      <c r="D312" t="inlineStr">
        <is>
          <t>NORRBOTTENS LÄN</t>
        </is>
      </c>
      <c r="E312" t="inlineStr">
        <is>
          <t>JOKKMOKK</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51304-2022</t>
        </is>
      </c>
      <c r="B313" s="1" t="n">
        <v>44868</v>
      </c>
      <c r="C313" s="1" t="n">
        <v>45508</v>
      </c>
      <c r="D313" t="inlineStr">
        <is>
          <t>NORRBOTTENS LÄN</t>
        </is>
      </c>
      <c r="E313" t="inlineStr">
        <is>
          <t>JOKKMOKK</t>
        </is>
      </c>
      <c r="G313" t="n">
        <v>1.5</v>
      </c>
      <c r="H313" t="n">
        <v>0</v>
      </c>
      <c r="I313" t="n">
        <v>0</v>
      </c>
      <c r="J313" t="n">
        <v>0</v>
      </c>
      <c r="K313" t="n">
        <v>0</v>
      </c>
      <c r="L313" t="n">
        <v>0</v>
      </c>
      <c r="M313" t="n">
        <v>0</v>
      </c>
      <c r="N313" t="n">
        <v>0</v>
      </c>
      <c r="O313" t="n">
        <v>0</v>
      </c>
      <c r="P313" t="n">
        <v>0</v>
      </c>
      <c r="Q313" t="n">
        <v>0</v>
      </c>
      <c r="R313" s="2" t="inlineStr"/>
    </row>
    <row r="314" ht="15" customHeight="1">
      <c r="A314" t="inlineStr">
        <is>
          <t>A 51220-2022</t>
        </is>
      </c>
      <c r="B314" s="1" t="n">
        <v>44868</v>
      </c>
      <c r="C314" s="1" t="n">
        <v>45508</v>
      </c>
      <c r="D314" t="inlineStr">
        <is>
          <t>NORRBOTTENS LÄN</t>
        </is>
      </c>
      <c r="E314" t="inlineStr">
        <is>
          <t>JOKKMOKK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53100-2022</t>
        </is>
      </c>
      <c r="B315" s="1" t="n">
        <v>44873</v>
      </c>
      <c r="C315" s="1" t="n">
        <v>45508</v>
      </c>
      <c r="D315" t="inlineStr">
        <is>
          <t>NORRBOTTENS LÄN</t>
        </is>
      </c>
      <c r="E315" t="inlineStr">
        <is>
          <t>JOKKMOKK</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52730-2022</t>
        </is>
      </c>
      <c r="B316" s="1" t="n">
        <v>44874</v>
      </c>
      <c r="C316" s="1" t="n">
        <v>45508</v>
      </c>
      <c r="D316" t="inlineStr">
        <is>
          <t>NORRBOTTENS LÄN</t>
        </is>
      </c>
      <c r="E316" t="inlineStr">
        <is>
          <t>JOKKMOKK</t>
        </is>
      </c>
      <c r="F316" t="inlineStr">
        <is>
          <t>SCA</t>
        </is>
      </c>
      <c r="G316" t="n">
        <v>29.2</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45508</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56691-2022</t>
        </is>
      </c>
      <c r="B318" s="1" t="n">
        <v>44893</v>
      </c>
      <c r="C318" s="1" t="n">
        <v>45508</v>
      </c>
      <c r="D318" t="inlineStr">
        <is>
          <t>NORRBOTTENS LÄN</t>
        </is>
      </c>
      <c r="E318" t="inlineStr">
        <is>
          <t>JOKKMOKK</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57672-2022</t>
        </is>
      </c>
      <c r="B319" s="1" t="n">
        <v>44897</v>
      </c>
      <c r="C319" s="1" t="n">
        <v>45508</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61531-2022</t>
        </is>
      </c>
      <c r="B320" s="1" t="n">
        <v>44916</v>
      </c>
      <c r="C320" s="1" t="n">
        <v>45508</v>
      </c>
      <c r="D320" t="inlineStr">
        <is>
          <t>NORRBOTTENS LÄN</t>
        </is>
      </c>
      <c r="E320" t="inlineStr">
        <is>
          <t>JOKKMOKK</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62078-2022</t>
        </is>
      </c>
      <c r="B321" s="1" t="n">
        <v>44918</v>
      </c>
      <c r="C321" s="1" t="n">
        <v>45508</v>
      </c>
      <c r="D321" t="inlineStr">
        <is>
          <t>NORRBOTTENS LÄN</t>
        </is>
      </c>
      <c r="E321" t="inlineStr">
        <is>
          <t>JOKKMOKK</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1119-2023</t>
        </is>
      </c>
      <c r="B322" s="1" t="n">
        <v>44930</v>
      </c>
      <c r="C322" s="1" t="n">
        <v>45508</v>
      </c>
      <c r="D322" t="inlineStr">
        <is>
          <t>NORRBOTTENS LÄN</t>
        </is>
      </c>
      <c r="E322" t="inlineStr">
        <is>
          <t>JOKKMOKK</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6464-2023</t>
        </is>
      </c>
      <c r="B323" s="1" t="n">
        <v>44965</v>
      </c>
      <c r="C323" s="1" t="n">
        <v>45508</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6779-2023</t>
        </is>
      </c>
      <c r="B324" s="1" t="n">
        <v>44966</v>
      </c>
      <c r="C324" s="1" t="n">
        <v>45508</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45508</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6777-2023</t>
        </is>
      </c>
      <c r="B326" s="1" t="n">
        <v>44966</v>
      </c>
      <c r="C326" s="1" t="n">
        <v>45508</v>
      </c>
      <c r="D326" t="inlineStr">
        <is>
          <t>NORRBOTTENS LÄN</t>
        </is>
      </c>
      <c r="E326" t="inlineStr">
        <is>
          <t>JOKKMOKK</t>
        </is>
      </c>
      <c r="G326" t="n">
        <v>2.2</v>
      </c>
      <c r="H326" t="n">
        <v>0</v>
      </c>
      <c r="I326" t="n">
        <v>0</v>
      </c>
      <c r="J326" t="n">
        <v>0</v>
      </c>
      <c r="K326" t="n">
        <v>0</v>
      </c>
      <c r="L326" t="n">
        <v>0</v>
      </c>
      <c r="M326" t="n">
        <v>0</v>
      </c>
      <c r="N326" t="n">
        <v>0</v>
      </c>
      <c r="O326" t="n">
        <v>0</v>
      </c>
      <c r="P326" t="n">
        <v>0</v>
      </c>
      <c r="Q326" t="n">
        <v>0</v>
      </c>
      <c r="R326" s="2" t="inlineStr"/>
    </row>
    <row r="327" ht="15" customHeight="1">
      <c r="A327" t="inlineStr">
        <is>
          <t>A 8471-2023</t>
        </is>
      </c>
      <c r="B327" s="1" t="n">
        <v>44977</v>
      </c>
      <c r="C327" s="1" t="n">
        <v>45508</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8472-2023</t>
        </is>
      </c>
      <c r="B328" s="1" t="n">
        <v>44977</v>
      </c>
      <c r="C328" s="1" t="n">
        <v>45508</v>
      </c>
      <c r="D328" t="inlineStr">
        <is>
          <t>NORRBOTTENS LÄN</t>
        </is>
      </c>
      <c r="E328" t="inlineStr">
        <is>
          <t>JOKKMOKK</t>
        </is>
      </c>
      <c r="G328" t="n">
        <v>0.7</v>
      </c>
      <c r="H328" t="n">
        <v>0</v>
      </c>
      <c r="I328" t="n">
        <v>0</v>
      </c>
      <c r="J328" t="n">
        <v>0</v>
      </c>
      <c r="K328" t="n">
        <v>0</v>
      </c>
      <c r="L328" t="n">
        <v>0</v>
      </c>
      <c r="M328" t="n">
        <v>0</v>
      </c>
      <c r="N328" t="n">
        <v>0</v>
      </c>
      <c r="O328" t="n">
        <v>0</v>
      </c>
      <c r="P328" t="n">
        <v>0</v>
      </c>
      <c r="Q328" t="n">
        <v>0</v>
      </c>
      <c r="R328" s="2" t="inlineStr"/>
    </row>
    <row r="329" ht="15" customHeight="1">
      <c r="A329" t="inlineStr">
        <is>
          <t>A 9352-2023</t>
        </is>
      </c>
      <c r="B329" s="1" t="n">
        <v>44980</v>
      </c>
      <c r="C329" s="1" t="n">
        <v>45508</v>
      </c>
      <c r="D329" t="inlineStr">
        <is>
          <t>NORRBOTTENS LÄN</t>
        </is>
      </c>
      <c r="E329" t="inlineStr">
        <is>
          <t>JOKKMOKK</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9349-2023</t>
        </is>
      </c>
      <c r="B330" s="1" t="n">
        <v>44980</v>
      </c>
      <c r="C330" s="1" t="n">
        <v>45508</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9351-2023</t>
        </is>
      </c>
      <c r="B331" s="1" t="n">
        <v>44980</v>
      </c>
      <c r="C331" s="1" t="n">
        <v>45508</v>
      </c>
      <c r="D331" t="inlineStr">
        <is>
          <t>NORRBOTTENS LÄN</t>
        </is>
      </c>
      <c r="E331" t="inlineStr">
        <is>
          <t>JOKKMOKK</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10422-2023</t>
        </is>
      </c>
      <c r="B332" s="1" t="n">
        <v>44981</v>
      </c>
      <c r="C332" s="1" t="n">
        <v>45508</v>
      </c>
      <c r="D332" t="inlineStr">
        <is>
          <t>NORRBOTTENS LÄN</t>
        </is>
      </c>
      <c r="E332" t="inlineStr">
        <is>
          <t>JOKKMOKK</t>
        </is>
      </c>
      <c r="G332" t="n">
        <v>3.5</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45508</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9854-2023</t>
        </is>
      </c>
      <c r="B334" s="1" t="n">
        <v>44984</v>
      </c>
      <c r="C334" s="1" t="n">
        <v>45508</v>
      </c>
      <c r="D334" t="inlineStr">
        <is>
          <t>NORRBOTTENS LÄN</t>
        </is>
      </c>
      <c r="E334" t="inlineStr">
        <is>
          <t>JOKKMOKK</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9863-2023</t>
        </is>
      </c>
      <c r="B335" s="1" t="n">
        <v>44984</v>
      </c>
      <c r="C335" s="1" t="n">
        <v>45508</v>
      </c>
      <c r="D335" t="inlineStr">
        <is>
          <t>NORRBOTTENS LÄN</t>
        </is>
      </c>
      <c r="E335" t="inlineStr">
        <is>
          <t>JOKKMOKK</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9870-2023</t>
        </is>
      </c>
      <c r="B336" s="1" t="n">
        <v>44984</v>
      </c>
      <c r="C336" s="1" t="n">
        <v>45508</v>
      </c>
      <c r="D336" t="inlineStr">
        <is>
          <t>NORRBOTTENS LÄN</t>
        </is>
      </c>
      <c r="E336" t="inlineStr">
        <is>
          <t>JOKKMOKK</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45508</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45508</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9877-2023</t>
        </is>
      </c>
      <c r="B339" s="1" t="n">
        <v>44984</v>
      </c>
      <c r="C339" s="1" t="n">
        <v>45508</v>
      </c>
      <c r="D339" t="inlineStr">
        <is>
          <t>NORRBOTTENS LÄN</t>
        </is>
      </c>
      <c r="E339" t="inlineStr">
        <is>
          <t>JOKKMOKK</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9874-2023</t>
        </is>
      </c>
      <c r="B340" s="1" t="n">
        <v>44984</v>
      </c>
      <c r="C340" s="1" t="n">
        <v>45508</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9852-2023</t>
        </is>
      </c>
      <c r="B341" s="1" t="n">
        <v>44984</v>
      </c>
      <c r="C341" s="1" t="n">
        <v>45508</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9866-2023</t>
        </is>
      </c>
      <c r="B342" s="1" t="n">
        <v>44984</v>
      </c>
      <c r="C342" s="1" t="n">
        <v>45508</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9869-2023</t>
        </is>
      </c>
      <c r="B343" s="1" t="n">
        <v>44984</v>
      </c>
      <c r="C343" s="1" t="n">
        <v>45508</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9873-2023</t>
        </is>
      </c>
      <c r="B344" s="1" t="n">
        <v>44984</v>
      </c>
      <c r="C344" s="1" t="n">
        <v>45508</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9878-2023</t>
        </is>
      </c>
      <c r="B345" s="1" t="n">
        <v>44984</v>
      </c>
      <c r="C345" s="1" t="n">
        <v>45508</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9859-2023</t>
        </is>
      </c>
      <c r="B346" s="1" t="n">
        <v>44984</v>
      </c>
      <c r="C346" s="1" t="n">
        <v>45508</v>
      </c>
      <c r="D346" t="inlineStr">
        <is>
          <t>NORRBOTTENS LÄN</t>
        </is>
      </c>
      <c r="E346" t="inlineStr">
        <is>
          <t>JOKKMOKK</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9864-2023</t>
        </is>
      </c>
      <c r="B347" s="1" t="n">
        <v>44984</v>
      </c>
      <c r="C347" s="1" t="n">
        <v>45508</v>
      </c>
      <c r="D347" t="inlineStr">
        <is>
          <t>NORRBOTTENS LÄN</t>
        </is>
      </c>
      <c r="E347" t="inlineStr">
        <is>
          <t>JOKKMOKK</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9875-2023</t>
        </is>
      </c>
      <c r="B348" s="1" t="n">
        <v>44984</v>
      </c>
      <c r="C348" s="1" t="n">
        <v>45508</v>
      </c>
      <c r="D348" t="inlineStr">
        <is>
          <t>NORRBOTTENS LÄN</t>
        </is>
      </c>
      <c r="E348" t="inlineStr">
        <is>
          <t>JOKKMOKK</t>
        </is>
      </c>
      <c r="G348" t="n">
        <v>0.6</v>
      </c>
      <c r="H348" t="n">
        <v>0</v>
      </c>
      <c r="I348" t="n">
        <v>0</v>
      </c>
      <c r="J348" t="n">
        <v>0</v>
      </c>
      <c r="K348" t="n">
        <v>0</v>
      </c>
      <c r="L348" t="n">
        <v>0</v>
      </c>
      <c r="M348" t="n">
        <v>0</v>
      </c>
      <c r="N348" t="n">
        <v>0</v>
      </c>
      <c r="O348" t="n">
        <v>0</v>
      </c>
      <c r="P348" t="n">
        <v>0</v>
      </c>
      <c r="Q348" t="n">
        <v>0</v>
      </c>
      <c r="R348" s="2" t="inlineStr"/>
    </row>
    <row r="349" ht="15" customHeight="1">
      <c r="A349" t="inlineStr">
        <is>
          <t>A 12686-2023</t>
        </is>
      </c>
      <c r="B349" s="1" t="n">
        <v>44999</v>
      </c>
      <c r="C349" s="1" t="n">
        <v>45508</v>
      </c>
      <c r="D349" t="inlineStr">
        <is>
          <t>NORRBOTTENS LÄN</t>
        </is>
      </c>
      <c r="E349" t="inlineStr">
        <is>
          <t>JOKKMOKK</t>
        </is>
      </c>
      <c r="G349" t="n">
        <v>36.7</v>
      </c>
      <c r="H349" t="n">
        <v>0</v>
      </c>
      <c r="I349" t="n">
        <v>0</v>
      </c>
      <c r="J349" t="n">
        <v>0</v>
      </c>
      <c r="K349" t="n">
        <v>0</v>
      </c>
      <c r="L349" t="n">
        <v>0</v>
      </c>
      <c r="M349" t="n">
        <v>0</v>
      </c>
      <c r="N349" t="n">
        <v>0</v>
      </c>
      <c r="O349" t="n">
        <v>0</v>
      </c>
      <c r="P349" t="n">
        <v>0</v>
      </c>
      <c r="Q349" t="n">
        <v>0</v>
      </c>
      <c r="R349" s="2" t="inlineStr"/>
    </row>
    <row r="350" ht="15" customHeight="1">
      <c r="A350" t="inlineStr">
        <is>
          <t>A 16336-2023</t>
        </is>
      </c>
      <c r="B350" s="1" t="n">
        <v>45022</v>
      </c>
      <c r="C350" s="1" t="n">
        <v>45508</v>
      </c>
      <c r="D350" t="inlineStr">
        <is>
          <t>NORRBOTTENS LÄN</t>
        </is>
      </c>
      <c r="E350" t="inlineStr">
        <is>
          <t>JOKKMOKK</t>
        </is>
      </c>
      <c r="F350" t="inlineStr">
        <is>
          <t>Övriga statliga verk och myndigheter</t>
        </is>
      </c>
      <c r="G350" t="n">
        <v>130.2</v>
      </c>
      <c r="H350" t="n">
        <v>0</v>
      </c>
      <c r="I350" t="n">
        <v>0</v>
      </c>
      <c r="J350" t="n">
        <v>0</v>
      </c>
      <c r="K350" t="n">
        <v>0</v>
      </c>
      <c r="L350" t="n">
        <v>0</v>
      </c>
      <c r="M350" t="n">
        <v>0</v>
      </c>
      <c r="N350" t="n">
        <v>0</v>
      </c>
      <c r="O350" t="n">
        <v>0</v>
      </c>
      <c r="P350" t="n">
        <v>0</v>
      </c>
      <c r="Q350" t="n">
        <v>0</v>
      </c>
      <c r="R350" s="2" t="inlineStr"/>
    </row>
    <row r="351" ht="15" customHeight="1">
      <c r="A351" t="inlineStr">
        <is>
          <t>A 16864-2023</t>
        </is>
      </c>
      <c r="B351" s="1" t="n">
        <v>45028</v>
      </c>
      <c r="C351" s="1" t="n">
        <v>45508</v>
      </c>
      <c r="D351" t="inlineStr">
        <is>
          <t>NORRBOTTENS LÄN</t>
        </is>
      </c>
      <c r="E351" t="inlineStr">
        <is>
          <t>JOKKMOKK</t>
        </is>
      </c>
      <c r="G351" t="n">
        <v>4</v>
      </c>
      <c r="H351" t="n">
        <v>0</v>
      </c>
      <c r="I351" t="n">
        <v>0</v>
      </c>
      <c r="J351" t="n">
        <v>0</v>
      </c>
      <c r="K351" t="n">
        <v>0</v>
      </c>
      <c r="L351" t="n">
        <v>0</v>
      </c>
      <c r="M351" t="n">
        <v>0</v>
      </c>
      <c r="N351" t="n">
        <v>0</v>
      </c>
      <c r="O351" t="n">
        <v>0</v>
      </c>
      <c r="P351" t="n">
        <v>0</v>
      </c>
      <c r="Q351" t="n">
        <v>0</v>
      </c>
      <c r="R351" s="2" t="inlineStr"/>
    </row>
    <row r="352" ht="15" customHeight="1">
      <c r="A352" t="inlineStr">
        <is>
          <t>A 16847-2023</t>
        </is>
      </c>
      <c r="B352" s="1" t="n">
        <v>45028</v>
      </c>
      <c r="C352" s="1" t="n">
        <v>45508</v>
      </c>
      <c r="D352" t="inlineStr">
        <is>
          <t>NORRBOTTENS LÄN</t>
        </is>
      </c>
      <c r="E352" t="inlineStr">
        <is>
          <t>JOKKMOKK</t>
        </is>
      </c>
      <c r="G352" t="n">
        <v>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45508</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17999-2023</t>
        </is>
      </c>
      <c r="B354" s="1" t="n">
        <v>45040</v>
      </c>
      <c r="C354" s="1" t="n">
        <v>45508</v>
      </c>
      <c r="D354" t="inlineStr">
        <is>
          <t>NORRBOTTENS LÄN</t>
        </is>
      </c>
      <c r="E354" t="inlineStr">
        <is>
          <t>JOKKMOKK</t>
        </is>
      </c>
      <c r="G354" t="n">
        <v>10.6</v>
      </c>
      <c r="H354" t="n">
        <v>0</v>
      </c>
      <c r="I354" t="n">
        <v>0</v>
      </c>
      <c r="J354" t="n">
        <v>0</v>
      </c>
      <c r="K354" t="n">
        <v>0</v>
      </c>
      <c r="L354" t="n">
        <v>0</v>
      </c>
      <c r="M354" t="n">
        <v>0</v>
      </c>
      <c r="N354" t="n">
        <v>0</v>
      </c>
      <c r="O354" t="n">
        <v>0</v>
      </c>
      <c r="P354" t="n">
        <v>0</v>
      </c>
      <c r="Q354" t="n">
        <v>0</v>
      </c>
      <c r="R354" s="2" t="inlineStr"/>
    </row>
    <row r="355" ht="15" customHeight="1">
      <c r="A355" t="inlineStr">
        <is>
          <t>A 18772-2023</t>
        </is>
      </c>
      <c r="B355" s="1" t="n">
        <v>45043</v>
      </c>
      <c r="C355" s="1" t="n">
        <v>45508</v>
      </c>
      <c r="D355" t="inlineStr">
        <is>
          <t>NORRBOTTENS LÄN</t>
        </is>
      </c>
      <c r="E355" t="inlineStr">
        <is>
          <t>JOKKMOKK</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19611-2023</t>
        </is>
      </c>
      <c r="B356" s="1" t="n">
        <v>45050</v>
      </c>
      <c r="C356" s="1" t="n">
        <v>45508</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20480-2023</t>
        </is>
      </c>
      <c r="B357" s="1" t="n">
        <v>45057</v>
      </c>
      <c r="C357" s="1" t="n">
        <v>45508</v>
      </c>
      <c r="D357" t="inlineStr">
        <is>
          <t>NORRBOTTENS LÄN</t>
        </is>
      </c>
      <c r="E357" t="inlineStr">
        <is>
          <t>JOKKMOKK</t>
        </is>
      </c>
      <c r="G357" t="n">
        <v>19.5</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45508</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21924-2023</t>
        </is>
      </c>
      <c r="B359" s="1" t="n">
        <v>45067</v>
      </c>
      <c r="C359" s="1" t="n">
        <v>45508</v>
      </c>
      <c r="D359" t="inlineStr">
        <is>
          <t>NORRBOTTENS LÄN</t>
        </is>
      </c>
      <c r="E359" t="inlineStr">
        <is>
          <t>JOKKMOKK</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22685-2023</t>
        </is>
      </c>
      <c r="B360" s="1" t="n">
        <v>45071</v>
      </c>
      <c r="C360" s="1" t="n">
        <v>45508</v>
      </c>
      <c r="D360" t="inlineStr">
        <is>
          <t>NORRBOTTENS LÄN</t>
        </is>
      </c>
      <c r="E360" t="inlineStr">
        <is>
          <t>JOKKMOKK</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23022-2023</t>
        </is>
      </c>
      <c r="B361" s="1" t="n">
        <v>45074</v>
      </c>
      <c r="C361" s="1" t="n">
        <v>45508</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23021-2023</t>
        </is>
      </c>
      <c r="B362" s="1" t="n">
        <v>45074</v>
      </c>
      <c r="C362" s="1" t="n">
        <v>45508</v>
      </c>
      <c r="D362" t="inlineStr">
        <is>
          <t>NORRBOTTENS LÄN</t>
        </is>
      </c>
      <c r="E362" t="inlineStr">
        <is>
          <t>JOKKMOKK</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23019-2023</t>
        </is>
      </c>
      <c r="B363" s="1" t="n">
        <v>45073</v>
      </c>
      <c r="C363" s="1" t="n">
        <v>45508</v>
      </c>
      <c r="D363" t="inlineStr">
        <is>
          <t>NORRBOTTENS LÄN</t>
        </is>
      </c>
      <c r="E363" t="inlineStr">
        <is>
          <t>JOKKMOKK</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45508</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24054-2023</t>
        </is>
      </c>
      <c r="B365" s="1" t="n">
        <v>45078</v>
      </c>
      <c r="C365" s="1" t="n">
        <v>45508</v>
      </c>
      <c r="D365" t="inlineStr">
        <is>
          <t>NORRBOTTENS LÄN</t>
        </is>
      </c>
      <c r="E365" t="inlineStr">
        <is>
          <t>JOKKMOKK</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24052-2023</t>
        </is>
      </c>
      <c r="B366" s="1" t="n">
        <v>45078</v>
      </c>
      <c r="C366" s="1" t="n">
        <v>45508</v>
      </c>
      <c r="D366" t="inlineStr">
        <is>
          <t>NORRBOTTENS LÄN</t>
        </is>
      </c>
      <c r="E366" t="inlineStr">
        <is>
          <t>JOKKMOKK</t>
        </is>
      </c>
      <c r="F366" t="inlineStr">
        <is>
          <t>Naturvårdsverket</t>
        </is>
      </c>
      <c r="G366" t="n">
        <v>58.1</v>
      </c>
      <c r="H366" t="n">
        <v>0</v>
      </c>
      <c r="I366" t="n">
        <v>0</v>
      </c>
      <c r="J366" t="n">
        <v>0</v>
      </c>
      <c r="K366" t="n">
        <v>0</v>
      </c>
      <c r="L366" t="n">
        <v>0</v>
      </c>
      <c r="M366" t="n">
        <v>0</v>
      </c>
      <c r="N366" t="n">
        <v>0</v>
      </c>
      <c r="O366" t="n">
        <v>0</v>
      </c>
      <c r="P366" t="n">
        <v>0</v>
      </c>
      <c r="Q366" t="n">
        <v>0</v>
      </c>
      <c r="R366" s="2" t="inlineStr"/>
    </row>
    <row r="367" ht="15" customHeight="1">
      <c r="A367" t="inlineStr">
        <is>
          <t>A 24056-2023</t>
        </is>
      </c>
      <c r="B367" s="1" t="n">
        <v>45079</v>
      </c>
      <c r="C367" s="1" t="n">
        <v>45508</v>
      </c>
      <c r="D367" t="inlineStr">
        <is>
          <t>NORRBOTTENS LÄN</t>
        </is>
      </c>
      <c r="E367" t="inlineStr">
        <is>
          <t>JOKKMOKK</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24053-2023</t>
        </is>
      </c>
      <c r="B368" s="1" t="n">
        <v>45078</v>
      </c>
      <c r="C368" s="1" t="n">
        <v>45508</v>
      </c>
      <c r="D368" t="inlineStr">
        <is>
          <t>NORRBOTTENS LÄN</t>
        </is>
      </c>
      <c r="E368" t="inlineStr">
        <is>
          <t>JOKKMOKK</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24057-2023</t>
        </is>
      </c>
      <c r="B369" s="1" t="n">
        <v>45078</v>
      </c>
      <c r="C369" s="1" t="n">
        <v>45508</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24065-2023</t>
        </is>
      </c>
      <c r="B370" s="1" t="n">
        <v>45079</v>
      </c>
      <c r="C370" s="1" t="n">
        <v>45508</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24120-2023</t>
        </is>
      </c>
      <c r="B371" s="1" t="n">
        <v>45079</v>
      </c>
      <c r="C371" s="1" t="n">
        <v>45508</v>
      </c>
      <c r="D371" t="inlineStr">
        <is>
          <t>NORRBOTTENS LÄN</t>
        </is>
      </c>
      <c r="E371" t="inlineStr">
        <is>
          <t>JOKKMOKK</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24109-2023</t>
        </is>
      </c>
      <c r="B372" s="1" t="n">
        <v>45079</v>
      </c>
      <c r="C372" s="1" t="n">
        <v>45508</v>
      </c>
      <c r="D372" t="inlineStr">
        <is>
          <t>NORRBOTTENS LÄN</t>
        </is>
      </c>
      <c r="E372" t="inlineStr">
        <is>
          <t>JOKKMOKK</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24603-2023</t>
        </is>
      </c>
      <c r="B373" s="1" t="n">
        <v>45083</v>
      </c>
      <c r="C373" s="1" t="n">
        <v>45508</v>
      </c>
      <c r="D373" t="inlineStr">
        <is>
          <t>NORRBOTTENS LÄN</t>
        </is>
      </c>
      <c r="E373" t="inlineStr">
        <is>
          <t>JOKKMOKK</t>
        </is>
      </c>
      <c r="F373" t="inlineStr">
        <is>
          <t>SCA</t>
        </is>
      </c>
      <c r="G373" t="n">
        <v>17.1</v>
      </c>
      <c r="H373" t="n">
        <v>0</v>
      </c>
      <c r="I373" t="n">
        <v>0</v>
      </c>
      <c r="J373" t="n">
        <v>0</v>
      </c>
      <c r="K373" t="n">
        <v>0</v>
      </c>
      <c r="L373" t="n">
        <v>0</v>
      </c>
      <c r="M373" t="n">
        <v>0</v>
      </c>
      <c r="N373" t="n">
        <v>0</v>
      </c>
      <c r="O373" t="n">
        <v>0</v>
      </c>
      <c r="P373" t="n">
        <v>0</v>
      </c>
      <c r="Q373" t="n">
        <v>0</v>
      </c>
      <c r="R373" s="2" t="inlineStr"/>
    </row>
    <row r="374" ht="15" customHeight="1">
      <c r="A374" t="inlineStr">
        <is>
          <t>A 26131-2023</t>
        </is>
      </c>
      <c r="B374" s="1" t="n">
        <v>45086</v>
      </c>
      <c r="C374" s="1" t="n">
        <v>45508</v>
      </c>
      <c r="D374" t="inlineStr">
        <is>
          <t>NORRBOTTENS LÄN</t>
        </is>
      </c>
      <c r="E374" t="inlineStr">
        <is>
          <t>JOKKMOKK</t>
        </is>
      </c>
      <c r="G374" t="n">
        <v>35.6</v>
      </c>
      <c r="H374" t="n">
        <v>0</v>
      </c>
      <c r="I374" t="n">
        <v>0</v>
      </c>
      <c r="J374" t="n">
        <v>0</v>
      </c>
      <c r="K374" t="n">
        <v>0</v>
      </c>
      <c r="L374" t="n">
        <v>0</v>
      </c>
      <c r="M374" t="n">
        <v>0</v>
      </c>
      <c r="N374" t="n">
        <v>0</v>
      </c>
      <c r="O374" t="n">
        <v>0</v>
      </c>
      <c r="P374" t="n">
        <v>0</v>
      </c>
      <c r="Q374" t="n">
        <v>0</v>
      </c>
      <c r="R374" s="2" t="inlineStr"/>
    </row>
    <row r="375" ht="15" customHeight="1">
      <c r="A375" t="inlineStr">
        <is>
          <t>A 25719-2023</t>
        </is>
      </c>
      <c r="B375" s="1" t="n">
        <v>45090</v>
      </c>
      <c r="C375" s="1" t="n">
        <v>45508</v>
      </c>
      <c r="D375" t="inlineStr">
        <is>
          <t>NORRBOTTENS LÄN</t>
        </is>
      </c>
      <c r="E375" t="inlineStr">
        <is>
          <t>JOKKMOKK</t>
        </is>
      </c>
      <c r="G375" t="n">
        <v>7.6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45508</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45508</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27021-2023</t>
        </is>
      </c>
      <c r="B378" s="1" t="n">
        <v>45094</v>
      </c>
      <c r="C378" s="1" t="n">
        <v>45508</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27017-2023</t>
        </is>
      </c>
      <c r="B379" s="1" t="n">
        <v>45094</v>
      </c>
      <c r="C379" s="1" t="n">
        <v>45508</v>
      </c>
      <c r="D379" t="inlineStr">
        <is>
          <t>NORRBOTTENS LÄN</t>
        </is>
      </c>
      <c r="E379" t="inlineStr">
        <is>
          <t>JOKKMOKK</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27022-2023</t>
        </is>
      </c>
      <c r="B380" s="1" t="n">
        <v>45094</v>
      </c>
      <c r="C380" s="1" t="n">
        <v>45508</v>
      </c>
      <c r="D380" t="inlineStr">
        <is>
          <t>NORRBOTTENS LÄN</t>
        </is>
      </c>
      <c r="E380" t="inlineStr">
        <is>
          <t>JOKKMOKK</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27020-2023</t>
        </is>
      </c>
      <c r="B381" s="1" t="n">
        <v>45094</v>
      </c>
      <c r="C381" s="1" t="n">
        <v>45508</v>
      </c>
      <c r="D381" t="inlineStr">
        <is>
          <t>NORRBOTTENS LÄN</t>
        </is>
      </c>
      <c r="E381" t="inlineStr">
        <is>
          <t>JOKKMOKK</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27095-2023</t>
        </is>
      </c>
      <c r="B382" s="1" t="n">
        <v>45096</v>
      </c>
      <c r="C382" s="1" t="n">
        <v>45508</v>
      </c>
      <c r="D382" t="inlineStr">
        <is>
          <t>NORRBOTTENS LÄN</t>
        </is>
      </c>
      <c r="E382" t="inlineStr">
        <is>
          <t>JOKKMOKK</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45508</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29626-2023</t>
        </is>
      </c>
      <c r="B384" s="1" t="n">
        <v>45107</v>
      </c>
      <c r="C384" s="1" t="n">
        <v>45508</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29624-2023</t>
        </is>
      </c>
      <c r="B385" s="1" t="n">
        <v>45107</v>
      </c>
      <c r="C385" s="1" t="n">
        <v>45508</v>
      </c>
      <c r="D385" t="inlineStr">
        <is>
          <t>NORRBOTTENS LÄN</t>
        </is>
      </c>
      <c r="E385" t="inlineStr">
        <is>
          <t>JOKKMOKK</t>
        </is>
      </c>
      <c r="F385" t="inlineStr">
        <is>
          <t>SCA</t>
        </is>
      </c>
      <c r="G385" t="n">
        <v>10.3</v>
      </c>
      <c r="H385" t="n">
        <v>0</v>
      </c>
      <c r="I385" t="n">
        <v>0</v>
      </c>
      <c r="J385" t="n">
        <v>0</v>
      </c>
      <c r="K385" t="n">
        <v>0</v>
      </c>
      <c r="L385" t="n">
        <v>0</v>
      </c>
      <c r="M385" t="n">
        <v>0</v>
      </c>
      <c r="N385" t="n">
        <v>0</v>
      </c>
      <c r="O385" t="n">
        <v>0</v>
      </c>
      <c r="P385" t="n">
        <v>0</v>
      </c>
      <c r="Q385" t="n">
        <v>0</v>
      </c>
      <c r="R385" s="2" t="inlineStr"/>
    </row>
    <row r="386" ht="15" customHeight="1">
      <c r="A386" t="inlineStr">
        <is>
          <t>A 29628-2023</t>
        </is>
      </c>
      <c r="B386" s="1" t="n">
        <v>45107</v>
      </c>
      <c r="C386" s="1" t="n">
        <v>45508</v>
      </c>
      <c r="D386" t="inlineStr">
        <is>
          <t>NORRBOTTENS LÄN</t>
        </is>
      </c>
      <c r="E386" t="inlineStr">
        <is>
          <t>JOKKMOKK</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29627-2023</t>
        </is>
      </c>
      <c r="B387" s="1" t="n">
        <v>45107</v>
      </c>
      <c r="C387" s="1" t="n">
        <v>45508</v>
      </c>
      <c r="D387" t="inlineStr">
        <is>
          <t>NORRBOTTENS LÄN</t>
        </is>
      </c>
      <c r="E387" t="inlineStr">
        <is>
          <t>JOKKMOKK</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29625-2023</t>
        </is>
      </c>
      <c r="B388" s="1" t="n">
        <v>45107</v>
      </c>
      <c r="C388" s="1" t="n">
        <v>45508</v>
      </c>
      <c r="D388" t="inlineStr">
        <is>
          <t>NORRBOTTENS LÄN</t>
        </is>
      </c>
      <c r="E388" t="inlineStr">
        <is>
          <t>JOKKMOKK</t>
        </is>
      </c>
      <c r="F388" t="inlineStr">
        <is>
          <t>SCA</t>
        </is>
      </c>
      <c r="G388" t="n">
        <v>7.2</v>
      </c>
      <c r="H388" t="n">
        <v>0</v>
      </c>
      <c r="I388" t="n">
        <v>0</v>
      </c>
      <c r="J388" t="n">
        <v>0</v>
      </c>
      <c r="K388" t="n">
        <v>0</v>
      </c>
      <c r="L388" t="n">
        <v>0</v>
      </c>
      <c r="M388" t="n">
        <v>0</v>
      </c>
      <c r="N388" t="n">
        <v>0</v>
      </c>
      <c r="O388" t="n">
        <v>0</v>
      </c>
      <c r="P388" t="n">
        <v>0</v>
      </c>
      <c r="Q388" t="n">
        <v>0</v>
      </c>
      <c r="R388" s="2" t="inlineStr"/>
    </row>
    <row r="389" ht="15" customHeight="1">
      <c r="A389" t="inlineStr">
        <is>
          <t>A 30291-2023</t>
        </is>
      </c>
      <c r="B389" s="1" t="n">
        <v>45111</v>
      </c>
      <c r="C389" s="1" t="n">
        <v>45508</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45508</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32381-2023</t>
        </is>
      </c>
      <c r="B391" s="1" t="n">
        <v>45110</v>
      </c>
      <c r="C391" s="1" t="n">
        <v>45508</v>
      </c>
      <c r="D391" t="inlineStr">
        <is>
          <t>NORRBOTTENS LÄN</t>
        </is>
      </c>
      <c r="E391" t="inlineStr">
        <is>
          <t>JOKKMOKK</t>
        </is>
      </c>
      <c r="G391" t="n">
        <v>14.7</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45508</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45114</v>
      </c>
      <c r="C393" s="1" t="n">
        <v>45508</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31208-2023</t>
        </is>
      </c>
      <c r="B394" s="1" t="n">
        <v>45114</v>
      </c>
      <c r="C394" s="1" t="n">
        <v>45508</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32987-2023</t>
        </is>
      </c>
      <c r="B395" s="1" t="n">
        <v>45113</v>
      </c>
      <c r="C395" s="1" t="n">
        <v>45508</v>
      </c>
      <c r="D395" t="inlineStr">
        <is>
          <t>NORRBOTTENS LÄN</t>
        </is>
      </c>
      <c r="E395" t="inlineStr">
        <is>
          <t>JOKKMOKK</t>
        </is>
      </c>
      <c r="F395" t="inlineStr">
        <is>
          <t>Övriga statliga verk och myndigheter</t>
        </is>
      </c>
      <c r="G395" t="n">
        <v>15.1</v>
      </c>
      <c r="H395" t="n">
        <v>0</v>
      </c>
      <c r="I395" t="n">
        <v>0</v>
      </c>
      <c r="J395" t="n">
        <v>0</v>
      </c>
      <c r="K395" t="n">
        <v>0</v>
      </c>
      <c r="L395" t="n">
        <v>0</v>
      </c>
      <c r="M395" t="n">
        <v>0</v>
      </c>
      <c r="N395" t="n">
        <v>0</v>
      </c>
      <c r="O395" t="n">
        <v>0</v>
      </c>
      <c r="P395" t="n">
        <v>0</v>
      </c>
      <c r="Q395" t="n">
        <v>0</v>
      </c>
      <c r="R395" s="2" t="inlineStr"/>
    </row>
    <row r="396" ht="15" customHeight="1">
      <c r="A396" t="inlineStr">
        <is>
          <t>A 33014-2023</t>
        </is>
      </c>
      <c r="B396" s="1" t="n">
        <v>45113</v>
      </c>
      <c r="C396" s="1" t="n">
        <v>45508</v>
      </c>
      <c r="D396" t="inlineStr">
        <is>
          <t>NORRBOTTENS LÄN</t>
        </is>
      </c>
      <c r="E396" t="inlineStr">
        <is>
          <t>JOKKMOKK</t>
        </is>
      </c>
      <c r="F396" t="inlineStr">
        <is>
          <t>Övriga statliga verk och myndigheter</t>
        </is>
      </c>
      <c r="G396" t="n">
        <v>7.2</v>
      </c>
      <c r="H396" t="n">
        <v>0</v>
      </c>
      <c r="I396" t="n">
        <v>0</v>
      </c>
      <c r="J396" t="n">
        <v>0</v>
      </c>
      <c r="K396" t="n">
        <v>0</v>
      </c>
      <c r="L396" t="n">
        <v>0</v>
      </c>
      <c r="M396" t="n">
        <v>0</v>
      </c>
      <c r="N396" t="n">
        <v>0</v>
      </c>
      <c r="O396" t="n">
        <v>0</v>
      </c>
      <c r="P396" t="n">
        <v>0</v>
      </c>
      <c r="Q396" t="n">
        <v>0</v>
      </c>
      <c r="R396" s="2" t="inlineStr"/>
    </row>
    <row r="397" ht="15" customHeight="1">
      <c r="A397" t="inlineStr">
        <is>
          <t>A 33006-2023</t>
        </is>
      </c>
      <c r="B397" s="1" t="n">
        <v>45113</v>
      </c>
      <c r="C397" s="1" t="n">
        <v>45508</v>
      </c>
      <c r="D397" t="inlineStr">
        <is>
          <t>NORRBOTTENS LÄN</t>
        </is>
      </c>
      <c r="E397" t="inlineStr">
        <is>
          <t>JOKKMOKK</t>
        </is>
      </c>
      <c r="F397" t="inlineStr">
        <is>
          <t>Övriga statliga verk och myndigheter</t>
        </is>
      </c>
      <c r="G397" t="n">
        <v>19.1</v>
      </c>
      <c r="H397" t="n">
        <v>0</v>
      </c>
      <c r="I397" t="n">
        <v>0</v>
      </c>
      <c r="J397" t="n">
        <v>0</v>
      </c>
      <c r="K397" t="n">
        <v>0</v>
      </c>
      <c r="L397" t="n">
        <v>0</v>
      </c>
      <c r="M397" t="n">
        <v>0</v>
      </c>
      <c r="N397" t="n">
        <v>0</v>
      </c>
      <c r="O397" t="n">
        <v>0</v>
      </c>
      <c r="P397" t="n">
        <v>0</v>
      </c>
      <c r="Q397" t="n">
        <v>0</v>
      </c>
      <c r="R397" s="2" t="inlineStr"/>
    </row>
    <row r="398" ht="15" customHeight="1">
      <c r="A398" t="inlineStr">
        <is>
          <t>A 33146-2023</t>
        </is>
      </c>
      <c r="B398" s="1" t="n">
        <v>45114</v>
      </c>
      <c r="C398" s="1" t="n">
        <v>45508</v>
      </c>
      <c r="D398" t="inlineStr">
        <is>
          <t>NORRBOTTENS LÄN</t>
        </is>
      </c>
      <c r="E398" t="inlineStr">
        <is>
          <t>JOKKMOKK</t>
        </is>
      </c>
      <c r="F398" t="inlineStr">
        <is>
          <t>Övriga statliga verk och myndigheter</t>
        </is>
      </c>
      <c r="G398" t="n">
        <v>14.5</v>
      </c>
      <c r="H398" t="n">
        <v>0</v>
      </c>
      <c r="I398" t="n">
        <v>0</v>
      </c>
      <c r="J398" t="n">
        <v>0</v>
      </c>
      <c r="K398" t="n">
        <v>0</v>
      </c>
      <c r="L398" t="n">
        <v>0</v>
      </c>
      <c r="M398" t="n">
        <v>0</v>
      </c>
      <c r="N398" t="n">
        <v>0</v>
      </c>
      <c r="O398" t="n">
        <v>0</v>
      </c>
      <c r="P398" t="n">
        <v>0</v>
      </c>
      <c r="Q398" t="n">
        <v>0</v>
      </c>
      <c r="R398" s="2" t="inlineStr"/>
    </row>
    <row r="399" ht="15" customHeight="1">
      <c r="A399" t="inlineStr">
        <is>
          <t>A 33139-2023</t>
        </is>
      </c>
      <c r="B399" s="1" t="n">
        <v>45114</v>
      </c>
      <c r="C399" s="1" t="n">
        <v>45508</v>
      </c>
      <c r="D399" t="inlineStr">
        <is>
          <t>NORRBOTTENS LÄN</t>
        </is>
      </c>
      <c r="E399" t="inlineStr">
        <is>
          <t>JOKKMOKK</t>
        </is>
      </c>
      <c r="F399" t="inlineStr">
        <is>
          <t>Övriga statliga verk och myndigheter</t>
        </is>
      </c>
      <c r="G399" t="n">
        <v>8.6</v>
      </c>
      <c r="H399" t="n">
        <v>0</v>
      </c>
      <c r="I399" t="n">
        <v>0</v>
      </c>
      <c r="J399" t="n">
        <v>0</v>
      </c>
      <c r="K399" t="n">
        <v>0</v>
      </c>
      <c r="L399" t="n">
        <v>0</v>
      </c>
      <c r="M399" t="n">
        <v>0</v>
      </c>
      <c r="N399" t="n">
        <v>0</v>
      </c>
      <c r="O399" t="n">
        <v>0</v>
      </c>
      <c r="P399" t="n">
        <v>0</v>
      </c>
      <c r="Q399" t="n">
        <v>0</v>
      </c>
      <c r="R399" s="2" t="inlineStr"/>
    </row>
    <row r="400" ht="15" customHeight="1">
      <c r="A400" t="inlineStr">
        <is>
          <t>A 32899-2023</t>
        </is>
      </c>
      <c r="B400" s="1" t="n">
        <v>45124</v>
      </c>
      <c r="C400" s="1" t="n">
        <v>45508</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32915-2023</t>
        </is>
      </c>
      <c r="B401" s="1" t="n">
        <v>45125</v>
      </c>
      <c r="C401" s="1" t="n">
        <v>45508</v>
      </c>
      <c r="D401" t="inlineStr">
        <is>
          <t>NORRBOTTENS LÄN</t>
        </is>
      </c>
      <c r="E401" t="inlineStr">
        <is>
          <t>JOKKMOKK</t>
        </is>
      </c>
      <c r="F401" t="inlineStr">
        <is>
          <t>SCA</t>
        </is>
      </c>
      <c r="G401" t="n">
        <v>15.1</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45508</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32912-2023</t>
        </is>
      </c>
      <c r="B403" s="1" t="n">
        <v>45125</v>
      </c>
      <c r="C403" s="1" t="n">
        <v>45508</v>
      </c>
      <c r="D403" t="inlineStr">
        <is>
          <t>NORRBOTTENS LÄN</t>
        </is>
      </c>
      <c r="E403" t="inlineStr">
        <is>
          <t>JOKKMOKK</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32914-2023</t>
        </is>
      </c>
      <c r="B404" s="1" t="n">
        <v>45124</v>
      </c>
      <c r="C404" s="1" t="n">
        <v>45508</v>
      </c>
      <c r="D404" t="inlineStr">
        <is>
          <t>NORRBOTTENS LÄN</t>
        </is>
      </c>
      <c r="E404" t="inlineStr">
        <is>
          <t>JOKKMOKK</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35153-2023</t>
        </is>
      </c>
      <c r="B405" s="1" t="n">
        <v>45145</v>
      </c>
      <c r="C405" s="1" t="n">
        <v>45508</v>
      </c>
      <c r="D405" t="inlineStr">
        <is>
          <t>NORRBOTTENS LÄN</t>
        </is>
      </c>
      <c r="E405" t="inlineStr">
        <is>
          <t>JOKKMOKK</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36889-2023</t>
        </is>
      </c>
      <c r="B406" s="1" t="n">
        <v>45153</v>
      </c>
      <c r="C406" s="1" t="n">
        <v>45508</v>
      </c>
      <c r="D406" t="inlineStr">
        <is>
          <t>NORRBOTTENS LÄN</t>
        </is>
      </c>
      <c r="E406" t="inlineStr">
        <is>
          <t>JOKKMOKK</t>
        </is>
      </c>
      <c r="F406" t="inlineStr">
        <is>
          <t>Övriga statliga verk och myndigheter</t>
        </is>
      </c>
      <c r="G406" t="n">
        <v>16.7</v>
      </c>
      <c r="H406" t="n">
        <v>0</v>
      </c>
      <c r="I406" t="n">
        <v>0</v>
      </c>
      <c r="J406" t="n">
        <v>0</v>
      </c>
      <c r="K406" t="n">
        <v>0</v>
      </c>
      <c r="L406" t="n">
        <v>0</v>
      </c>
      <c r="M406" t="n">
        <v>0</v>
      </c>
      <c r="N406" t="n">
        <v>0</v>
      </c>
      <c r="O406" t="n">
        <v>0</v>
      </c>
      <c r="P406" t="n">
        <v>0</v>
      </c>
      <c r="Q406" t="n">
        <v>0</v>
      </c>
      <c r="R406" s="2" t="inlineStr"/>
    </row>
    <row r="407" ht="15" customHeight="1">
      <c r="A407" t="inlineStr">
        <is>
          <t>A 37162-2023</t>
        </is>
      </c>
      <c r="B407" s="1" t="n">
        <v>45155</v>
      </c>
      <c r="C407" s="1" t="n">
        <v>45508</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38369-2023</t>
        </is>
      </c>
      <c r="B408" s="1" t="n">
        <v>45162</v>
      </c>
      <c r="C408" s="1" t="n">
        <v>45508</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38373-2023</t>
        </is>
      </c>
      <c r="B409" s="1" t="n">
        <v>45161</v>
      </c>
      <c r="C409" s="1" t="n">
        <v>45508</v>
      </c>
      <c r="D409" t="inlineStr">
        <is>
          <t>NORRBOTTENS LÄN</t>
        </is>
      </c>
      <c r="E409" t="inlineStr">
        <is>
          <t>JOKKMOKK</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38528-2023</t>
        </is>
      </c>
      <c r="B410" s="1" t="n">
        <v>45162</v>
      </c>
      <c r="C410" s="1" t="n">
        <v>45508</v>
      </c>
      <c r="D410" t="inlineStr">
        <is>
          <t>NORRBOTTENS LÄN</t>
        </is>
      </c>
      <c r="E410" t="inlineStr">
        <is>
          <t>JOKKMOKK</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38680-2023</t>
        </is>
      </c>
      <c r="B411" s="1" t="n">
        <v>45163</v>
      </c>
      <c r="C411" s="1" t="n">
        <v>45508</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38681-2023</t>
        </is>
      </c>
      <c r="B412" s="1" t="n">
        <v>45162</v>
      </c>
      <c r="C412" s="1" t="n">
        <v>45508</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39061-2023</t>
        </is>
      </c>
      <c r="B413" s="1" t="n">
        <v>45164</v>
      </c>
      <c r="C413" s="1" t="n">
        <v>45508</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39062-2023</t>
        </is>
      </c>
      <c r="B414" s="1" t="n">
        <v>45164</v>
      </c>
      <c r="C414" s="1" t="n">
        <v>45508</v>
      </c>
      <c r="D414" t="inlineStr">
        <is>
          <t>NORRBOTTENS LÄN</t>
        </is>
      </c>
      <c r="E414" t="inlineStr">
        <is>
          <t>JOKKMOKK</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39504-2023</t>
        </is>
      </c>
      <c r="B415" s="1" t="n">
        <v>45166</v>
      </c>
      <c r="C415" s="1" t="n">
        <v>45508</v>
      </c>
      <c r="D415" t="inlineStr">
        <is>
          <t>NORRBOTTENS LÄN</t>
        </is>
      </c>
      <c r="E415" t="inlineStr">
        <is>
          <t>JOKKMOKK</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39502-2023</t>
        </is>
      </c>
      <c r="B416" s="1" t="n">
        <v>45167</v>
      </c>
      <c r="C416" s="1" t="n">
        <v>45508</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45508</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39505-2023</t>
        </is>
      </c>
      <c r="B418" s="1" t="n">
        <v>45167</v>
      </c>
      <c r="C418" s="1" t="n">
        <v>45508</v>
      </c>
      <c r="D418" t="inlineStr">
        <is>
          <t>NORRBOTTENS LÄN</t>
        </is>
      </c>
      <c r="E418" t="inlineStr">
        <is>
          <t>JOKKMOKK</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39503-2023</t>
        </is>
      </c>
      <c r="B419" s="1" t="n">
        <v>45167</v>
      </c>
      <c r="C419" s="1" t="n">
        <v>45508</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40093-2023</t>
        </is>
      </c>
      <c r="B420" s="1" t="n">
        <v>45168</v>
      </c>
      <c r="C420" s="1" t="n">
        <v>45508</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40106-2023</t>
        </is>
      </c>
      <c r="B421" s="1" t="n">
        <v>45169</v>
      </c>
      <c r="C421" s="1" t="n">
        <v>45508</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41011-2023</t>
        </is>
      </c>
      <c r="B422" s="1" t="n">
        <v>45169</v>
      </c>
      <c r="C422" s="1" t="n">
        <v>45508</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40750-2023</t>
        </is>
      </c>
      <c r="B423" s="1" t="n">
        <v>45171</v>
      </c>
      <c r="C423" s="1" t="n">
        <v>45508</v>
      </c>
      <c r="D423" t="inlineStr">
        <is>
          <t>NORRBOTTENS LÄN</t>
        </is>
      </c>
      <c r="E423" t="inlineStr">
        <is>
          <t>JOKKMOKK</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40770-2023</t>
        </is>
      </c>
      <c r="B424" s="1" t="n">
        <v>45170</v>
      </c>
      <c r="C424" s="1" t="n">
        <v>45508</v>
      </c>
      <c r="D424" t="inlineStr">
        <is>
          <t>NORRBOTTENS LÄN</t>
        </is>
      </c>
      <c r="E424" t="inlineStr">
        <is>
          <t>JOKKMOKK</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45171</v>
      </c>
      <c r="C425" s="1" t="n">
        <v>45508</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41061-2023</t>
        </is>
      </c>
      <c r="B426" s="1" t="n">
        <v>45173</v>
      </c>
      <c r="C426" s="1" t="n">
        <v>45508</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46455-2023</t>
        </is>
      </c>
      <c r="B427" s="1" t="n">
        <v>45197</v>
      </c>
      <c r="C427" s="1" t="n">
        <v>45508</v>
      </c>
      <c r="D427" t="inlineStr">
        <is>
          <t>NORRBOTTENS LÄN</t>
        </is>
      </c>
      <c r="E427" t="inlineStr">
        <is>
          <t>JOKKMOKK</t>
        </is>
      </c>
      <c r="G427" t="n">
        <v>7.5</v>
      </c>
      <c r="H427" t="n">
        <v>0</v>
      </c>
      <c r="I427" t="n">
        <v>0</v>
      </c>
      <c r="J427" t="n">
        <v>0</v>
      </c>
      <c r="K427" t="n">
        <v>0</v>
      </c>
      <c r="L427" t="n">
        <v>0</v>
      </c>
      <c r="M427" t="n">
        <v>0</v>
      </c>
      <c r="N427" t="n">
        <v>0</v>
      </c>
      <c r="O427" t="n">
        <v>0</v>
      </c>
      <c r="P427" t="n">
        <v>0</v>
      </c>
      <c r="Q427" t="n">
        <v>0</v>
      </c>
      <c r="R427" s="2" t="inlineStr"/>
    </row>
    <row r="428" ht="15" customHeight="1">
      <c r="A428" t="inlineStr">
        <is>
          <t>A 46442-2023</t>
        </is>
      </c>
      <c r="B428" s="1" t="n">
        <v>45197</v>
      </c>
      <c r="C428" s="1" t="n">
        <v>45508</v>
      </c>
      <c r="D428" t="inlineStr">
        <is>
          <t>NORRBOTTENS LÄN</t>
        </is>
      </c>
      <c r="E428" t="inlineStr">
        <is>
          <t>JOKKMOKK</t>
        </is>
      </c>
      <c r="G428" t="n">
        <v>6.4</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45508</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48787-2023</t>
        </is>
      </c>
      <c r="B430" s="1" t="n">
        <v>45209</v>
      </c>
      <c r="C430" s="1" t="n">
        <v>45508</v>
      </c>
      <c r="D430" t="inlineStr">
        <is>
          <t>NORRBOTTENS LÄN</t>
        </is>
      </c>
      <c r="E430" t="inlineStr">
        <is>
          <t>JOKKMOKK</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48585-2023</t>
        </is>
      </c>
      <c r="B431" s="1" t="n">
        <v>45208</v>
      </c>
      <c r="C431" s="1" t="n">
        <v>45508</v>
      </c>
      <c r="D431" t="inlineStr">
        <is>
          <t>NORRBOTTENS LÄN</t>
        </is>
      </c>
      <c r="E431" t="inlineStr">
        <is>
          <t>JOKKMOKK</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49338-2023</t>
        </is>
      </c>
      <c r="B432" s="1" t="n">
        <v>45210</v>
      </c>
      <c r="C432" s="1" t="n">
        <v>45508</v>
      </c>
      <c r="D432" t="inlineStr">
        <is>
          <t>NORRBOTTENS LÄN</t>
        </is>
      </c>
      <c r="E432" t="inlineStr">
        <is>
          <t>JOKKMOKK</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49643-2023</t>
        </is>
      </c>
      <c r="B433" s="1" t="n">
        <v>45212</v>
      </c>
      <c r="C433" s="1" t="n">
        <v>45508</v>
      </c>
      <c r="D433" t="inlineStr">
        <is>
          <t>NORRBOTTENS LÄN</t>
        </is>
      </c>
      <c r="E433" t="inlineStr">
        <is>
          <t>JOKKMOKK</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49644-2023</t>
        </is>
      </c>
      <c r="B434" s="1" t="n">
        <v>45212</v>
      </c>
      <c r="C434" s="1" t="n">
        <v>45508</v>
      </c>
      <c r="D434" t="inlineStr">
        <is>
          <t>NORRBOTTENS LÄN</t>
        </is>
      </c>
      <c r="E434" t="inlineStr">
        <is>
          <t>JOKKMOKK</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50258-2023</t>
        </is>
      </c>
      <c r="B435" s="1" t="n">
        <v>45216</v>
      </c>
      <c r="C435" s="1" t="n">
        <v>45508</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50801-2023</t>
        </is>
      </c>
      <c r="B436" s="1" t="n">
        <v>45217</v>
      </c>
      <c r="C436" s="1" t="n">
        <v>45508</v>
      </c>
      <c r="D436" t="inlineStr">
        <is>
          <t>NORRBOTTENS LÄN</t>
        </is>
      </c>
      <c r="E436" t="inlineStr">
        <is>
          <t>JOKKMOKK</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52296-2023</t>
        </is>
      </c>
      <c r="B437" s="1" t="n">
        <v>45217</v>
      </c>
      <c r="C437" s="1" t="n">
        <v>45508</v>
      </c>
      <c r="D437" t="inlineStr">
        <is>
          <t>NORRBOTTENS LÄN</t>
        </is>
      </c>
      <c r="E437" t="inlineStr">
        <is>
          <t>JOKKMOKK</t>
        </is>
      </c>
      <c r="F437" t="inlineStr">
        <is>
          <t>Övriga statliga verk och myndigheter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52314-2023</t>
        </is>
      </c>
      <c r="B438" s="1" t="n">
        <v>45217</v>
      </c>
      <c r="C438" s="1" t="n">
        <v>45508</v>
      </c>
      <c r="D438" t="inlineStr">
        <is>
          <t>NORRBOTTENS LÄN</t>
        </is>
      </c>
      <c r="E438" t="inlineStr">
        <is>
          <t>JOKKMOKK</t>
        </is>
      </c>
      <c r="F438" t="inlineStr">
        <is>
          <t>Övriga statliga verk och myndigheter</t>
        </is>
      </c>
      <c r="G438" t="n">
        <v>23.3</v>
      </c>
      <c r="H438" t="n">
        <v>0</v>
      </c>
      <c r="I438" t="n">
        <v>0</v>
      </c>
      <c r="J438" t="n">
        <v>0</v>
      </c>
      <c r="K438" t="n">
        <v>0</v>
      </c>
      <c r="L438" t="n">
        <v>0</v>
      </c>
      <c r="M438" t="n">
        <v>0</v>
      </c>
      <c r="N438" t="n">
        <v>0</v>
      </c>
      <c r="O438" t="n">
        <v>0</v>
      </c>
      <c r="P438" t="n">
        <v>0</v>
      </c>
      <c r="Q438" t="n">
        <v>0</v>
      </c>
      <c r="R438" s="2" t="inlineStr"/>
    </row>
    <row r="439" ht="15" customHeight="1">
      <c r="A439" t="inlineStr">
        <is>
          <t>A 52522-2023</t>
        </is>
      </c>
      <c r="B439" s="1" t="n">
        <v>45218</v>
      </c>
      <c r="C439" s="1" t="n">
        <v>45508</v>
      </c>
      <c r="D439" t="inlineStr">
        <is>
          <t>NORRBOTTENS LÄN</t>
        </is>
      </c>
      <c r="E439" t="inlineStr">
        <is>
          <t>JOKKMOKK</t>
        </is>
      </c>
      <c r="F439" t="inlineStr">
        <is>
          <t>Övriga statliga verk och myndigheter</t>
        </is>
      </c>
      <c r="G439" t="n">
        <v>32.4</v>
      </c>
      <c r="H439" t="n">
        <v>0</v>
      </c>
      <c r="I439" t="n">
        <v>0</v>
      </c>
      <c r="J439" t="n">
        <v>0</v>
      </c>
      <c r="K439" t="n">
        <v>0</v>
      </c>
      <c r="L439" t="n">
        <v>0</v>
      </c>
      <c r="M439" t="n">
        <v>0</v>
      </c>
      <c r="N439" t="n">
        <v>0</v>
      </c>
      <c r="O439" t="n">
        <v>0</v>
      </c>
      <c r="P439" t="n">
        <v>0</v>
      </c>
      <c r="Q439" t="n">
        <v>0</v>
      </c>
      <c r="R439" s="2" t="inlineStr"/>
    </row>
    <row r="440" ht="15" customHeight="1">
      <c r="A440" t="inlineStr">
        <is>
          <t>A 52543-2023</t>
        </is>
      </c>
      <c r="B440" s="1" t="n">
        <v>45218</v>
      </c>
      <c r="C440" s="1" t="n">
        <v>45508</v>
      </c>
      <c r="D440" t="inlineStr">
        <is>
          <t>NORRBOTTENS LÄN</t>
        </is>
      </c>
      <c r="E440" t="inlineStr">
        <is>
          <t>JOKKMOKK</t>
        </is>
      </c>
      <c r="F440" t="inlineStr">
        <is>
          <t>Övriga statliga verk och myndigheter</t>
        </is>
      </c>
      <c r="G440" t="n">
        <v>23.8</v>
      </c>
      <c r="H440" t="n">
        <v>0</v>
      </c>
      <c r="I440" t="n">
        <v>0</v>
      </c>
      <c r="J440" t="n">
        <v>0</v>
      </c>
      <c r="K440" t="n">
        <v>0</v>
      </c>
      <c r="L440" t="n">
        <v>0</v>
      </c>
      <c r="M440" t="n">
        <v>0</v>
      </c>
      <c r="N440" t="n">
        <v>0</v>
      </c>
      <c r="O440" t="n">
        <v>0</v>
      </c>
      <c r="P440" t="n">
        <v>0</v>
      </c>
      <c r="Q440" t="n">
        <v>0</v>
      </c>
      <c r="R440" s="2" t="inlineStr"/>
    </row>
    <row r="441" ht="15" customHeight="1">
      <c r="A441" t="inlineStr">
        <is>
          <t>A 52963-2023</t>
        </is>
      </c>
      <c r="B441" s="1" t="n">
        <v>45222</v>
      </c>
      <c r="C441" s="1" t="n">
        <v>45508</v>
      </c>
      <c r="D441" t="inlineStr">
        <is>
          <t>NORRBOTTENS LÄN</t>
        </is>
      </c>
      <c r="E441" t="inlineStr">
        <is>
          <t>JOKKMOKK</t>
        </is>
      </c>
      <c r="F441" t="inlineStr">
        <is>
          <t>Övriga statliga verk och myndigheter</t>
        </is>
      </c>
      <c r="G441" t="n">
        <v>46.3</v>
      </c>
      <c r="H441" t="n">
        <v>0</v>
      </c>
      <c r="I441" t="n">
        <v>0</v>
      </c>
      <c r="J441" t="n">
        <v>0</v>
      </c>
      <c r="K441" t="n">
        <v>0</v>
      </c>
      <c r="L441" t="n">
        <v>0</v>
      </c>
      <c r="M441" t="n">
        <v>0</v>
      </c>
      <c r="N441" t="n">
        <v>0</v>
      </c>
      <c r="O441" t="n">
        <v>0</v>
      </c>
      <c r="P441" t="n">
        <v>0</v>
      </c>
      <c r="Q441" t="n">
        <v>0</v>
      </c>
      <c r="R441" s="2" t="inlineStr"/>
    </row>
    <row r="442" ht="15" customHeight="1">
      <c r="A442" t="inlineStr">
        <is>
          <t>A 53157-2023</t>
        </is>
      </c>
      <c r="B442" s="1" t="n">
        <v>45222</v>
      </c>
      <c r="C442" s="1" t="n">
        <v>45508</v>
      </c>
      <c r="D442" t="inlineStr">
        <is>
          <t>NORRBOTTENS LÄN</t>
        </is>
      </c>
      <c r="E442" t="inlineStr">
        <is>
          <t>JOKKMOKK</t>
        </is>
      </c>
      <c r="F442" t="inlineStr">
        <is>
          <t>Övriga statliga verk och myndigheter</t>
        </is>
      </c>
      <c r="G442" t="n">
        <v>2.7</v>
      </c>
      <c r="H442" t="n">
        <v>0</v>
      </c>
      <c r="I442" t="n">
        <v>0</v>
      </c>
      <c r="J442" t="n">
        <v>0</v>
      </c>
      <c r="K442" t="n">
        <v>0</v>
      </c>
      <c r="L442" t="n">
        <v>0</v>
      </c>
      <c r="M442" t="n">
        <v>0</v>
      </c>
      <c r="N442" t="n">
        <v>0</v>
      </c>
      <c r="O442" t="n">
        <v>0</v>
      </c>
      <c r="P442" t="n">
        <v>0</v>
      </c>
      <c r="Q442" t="n">
        <v>0</v>
      </c>
      <c r="R442" s="2" t="inlineStr"/>
    </row>
    <row r="443" ht="15" customHeight="1">
      <c r="A443" t="inlineStr">
        <is>
          <t>A 53140-2023</t>
        </is>
      </c>
      <c r="B443" s="1" t="n">
        <v>45222</v>
      </c>
      <c r="C443" s="1" t="n">
        <v>45508</v>
      </c>
      <c r="D443" t="inlineStr">
        <is>
          <t>NORRBOTTENS LÄN</t>
        </is>
      </c>
      <c r="E443" t="inlineStr">
        <is>
          <t>JOKKMOKK</t>
        </is>
      </c>
      <c r="F443" t="inlineStr">
        <is>
          <t>Övriga statliga verk och myndigheter</t>
        </is>
      </c>
      <c r="G443" t="n">
        <v>44.1</v>
      </c>
      <c r="H443" t="n">
        <v>0</v>
      </c>
      <c r="I443" t="n">
        <v>0</v>
      </c>
      <c r="J443" t="n">
        <v>0</v>
      </c>
      <c r="K443" t="n">
        <v>0</v>
      </c>
      <c r="L443" t="n">
        <v>0</v>
      </c>
      <c r="M443" t="n">
        <v>0</v>
      </c>
      <c r="N443" t="n">
        <v>0</v>
      </c>
      <c r="O443" t="n">
        <v>0</v>
      </c>
      <c r="P443" t="n">
        <v>0</v>
      </c>
      <c r="Q443" t="n">
        <v>0</v>
      </c>
      <c r="R443" s="2" t="inlineStr"/>
    </row>
    <row r="444" ht="15" customHeight="1">
      <c r="A444" t="inlineStr">
        <is>
          <t>A 53205-2023</t>
        </is>
      </c>
      <c r="B444" s="1" t="n">
        <v>45222</v>
      </c>
      <c r="C444" s="1" t="n">
        <v>45508</v>
      </c>
      <c r="D444" t="inlineStr">
        <is>
          <t>NORRBOTTENS LÄN</t>
        </is>
      </c>
      <c r="E444" t="inlineStr">
        <is>
          <t>JOKKMOKK</t>
        </is>
      </c>
      <c r="F444" t="inlineStr">
        <is>
          <t>Övriga statliga verk och myndigheter</t>
        </is>
      </c>
      <c r="G444" t="n">
        <v>11.9</v>
      </c>
      <c r="H444" t="n">
        <v>0</v>
      </c>
      <c r="I444" t="n">
        <v>0</v>
      </c>
      <c r="J444" t="n">
        <v>0</v>
      </c>
      <c r="K444" t="n">
        <v>0</v>
      </c>
      <c r="L444" t="n">
        <v>0</v>
      </c>
      <c r="M444" t="n">
        <v>0</v>
      </c>
      <c r="N444" t="n">
        <v>0</v>
      </c>
      <c r="O444" t="n">
        <v>0</v>
      </c>
      <c r="P444" t="n">
        <v>0</v>
      </c>
      <c r="Q444" t="n">
        <v>0</v>
      </c>
      <c r="R444" s="2" t="inlineStr"/>
    </row>
    <row r="445" ht="15" customHeight="1">
      <c r="A445" t="inlineStr">
        <is>
          <t>A 53181-2023</t>
        </is>
      </c>
      <c r="B445" s="1" t="n">
        <v>45222</v>
      </c>
      <c r="C445" s="1" t="n">
        <v>45508</v>
      </c>
      <c r="D445" t="inlineStr">
        <is>
          <t>NORRBOTTENS LÄN</t>
        </is>
      </c>
      <c r="E445" t="inlineStr">
        <is>
          <t>JOKKMOKK</t>
        </is>
      </c>
      <c r="F445" t="inlineStr">
        <is>
          <t>Övriga statliga verk och myndigheter</t>
        </is>
      </c>
      <c r="G445" t="n">
        <v>9.9</v>
      </c>
      <c r="H445" t="n">
        <v>0</v>
      </c>
      <c r="I445" t="n">
        <v>0</v>
      </c>
      <c r="J445" t="n">
        <v>0</v>
      </c>
      <c r="K445" t="n">
        <v>0</v>
      </c>
      <c r="L445" t="n">
        <v>0</v>
      </c>
      <c r="M445" t="n">
        <v>0</v>
      </c>
      <c r="N445" t="n">
        <v>0</v>
      </c>
      <c r="O445" t="n">
        <v>0</v>
      </c>
      <c r="P445" t="n">
        <v>0</v>
      </c>
      <c r="Q445" t="n">
        <v>0</v>
      </c>
      <c r="R445" s="2" t="inlineStr"/>
    </row>
    <row r="446" ht="15" customHeight="1">
      <c r="A446" t="inlineStr">
        <is>
          <t>A 53195-2023</t>
        </is>
      </c>
      <c r="B446" s="1" t="n">
        <v>45222</v>
      </c>
      <c r="C446" s="1" t="n">
        <v>45508</v>
      </c>
      <c r="D446" t="inlineStr">
        <is>
          <t>NORRBOTTENS LÄN</t>
        </is>
      </c>
      <c r="E446" t="inlineStr">
        <is>
          <t>JOKKMOKK</t>
        </is>
      </c>
      <c r="F446" t="inlineStr">
        <is>
          <t>Övriga statliga verk och myndigheter</t>
        </is>
      </c>
      <c r="G446" t="n">
        <v>6</v>
      </c>
      <c r="H446" t="n">
        <v>0</v>
      </c>
      <c r="I446" t="n">
        <v>0</v>
      </c>
      <c r="J446" t="n">
        <v>0</v>
      </c>
      <c r="K446" t="n">
        <v>0</v>
      </c>
      <c r="L446" t="n">
        <v>0</v>
      </c>
      <c r="M446" t="n">
        <v>0</v>
      </c>
      <c r="N446" t="n">
        <v>0</v>
      </c>
      <c r="O446" t="n">
        <v>0</v>
      </c>
      <c r="P446" t="n">
        <v>0</v>
      </c>
      <c r="Q446" t="n">
        <v>0</v>
      </c>
      <c r="R446" s="2" t="inlineStr"/>
    </row>
    <row r="447" ht="15" customHeight="1">
      <c r="A447" t="inlineStr">
        <is>
          <t>A 52181-2023</t>
        </is>
      </c>
      <c r="B447" s="1" t="n">
        <v>45224</v>
      </c>
      <c r="C447" s="1" t="n">
        <v>45508</v>
      </c>
      <c r="D447" t="inlineStr">
        <is>
          <t>NORRBOTTENS LÄN</t>
        </is>
      </c>
      <c r="E447" t="inlineStr">
        <is>
          <t>JOKKMOKK</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53991-2023</t>
        </is>
      </c>
      <c r="B448" s="1" t="n">
        <v>45225</v>
      </c>
      <c r="C448" s="1" t="n">
        <v>45508</v>
      </c>
      <c r="D448" t="inlineStr">
        <is>
          <t>NORRBOTTENS LÄN</t>
        </is>
      </c>
      <c r="E448" t="inlineStr">
        <is>
          <t>JOKKMOKK</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54354-2023</t>
        </is>
      </c>
      <c r="B449" s="1" t="n">
        <v>45232</v>
      </c>
      <c r="C449" s="1" t="n">
        <v>45508</v>
      </c>
      <c r="D449" t="inlineStr">
        <is>
          <t>NORRBOTTENS LÄN</t>
        </is>
      </c>
      <c r="E449" t="inlineStr">
        <is>
          <t>JOKKMOKK</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55198-2023</t>
        </is>
      </c>
      <c r="B450" s="1" t="n">
        <v>45237</v>
      </c>
      <c r="C450" s="1" t="n">
        <v>45508</v>
      </c>
      <c r="D450" t="inlineStr">
        <is>
          <t>NORRBOTTENS LÄN</t>
        </is>
      </c>
      <c r="E450" t="inlineStr">
        <is>
          <t>JOKKMOKK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56540-2023</t>
        </is>
      </c>
      <c r="B451" s="1" t="n">
        <v>45243</v>
      </c>
      <c r="C451" s="1" t="n">
        <v>45508</v>
      </c>
      <c r="D451" t="inlineStr">
        <is>
          <t>NORRBOTTENS LÄN</t>
        </is>
      </c>
      <c r="E451" t="inlineStr">
        <is>
          <t>JOKKMOKK</t>
        </is>
      </c>
      <c r="G451" t="n">
        <v>19.4</v>
      </c>
      <c r="H451" t="n">
        <v>0</v>
      </c>
      <c r="I451" t="n">
        <v>0</v>
      </c>
      <c r="J451" t="n">
        <v>0</v>
      </c>
      <c r="K451" t="n">
        <v>0</v>
      </c>
      <c r="L451" t="n">
        <v>0</v>
      </c>
      <c r="M451" t="n">
        <v>0</v>
      </c>
      <c r="N451" t="n">
        <v>0</v>
      </c>
      <c r="O451" t="n">
        <v>0</v>
      </c>
      <c r="P451" t="n">
        <v>0</v>
      </c>
      <c r="Q451" t="n">
        <v>0</v>
      </c>
      <c r="R451" s="2" t="inlineStr"/>
    </row>
    <row r="452" ht="15" customHeight="1">
      <c r="A452" t="inlineStr">
        <is>
          <t>A 59865-2023</t>
        </is>
      </c>
      <c r="B452" s="1" t="n">
        <v>45257</v>
      </c>
      <c r="C452" s="1" t="n">
        <v>45508</v>
      </c>
      <c r="D452" t="inlineStr">
        <is>
          <t>NORRBOTTENS LÄN</t>
        </is>
      </c>
      <c r="E452" t="inlineStr">
        <is>
          <t>JOKKMOKK</t>
        </is>
      </c>
      <c r="F452" t="inlineStr">
        <is>
          <t>Allmännings- och besparingsskogar</t>
        </is>
      </c>
      <c r="G452" t="n">
        <v>2.8</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45508</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60201-2023</t>
        </is>
      </c>
      <c r="B454" s="1" t="n">
        <v>45258</v>
      </c>
      <c r="C454" s="1" t="n">
        <v>45508</v>
      </c>
      <c r="D454" t="inlineStr">
        <is>
          <t>NORRBOTTENS LÄN</t>
        </is>
      </c>
      <c r="E454" t="inlineStr">
        <is>
          <t>JOKKMOKK</t>
        </is>
      </c>
      <c r="F454" t="inlineStr">
        <is>
          <t>Allmännings- och besparingsskogar</t>
        </is>
      </c>
      <c r="G454" t="n">
        <v>22.8</v>
      </c>
      <c r="H454" t="n">
        <v>0</v>
      </c>
      <c r="I454" t="n">
        <v>0</v>
      </c>
      <c r="J454" t="n">
        <v>0</v>
      </c>
      <c r="K454" t="n">
        <v>0</v>
      </c>
      <c r="L454" t="n">
        <v>0</v>
      </c>
      <c r="M454" t="n">
        <v>0</v>
      </c>
      <c r="N454" t="n">
        <v>0</v>
      </c>
      <c r="O454" t="n">
        <v>0</v>
      </c>
      <c r="P454" t="n">
        <v>0</v>
      </c>
      <c r="Q454" t="n">
        <v>0</v>
      </c>
      <c r="R454" s="2" t="inlineStr"/>
    </row>
    <row r="455" ht="15" customHeight="1">
      <c r="A455" t="inlineStr">
        <is>
          <t>A 60251-2023</t>
        </is>
      </c>
      <c r="B455" s="1" t="n">
        <v>45258</v>
      </c>
      <c r="C455" s="1" t="n">
        <v>45508</v>
      </c>
      <c r="D455" t="inlineStr">
        <is>
          <t>NORRBOTTENS LÄN</t>
        </is>
      </c>
      <c r="E455" t="inlineStr">
        <is>
          <t>JOKKMOKK</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60193-2023</t>
        </is>
      </c>
      <c r="B456" s="1" t="n">
        <v>45258</v>
      </c>
      <c r="C456" s="1" t="n">
        <v>45508</v>
      </c>
      <c r="D456" t="inlineStr">
        <is>
          <t>NORRBOTTENS LÄN</t>
        </is>
      </c>
      <c r="E456" t="inlineStr">
        <is>
          <t>JOKKMOKK</t>
        </is>
      </c>
      <c r="F456" t="inlineStr">
        <is>
          <t>Allmännings- och besparingsskogar</t>
        </is>
      </c>
      <c r="G456" t="n">
        <v>11.1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v>
      </c>
      <c r="C457" s="1" t="n">
        <v>45508</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60242-2023</t>
        </is>
      </c>
      <c r="B458" s="1" t="n">
        <v>45258</v>
      </c>
      <c r="C458" s="1" t="n">
        <v>45508</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60259-2023</t>
        </is>
      </c>
      <c r="B459" s="1" t="n">
        <v>45258</v>
      </c>
      <c r="C459" s="1" t="n">
        <v>45508</v>
      </c>
      <c r="D459" t="inlineStr">
        <is>
          <t>NORRBOTTENS LÄN</t>
        </is>
      </c>
      <c r="E459" t="inlineStr">
        <is>
          <t>JOKKMOKK</t>
        </is>
      </c>
      <c r="F459" t="inlineStr">
        <is>
          <t>Allmännings- och besparingsskogar</t>
        </is>
      </c>
      <c r="G459" t="n">
        <v>5.2</v>
      </c>
      <c r="H459" t="n">
        <v>0</v>
      </c>
      <c r="I459" t="n">
        <v>0</v>
      </c>
      <c r="J459" t="n">
        <v>0</v>
      </c>
      <c r="K459" t="n">
        <v>0</v>
      </c>
      <c r="L459" t="n">
        <v>0</v>
      </c>
      <c r="M459" t="n">
        <v>0</v>
      </c>
      <c r="N459" t="n">
        <v>0</v>
      </c>
      <c r="O459" t="n">
        <v>0</v>
      </c>
      <c r="P459" t="n">
        <v>0</v>
      </c>
      <c r="Q459" t="n">
        <v>0</v>
      </c>
      <c r="R459" s="2" t="inlineStr"/>
    </row>
    <row r="460" ht="15" customHeight="1">
      <c r="A460" t="inlineStr">
        <is>
          <t>A 60164-2023</t>
        </is>
      </c>
      <c r="B460" s="1" t="n">
        <v>45258</v>
      </c>
      <c r="C460" s="1" t="n">
        <v>45508</v>
      </c>
      <c r="D460" t="inlineStr">
        <is>
          <t>NORRBOTTENS LÄN</t>
        </is>
      </c>
      <c r="E460" t="inlineStr">
        <is>
          <t>JOKKMOKK</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60275-2023</t>
        </is>
      </c>
      <c r="B461" s="1" t="n">
        <v>45258</v>
      </c>
      <c r="C461" s="1" t="n">
        <v>45508</v>
      </c>
      <c r="D461" t="inlineStr">
        <is>
          <t>NORRBOTTENS LÄN</t>
        </is>
      </c>
      <c r="E461" t="inlineStr">
        <is>
          <t>JOKKMOKK</t>
        </is>
      </c>
      <c r="G461" t="n">
        <v>3.2</v>
      </c>
      <c r="H461" t="n">
        <v>0</v>
      </c>
      <c r="I461" t="n">
        <v>0</v>
      </c>
      <c r="J461" t="n">
        <v>0</v>
      </c>
      <c r="K461" t="n">
        <v>0</v>
      </c>
      <c r="L461" t="n">
        <v>0</v>
      </c>
      <c r="M461" t="n">
        <v>0</v>
      </c>
      <c r="N461" t="n">
        <v>0</v>
      </c>
      <c r="O461" t="n">
        <v>0</v>
      </c>
      <c r="P461" t="n">
        <v>0</v>
      </c>
      <c r="Q461" t="n">
        <v>0</v>
      </c>
      <c r="R461" s="2" t="inlineStr"/>
    </row>
    <row r="462" ht="15" customHeight="1">
      <c r="A462" t="inlineStr">
        <is>
          <t>A 60271-2023</t>
        </is>
      </c>
      <c r="B462" s="1" t="n">
        <v>45258</v>
      </c>
      <c r="C462" s="1" t="n">
        <v>45508</v>
      </c>
      <c r="D462" t="inlineStr">
        <is>
          <t>NORRBOTTENS LÄN</t>
        </is>
      </c>
      <c r="E462" t="inlineStr">
        <is>
          <t>JOKKMOKK</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60383-2023</t>
        </is>
      </c>
      <c r="B463" s="1" t="n">
        <v>45259</v>
      </c>
      <c r="C463" s="1" t="n">
        <v>45508</v>
      </c>
      <c r="D463" t="inlineStr">
        <is>
          <t>NORRBOTTENS LÄN</t>
        </is>
      </c>
      <c r="E463" t="inlineStr">
        <is>
          <t>JOKKMOKK</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60418-2023</t>
        </is>
      </c>
      <c r="B464" s="1" t="n">
        <v>45259</v>
      </c>
      <c r="C464" s="1" t="n">
        <v>45508</v>
      </c>
      <c r="D464" t="inlineStr">
        <is>
          <t>NORRBOTTENS LÄN</t>
        </is>
      </c>
      <c r="E464" t="inlineStr">
        <is>
          <t>JOKKMOKK</t>
        </is>
      </c>
      <c r="F464" t="inlineStr">
        <is>
          <t>Allmännings- och besparingsskogar</t>
        </is>
      </c>
      <c r="G464" t="n">
        <v>12.7</v>
      </c>
      <c r="H464" t="n">
        <v>0</v>
      </c>
      <c r="I464" t="n">
        <v>0</v>
      </c>
      <c r="J464" t="n">
        <v>0</v>
      </c>
      <c r="K464" t="n">
        <v>0</v>
      </c>
      <c r="L464" t="n">
        <v>0</v>
      </c>
      <c r="M464" t="n">
        <v>0</v>
      </c>
      <c r="N464" t="n">
        <v>0</v>
      </c>
      <c r="O464" t="n">
        <v>0</v>
      </c>
      <c r="P464" t="n">
        <v>0</v>
      </c>
      <c r="Q464" t="n">
        <v>0</v>
      </c>
      <c r="R464" s="2" t="inlineStr"/>
    </row>
    <row r="465" ht="15" customHeight="1">
      <c r="A465" t="inlineStr">
        <is>
          <t>A 60370-2023</t>
        </is>
      </c>
      <c r="B465" s="1" t="n">
        <v>45259</v>
      </c>
      <c r="C465" s="1" t="n">
        <v>45508</v>
      </c>
      <c r="D465" t="inlineStr">
        <is>
          <t>NORRBOTTENS LÄN</t>
        </is>
      </c>
      <c r="E465" t="inlineStr">
        <is>
          <t>JOKKMOKK</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60374-2023</t>
        </is>
      </c>
      <c r="B466" s="1" t="n">
        <v>45259</v>
      </c>
      <c r="C466" s="1" t="n">
        <v>45508</v>
      </c>
      <c r="D466" t="inlineStr">
        <is>
          <t>NORRBOTTENS LÄN</t>
        </is>
      </c>
      <c r="E466" t="inlineStr">
        <is>
          <t>JOKKMOKK</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60408-2023</t>
        </is>
      </c>
      <c r="B467" s="1" t="n">
        <v>45259</v>
      </c>
      <c r="C467" s="1" t="n">
        <v>45508</v>
      </c>
      <c r="D467" t="inlineStr">
        <is>
          <t>NORRBOTTENS LÄN</t>
        </is>
      </c>
      <c r="E467" t="inlineStr">
        <is>
          <t>JOKKMOKK</t>
        </is>
      </c>
      <c r="F467" t="inlineStr">
        <is>
          <t>Allmännings- och besparingsskogar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60376-2023</t>
        </is>
      </c>
      <c r="B468" s="1" t="n">
        <v>45259</v>
      </c>
      <c r="C468" s="1" t="n">
        <v>45508</v>
      </c>
      <c r="D468" t="inlineStr">
        <is>
          <t>NORRBOTTENS LÄN</t>
        </is>
      </c>
      <c r="E468" t="inlineStr">
        <is>
          <t>JOKKMOKK</t>
        </is>
      </c>
      <c r="F468" t="inlineStr">
        <is>
          <t>Allmännings- och besparingsskogar</t>
        </is>
      </c>
      <c r="G468" t="n">
        <v>13.3</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v>
      </c>
      <c r="C469" s="1" t="n">
        <v>45508</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60406-2023</t>
        </is>
      </c>
      <c r="B470" s="1" t="n">
        <v>45259</v>
      </c>
      <c r="C470" s="1" t="n">
        <v>45508</v>
      </c>
      <c r="D470" t="inlineStr">
        <is>
          <t>NORRBOTTENS LÄN</t>
        </is>
      </c>
      <c r="E470" t="inlineStr">
        <is>
          <t>JOKKMOKK</t>
        </is>
      </c>
      <c r="F470" t="inlineStr">
        <is>
          <t>Allmännings- och besparingsskogar</t>
        </is>
      </c>
      <c r="G470" t="n">
        <v>2.5</v>
      </c>
      <c r="H470" t="n">
        <v>0</v>
      </c>
      <c r="I470" t="n">
        <v>0</v>
      </c>
      <c r="J470" t="n">
        <v>0</v>
      </c>
      <c r="K470" t="n">
        <v>0</v>
      </c>
      <c r="L470" t="n">
        <v>0</v>
      </c>
      <c r="M470" t="n">
        <v>0</v>
      </c>
      <c r="N470" t="n">
        <v>0</v>
      </c>
      <c r="O470" t="n">
        <v>0</v>
      </c>
      <c r="P470" t="n">
        <v>0</v>
      </c>
      <c r="Q470" t="n">
        <v>0</v>
      </c>
      <c r="R470" s="2" t="inlineStr"/>
    </row>
    <row r="471" ht="15" customHeight="1">
      <c r="A471" t="inlineStr">
        <is>
          <t>A 60401-2023</t>
        </is>
      </c>
      <c r="B471" s="1" t="n">
        <v>45259</v>
      </c>
      <c r="C471" s="1" t="n">
        <v>45508</v>
      </c>
      <c r="D471" t="inlineStr">
        <is>
          <t>NORRBOTTENS LÄN</t>
        </is>
      </c>
      <c r="E471" t="inlineStr">
        <is>
          <t>JOKKMOKK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60416-2023</t>
        </is>
      </c>
      <c r="B472" s="1" t="n">
        <v>45259</v>
      </c>
      <c r="C472" s="1" t="n">
        <v>45508</v>
      </c>
      <c r="D472" t="inlineStr">
        <is>
          <t>NORRBOTTENS LÄN</t>
        </is>
      </c>
      <c r="E472" t="inlineStr">
        <is>
          <t>JOKKMOKK</t>
        </is>
      </c>
      <c r="F472" t="inlineStr">
        <is>
          <t>Allmännings- och besparingsskogar</t>
        </is>
      </c>
      <c r="G472" t="n">
        <v>16.9</v>
      </c>
      <c r="H472" t="n">
        <v>0</v>
      </c>
      <c r="I472" t="n">
        <v>0</v>
      </c>
      <c r="J472" t="n">
        <v>0</v>
      </c>
      <c r="K472" t="n">
        <v>0</v>
      </c>
      <c r="L472" t="n">
        <v>0</v>
      </c>
      <c r="M472" t="n">
        <v>0</v>
      </c>
      <c r="N472" t="n">
        <v>0</v>
      </c>
      <c r="O472" t="n">
        <v>0</v>
      </c>
      <c r="P472" t="n">
        <v>0</v>
      </c>
      <c r="Q472" t="n">
        <v>0</v>
      </c>
      <c r="R472" s="2" t="inlineStr"/>
    </row>
    <row r="473" ht="15" customHeight="1">
      <c r="A473" t="inlineStr">
        <is>
          <t>A 60930-2023</t>
        </is>
      </c>
      <c r="B473" s="1" t="n">
        <v>45261</v>
      </c>
      <c r="C473" s="1" t="n">
        <v>45508</v>
      </c>
      <c r="D473" t="inlineStr">
        <is>
          <t>NORRBOTTENS LÄN</t>
        </is>
      </c>
      <c r="E473" t="inlineStr">
        <is>
          <t>JOKKMOKK</t>
        </is>
      </c>
      <c r="F473" t="inlineStr">
        <is>
          <t>Allmännings- och besparingsskogar</t>
        </is>
      </c>
      <c r="G473" t="n">
        <v>8.5</v>
      </c>
      <c r="H473" t="n">
        <v>0</v>
      </c>
      <c r="I473" t="n">
        <v>0</v>
      </c>
      <c r="J473" t="n">
        <v>0</v>
      </c>
      <c r="K473" t="n">
        <v>0</v>
      </c>
      <c r="L473" t="n">
        <v>0</v>
      </c>
      <c r="M473" t="n">
        <v>0</v>
      </c>
      <c r="N473" t="n">
        <v>0</v>
      </c>
      <c r="O473" t="n">
        <v>0</v>
      </c>
      <c r="P473" t="n">
        <v>0</v>
      </c>
      <c r="Q473" t="n">
        <v>0</v>
      </c>
      <c r="R473" s="2" t="inlineStr"/>
    </row>
    <row r="474" ht="15" customHeight="1">
      <c r="A474" t="inlineStr">
        <is>
          <t>A 63760-2023</t>
        </is>
      </c>
      <c r="B474" s="1" t="n">
        <v>45278</v>
      </c>
      <c r="C474" s="1" t="n">
        <v>45508</v>
      </c>
      <c r="D474" t="inlineStr">
        <is>
          <t>NORRBOTTENS LÄN</t>
        </is>
      </c>
      <c r="E474" t="inlineStr">
        <is>
          <t>JOKKMOKK</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63758-2023</t>
        </is>
      </c>
      <c r="B475" s="1" t="n">
        <v>45278</v>
      </c>
      <c r="C475" s="1" t="n">
        <v>45508</v>
      </c>
      <c r="D475" t="inlineStr">
        <is>
          <t>NORRBOTTENS LÄN</t>
        </is>
      </c>
      <c r="E475" t="inlineStr">
        <is>
          <t>JOKKMOKK</t>
        </is>
      </c>
      <c r="F475" t="inlineStr">
        <is>
          <t>Övriga Aktiebolag</t>
        </is>
      </c>
      <c r="G475" t="n">
        <v>4.4</v>
      </c>
      <c r="H475" t="n">
        <v>0</v>
      </c>
      <c r="I475" t="n">
        <v>0</v>
      </c>
      <c r="J475" t="n">
        <v>0</v>
      </c>
      <c r="K475" t="n">
        <v>0</v>
      </c>
      <c r="L475" t="n">
        <v>0</v>
      </c>
      <c r="M475" t="n">
        <v>0</v>
      </c>
      <c r="N475" t="n">
        <v>0</v>
      </c>
      <c r="O475" t="n">
        <v>0</v>
      </c>
      <c r="P475" t="n">
        <v>0</v>
      </c>
      <c r="Q475" t="n">
        <v>0</v>
      </c>
      <c r="R475" s="2" t="inlineStr"/>
    </row>
    <row r="476" ht="15" customHeight="1">
      <c r="A476" t="inlineStr">
        <is>
          <t>A 63938-2023</t>
        </is>
      </c>
      <c r="B476" s="1" t="n">
        <v>45278</v>
      </c>
      <c r="C476" s="1" t="n">
        <v>45508</v>
      </c>
      <c r="D476" t="inlineStr">
        <is>
          <t>NORRBOTTENS LÄN</t>
        </is>
      </c>
      <c r="E476" t="inlineStr">
        <is>
          <t>JOKKMOKK</t>
        </is>
      </c>
      <c r="F476" t="inlineStr">
        <is>
          <t>Sveaskog</t>
        </is>
      </c>
      <c r="G476" t="n">
        <v>40</v>
      </c>
      <c r="H476" t="n">
        <v>0</v>
      </c>
      <c r="I476" t="n">
        <v>0</v>
      </c>
      <c r="J476" t="n">
        <v>0</v>
      </c>
      <c r="K476" t="n">
        <v>0</v>
      </c>
      <c r="L476" t="n">
        <v>0</v>
      </c>
      <c r="M476" t="n">
        <v>0</v>
      </c>
      <c r="N476" t="n">
        <v>0</v>
      </c>
      <c r="O476" t="n">
        <v>0</v>
      </c>
      <c r="P476" t="n">
        <v>0</v>
      </c>
      <c r="Q476" t="n">
        <v>0</v>
      </c>
      <c r="R476" s="2" t="inlineStr"/>
    </row>
    <row r="477" ht="15" customHeight="1">
      <c r="A477" t="inlineStr">
        <is>
          <t>A 65233-2023</t>
        </is>
      </c>
      <c r="B477" s="1" t="n">
        <v>45289</v>
      </c>
      <c r="C477" s="1" t="n">
        <v>45508</v>
      </c>
      <c r="D477" t="inlineStr">
        <is>
          <t>NORRBOTTENS LÄN</t>
        </is>
      </c>
      <c r="E477" t="inlineStr">
        <is>
          <t>JOKKMOKK</t>
        </is>
      </c>
      <c r="G477" t="n">
        <v>37.3</v>
      </c>
      <c r="H477" t="n">
        <v>0</v>
      </c>
      <c r="I477" t="n">
        <v>0</v>
      </c>
      <c r="J477" t="n">
        <v>0</v>
      </c>
      <c r="K477" t="n">
        <v>0</v>
      </c>
      <c r="L477" t="n">
        <v>0</v>
      </c>
      <c r="M477" t="n">
        <v>0</v>
      </c>
      <c r="N477" t="n">
        <v>0</v>
      </c>
      <c r="O477" t="n">
        <v>0</v>
      </c>
      <c r="P477" t="n">
        <v>0</v>
      </c>
      <c r="Q477" t="n">
        <v>0</v>
      </c>
      <c r="R477" s="2" t="inlineStr"/>
    </row>
    <row r="478" ht="15" customHeight="1">
      <c r="A478" t="inlineStr">
        <is>
          <t>A 94-2024</t>
        </is>
      </c>
      <c r="B478" s="1" t="n">
        <v>45293</v>
      </c>
      <c r="C478" s="1" t="n">
        <v>45508</v>
      </c>
      <c r="D478" t="inlineStr">
        <is>
          <t>NORRBOTTENS LÄN</t>
        </is>
      </c>
      <c r="E478" t="inlineStr">
        <is>
          <t>JOKKMOKK</t>
        </is>
      </c>
      <c r="G478" t="n">
        <v>24.5</v>
      </c>
      <c r="H478" t="n">
        <v>0</v>
      </c>
      <c r="I478" t="n">
        <v>0</v>
      </c>
      <c r="J478" t="n">
        <v>0</v>
      </c>
      <c r="K478" t="n">
        <v>0</v>
      </c>
      <c r="L478" t="n">
        <v>0</v>
      </c>
      <c r="M478" t="n">
        <v>0</v>
      </c>
      <c r="N478" t="n">
        <v>0</v>
      </c>
      <c r="O478" t="n">
        <v>0</v>
      </c>
      <c r="P478" t="n">
        <v>0</v>
      </c>
      <c r="Q478" t="n">
        <v>0</v>
      </c>
      <c r="R478" s="2" t="inlineStr"/>
    </row>
    <row r="479" ht="15" customHeight="1">
      <c r="A479" t="inlineStr">
        <is>
          <t>A 116-2024</t>
        </is>
      </c>
      <c r="B479" s="1" t="n">
        <v>45294</v>
      </c>
      <c r="C479" s="1" t="n">
        <v>45508</v>
      </c>
      <c r="D479" t="inlineStr">
        <is>
          <t>NORRBOTTENS LÄN</t>
        </is>
      </c>
      <c r="E479" t="inlineStr">
        <is>
          <t>JOKKMOKK</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296-2024</t>
        </is>
      </c>
      <c r="B480" s="1" t="n">
        <v>45294</v>
      </c>
      <c r="C480" s="1" t="n">
        <v>45508</v>
      </c>
      <c r="D480" t="inlineStr">
        <is>
          <t>NORRBOTTENS LÄN</t>
        </is>
      </c>
      <c r="E480" t="inlineStr">
        <is>
          <t>JOKKMOKK</t>
        </is>
      </c>
      <c r="G480" t="n">
        <v>2.6</v>
      </c>
      <c r="H480" t="n">
        <v>0</v>
      </c>
      <c r="I480" t="n">
        <v>0</v>
      </c>
      <c r="J480" t="n">
        <v>0</v>
      </c>
      <c r="K480" t="n">
        <v>0</v>
      </c>
      <c r="L480" t="n">
        <v>0</v>
      </c>
      <c r="M480" t="n">
        <v>0</v>
      </c>
      <c r="N480" t="n">
        <v>0</v>
      </c>
      <c r="O480" t="n">
        <v>0</v>
      </c>
      <c r="P480" t="n">
        <v>0</v>
      </c>
      <c r="Q480" t="n">
        <v>0</v>
      </c>
      <c r="R480" s="2" t="inlineStr"/>
    </row>
    <row r="481" ht="15" customHeight="1">
      <c r="A481" t="inlineStr">
        <is>
          <t>A 1615-2024</t>
        </is>
      </c>
      <c r="B481" s="1" t="n">
        <v>45306</v>
      </c>
      <c r="C481" s="1" t="n">
        <v>45508</v>
      </c>
      <c r="D481" t="inlineStr">
        <is>
          <t>NORRBOTTENS LÄN</t>
        </is>
      </c>
      <c r="E481" t="inlineStr">
        <is>
          <t>JOKKMOKK</t>
        </is>
      </c>
      <c r="G481" t="n">
        <v>10.8</v>
      </c>
      <c r="H481" t="n">
        <v>0</v>
      </c>
      <c r="I481" t="n">
        <v>0</v>
      </c>
      <c r="J481" t="n">
        <v>0</v>
      </c>
      <c r="K481" t="n">
        <v>0</v>
      </c>
      <c r="L481" t="n">
        <v>0</v>
      </c>
      <c r="M481" t="n">
        <v>0</v>
      </c>
      <c r="N481" t="n">
        <v>0</v>
      </c>
      <c r="O481" t="n">
        <v>0</v>
      </c>
      <c r="P481" t="n">
        <v>0</v>
      </c>
      <c r="Q481" t="n">
        <v>0</v>
      </c>
      <c r="R481" s="2" t="inlineStr"/>
    </row>
    <row r="482" ht="15" customHeight="1">
      <c r="A482" t="inlineStr">
        <is>
          <t>A 4136-2024</t>
        </is>
      </c>
      <c r="B482" s="1" t="n">
        <v>45323</v>
      </c>
      <c r="C482" s="1" t="n">
        <v>45508</v>
      </c>
      <c r="D482" t="inlineStr">
        <is>
          <t>NORRBOTTENS LÄN</t>
        </is>
      </c>
      <c r="E482" t="inlineStr">
        <is>
          <t>JOKKMOKK</t>
        </is>
      </c>
      <c r="G482" t="n">
        <v>27.3</v>
      </c>
      <c r="H482" t="n">
        <v>0</v>
      </c>
      <c r="I482" t="n">
        <v>0</v>
      </c>
      <c r="J482" t="n">
        <v>0</v>
      </c>
      <c r="K482" t="n">
        <v>0</v>
      </c>
      <c r="L482" t="n">
        <v>0</v>
      </c>
      <c r="M482" t="n">
        <v>0</v>
      </c>
      <c r="N482" t="n">
        <v>0</v>
      </c>
      <c r="O482" t="n">
        <v>0</v>
      </c>
      <c r="P482" t="n">
        <v>0</v>
      </c>
      <c r="Q482" t="n">
        <v>0</v>
      </c>
      <c r="R482" s="2" t="inlineStr"/>
    </row>
    <row r="483" ht="15" customHeight="1">
      <c r="A483" t="inlineStr">
        <is>
          <t>A 7715-2024</t>
        </is>
      </c>
      <c r="B483" s="1" t="n">
        <v>45349</v>
      </c>
      <c r="C483" s="1" t="n">
        <v>45508</v>
      </c>
      <c r="D483" t="inlineStr">
        <is>
          <t>NORRBOTTENS LÄN</t>
        </is>
      </c>
      <c r="E483" t="inlineStr">
        <is>
          <t>JOKKMOKK</t>
        </is>
      </c>
      <c r="G483" t="n">
        <v>4.2</v>
      </c>
      <c r="H483" t="n">
        <v>0</v>
      </c>
      <c r="I483" t="n">
        <v>0</v>
      </c>
      <c r="J483" t="n">
        <v>0</v>
      </c>
      <c r="K483" t="n">
        <v>0</v>
      </c>
      <c r="L483" t="n">
        <v>0</v>
      </c>
      <c r="M483" t="n">
        <v>0</v>
      </c>
      <c r="N483" t="n">
        <v>0</v>
      </c>
      <c r="O483" t="n">
        <v>0</v>
      </c>
      <c r="P483" t="n">
        <v>0</v>
      </c>
      <c r="Q483" t="n">
        <v>0</v>
      </c>
      <c r="R483" s="2" t="inlineStr"/>
    </row>
    <row r="484" ht="15" customHeight="1">
      <c r="A484" t="inlineStr">
        <is>
          <t>A 7845-2024</t>
        </is>
      </c>
      <c r="B484" s="1" t="n">
        <v>45349</v>
      </c>
      <c r="C484" s="1" t="n">
        <v>45508</v>
      </c>
      <c r="D484" t="inlineStr">
        <is>
          <t>NORRBOTTENS LÄN</t>
        </is>
      </c>
      <c r="E484" t="inlineStr">
        <is>
          <t>JOKKMOKK</t>
        </is>
      </c>
      <c r="G484" t="n">
        <v>3</v>
      </c>
      <c r="H484" t="n">
        <v>0</v>
      </c>
      <c r="I484" t="n">
        <v>0</v>
      </c>
      <c r="J484" t="n">
        <v>0</v>
      </c>
      <c r="K484" t="n">
        <v>0</v>
      </c>
      <c r="L484" t="n">
        <v>0</v>
      </c>
      <c r="M484" t="n">
        <v>0</v>
      </c>
      <c r="N484" t="n">
        <v>0</v>
      </c>
      <c r="O484" t="n">
        <v>0</v>
      </c>
      <c r="P484" t="n">
        <v>0</v>
      </c>
      <c r="Q484" t="n">
        <v>0</v>
      </c>
      <c r="R484" s="2" t="inlineStr"/>
    </row>
    <row r="485" ht="15" customHeight="1">
      <c r="A485" t="inlineStr">
        <is>
          <t>A 8073-2024</t>
        </is>
      </c>
      <c r="B485" s="1" t="n">
        <v>45351</v>
      </c>
      <c r="C485" s="1" t="n">
        <v>45508</v>
      </c>
      <c r="D485" t="inlineStr">
        <is>
          <t>NORRBOTTENS LÄN</t>
        </is>
      </c>
      <c r="E485" t="inlineStr">
        <is>
          <t>JOKKMOKK</t>
        </is>
      </c>
      <c r="G485" t="n">
        <v>15.6</v>
      </c>
      <c r="H485" t="n">
        <v>0</v>
      </c>
      <c r="I485" t="n">
        <v>0</v>
      </c>
      <c r="J485" t="n">
        <v>0</v>
      </c>
      <c r="K485" t="n">
        <v>0</v>
      </c>
      <c r="L485" t="n">
        <v>0</v>
      </c>
      <c r="M485" t="n">
        <v>0</v>
      </c>
      <c r="N485" t="n">
        <v>0</v>
      </c>
      <c r="O485" t="n">
        <v>0</v>
      </c>
      <c r="P485" t="n">
        <v>0</v>
      </c>
      <c r="Q485" t="n">
        <v>0</v>
      </c>
      <c r="R485" s="2" t="inlineStr"/>
    </row>
    <row r="486" ht="15" customHeight="1">
      <c r="A486" t="inlineStr">
        <is>
          <t>A 8634-2024</t>
        </is>
      </c>
      <c r="B486" s="1" t="n">
        <v>45356</v>
      </c>
      <c r="C486" s="1" t="n">
        <v>45508</v>
      </c>
      <c r="D486" t="inlineStr">
        <is>
          <t>NORRBOTTENS LÄN</t>
        </is>
      </c>
      <c r="E486" t="inlineStr">
        <is>
          <t>JOKKMOKK</t>
        </is>
      </c>
      <c r="G486" t="n">
        <v>17.1</v>
      </c>
      <c r="H486" t="n">
        <v>0</v>
      </c>
      <c r="I486" t="n">
        <v>0</v>
      </c>
      <c r="J486" t="n">
        <v>0</v>
      </c>
      <c r="K486" t="n">
        <v>0</v>
      </c>
      <c r="L486" t="n">
        <v>0</v>
      </c>
      <c r="M486" t="n">
        <v>0</v>
      </c>
      <c r="N486" t="n">
        <v>0</v>
      </c>
      <c r="O486" t="n">
        <v>0</v>
      </c>
      <c r="P486" t="n">
        <v>0</v>
      </c>
      <c r="Q486" t="n">
        <v>0</v>
      </c>
      <c r="R486" s="2" t="inlineStr"/>
    </row>
    <row r="487" ht="15" customHeight="1">
      <c r="A487" t="inlineStr">
        <is>
          <t>A 11347-2024</t>
        </is>
      </c>
      <c r="B487" s="1" t="n">
        <v>45372</v>
      </c>
      <c r="C487" s="1" t="n">
        <v>45508</v>
      </c>
      <c r="D487" t="inlineStr">
        <is>
          <t>NORRBOTTENS LÄN</t>
        </is>
      </c>
      <c r="E487" t="inlineStr">
        <is>
          <t>JOKKMOKK</t>
        </is>
      </c>
      <c r="G487" t="n">
        <v>1.7</v>
      </c>
      <c r="H487" t="n">
        <v>0</v>
      </c>
      <c r="I487" t="n">
        <v>0</v>
      </c>
      <c r="J487" t="n">
        <v>0</v>
      </c>
      <c r="K487" t="n">
        <v>0</v>
      </c>
      <c r="L487" t="n">
        <v>0</v>
      </c>
      <c r="M487" t="n">
        <v>0</v>
      </c>
      <c r="N487" t="n">
        <v>0</v>
      </c>
      <c r="O487" t="n">
        <v>0</v>
      </c>
      <c r="P487" t="n">
        <v>0</v>
      </c>
      <c r="Q487" t="n">
        <v>0</v>
      </c>
      <c r="R487" s="2" t="inlineStr"/>
    </row>
    <row r="488" ht="15" customHeight="1">
      <c r="A488" t="inlineStr">
        <is>
          <t>A 11348-2024</t>
        </is>
      </c>
      <c r="B488" s="1" t="n">
        <v>45372</v>
      </c>
      <c r="C488" s="1" t="n">
        <v>45508</v>
      </c>
      <c r="D488" t="inlineStr">
        <is>
          <t>NORRBOTTENS LÄN</t>
        </is>
      </c>
      <c r="E488" t="inlineStr">
        <is>
          <t>JOKKMOKK</t>
        </is>
      </c>
      <c r="G488" t="n">
        <v>4.2</v>
      </c>
      <c r="H488" t="n">
        <v>0</v>
      </c>
      <c r="I488" t="n">
        <v>0</v>
      </c>
      <c r="J488" t="n">
        <v>0</v>
      </c>
      <c r="K488" t="n">
        <v>0</v>
      </c>
      <c r="L488" t="n">
        <v>0</v>
      </c>
      <c r="M488" t="n">
        <v>0</v>
      </c>
      <c r="N488" t="n">
        <v>0</v>
      </c>
      <c r="O488" t="n">
        <v>0</v>
      </c>
      <c r="P488" t="n">
        <v>0</v>
      </c>
      <c r="Q488" t="n">
        <v>0</v>
      </c>
      <c r="R488" s="2" t="inlineStr"/>
    </row>
    <row r="489" ht="15" customHeight="1">
      <c r="A489" t="inlineStr">
        <is>
          <t>A 11655-2024</t>
        </is>
      </c>
      <c r="B489" s="1" t="n">
        <v>45373</v>
      </c>
      <c r="C489" s="1" t="n">
        <v>45508</v>
      </c>
      <c r="D489" t="inlineStr">
        <is>
          <t>NORRBOTTENS LÄN</t>
        </is>
      </c>
      <c r="E489" t="inlineStr">
        <is>
          <t>JOKKMOKK</t>
        </is>
      </c>
      <c r="G489" t="n">
        <v>19</v>
      </c>
      <c r="H489" t="n">
        <v>0</v>
      </c>
      <c r="I489" t="n">
        <v>0</v>
      </c>
      <c r="J489" t="n">
        <v>0</v>
      </c>
      <c r="K489" t="n">
        <v>0</v>
      </c>
      <c r="L489" t="n">
        <v>0</v>
      </c>
      <c r="M489" t="n">
        <v>0</v>
      </c>
      <c r="N489" t="n">
        <v>0</v>
      </c>
      <c r="O489" t="n">
        <v>0</v>
      </c>
      <c r="P489" t="n">
        <v>0</v>
      </c>
      <c r="Q489" t="n">
        <v>0</v>
      </c>
      <c r="R489" s="2" t="inlineStr"/>
    </row>
    <row r="490" ht="15" customHeight="1">
      <c r="A490" t="inlineStr">
        <is>
          <t>A 11657-2024</t>
        </is>
      </c>
      <c r="B490" s="1" t="n">
        <v>45373</v>
      </c>
      <c r="C490" s="1" t="n">
        <v>45508</v>
      </c>
      <c r="D490" t="inlineStr">
        <is>
          <t>NORRBOTTENS LÄN</t>
        </is>
      </c>
      <c r="E490" t="inlineStr">
        <is>
          <t>JOKKMOKK</t>
        </is>
      </c>
      <c r="G490" t="n">
        <v>14.3</v>
      </c>
      <c r="H490" t="n">
        <v>0</v>
      </c>
      <c r="I490" t="n">
        <v>0</v>
      </c>
      <c r="J490" t="n">
        <v>0</v>
      </c>
      <c r="K490" t="n">
        <v>0</v>
      </c>
      <c r="L490" t="n">
        <v>0</v>
      </c>
      <c r="M490" t="n">
        <v>0</v>
      </c>
      <c r="N490" t="n">
        <v>0</v>
      </c>
      <c r="O490" t="n">
        <v>0</v>
      </c>
      <c r="P490" t="n">
        <v>0</v>
      </c>
      <c r="Q490" t="n">
        <v>0</v>
      </c>
      <c r="R490" s="2" t="inlineStr"/>
    </row>
    <row r="491" ht="15" customHeight="1">
      <c r="A491" t="inlineStr">
        <is>
          <t>A 14567-2024</t>
        </is>
      </c>
      <c r="B491" s="1" t="n">
        <v>45394</v>
      </c>
      <c r="C491" s="1" t="n">
        <v>45508</v>
      </c>
      <c r="D491" t="inlineStr">
        <is>
          <t>NORRBOTTENS LÄN</t>
        </is>
      </c>
      <c r="E491" t="inlineStr">
        <is>
          <t>JOKKMOKK</t>
        </is>
      </c>
      <c r="G491" t="n">
        <v>24.5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45398</v>
      </c>
      <c r="C492" s="1" t="n">
        <v>45508</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15355-2024</t>
        </is>
      </c>
      <c r="B493" s="1" t="n">
        <v>45400</v>
      </c>
      <c r="C493" s="1" t="n">
        <v>45508</v>
      </c>
      <c r="D493" t="inlineStr">
        <is>
          <t>NORRBOTTENS LÄN</t>
        </is>
      </c>
      <c r="E493" t="inlineStr">
        <is>
          <t>JOKKMOKK</t>
        </is>
      </c>
      <c r="G493" t="n">
        <v>2.9</v>
      </c>
      <c r="H493" t="n">
        <v>0</v>
      </c>
      <c r="I493" t="n">
        <v>0</v>
      </c>
      <c r="J493" t="n">
        <v>0</v>
      </c>
      <c r="K493" t="n">
        <v>0</v>
      </c>
      <c r="L493" t="n">
        <v>0</v>
      </c>
      <c r="M493" t="n">
        <v>0</v>
      </c>
      <c r="N493" t="n">
        <v>0</v>
      </c>
      <c r="O493" t="n">
        <v>0</v>
      </c>
      <c r="P493" t="n">
        <v>0</v>
      </c>
      <c r="Q493" t="n">
        <v>0</v>
      </c>
      <c r="R493" s="2" t="inlineStr"/>
    </row>
    <row r="494" ht="15" customHeight="1">
      <c r="A494" t="inlineStr">
        <is>
          <t>A 16018-2024</t>
        </is>
      </c>
      <c r="B494" s="1" t="n">
        <v>45405</v>
      </c>
      <c r="C494" s="1" t="n">
        <v>45508</v>
      </c>
      <c r="D494" t="inlineStr">
        <is>
          <t>NORRBOTTENS LÄN</t>
        </is>
      </c>
      <c r="E494" t="inlineStr">
        <is>
          <t>JOKKMOKK</t>
        </is>
      </c>
      <c r="G494" t="n">
        <v>1.8</v>
      </c>
      <c r="H494" t="n">
        <v>0</v>
      </c>
      <c r="I494" t="n">
        <v>0</v>
      </c>
      <c r="J494" t="n">
        <v>0</v>
      </c>
      <c r="K494" t="n">
        <v>0</v>
      </c>
      <c r="L494" t="n">
        <v>0</v>
      </c>
      <c r="M494" t="n">
        <v>0</v>
      </c>
      <c r="N494" t="n">
        <v>0</v>
      </c>
      <c r="O494" t="n">
        <v>0</v>
      </c>
      <c r="P494" t="n">
        <v>0</v>
      </c>
      <c r="Q494" t="n">
        <v>0</v>
      </c>
      <c r="R494" s="2" t="inlineStr"/>
    </row>
    <row r="495" ht="15" customHeight="1">
      <c r="A495" t="inlineStr">
        <is>
          <t>A 18602-2024</t>
        </is>
      </c>
      <c r="B495" s="1" t="n">
        <v>45425</v>
      </c>
      <c r="C495" s="1" t="n">
        <v>45508</v>
      </c>
      <c r="D495" t="inlineStr">
        <is>
          <t>NORRBOTTENS LÄN</t>
        </is>
      </c>
      <c r="E495" t="inlineStr">
        <is>
          <t>JOKKMOKK</t>
        </is>
      </c>
      <c r="G495" t="n">
        <v>4.6</v>
      </c>
      <c r="H495" t="n">
        <v>0</v>
      </c>
      <c r="I495" t="n">
        <v>0</v>
      </c>
      <c r="J495" t="n">
        <v>0</v>
      </c>
      <c r="K495" t="n">
        <v>0</v>
      </c>
      <c r="L495" t="n">
        <v>0</v>
      </c>
      <c r="M495" t="n">
        <v>0</v>
      </c>
      <c r="N495" t="n">
        <v>0</v>
      </c>
      <c r="O495" t="n">
        <v>0</v>
      </c>
      <c r="P495" t="n">
        <v>0</v>
      </c>
      <c r="Q495" t="n">
        <v>0</v>
      </c>
      <c r="R495" s="2" t="inlineStr"/>
    </row>
    <row r="496" ht="15" customHeight="1">
      <c r="A496" t="inlineStr">
        <is>
          <t>A 19280-2024</t>
        </is>
      </c>
      <c r="B496" s="1" t="n">
        <v>45428</v>
      </c>
      <c r="C496" s="1" t="n">
        <v>45508</v>
      </c>
      <c r="D496" t="inlineStr">
        <is>
          <t>NORRBOTTENS LÄN</t>
        </is>
      </c>
      <c r="E496" t="inlineStr">
        <is>
          <t>JOKKMOKK</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20293-2024</t>
        </is>
      </c>
      <c r="B497" s="1" t="n">
        <v>45435</v>
      </c>
      <c r="C497" s="1" t="n">
        <v>45508</v>
      </c>
      <c r="D497" t="inlineStr">
        <is>
          <t>NORRBOTTENS LÄN</t>
        </is>
      </c>
      <c r="E497" t="inlineStr">
        <is>
          <t>JOKKMOKK</t>
        </is>
      </c>
      <c r="F497" t="inlineStr">
        <is>
          <t>Sveaskog</t>
        </is>
      </c>
      <c r="G497" t="n">
        <v>6</v>
      </c>
      <c r="H497" t="n">
        <v>0</v>
      </c>
      <c r="I497" t="n">
        <v>0</v>
      </c>
      <c r="J497" t="n">
        <v>0</v>
      </c>
      <c r="K497" t="n">
        <v>0</v>
      </c>
      <c r="L497" t="n">
        <v>0</v>
      </c>
      <c r="M497" t="n">
        <v>0</v>
      </c>
      <c r="N497" t="n">
        <v>0</v>
      </c>
      <c r="O497" t="n">
        <v>0</v>
      </c>
      <c r="P497" t="n">
        <v>0</v>
      </c>
      <c r="Q497" t="n">
        <v>0</v>
      </c>
      <c r="R497" s="2" t="inlineStr"/>
    </row>
    <row r="498" ht="15" customHeight="1">
      <c r="A498" t="inlineStr">
        <is>
          <t>A 20734-2024</t>
        </is>
      </c>
      <c r="B498" s="1" t="n">
        <v>45436</v>
      </c>
      <c r="C498" s="1" t="n">
        <v>45508</v>
      </c>
      <c r="D498" t="inlineStr">
        <is>
          <t>NORRBOTTENS LÄN</t>
        </is>
      </c>
      <c r="E498" t="inlineStr">
        <is>
          <t>JOKKMOKK</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21354-2024</t>
        </is>
      </c>
      <c r="B499" s="1" t="n">
        <v>45441</v>
      </c>
      <c r="C499" s="1" t="n">
        <v>45508</v>
      </c>
      <c r="D499" t="inlineStr">
        <is>
          <t>NORRBOTTENS LÄN</t>
        </is>
      </c>
      <c r="E499" t="inlineStr">
        <is>
          <t>JOKKMOKK</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21360-2024</t>
        </is>
      </c>
      <c r="B500" s="1" t="n">
        <v>45441</v>
      </c>
      <c r="C500" s="1" t="n">
        <v>45508</v>
      </c>
      <c r="D500" t="inlineStr">
        <is>
          <t>NORRBOTTENS LÄN</t>
        </is>
      </c>
      <c r="E500" t="inlineStr">
        <is>
          <t>JOKKMOKK</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21353-2024</t>
        </is>
      </c>
      <c r="B501" s="1" t="n">
        <v>45440</v>
      </c>
      <c r="C501" s="1" t="n">
        <v>45508</v>
      </c>
      <c r="D501" t="inlineStr">
        <is>
          <t>NORRBOTTENS LÄN</t>
        </is>
      </c>
      <c r="E501" t="inlineStr">
        <is>
          <t>JOKKMOKK</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21357-2024</t>
        </is>
      </c>
      <c r="B502" s="1" t="n">
        <v>45441</v>
      </c>
      <c r="C502" s="1" t="n">
        <v>45508</v>
      </c>
      <c r="D502" t="inlineStr">
        <is>
          <t>NORRBOTTENS LÄN</t>
        </is>
      </c>
      <c r="E502" t="inlineStr">
        <is>
          <t>JOKKMOKK</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21361-2024</t>
        </is>
      </c>
      <c r="B503" s="1" t="n">
        <v>45441</v>
      </c>
      <c r="C503" s="1" t="n">
        <v>45508</v>
      </c>
      <c r="D503" t="inlineStr">
        <is>
          <t>NORRBOTTENS LÄN</t>
        </is>
      </c>
      <c r="E503" t="inlineStr">
        <is>
          <t>JOKKMOKK</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21359-2024</t>
        </is>
      </c>
      <c r="B504" s="1" t="n">
        <v>45440</v>
      </c>
      <c r="C504" s="1" t="n">
        <v>45508</v>
      </c>
      <c r="D504" t="inlineStr">
        <is>
          <t>NORRBOTTENS LÄN</t>
        </is>
      </c>
      <c r="E504" t="inlineStr">
        <is>
          <t>JOKKMOKK</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45508</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23202-2024</t>
        </is>
      </c>
      <c r="B506" s="1" t="n">
        <v>45451</v>
      </c>
      <c r="C506" s="1" t="n">
        <v>45508</v>
      </c>
      <c r="D506" t="inlineStr">
        <is>
          <t>NORRBOTTENS LÄN</t>
        </is>
      </c>
      <c r="E506" t="inlineStr">
        <is>
          <t>JOKKMOKK</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23201-2024</t>
        </is>
      </c>
      <c r="B507" s="1" t="n">
        <v>45452</v>
      </c>
      <c r="C507" s="1" t="n">
        <v>45508</v>
      </c>
      <c r="D507" t="inlineStr">
        <is>
          <t>NORRBOTTENS LÄN</t>
        </is>
      </c>
      <c r="E507" t="inlineStr">
        <is>
          <t>JOKKMOKK</t>
        </is>
      </c>
      <c r="F507" t="inlineStr">
        <is>
          <t>SCA</t>
        </is>
      </c>
      <c r="G507" t="n">
        <v>14.8</v>
      </c>
      <c r="H507" t="n">
        <v>0</v>
      </c>
      <c r="I507" t="n">
        <v>0</v>
      </c>
      <c r="J507" t="n">
        <v>0</v>
      </c>
      <c r="K507" t="n">
        <v>0</v>
      </c>
      <c r="L507" t="n">
        <v>0</v>
      </c>
      <c r="M507" t="n">
        <v>0</v>
      </c>
      <c r="N507" t="n">
        <v>0</v>
      </c>
      <c r="O507" t="n">
        <v>0</v>
      </c>
      <c r="P507" t="n">
        <v>0</v>
      </c>
      <c r="Q507" t="n">
        <v>0</v>
      </c>
      <c r="R507" s="2" t="inlineStr"/>
    </row>
    <row r="508" ht="15" customHeight="1">
      <c r="A508" t="inlineStr">
        <is>
          <t>A 23204-2024</t>
        </is>
      </c>
      <c r="B508" s="1" t="n">
        <v>45451</v>
      </c>
      <c r="C508" s="1" t="n">
        <v>45508</v>
      </c>
      <c r="D508" t="inlineStr">
        <is>
          <t>NORRBOTTENS LÄN</t>
        </is>
      </c>
      <c r="E508" t="inlineStr">
        <is>
          <t>JOKKMOKK</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45508</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45463</v>
      </c>
      <c r="C510" s="1" t="n">
        <v>45508</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25708-2024</t>
        </is>
      </c>
      <c r="B511" s="1" t="n">
        <v>45464</v>
      </c>
      <c r="C511" s="1" t="n">
        <v>45508</v>
      </c>
      <c r="D511" t="inlineStr">
        <is>
          <t>NORRBOTTENS LÄN</t>
        </is>
      </c>
      <c r="E511" t="inlineStr">
        <is>
          <t>JOKKMOKK</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45463</v>
      </c>
      <c r="C512" s="1" t="n">
        <v>45508</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45463</v>
      </c>
      <c r="C513" s="1" t="n">
        <v>45508</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25632-2024</t>
        </is>
      </c>
      <c r="B514" s="1" t="n">
        <v>45463</v>
      </c>
      <c r="C514" s="1" t="n">
        <v>45508</v>
      </c>
      <c r="D514" t="inlineStr">
        <is>
          <t>NORRBOTTENS LÄN</t>
        </is>
      </c>
      <c r="E514" t="inlineStr">
        <is>
          <t>JOKKMOKK</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25616-2024</t>
        </is>
      </c>
      <c r="B515" s="1" t="n">
        <v>45463</v>
      </c>
      <c r="C515" s="1" t="n">
        <v>45508</v>
      </c>
      <c r="D515" t="inlineStr">
        <is>
          <t>NORRBOTTENS LÄN</t>
        </is>
      </c>
      <c r="E515" t="inlineStr">
        <is>
          <t>JOKKMOKK</t>
        </is>
      </c>
      <c r="F515" t="inlineStr">
        <is>
          <t>Sveaskog</t>
        </is>
      </c>
      <c r="G515" t="n">
        <v>19.3</v>
      </c>
      <c r="H515" t="n">
        <v>0</v>
      </c>
      <c r="I515" t="n">
        <v>0</v>
      </c>
      <c r="J515" t="n">
        <v>0</v>
      </c>
      <c r="K515" t="n">
        <v>0</v>
      </c>
      <c r="L515" t="n">
        <v>0</v>
      </c>
      <c r="M515" t="n">
        <v>0</v>
      </c>
      <c r="N515" t="n">
        <v>0</v>
      </c>
      <c r="O515" t="n">
        <v>0</v>
      </c>
      <c r="P515" t="n">
        <v>0</v>
      </c>
      <c r="Q515" t="n">
        <v>0</v>
      </c>
      <c r="R515" s="2" t="inlineStr"/>
    </row>
    <row r="516" ht="15" customHeight="1">
      <c r="A516" t="inlineStr">
        <is>
          <t>A 25634-2024</t>
        </is>
      </c>
      <c r="B516" s="1" t="n">
        <v>45463</v>
      </c>
      <c r="C516" s="1" t="n">
        <v>45508</v>
      </c>
      <c r="D516" t="inlineStr">
        <is>
          <t>NORRBOTTENS LÄN</t>
        </is>
      </c>
      <c r="E516" t="inlineStr">
        <is>
          <t>JOKKMOKK</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25721-2024</t>
        </is>
      </c>
      <c r="B517" s="1" t="n">
        <v>45463</v>
      </c>
      <c r="C517" s="1" t="n">
        <v>45508</v>
      </c>
      <c r="D517" t="inlineStr">
        <is>
          <t>NORRBOTTENS LÄN</t>
        </is>
      </c>
      <c r="E517" t="inlineStr">
        <is>
          <t>JOKKMOKK</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25709-2024</t>
        </is>
      </c>
      <c r="B518" s="1" t="n">
        <v>45464</v>
      </c>
      <c r="C518" s="1" t="n">
        <v>45508</v>
      </c>
      <c r="D518" t="inlineStr">
        <is>
          <t>NORRBOTTENS LÄN</t>
        </is>
      </c>
      <c r="E518" t="inlineStr">
        <is>
          <t>JOKKMOKK</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26969-2024</t>
        </is>
      </c>
      <c r="B519" s="1" t="n">
        <v>45471</v>
      </c>
      <c r="C519" s="1" t="n">
        <v>45508</v>
      </c>
      <c r="D519" t="inlineStr">
        <is>
          <t>NORRBOTTENS LÄN</t>
        </is>
      </c>
      <c r="E519" t="inlineStr">
        <is>
          <t>JOKKMOKK</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27652-2024</t>
        </is>
      </c>
      <c r="B520" s="1" t="n">
        <v>45475</v>
      </c>
      <c r="C520" s="1" t="n">
        <v>45508</v>
      </c>
      <c r="D520" t="inlineStr">
        <is>
          <t>NORRBOTTENS LÄN</t>
        </is>
      </c>
      <c r="E520" t="inlineStr">
        <is>
          <t>JOKKMOKK</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27651-2024</t>
        </is>
      </c>
      <c r="B521" s="1" t="n">
        <v>45475</v>
      </c>
      <c r="C521" s="1" t="n">
        <v>45508</v>
      </c>
      <c r="D521" t="inlineStr">
        <is>
          <t>NORRBOTTENS LÄN</t>
        </is>
      </c>
      <c r="E521" t="inlineStr">
        <is>
          <t>JOKKMOKK</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27655-2024</t>
        </is>
      </c>
      <c r="B522" s="1" t="n">
        <v>45475</v>
      </c>
      <c r="C522" s="1" t="n">
        <v>45508</v>
      </c>
      <c r="D522" t="inlineStr">
        <is>
          <t>NORRBOTTENS LÄN</t>
        </is>
      </c>
      <c r="E522" t="inlineStr">
        <is>
          <t>JOKKMOKK</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45508</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45508</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45508</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27658-2024</t>
        </is>
      </c>
      <c r="B526" s="1" t="n">
        <v>45475</v>
      </c>
      <c r="C526" s="1" t="n">
        <v>45508</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27653-2024</t>
        </is>
      </c>
      <c r="B527" s="1" t="n">
        <v>45475</v>
      </c>
      <c r="C527" s="1" t="n">
        <v>45508</v>
      </c>
      <c r="D527" t="inlineStr">
        <is>
          <t>NORRBOTTENS LÄN</t>
        </is>
      </c>
      <c r="E527" t="inlineStr">
        <is>
          <t>JOKKMOKK</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27657-2024</t>
        </is>
      </c>
      <c r="B528" s="1" t="n">
        <v>45475</v>
      </c>
      <c r="C528" s="1" t="n">
        <v>45508</v>
      </c>
      <c r="D528" t="inlineStr">
        <is>
          <t>NORRBOTTENS LÄN</t>
        </is>
      </c>
      <c r="E528" t="inlineStr">
        <is>
          <t>JOKKMOKK</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28036-2024</t>
        </is>
      </c>
      <c r="B529" s="1" t="n">
        <v>45476</v>
      </c>
      <c r="C529" s="1" t="n">
        <v>45508</v>
      </c>
      <c r="D529" t="inlineStr">
        <is>
          <t>NORRBOTTENS LÄN</t>
        </is>
      </c>
      <c r="E529" t="inlineStr">
        <is>
          <t>JOKKMOKK</t>
        </is>
      </c>
      <c r="G529" t="n">
        <v>7.4</v>
      </c>
      <c r="H529" t="n">
        <v>0</v>
      </c>
      <c r="I529" t="n">
        <v>0</v>
      </c>
      <c r="J529" t="n">
        <v>0</v>
      </c>
      <c r="K529" t="n">
        <v>0</v>
      </c>
      <c r="L529" t="n">
        <v>0</v>
      </c>
      <c r="M529" t="n">
        <v>0</v>
      </c>
      <c r="N529" t="n">
        <v>0</v>
      </c>
      <c r="O529" t="n">
        <v>0</v>
      </c>
      <c r="P529" t="n">
        <v>0</v>
      </c>
      <c r="Q529" t="n">
        <v>0</v>
      </c>
      <c r="R529" s="2" t="inlineStr"/>
    </row>
    <row r="530" ht="15" customHeight="1">
      <c r="A530" t="inlineStr">
        <is>
          <t>A 29213-2024</t>
        </is>
      </c>
      <c r="B530" s="1" t="n">
        <v>45482</v>
      </c>
      <c r="C530" s="1" t="n">
        <v>45508</v>
      </c>
      <c r="D530" t="inlineStr">
        <is>
          <t>NORRBOTTENS LÄN</t>
        </is>
      </c>
      <c r="E530" t="inlineStr">
        <is>
          <t>JOKKMOKK</t>
        </is>
      </c>
      <c r="G530" t="n">
        <v>55</v>
      </c>
      <c r="H530" t="n">
        <v>0</v>
      </c>
      <c r="I530" t="n">
        <v>0</v>
      </c>
      <c r="J530" t="n">
        <v>0</v>
      </c>
      <c r="K530" t="n">
        <v>0</v>
      </c>
      <c r="L530" t="n">
        <v>0</v>
      </c>
      <c r="M530" t="n">
        <v>0</v>
      </c>
      <c r="N530" t="n">
        <v>0</v>
      </c>
      <c r="O530" t="n">
        <v>0</v>
      </c>
      <c r="P530" t="n">
        <v>0</v>
      </c>
      <c r="Q530" t="n">
        <v>0</v>
      </c>
      <c r="R530" s="2" t="inlineStr"/>
    </row>
    <row r="531" ht="15" customHeight="1">
      <c r="A531" t="inlineStr">
        <is>
          <t>A 29212-2024</t>
        </is>
      </c>
      <c r="B531" s="1" t="n">
        <v>45482</v>
      </c>
      <c r="C531" s="1" t="n">
        <v>45508</v>
      </c>
      <c r="D531" t="inlineStr">
        <is>
          <t>NORRBOTTENS LÄN</t>
        </is>
      </c>
      <c r="E531" t="inlineStr">
        <is>
          <t>JOKKMOKK</t>
        </is>
      </c>
      <c r="G531" t="n">
        <v>8.5</v>
      </c>
      <c r="H531" t="n">
        <v>0</v>
      </c>
      <c r="I531" t="n">
        <v>0</v>
      </c>
      <c r="J531" t="n">
        <v>0</v>
      </c>
      <c r="K531" t="n">
        <v>0</v>
      </c>
      <c r="L531" t="n">
        <v>0</v>
      </c>
      <c r="M531" t="n">
        <v>0</v>
      </c>
      <c r="N531" t="n">
        <v>0</v>
      </c>
      <c r="O531" t="n">
        <v>0</v>
      </c>
      <c r="P531" t="n">
        <v>0</v>
      </c>
      <c r="Q531" t="n">
        <v>0</v>
      </c>
      <c r="R531" s="2" t="inlineStr"/>
    </row>
    <row r="532" ht="15" customHeight="1">
      <c r="A532" t="inlineStr">
        <is>
          <t>A 29675-2024</t>
        </is>
      </c>
      <c r="B532" s="1" t="n">
        <v>45485</v>
      </c>
      <c r="C532" s="1" t="n">
        <v>45508</v>
      </c>
      <c r="D532" t="inlineStr">
        <is>
          <t>NORRBOTTENS LÄN</t>
        </is>
      </c>
      <c r="E532" t="inlineStr">
        <is>
          <t>JOKKMOKK</t>
        </is>
      </c>
      <c r="F532" t="inlineStr">
        <is>
          <t>SCA</t>
        </is>
      </c>
      <c r="G532" t="n">
        <v>35.7</v>
      </c>
      <c r="H532" t="n">
        <v>0</v>
      </c>
      <c r="I532" t="n">
        <v>0</v>
      </c>
      <c r="J532" t="n">
        <v>0</v>
      </c>
      <c r="K532" t="n">
        <v>0</v>
      </c>
      <c r="L532" t="n">
        <v>0</v>
      </c>
      <c r="M532" t="n">
        <v>0</v>
      </c>
      <c r="N532" t="n">
        <v>0</v>
      </c>
      <c r="O532" t="n">
        <v>0</v>
      </c>
      <c r="P532" t="n">
        <v>0</v>
      </c>
      <c r="Q532" t="n">
        <v>0</v>
      </c>
      <c r="R532" s="2" t="inlineStr"/>
    </row>
    <row r="533" ht="15" customHeight="1">
      <c r="A533" t="inlineStr">
        <is>
          <t>A 29679-2024</t>
        </is>
      </c>
      <c r="B533" s="1" t="n">
        <v>45485</v>
      </c>
      <c r="C533" s="1" t="n">
        <v>45508</v>
      </c>
      <c r="D533" t="inlineStr">
        <is>
          <t>NORRBOTTENS LÄN</t>
        </is>
      </c>
      <c r="E533" t="inlineStr">
        <is>
          <t>JOKKMOKK</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30041-2024</t>
        </is>
      </c>
      <c r="B534" s="1" t="n">
        <v>45488</v>
      </c>
      <c r="C534" s="1" t="n">
        <v>45508</v>
      </c>
      <c r="D534" t="inlineStr">
        <is>
          <t>NORRBOTTENS LÄN</t>
        </is>
      </c>
      <c r="E534" t="inlineStr">
        <is>
          <t>JOKKMOKK</t>
        </is>
      </c>
      <c r="G534" t="n">
        <v>19.9</v>
      </c>
      <c r="H534" t="n">
        <v>0</v>
      </c>
      <c r="I534" t="n">
        <v>0</v>
      </c>
      <c r="J534" t="n">
        <v>0</v>
      </c>
      <c r="K534" t="n">
        <v>0</v>
      </c>
      <c r="L534" t="n">
        <v>0</v>
      </c>
      <c r="M534" t="n">
        <v>0</v>
      </c>
      <c r="N534" t="n">
        <v>0</v>
      </c>
      <c r="O534" t="n">
        <v>0</v>
      </c>
      <c r="P534" t="n">
        <v>0</v>
      </c>
      <c r="Q534" t="n">
        <v>0</v>
      </c>
      <c r="R534" s="2" t="inlineStr"/>
    </row>
    <row r="535" ht="15" customHeight="1">
      <c r="A535" t="inlineStr">
        <is>
          <t>A 30099-2024</t>
        </is>
      </c>
      <c r="B535" s="1" t="n">
        <v>45489</v>
      </c>
      <c r="C535" s="1" t="n">
        <v>45508</v>
      </c>
      <c r="D535" t="inlineStr">
        <is>
          <t>NORRBOTTENS LÄN</t>
        </is>
      </c>
      <c r="E535" t="inlineStr">
        <is>
          <t>JOKKMOKK</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30308-2024</t>
        </is>
      </c>
      <c r="B536" s="1" t="n">
        <v>45490</v>
      </c>
      <c r="C536" s="1" t="n">
        <v>45508</v>
      </c>
      <c r="D536" t="inlineStr">
        <is>
          <t>NORRBOTTENS LÄN</t>
        </is>
      </c>
      <c r="E536" t="inlineStr">
        <is>
          <t>JOKKMOKK</t>
        </is>
      </c>
      <c r="G536" t="n">
        <v>2.2</v>
      </c>
      <c r="H536" t="n">
        <v>0</v>
      </c>
      <c r="I536" t="n">
        <v>0</v>
      </c>
      <c r="J536" t="n">
        <v>0</v>
      </c>
      <c r="K536" t="n">
        <v>0</v>
      </c>
      <c r="L536" t="n">
        <v>0</v>
      </c>
      <c r="M536" t="n">
        <v>0</v>
      </c>
      <c r="N536" t="n">
        <v>0</v>
      </c>
      <c r="O536" t="n">
        <v>0</v>
      </c>
      <c r="P536" t="n">
        <v>0</v>
      </c>
      <c r="Q536" t="n">
        <v>0</v>
      </c>
      <c r="R536" s="2" t="inlineStr"/>
    </row>
    <row r="537" ht="15" customHeight="1">
      <c r="A537" t="inlineStr">
        <is>
          <t>A 30305-2024</t>
        </is>
      </c>
      <c r="B537" s="1" t="n">
        <v>45490</v>
      </c>
      <c r="C537" s="1" t="n">
        <v>45508</v>
      </c>
      <c r="D537" t="inlineStr">
        <is>
          <t>NORRBOTTENS LÄN</t>
        </is>
      </c>
      <c r="E537" t="inlineStr">
        <is>
          <t>JOKKMOKK</t>
        </is>
      </c>
      <c r="G537" t="n">
        <v>1.5</v>
      </c>
      <c r="H537" t="n">
        <v>0</v>
      </c>
      <c r="I537" t="n">
        <v>0</v>
      </c>
      <c r="J537" t="n">
        <v>0</v>
      </c>
      <c r="K537" t="n">
        <v>0</v>
      </c>
      <c r="L537" t="n">
        <v>0</v>
      </c>
      <c r="M537" t="n">
        <v>0</v>
      </c>
      <c r="N537" t="n">
        <v>0</v>
      </c>
      <c r="O537" t="n">
        <v>0</v>
      </c>
      <c r="P537" t="n">
        <v>0</v>
      </c>
      <c r="Q537" t="n">
        <v>0</v>
      </c>
      <c r="R537" s="2" t="inlineStr"/>
    </row>
    <row r="538" ht="15" customHeight="1">
      <c r="A538" t="inlineStr">
        <is>
          <t>A 30313-2024</t>
        </is>
      </c>
      <c r="B538" s="1" t="n">
        <v>45490</v>
      </c>
      <c r="C538" s="1" t="n">
        <v>45508</v>
      </c>
      <c r="D538" t="inlineStr">
        <is>
          <t>NORRBOTTENS LÄN</t>
        </is>
      </c>
      <c r="E538" t="inlineStr">
        <is>
          <t>JOKKMOKK</t>
        </is>
      </c>
      <c r="G538" t="n">
        <v>3.4</v>
      </c>
      <c r="H538" t="n">
        <v>0</v>
      </c>
      <c r="I538" t="n">
        <v>0</v>
      </c>
      <c r="J538" t="n">
        <v>0</v>
      </c>
      <c r="K538" t="n">
        <v>0</v>
      </c>
      <c r="L538" t="n">
        <v>0</v>
      </c>
      <c r="M538" t="n">
        <v>0</v>
      </c>
      <c r="N538" t="n">
        <v>0</v>
      </c>
      <c r="O538" t="n">
        <v>0</v>
      </c>
      <c r="P538" t="n">
        <v>0</v>
      </c>
      <c r="Q538" t="n">
        <v>0</v>
      </c>
      <c r="R538" s="2" t="inlineStr"/>
    </row>
    <row r="539" ht="15" customHeight="1">
      <c r="A539" t="inlineStr">
        <is>
          <t>A 30312-2024</t>
        </is>
      </c>
      <c r="B539" s="1" t="n">
        <v>45490</v>
      </c>
      <c r="C539" s="1" t="n">
        <v>45508</v>
      </c>
      <c r="D539" t="inlineStr">
        <is>
          <t>NORRBOTTENS LÄN</t>
        </is>
      </c>
      <c r="E539" t="inlineStr">
        <is>
          <t>JOKKMOKK</t>
        </is>
      </c>
      <c r="G539" t="n">
        <v>1.6</v>
      </c>
      <c r="H539" t="n">
        <v>0</v>
      </c>
      <c r="I539" t="n">
        <v>0</v>
      </c>
      <c r="J539" t="n">
        <v>0</v>
      </c>
      <c r="K539" t="n">
        <v>0</v>
      </c>
      <c r="L539" t="n">
        <v>0</v>
      </c>
      <c r="M539" t="n">
        <v>0</v>
      </c>
      <c r="N539" t="n">
        <v>0</v>
      </c>
      <c r="O539" t="n">
        <v>0</v>
      </c>
      <c r="P539" t="n">
        <v>0</v>
      </c>
      <c r="Q539" t="n">
        <v>0</v>
      </c>
      <c r="R539" s="2" t="inlineStr"/>
    </row>
    <row r="540" ht="15" customHeight="1">
      <c r="A540" t="inlineStr">
        <is>
          <t>A 30310-2024</t>
        </is>
      </c>
      <c r="B540" s="1" t="n">
        <v>45490</v>
      </c>
      <c r="C540" s="1" t="n">
        <v>45508</v>
      </c>
      <c r="D540" t="inlineStr">
        <is>
          <t>NORRBOTTENS LÄN</t>
        </is>
      </c>
      <c r="E540" t="inlineStr">
        <is>
          <t>JOKKMOKK</t>
        </is>
      </c>
      <c r="G540" t="n">
        <v>2.3</v>
      </c>
      <c r="H540" t="n">
        <v>0</v>
      </c>
      <c r="I540" t="n">
        <v>0</v>
      </c>
      <c r="J540" t="n">
        <v>0</v>
      </c>
      <c r="K540" t="n">
        <v>0</v>
      </c>
      <c r="L540" t="n">
        <v>0</v>
      </c>
      <c r="M540" t="n">
        <v>0</v>
      </c>
      <c r="N540" t="n">
        <v>0</v>
      </c>
      <c r="O540" t="n">
        <v>0</v>
      </c>
      <c r="P540" t="n">
        <v>0</v>
      </c>
      <c r="Q540" t="n">
        <v>0</v>
      </c>
      <c r="R540" s="2" t="inlineStr"/>
    </row>
    <row r="541" ht="15" customHeight="1">
      <c r="A541" t="inlineStr">
        <is>
          <t>A 30399-2024</t>
        </is>
      </c>
      <c r="B541" s="1" t="n">
        <v>45491</v>
      </c>
      <c r="C541" s="1" t="n">
        <v>45508</v>
      </c>
      <c r="D541" t="inlineStr">
        <is>
          <t>NORRBOTTENS LÄN</t>
        </is>
      </c>
      <c r="E541" t="inlineStr">
        <is>
          <t>JOKKMOKK</t>
        </is>
      </c>
      <c r="G541" t="n">
        <v>4.6</v>
      </c>
      <c r="H541" t="n">
        <v>0</v>
      </c>
      <c r="I541" t="n">
        <v>0</v>
      </c>
      <c r="J541" t="n">
        <v>0</v>
      </c>
      <c r="K541" t="n">
        <v>0</v>
      </c>
      <c r="L541" t="n">
        <v>0</v>
      </c>
      <c r="M541" t="n">
        <v>0</v>
      </c>
      <c r="N541" t="n">
        <v>0</v>
      </c>
      <c r="O541" t="n">
        <v>0</v>
      </c>
      <c r="P541" t="n">
        <v>0</v>
      </c>
      <c r="Q541" t="n">
        <v>0</v>
      </c>
      <c r="R541" s="2" t="inlineStr"/>
    </row>
    <row r="542" ht="15" customHeight="1">
      <c r="A542" t="inlineStr">
        <is>
          <t>A 30401-2024</t>
        </is>
      </c>
      <c r="B542" s="1" t="n">
        <v>45491</v>
      </c>
      <c r="C542" s="1" t="n">
        <v>45508</v>
      </c>
      <c r="D542" t="inlineStr">
        <is>
          <t>NORRBOTTENS LÄN</t>
        </is>
      </c>
      <c r="E542" t="inlineStr">
        <is>
          <t>JOKKMOKK</t>
        </is>
      </c>
      <c r="G542" t="n">
        <v>1</v>
      </c>
      <c r="H542" t="n">
        <v>0</v>
      </c>
      <c r="I542" t="n">
        <v>0</v>
      </c>
      <c r="J542" t="n">
        <v>0</v>
      </c>
      <c r="K542" t="n">
        <v>0</v>
      </c>
      <c r="L542" t="n">
        <v>0</v>
      </c>
      <c r="M542" t="n">
        <v>0</v>
      </c>
      <c r="N542" t="n">
        <v>0</v>
      </c>
      <c r="O542" t="n">
        <v>0</v>
      </c>
      <c r="P542" t="n">
        <v>0</v>
      </c>
      <c r="Q542" t="n">
        <v>0</v>
      </c>
      <c r="R542" s="2" t="inlineStr"/>
    </row>
    <row r="543" ht="15" customHeight="1">
      <c r="A543" t="inlineStr">
        <is>
          <t>A 31533-2024</t>
        </is>
      </c>
      <c r="B543" s="1" t="n">
        <v>45506</v>
      </c>
      <c r="C543" s="1" t="n">
        <v>45508</v>
      </c>
      <c r="D543" t="inlineStr">
        <is>
          <t>NORRBOTTENS LÄN</t>
        </is>
      </c>
      <c r="E543" t="inlineStr">
        <is>
          <t>JOKKMOKK</t>
        </is>
      </c>
      <c r="F543" t="inlineStr">
        <is>
          <t>SCA</t>
        </is>
      </c>
      <c r="G543" t="n">
        <v>6.7</v>
      </c>
      <c r="H543" t="n">
        <v>0</v>
      </c>
      <c r="I543" t="n">
        <v>0</v>
      </c>
      <c r="J543" t="n">
        <v>0</v>
      </c>
      <c r="K543" t="n">
        <v>0</v>
      </c>
      <c r="L543" t="n">
        <v>0</v>
      </c>
      <c r="M543" t="n">
        <v>0</v>
      </c>
      <c r="N543" t="n">
        <v>0</v>
      </c>
      <c r="O543" t="n">
        <v>0</v>
      </c>
      <c r="P543" t="n">
        <v>0</v>
      </c>
      <c r="Q543" t="n">
        <v>0</v>
      </c>
      <c r="R543" s="2" t="inlineStr"/>
    </row>
    <row r="544" ht="15" customHeight="1">
      <c r="A544" t="inlineStr">
        <is>
          <t>A 31535-2024</t>
        </is>
      </c>
      <c r="B544" s="1" t="n">
        <v>45506</v>
      </c>
      <c r="C544" s="1" t="n">
        <v>45508</v>
      </c>
      <c r="D544" t="inlineStr">
        <is>
          <t>NORRBOTTENS LÄN</t>
        </is>
      </c>
      <c r="E544" t="inlineStr">
        <is>
          <t>JOKKMOKK</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31532-2024</t>
        </is>
      </c>
      <c r="B545" s="1" t="n">
        <v>45506</v>
      </c>
      <c r="C545" s="1" t="n">
        <v>45508</v>
      </c>
      <c r="D545" t="inlineStr">
        <is>
          <t>NORRBOTTENS LÄN</t>
        </is>
      </c>
      <c r="E545" t="inlineStr">
        <is>
          <t>JOKKMOKK</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31536-2024</t>
        </is>
      </c>
      <c r="B546" s="1" t="n">
        <v>45506</v>
      </c>
      <c r="C546" s="1" t="n">
        <v>45508</v>
      </c>
      <c r="D546" t="inlineStr">
        <is>
          <t>NORRBOTTENS LÄN</t>
        </is>
      </c>
      <c r="E546" t="inlineStr">
        <is>
          <t>JOKKMOKK</t>
        </is>
      </c>
      <c r="F546" t="inlineStr">
        <is>
          <t>SCA</t>
        </is>
      </c>
      <c r="G546" t="n">
        <v>1.9</v>
      </c>
      <c r="H546" t="n">
        <v>0</v>
      </c>
      <c r="I546" t="n">
        <v>0</v>
      </c>
      <c r="J546" t="n">
        <v>0</v>
      </c>
      <c r="K546" t="n">
        <v>0</v>
      </c>
      <c r="L546" t="n">
        <v>0</v>
      </c>
      <c r="M546" t="n">
        <v>0</v>
      </c>
      <c r="N546" t="n">
        <v>0</v>
      </c>
      <c r="O546" t="n">
        <v>0</v>
      </c>
      <c r="P546" t="n">
        <v>0</v>
      </c>
      <c r="Q546" t="n">
        <v>0</v>
      </c>
      <c r="R546" s="2" t="inlineStr"/>
    </row>
    <row r="547">
      <c r="A547" t="inlineStr">
        <is>
          <t>A 31534-2024</t>
        </is>
      </c>
      <c r="B547" s="1" t="n">
        <v>45506</v>
      </c>
      <c r="C547" s="1" t="n">
        <v>45508</v>
      </c>
      <c r="D547" t="inlineStr">
        <is>
          <t>NORRBOTTENS LÄN</t>
        </is>
      </c>
      <c r="E547" t="inlineStr">
        <is>
          <t>JOKKMOKK</t>
        </is>
      </c>
      <c r="F547" t="inlineStr">
        <is>
          <t>SCA</t>
        </is>
      </c>
      <c r="G547" t="n">
        <v>3.4</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2024-08-04T11:17:39Z</dcterms:created>
  <dcterms:modified xmlns:dcterms="http://purl.org/dc/terms/" xmlns:xsi="http://www.w3.org/2001/XMLSchema-instance" xsi:type="dcterms:W3CDTF">2024-08-04T11:17:40Z</dcterms:modified>
</cp:coreProperties>
</file>