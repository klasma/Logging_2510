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46145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46145</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46145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46145</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46145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46145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46145</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46145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46145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46145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46145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46145</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46145</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46145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46145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46145</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46145</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46145</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46145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46145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46145</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46145</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46145</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46145</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54960-2021</t>
        </is>
      </c>
      <c r="B36" s="1" t="n">
        <v>44474</v>
      </c>
      <c r="C36" s="1" t="n">
        <v>46145</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46145</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46145</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46145</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46145</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33994-2023</t>
        </is>
      </c>
      <c r="B41" s="1" t="n">
        <v>45134</v>
      </c>
      <c r="C41" s="1" t="n">
        <v>46145</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46145</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46145</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63444-2025</t>
        </is>
      </c>
      <c r="B44" s="1" t="n">
        <v>46013.39665509259</v>
      </c>
      <c r="C44" s="1" t="n">
        <v>46145</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33139-2023</t>
        </is>
      </c>
      <c r="B45" s="1" t="n">
        <v>45114</v>
      </c>
      <c r="C45" s="1" t="n">
        <v>46145</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46145</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46145</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46145</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46145</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46145</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46145</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46145</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46145</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46145</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46145</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46145</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46145</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29679-2024</t>
        </is>
      </c>
      <c r="B58" s="1" t="n">
        <v>45484</v>
      </c>
      <c r="C58" s="1" t="n">
        <v>46145</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15827-2025</t>
        </is>
      </c>
      <c r="B59" s="1" t="n">
        <v>45748</v>
      </c>
      <c r="C59" s="1" t="n">
        <v>46145</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46145</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46145</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46145</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46145</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43023-2024</t>
        </is>
      </c>
      <c r="B64" s="1" t="n">
        <v>45567</v>
      </c>
      <c r="C64" s="1" t="n">
        <v>46145</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46145</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37252-2025</t>
        </is>
      </c>
      <c r="B66" s="1" t="n">
        <v>45876.4228125</v>
      </c>
      <c r="C66" s="1" t="n">
        <v>46145</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50121-2024</t>
        </is>
      </c>
      <c r="B67" s="1" t="n">
        <v>45600.42096064815</v>
      </c>
      <c r="C67" s="1" t="n">
        <v>46145</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46145</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46145</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72480-2021</t>
        </is>
      </c>
      <c r="B70" s="1" t="n">
        <v>44545</v>
      </c>
      <c r="C70" s="1" t="n">
        <v>46145</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39850-2025</t>
        </is>
      </c>
      <c r="B71" s="1" t="n">
        <v>45891.58591435185</v>
      </c>
      <c r="C71" s="1" t="n">
        <v>46145</v>
      </c>
      <c r="D71" t="inlineStr">
        <is>
          <t>NORRBOTTENS LÄN</t>
        </is>
      </c>
      <c r="E71" t="inlineStr">
        <is>
          <t>JOKKMOKK</t>
        </is>
      </c>
      <c r="F71" t="inlineStr">
        <is>
          <t>Sveaskog</t>
        </is>
      </c>
      <c r="G71" t="n">
        <v>4.5</v>
      </c>
      <c r="H71" t="n">
        <v>0</v>
      </c>
      <c r="I71" t="n">
        <v>0</v>
      </c>
      <c r="J71" t="n">
        <v>1</v>
      </c>
      <c r="K71" t="n">
        <v>0</v>
      </c>
      <c r="L71" t="n">
        <v>0</v>
      </c>
      <c r="M71" t="n">
        <v>0</v>
      </c>
      <c r="N71" t="n">
        <v>0</v>
      </c>
      <c r="O71" t="n">
        <v>1</v>
      </c>
      <c r="P71" t="n">
        <v>0</v>
      </c>
      <c r="Q71" t="n">
        <v>1</v>
      </c>
      <c r="R71" s="2" t="inlineStr">
        <is>
          <t>Blanksvart spiklav</t>
        </is>
      </c>
      <c r="S71">
        <f>HYPERLINK("https://klasma.github.io/Logging_2510/artfynd/A 39850-2025 artfynd.xlsx", "A 39850-2025")</f>
        <v/>
      </c>
      <c r="T71">
        <f>HYPERLINK("https://klasma.github.io/Logging_2510/kartor/A 39850-2025 karta.png", "A 39850-2025")</f>
        <v/>
      </c>
      <c r="U71">
        <f>HYPERLINK("https://klasma.github.io/Logging_2510/knärot/A 39850-2025 karta knärot.png", "A 39850-2025")</f>
        <v/>
      </c>
      <c r="V71">
        <f>HYPERLINK("https://klasma.github.io/Logging_2510/klagomål/A 39850-2025 FSC-klagomål.docx", "A 39850-2025")</f>
        <v/>
      </c>
      <c r="W71">
        <f>HYPERLINK("https://klasma.github.io/Logging_2510/klagomålsmail/A 39850-2025 FSC-klagomål mail.docx", "A 39850-2025")</f>
        <v/>
      </c>
      <c r="X71">
        <f>HYPERLINK("https://klasma.github.io/Logging_2510/tillsyn/A 39850-2025 tillsynsbegäran.docx", "A 39850-2025")</f>
        <v/>
      </c>
      <c r="Y71">
        <f>HYPERLINK("https://klasma.github.io/Logging_2510/tillsynsmail/A 39850-2025 tillsynsbegäran mail.docx", "A 39850-2025")</f>
        <v/>
      </c>
    </row>
    <row r="72" ht="15" customHeight="1">
      <c r="A72" t="inlineStr">
        <is>
          <t>A 44234-2025</t>
        </is>
      </c>
      <c r="B72" s="1" t="n">
        <v>45915.65525462963</v>
      </c>
      <c r="C72" s="1" t="n">
        <v>46145</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46145</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46145</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2031-2025</t>
        </is>
      </c>
      <c r="B75" s="1" t="n">
        <v>45672</v>
      </c>
      <c r="C75" s="1" t="n">
        <v>46145</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50391-2025</t>
        </is>
      </c>
      <c r="B76" s="1" t="n">
        <v>45944.61743055555</v>
      </c>
      <c r="C76" s="1" t="n">
        <v>46145</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40466-2023</t>
        </is>
      </c>
      <c r="B77" s="1" t="n">
        <v>45170</v>
      </c>
      <c r="C77" s="1" t="n">
        <v>46145</v>
      </c>
      <c r="D77" t="inlineStr">
        <is>
          <t>NORRBOTTENS LÄN</t>
        </is>
      </c>
      <c r="E77" t="inlineStr">
        <is>
          <t>JOKKMOKK</t>
        </is>
      </c>
      <c r="F77" t="inlineStr">
        <is>
          <t>Sveaskog</t>
        </is>
      </c>
      <c r="G77" t="n">
        <v>1.5</v>
      </c>
      <c r="H77" t="n">
        <v>0</v>
      </c>
      <c r="I77" t="n">
        <v>0</v>
      </c>
      <c r="J77" t="n">
        <v>1</v>
      </c>
      <c r="K77" t="n">
        <v>0</v>
      </c>
      <c r="L77" t="n">
        <v>0</v>
      </c>
      <c r="M77" t="n">
        <v>0</v>
      </c>
      <c r="N77" t="n">
        <v>0</v>
      </c>
      <c r="O77" t="n">
        <v>1</v>
      </c>
      <c r="P77" t="n">
        <v>0</v>
      </c>
      <c r="Q77" t="n">
        <v>1</v>
      </c>
      <c r="R77" s="2" t="inlineStr">
        <is>
          <t>Motaggsvamp</t>
        </is>
      </c>
      <c r="S77">
        <f>HYPERLINK("https://klasma.github.io/Logging_2510/artfynd/A 40466-2023 artfynd.xlsx", "A 40466-2023")</f>
        <v/>
      </c>
      <c r="T77">
        <f>HYPERLINK("https://klasma.github.io/Logging_2510/kartor/A 40466-2023 karta.png", "A 40466-2023")</f>
        <v/>
      </c>
      <c r="V77">
        <f>HYPERLINK("https://klasma.github.io/Logging_2510/klagomål/A 40466-2023 FSC-klagomål.docx", "A 40466-2023")</f>
        <v/>
      </c>
      <c r="W77">
        <f>HYPERLINK("https://klasma.github.io/Logging_2510/klagomålsmail/A 40466-2023 FSC-klagomål mail.docx", "A 40466-2023")</f>
        <v/>
      </c>
      <c r="X77">
        <f>HYPERLINK("https://klasma.github.io/Logging_2510/tillsyn/A 40466-2023 tillsynsbegäran.docx", "A 40466-2023")</f>
        <v/>
      </c>
      <c r="Y77">
        <f>HYPERLINK("https://klasma.github.io/Logging_2510/tillsynsmail/A 40466-2023 tillsynsbegäran mail.docx", "A 40466-2023")</f>
        <v/>
      </c>
    </row>
    <row r="78" ht="15" customHeight="1">
      <c r="A78" t="inlineStr">
        <is>
          <t>A 53035-2025</t>
        </is>
      </c>
      <c r="B78" s="1" t="n">
        <v>45958.34751157407</v>
      </c>
      <c r="C78" s="1" t="n">
        <v>46145</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46145</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388-2026</t>
        </is>
      </c>
      <c r="B80" s="1" t="n">
        <v>46027</v>
      </c>
      <c r="C80" s="1" t="n">
        <v>46145</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44147-2024</t>
        </is>
      </c>
      <c r="B81" s="1" t="n">
        <v>45572.67306712963</v>
      </c>
      <c r="C81" s="1" t="n">
        <v>46145</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12866-2026</t>
        </is>
      </c>
      <c r="B82" s="1" t="n">
        <v>46092.49109953704</v>
      </c>
      <c r="C82" s="1" t="n">
        <v>46145</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20141-2026</t>
        </is>
      </c>
      <c r="B83" s="1" t="n">
        <v>46137.34471064815</v>
      </c>
      <c r="C83" s="1" t="n">
        <v>46145</v>
      </c>
      <c r="D83" t="inlineStr">
        <is>
          <t>NORRBOTTENS LÄN</t>
        </is>
      </c>
      <c r="E83" t="inlineStr">
        <is>
          <t>JOKKMOKK</t>
        </is>
      </c>
      <c r="F83" t="inlineStr">
        <is>
          <t>SCA</t>
        </is>
      </c>
      <c r="G83" t="n">
        <v>17.4</v>
      </c>
      <c r="H83" t="n">
        <v>1</v>
      </c>
      <c r="I83" t="n">
        <v>0</v>
      </c>
      <c r="J83" t="n">
        <v>1</v>
      </c>
      <c r="K83" t="n">
        <v>0</v>
      </c>
      <c r="L83" t="n">
        <v>0</v>
      </c>
      <c r="M83" t="n">
        <v>0</v>
      </c>
      <c r="N83" t="n">
        <v>0</v>
      </c>
      <c r="O83" t="n">
        <v>1</v>
      </c>
      <c r="P83" t="n">
        <v>0</v>
      </c>
      <c r="Q83" t="n">
        <v>1</v>
      </c>
      <c r="R83" s="2" t="inlineStr">
        <is>
          <t>Nordfladdermus</t>
        </is>
      </c>
      <c r="S83">
        <f>HYPERLINK("https://klasma.github.io/Logging_2510/artfynd/A 20141-2026 artfynd.xlsx", "A 20141-2026")</f>
        <v/>
      </c>
      <c r="T83">
        <f>HYPERLINK("https://klasma.github.io/Logging_2510/kartor/A 20141-2026 karta.png", "A 20141-2026")</f>
        <v/>
      </c>
      <c r="V83">
        <f>HYPERLINK("https://klasma.github.io/Logging_2510/klagomål/A 20141-2026 FSC-klagomål.docx", "A 20141-2026")</f>
        <v/>
      </c>
      <c r="W83">
        <f>HYPERLINK("https://klasma.github.io/Logging_2510/klagomålsmail/A 20141-2026 FSC-klagomål mail.docx", "A 20141-2026")</f>
        <v/>
      </c>
      <c r="X83">
        <f>HYPERLINK("https://klasma.github.io/Logging_2510/tillsyn/A 20141-2026 tillsynsbegäran.docx", "A 20141-2026")</f>
        <v/>
      </c>
      <c r="Y83">
        <f>HYPERLINK("https://klasma.github.io/Logging_2510/tillsynsmail/A 20141-2026 tillsynsbegäran mail.docx", "A 20141-2026")</f>
        <v/>
      </c>
    </row>
    <row r="84" ht="15" customHeight="1">
      <c r="A84" t="inlineStr">
        <is>
          <t>A 24746-2025</t>
        </is>
      </c>
      <c r="B84" s="1" t="n">
        <v>45799.34662037037</v>
      </c>
      <c r="C84" s="1" t="n">
        <v>46145</v>
      </c>
      <c r="D84" t="inlineStr">
        <is>
          <t>NORRBOTTENS LÄN</t>
        </is>
      </c>
      <c r="E84" t="inlineStr">
        <is>
          <t>JOKKMOKK</t>
        </is>
      </c>
      <c r="F84" t="inlineStr">
        <is>
          <t>SCA</t>
        </is>
      </c>
      <c r="G84" t="n">
        <v>6.1</v>
      </c>
      <c r="H84" t="n">
        <v>1</v>
      </c>
      <c r="I84" t="n">
        <v>0</v>
      </c>
      <c r="J84" t="n">
        <v>1</v>
      </c>
      <c r="K84" t="n">
        <v>0</v>
      </c>
      <c r="L84" t="n">
        <v>0</v>
      </c>
      <c r="M84" t="n">
        <v>0</v>
      </c>
      <c r="N84" t="n">
        <v>0</v>
      </c>
      <c r="O84" t="n">
        <v>1</v>
      </c>
      <c r="P84" t="n">
        <v>0</v>
      </c>
      <c r="Q84" t="n">
        <v>1</v>
      </c>
      <c r="R84" s="2" t="inlineStr">
        <is>
          <t>Tretåig hackspett</t>
        </is>
      </c>
      <c r="S84">
        <f>HYPERLINK("https://klasma.github.io/Logging_2510/artfynd/A 24746-2025 artfynd.xlsx", "A 24746-2025")</f>
        <v/>
      </c>
      <c r="T84">
        <f>HYPERLINK("https://klasma.github.io/Logging_2510/kartor/A 24746-2025 karta.png", "A 24746-2025")</f>
        <v/>
      </c>
      <c r="V84">
        <f>HYPERLINK("https://klasma.github.io/Logging_2510/klagomål/A 24746-2025 FSC-klagomål.docx", "A 24746-2025")</f>
        <v/>
      </c>
      <c r="W84">
        <f>HYPERLINK("https://klasma.github.io/Logging_2510/klagomålsmail/A 24746-2025 FSC-klagomål mail.docx", "A 24746-2025")</f>
        <v/>
      </c>
      <c r="X84">
        <f>HYPERLINK("https://klasma.github.io/Logging_2510/tillsyn/A 24746-2025 tillsynsbegäran.docx", "A 24746-2025")</f>
        <v/>
      </c>
      <c r="Y84">
        <f>HYPERLINK("https://klasma.github.io/Logging_2510/tillsynsmail/A 24746-2025 tillsynsbegäran mail.docx", "A 24746-2025")</f>
        <v/>
      </c>
      <c r="Z84">
        <f>HYPERLINK("https://klasma.github.io/Logging_2510/fåglar/A 24746-2025 prioriterade fågelarter.docx", "A 24746-2025")</f>
        <v/>
      </c>
    </row>
    <row r="85" ht="15" customHeight="1">
      <c r="A85" t="inlineStr">
        <is>
          <t>A 29859-2025</t>
        </is>
      </c>
      <c r="B85" s="1" t="n">
        <v>45826.34621527778</v>
      </c>
      <c r="C85" s="1" t="n">
        <v>46145</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32669-2025</t>
        </is>
      </c>
      <c r="B86" s="1" t="n">
        <v>45838.69793981482</v>
      </c>
      <c r="C86" s="1" t="n">
        <v>46145</v>
      </c>
      <c r="D86" t="inlineStr">
        <is>
          <t>NORRBOTTENS LÄN</t>
        </is>
      </c>
      <c r="E86" t="inlineStr">
        <is>
          <t>JOKKMOKK</t>
        </is>
      </c>
      <c r="F86" t="inlineStr">
        <is>
          <t>Sveaskog</t>
        </is>
      </c>
      <c r="G86" t="n">
        <v>14.6</v>
      </c>
      <c r="H86" t="n">
        <v>1</v>
      </c>
      <c r="I86" t="n">
        <v>1</v>
      </c>
      <c r="J86" t="n">
        <v>0</v>
      </c>
      <c r="K86" t="n">
        <v>0</v>
      </c>
      <c r="L86" t="n">
        <v>0</v>
      </c>
      <c r="M86" t="n">
        <v>0</v>
      </c>
      <c r="N86" t="n">
        <v>0</v>
      </c>
      <c r="O86" t="n">
        <v>0</v>
      </c>
      <c r="P86" t="n">
        <v>0</v>
      </c>
      <c r="Q86" t="n">
        <v>1</v>
      </c>
      <c r="R86" s="2" t="inlineStr">
        <is>
          <t>Plattlummer</t>
        </is>
      </c>
      <c r="S86">
        <f>HYPERLINK("https://klasma.github.io/Logging_2510/artfynd/A 32669-2025 artfynd.xlsx", "A 32669-2025")</f>
        <v/>
      </c>
      <c r="T86">
        <f>HYPERLINK("https://klasma.github.io/Logging_2510/kartor/A 32669-2025 karta.png", "A 32669-2025")</f>
        <v/>
      </c>
      <c r="V86">
        <f>HYPERLINK("https://klasma.github.io/Logging_2510/klagomål/A 32669-2025 FSC-klagomål.docx", "A 32669-2025")</f>
        <v/>
      </c>
      <c r="W86">
        <f>HYPERLINK("https://klasma.github.io/Logging_2510/klagomålsmail/A 32669-2025 FSC-klagomål mail.docx", "A 32669-2025")</f>
        <v/>
      </c>
      <c r="X86">
        <f>HYPERLINK("https://klasma.github.io/Logging_2510/tillsyn/A 32669-2025 tillsynsbegäran.docx", "A 32669-2025")</f>
        <v/>
      </c>
      <c r="Y86">
        <f>HYPERLINK("https://klasma.github.io/Logging_2510/tillsynsmail/A 32669-2025 tillsynsbegäran mail.docx", "A 32669-2025")</f>
        <v/>
      </c>
    </row>
    <row r="87" ht="15" customHeight="1">
      <c r="A87" t="inlineStr">
        <is>
          <t>A 34135-2025</t>
        </is>
      </c>
      <c r="B87" s="1" t="n">
        <v>45845.5409375</v>
      </c>
      <c r="C87" s="1" t="n">
        <v>46145</v>
      </c>
      <c r="D87" t="inlineStr">
        <is>
          <t>NORRBOTTENS LÄN</t>
        </is>
      </c>
      <c r="E87" t="inlineStr">
        <is>
          <t>JOKKMOKK</t>
        </is>
      </c>
      <c r="G87" t="n">
        <v>4.8</v>
      </c>
      <c r="H87" t="n">
        <v>0</v>
      </c>
      <c r="I87" t="n">
        <v>0</v>
      </c>
      <c r="J87" t="n">
        <v>1</v>
      </c>
      <c r="K87" t="n">
        <v>0</v>
      </c>
      <c r="L87" t="n">
        <v>0</v>
      </c>
      <c r="M87" t="n">
        <v>0</v>
      </c>
      <c r="N87" t="n">
        <v>0</v>
      </c>
      <c r="O87" t="n">
        <v>1</v>
      </c>
      <c r="P87" t="n">
        <v>0</v>
      </c>
      <c r="Q87" t="n">
        <v>1</v>
      </c>
      <c r="R87" s="2" t="inlineStr">
        <is>
          <t>Svart taggsvamp agg.</t>
        </is>
      </c>
      <c r="S87">
        <f>HYPERLINK("https://klasma.github.io/Logging_2510/artfynd/A 34135-2025 artfynd.xlsx", "A 34135-2025")</f>
        <v/>
      </c>
      <c r="T87">
        <f>HYPERLINK("https://klasma.github.io/Logging_2510/kartor/A 34135-2025 karta.png", "A 34135-2025")</f>
        <v/>
      </c>
      <c r="V87">
        <f>HYPERLINK("https://klasma.github.io/Logging_2510/klagomål/A 34135-2025 FSC-klagomål.docx", "A 34135-2025")</f>
        <v/>
      </c>
      <c r="W87">
        <f>HYPERLINK("https://klasma.github.io/Logging_2510/klagomålsmail/A 34135-2025 FSC-klagomål mail.docx", "A 34135-2025")</f>
        <v/>
      </c>
      <c r="X87">
        <f>HYPERLINK("https://klasma.github.io/Logging_2510/tillsyn/A 34135-2025 tillsynsbegäran.docx", "A 34135-2025")</f>
        <v/>
      </c>
      <c r="Y87">
        <f>HYPERLINK("https://klasma.github.io/Logging_2510/tillsynsmail/A 34135-2025 tillsynsbegäran mail.docx", "A 34135-2025")</f>
        <v/>
      </c>
    </row>
    <row r="88" ht="15" customHeight="1">
      <c r="A88" t="inlineStr">
        <is>
          <t>A 38039-2021</t>
        </is>
      </c>
      <c r="B88" s="1" t="n">
        <v>44404</v>
      </c>
      <c r="C88" s="1" t="n">
        <v>46145</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46145</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46145</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46145</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46145</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71955-2021</t>
        </is>
      </c>
      <c r="B93" s="1" t="n">
        <v>44543</v>
      </c>
      <c r="C93" s="1" t="n">
        <v>46145</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71950-2021</t>
        </is>
      </c>
      <c r="B94" s="1" t="n">
        <v>44543</v>
      </c>
      <c r="C94" s="1" t="n">
        <v>46145</v>
      </c>
      <c r="D94" t="inlineStr">
        <is>
          <t>NORRBOTTENS LÄN</t>
        </is>
      </c>
      <c r="E94" t="inlineStr">
        <is>
          <t>JOKKMOKK</t>
        </is>
      </c>
      <c r="F94" t="inlineStr">
        <is>
          <t>Naturvårdsverket</t>
        </is>
      </c>
      <c r="G94" t="n">
        <v>13.3</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46145</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46145</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46145</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46145</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46145</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46145</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46145</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46145</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46145</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46145</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46145</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46145</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46145</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46145</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46145</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46145</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46145</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46145</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46145</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46145</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46145</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46145</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46145</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46145</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46145</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46145</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46145</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46145</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46145</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46145</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46145</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46145</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46145</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46145</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46145</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46145</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46145</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46145</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46145</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46145</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46145</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46145</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46145</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50568-2022</t>
        </is>
      </c>
      <c r="B138" s="1" t="n">
        <v>44866</v>
      </c>
      <c r="C138" s="1" t="n">
        <v>46145</v>
      </c>
      <c r="D138" t="inlineStr">
        <is>
          <t>NORRBOTTENS LÄN</t>
        </is>
      </c>
      <c r="E138" t="inlineStr">
        <is>
          <t>JOKKMOKK</t>
        </is>
      </c>
      <c r="F138" t="inlineStr">
        <is>
          <t>Sveaskog</t>
        </is>
      </c>
      <c r="G138" t="n">
        <v>6.2</v>
      </c>
      <c r="H138" t="n">
        <v>0</v>
      </c>
      <c r="I138" t="n">
        <v>0</v>
      </c>
      <c r="J138" t="n">
        <v>0</v>
      </c>
      <c r="K138" t="n">
        <v>0</v>
      </c>
      <c r="L138" t="n">
        <v>0</v>
      </c>
      <c r="M138" t="n">
        <v>0</v>
      </c>
      <c r="N138" t="n">
        <v>0</v>
      </c>
      <c r="O138" t="n">
        <v>0</v>
      </c>
      <c r="P138" t="n">
        <v>0</v>
      </c>
      <c r="Q138" t="n">
        <v>0</v>
      </c>
      <c r="R138" s="2" t="inlineStr"/>
    </row>
    <row r="139" ht="15" customHeight="1">
      <c r="A139" t="inlineStr">
        <is>
          <t>A 29625-2023</t>
        </is>
      </c>
      <c r="B139" s="1" t="n">
        <v>45106.94556712963</v>
      </c>
      <c r="C139" s="1" t="n">
        <v>46145</v>
      </c>
      <c r="D139" t="inlineStr">
        <is>
          <t>NORRBOTTENS LÄN</t>
        </is>
      </c>
      <c r="E139" t="inlineStr">
        <is>
          <t>JOKKMOKK</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46145</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51304-2022</t>
        </is>
      </c>
      <c r="B141" s="1" t="n">
        <v>44868</v>
      </c>
      <c r="C141" s="1" t="n">
        <v>46145</v>
      </c>
      <c r="D141" t="inlineStr">
        <is>
          <t>NORRBOTTENS LÄN</t>
        </is>
      </c>
      <c r="E141" t="inlineStr">
        <is>
          <t>JOKKMOKK</t>
        </is>
      </c>
      <c r="G141" t="n">
        <v>1.5</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46145</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27657-2024</t>
        </is>
      </c>
      <c r="B143" s="1" t="n">
        <v>45474.95196759259</v>
      </c>
      <c r="C143" s="1" t="n">
        <v>46145</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27658-2024</t>
        </is>
      </c>
      <c r="B144" s="1" t="n">
        <v>45474.95246527778</v>
      </c>
      <c r="C144" s="1" t="n">
        <v>46145</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27653-2024</t>
        </is>
      </c>
      <c r="B145" s="1" t="n">
        <v>45474.95037037037</v>
      </c>
      <c r="C145" s="1" t="n">
        <v>46145</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27654-2024</t>
        </is>
      </c>
      <c r="B146" s="1" t="n">
        <v>45474</v>
      </c>
      <c r="C146" s="1" t="n">
        <v>46145</v>
      </c>
      <c r="D146" t="inlineStr">
        <is>
          <t>NORRBOTTENS LÄN</t>
        </is>
      </c>
      <c r="E146" t="inlineStr">
        <is>
          <t>JOKKMOKK</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27656-2024</t>
        </is>
      </c>
      <c r="B147" s="1" t="n">
        <v>45474</v>
      </c>
      <c r="C147" s="1" t="n">
        <v>46145</v>
      </c>
      <c r="D147" t="inlineStr">
        <is>
          <t>NORRBOTTENS LÄN</t>
        </is>
      </c>
      <c r="E147" t="inlineStr">
        <is>
          <t>JOKKMOKK</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46145</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60215-2023</t>
        </is>
      </c>
      <c r="B149" s="1" t="n">
        <v>45258.60766203704</v>
      </c>
      <c r="C149" s="1" t="n">
        <v>46145</v>
      </c>
      <c r="D149" t="inlineStr">
        <is>
          <t>NORRBOTTENS LÄN</t>
        </is>
      </c>
      <c r="E149" t="inlineStr">
        <is>
          <t>JOKKMOKK</t>
        </is>
      </c>
      <c r="F149" t="inlineStr">
        <is>
          <t>Allmännings- och besparingsskogar</t>
        </is>
      </c>
      <c r="G149" t="n">
        <v>7.8</v>
      </c>
      <c r="H149" t="n">
        <v>0</v>
      </c>
      <c r="I149" t="n">
        <v>0</v>
      </c>
      <c r="J149" t="n">
        <v>0</v>
      </c>
      <c r="K149" t="n">
        <v>0</v>
      </c>
      <c r="L149" t="n">
        <v>0</v>
      </c>
      <c r="M149" t="n">
        <v>0</v>
      </c>
      <c r="N149" t="n">
        <v>0</v>
      </c>
      <c r="O149" t="n">
        <v>0</v>
      </c>
      <c r="P149" t="n">
        <v>0</v>
      </c>
      <c r="Q149" t="n">
        <v>0</v>
      </c>
      <c r="R149" s="2" t="inlineStr"/>
    </row>
    <row r="150" ht="15" customHeight="1">
      <c r="A150" t="inlineStr">
        <is>
          <t>A 26969-2024</t>
        </is>
      </c>
      <c r="B150" s="1" t="n">
        <v>45471.27252314815</v>
      </c>
      <c r="C150" s="1" t="n">
        <v>46145</v>
      </c>
      <c r="D150" t="inlineStr">
        <is>
          <t>NORRBOTTENS LÄN</t>
        </is>
      </c>
      <c r="E150" t="inlineStr">
        <is>
          <t>JOKKMOKK</t>
        </is>
      </c>
      <c r="F150" t="inlineStr">
        <is>
          <t>Sveaskog</t>
        </is>
      </c>
      <c r="G150" t="n">
        <v>5.9</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46145</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46145</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51336-2024</t>
        </is>
      </c>
      <c r="B153" s="1" t="n">
        <v>45604.34443287037</v>
      </c>
      <c r="C153" s="1" t="n">
        <v>46145</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9349-2023</t>
        </is>
      </c>
      <c r="B154" s="1" t="n">
        <v>44980</v>
      </c>
      <c r="C154" s="1" t="n">
        <v>46145</v>
      </c>
      <c r="D154" t="inlineStr">
        <is>
          <t>NORRBOTTENS LÄN</t>
        </is>
      </c>
      <c r="E154" t="inlineStr">
        <is>
          <t>JOKKMOKK</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9351-2023</t>
        </is>
      </c>
      <c r="B155" s="1" t="n">
        <v>44980</v>
      </c>
      <c r="C155" s="1" t="n">
        <v>46145</v>
      </c>
      <c r="D155" t="inlineStr">
        <is>
          <t>NORRBOTTENS LÄN</t>
        </is>
      </c>
      <c r="E155" t="inlineStr">
        <is>
          <t>JOKKMOKK</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56412-2021</t>
        </is>
      </c>
      <c r="B156" s="1" t="n">
        <v>44477</v>
      </c>
      <c r="C156" s="1" t="n">
        <v>46145</v>
      </c>
      <c r="D156" t="inlineStr">
        <is>
          <t>NORRBOTTENS LÄN</t>
        </is>
      </c>
      <c r="E156" t="inlineStr">
        <is>
          <t>JOKKMOKK</t>
        </is>
      </c>
      <c r="G156" t="n">
        <v>2.5</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46145</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9878-2023</t>
        </is>
      </c>
      <c r="B158" s="1" t="n">
        <v>44984</v>
      </c>
      <c r="C158" s="1" t="n">
        <v>46145</v>
      </c>
      <c r="D158" t="inlineStr">
        <is>
          <t>NORRBOTTENS LÄN</t>
        </is>
      </c>
      <c r="E158" t="inlineStr">
        <is>
          <t>JOKKMOKK</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23023-2023</t>
        </is>
      </c>
      <c r="B159" s="1" t="n">
        <v>45073</v>
      </c>
      <c r="C159" s="1" t="n">
        <v>46145</v>
      </c>
      <c r="D159" t="inlineStr">
        <is>
          <t>NORRBOTTENS LÄN</t>
        </is>
      </c>
      <c r="E159" t="inlineStr">
        <is>
          <t>JOKKMOKK</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30399-2024</t>
        </is>
      </c>
      <c r="B160" s="1" t="n">
        <v>45491</v>
      </c>
      <c r="C160" s="1" t="n">
        <v>46145</v>
      </c>
      <c r="D160" t="inlineStr">
        <is>
          <t>NORRBOTTENS LÄN</t>
        </is>
      </c>
      <c r="E160" t="inlineStr">
        <is>
          <t>JOKKMOKK</t>
        </is>
      </c>
      <c r="G160" t="n">
        <v>4.6</v>
      </c>
      <c r="H160" t="n">
        <v>0</v>
      </c>
      <c r="I160" t="n">
        <v>0</v>
      </c>
      <c r="J160" t="n">
        <v>0</v>
      </c>
      <c r="K160" t="n">
        <v>0</v>
      </c>
      <c r="L160" t="n">
        <v>0</v>
      </c>
      <c r="M160" t="n">
        <v>0</v>
      </c>
      <c r="N160" t="n">
        <v>0</v>
      </c>
      <c r="O160" t="n">
        <v>0</v>
      </c>
      <c r="P160" t="n">
        <v>0</v>
      </c>
      <c r="Q160" t="n">
        <v>0</v>
      </c>
      <c r="R160" s="2" t="inlineStr"/>
    </row>
    <row r="161" ht="15" customHeight="1">
      <c r="A161" t="inlineStr">
        <is>
          <t>A 61640-2024</t>
        </is>
      </c>
      <c r="B161" s="1" t="n">
        <v>45646.68362268519</v>
      </c>
      <c r="C161" s="1" t="n">
        <v>46145</v>
      </c>
      <c r="D161" t="inlineStr">
        <is>
          <t>NORRBOTTENS LÄN</t>
        </is>
      </c>
      <c r="E161" t="inlineStr">
        <is>
          <t>JOKKMOKK</t>
        </is>
      </c>
      <c r="G161" t="n">
        <v>10.6</v>
      </c>
      <c r="H161" t="n">
        <v>0</v>
      </c>
      <c r="I161" t="n">
        <v>0</v>
      </c>
      <c r="J161" t="n">
        <v>0</v>
      </c>
      <c r="K161" t="n">
        <v>0</v>
      </c>
      <c r="L161" t="n">
        <v>0</v>
      </c>
      <c r="M161" t="n">
        <v>0</v>
      </c>
      <c r="N161" t="n">
        <v>0</v>
      </c>
      <c r="O161" t="n">
        <v>0</v>
      </c>
      <c r="P161" t="n">
        <v>0</v>
      </c>
      <c r="Q161" t="n">
        <v>0</v>
      </c>
      <c r="R161" s="2" t="inlineStr"/>
    </row>
    <row r="162" ht="15" customHeight="1">
      <c r="A162" t="inlineStr">
        <is>
          <t>A 61641-2024</t>
        </is>
      </c>
      <c r="B162" s="1" t="n">
        <v>45646</v>
      </c>
      <c r="C162" s="1" t="n">
        <v>46145</v>
      </c>
      <c r="D162" t="inlineStr">
        <is>
          <t>NORRBOTTENS LÄN</t>
        </is>
      </c>
      <c r="E162" t="inlineStr">
        <is>
          <t>JOKKMOKK</t>
        </is>
      </c>
      <c r="G162" t="n">
        <v>3.2</v>
      </c>
      <c r="H162" t="n">
        <v>0</v>
      </c>
      <c r="I162" t="n">
        <v>0</v>
      </c>
      <c r="J162" t="n">
        <v>0</v>
      </c>
      <c r="K162" t="n">
        <v>0</v>
      </c>
      <c r="L162" t="n">
        <v>0</v>
      </c>
      <c r="M162" t="n">
        <v>0</v>
      </c>
      <c r="N162" t="n">
        <v>0</v>
      </c>
      <c r="O162" t="n">
        <v>0</v>
      </c>
      <c r="P162" t="n">
        <v>0</v>
      </c>
      <c r="Q162" t="n">
        <v>0</v>
      </c>
      <c r="R162" s="2" t="inlineStr"/>
    </row>
    <row r="163" ht="15" customHeight="1">
      <c r="A163" t="inlineStr">
        <is>
          <t>A 40658-2024</t>
        </is>
      </c>
      <c r="B163" s="1" t="n">
        <v>45558</v>
      </c>
      <c r="C163" s="1" t="n">
        <v>46145</v>
      </c>
      <c r="D163" t="inlineStr">
        <is>
          <t>NORRBOTTENS LÄN</t>
        </is>
      </c>
      <c r="E163" t="inlineStr">
        <is>
          <t>JOKKMOKK</t>
        </is>
      </c>
      <c r="F163" t="inlineStr">
        <is>
          <t>SCA</t>
        </is>
      </c>
      <c r="G163" t="n">
        <v>3.7</v>
      </c>
      <c r="H163" t="n">
        <v>0</v>
      </c>
      <c r="I163" t="n">
        <v>0</v>
      </c>
      <c r="J163" t="n">
        <v>0</v>
      </c>
      <c r="K163" t="n">
        <v>0</v>
      </c>
      <c r="L163" t="n">
        <v>0</v>
      </c>
      <c r="M163" t="n">
        <v>0</v>
      </c>
      <c r="N163" t="n">
        <v>0</v>
      </c>
      <c r="O163" t="n">
        <v>0</v>
      </c>
      <c r="P163" t="n">
        <v>0</v>
      </c>
      <c r="Q163" t="n">
        <v>0</v>
      </c>
      <c r="R163" s="2" t="inlineStr"/>
    </row>
    <row r="164" ht="15" customHeight="1">
      <c r="A164" t="inlineStr">
        <is>
          <t>A 34598-2024</t>
        </is>
      </c>
      <c r="B164" s="1" t="n">
        <v>45526.39714120371</v>
      </c>
      <c r="C164" s="1" t="n">
        <v>46145</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30401-2024</t>
        </is>
      </c>
      <c r="B165" s="1" t="n">
        <v>45491</v>
      </c>
      <c r="C165" s="1" t="n">
        <v>46145</v>
      </c>
      <c r="D165" t="inlineStr">
        <is>
          <t>NORRBOTTENS LÄN</t>
        </is>
      </c>
      <c r="E165" t="inlineStr">
        <is>
          <t>JOKKMOKK</t>
        </is>
      </c>
      <c r="G165" t="n">
        <v>1</v>
      </c>
      <c r="H165" t="n">
        <v>0</v>
      </c>
      <c r="I165" t="n">
        <v>0</v>
      </c>
      <c r="J165" t="n">
        <v>0</v>
      </c>
      <c r="K165" t="n">
        <v>0</v>
      </c>
      <c r="L165" t="n">
        <v>0</v>
      </c>
      <c r="M165" t="n">
        <v>0</v>
      </c>
      <c r="N165" t="n">
        <v>0</v>
      </c>
      <c r="O165" t="n">
        <v>0</v>
      </c>
      <c r="P165" t="n">
        <v>0</v>
      </c>
      <c r="Q165" t="n">
        <v>0</v>
      </c>
      <c r="R165" s="2" t="inlineStr"/>
    </row>
    <row r="166" ht="15" customHeight="1">
      <c r="A166" t="inlineStr">
        <is>
          <t>A 44145-2024</t>
        </is>
      </c>
      <c r="B166" s="1" t="n">
        <v>45572.66908564815</v>
      </c>
      <c r="C166" s="1" t="n">
        <v>46145</v>
      </c>
      <c r="D166" t="inlineStr">
        <is>
          <t>NORRBOTTENS LÄN</t>
        </is>
      </c>
      <c r="E166" t="inlineStr">
        <is>
          <t>JOKKMOKK</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34609-2024</t>
        </is>
      </c>
      <c r="B167" s="1" t="n">
        <v>45526</v>
      </c>
      <c r="C167" s="1" t="n">
        <v>46145</v>
      </c>
      <c r="D167" t="inlineStr">
        <is>
          <t>NORRBOTTENS LÄN</t>
        </is>
      </c>
      <c r="E167" t="inlineStr">
        <is>
          <t>JOKKMOKK</t>
        </is>
      </c>
      <c r="G167" t="n">
        <v>27</v>
      </c>
      <c r="H167" t="n">
        <v>0</v>
      </c>
      <c r="I167" t="n">
        <v>0</v>
      </c>
      <c r="J167" t="n">
        <v>0</v>
      </c>
      <c r="K167" t="n">
        <v>0</v>
      </c>
      <c r="L167" t="n">
        <v>0</v>
      </c>
      <c r="M167" t="n">
        <v>0</v>
      </c>
      <c r="N167" t="n">
        <v>0</v>
      </c>
      <c r="O167" t="n">
        <v>0</v>
      </c>
      <c r="P167" t="n">
        <v>0</v>
      </c>
      <c r="Q167" t="n">
        <v>0</v>
      </c>
      <c r="R167" s="2" t="inlineStr"/>
    </row>
    <row r="168" ht="15" customHeight="1">
      <c r="A168" t="inlineStr">
        <is>
          <t>A 425-2025</t>
        </is>
      </c>
      <c r="B168" s="1" t="n">
        <v>45664.34549768519</v>
      </c>
      <c r="C168" s="1" t="n">
        <v>46145</v>
      </c>
      <c r="D168" t="inlineStr">
        <is>
          <t>NORRBOTTENS LÄN</t>
        </is>
      </c>
      <c r="E168" t="inlineStr">
        <is>
          <t>JOKKMOKK</t>
        </is>
      </c>
      <c r="F168" t="inlineStr">
        <is>
          <t>Övriga statliga verk och myndigheter</t>
        </is>
      </c>
      <c r="G168" t="n">
        <v>36.5</v>
      </c>
      <c r="H168" t="n">
        <v>0</v>
      </c>
      <c r="I168" t="n">
        <v>0</v>
      </c>
      <c r="J168" t="n">
        <v>0</v>
      </c>
      <c r="K168" t="n">
        <v>0</v>
      </c>
      <c r="L168" t="n">
        <v>0</v>
      </c>
      <c r="M168" t="n">
        <v>0</v>
      </c>
      <c r="N168" t="n">
        <v>0</v>
      </c>
      <c r="O168" t="n">
        <v>0</v>
      </c>
      <c r="P168" t="n">
        <v>0</v>
      </c>
      <c r="Q168" t="n">
        <v>0</v>
      </c>
      <c r="R168" s="2" t="inlineStr"/>
    </row>
    <row r="169" ht="15" customHeight="1">
      <c r="A169" t="inlineStr">
        <is>
          <t>A 457-2025</t>
        </is>
      </c>
      <c r="B169" s="1" t="n">
        <v>45664</v>
      </c>
      <c r="C169" s="1" t="n">
        <v>46145</v>
      </c>
      <c r="D169" t="inlineStr">
        <is>
          <t>NORRBOTTENS LÄN</t>
        </is>
      </c>
      <c r="E169" t="inlineStr">
        <is>
          <t>JOKKMOKK</t>
        </is>
      </c>
      <c r="F169" t="inlineStr">
        <is>
          <t>Övriga statliga verk och myndigheter</t>
        </is>
      </c>
      <c r="G169" t="n">
        <v>8</v>
      </c>
      <c r="H169" t="n">
        <v>0</v>
      </c>
      <c r="I169" t="n">
        <v>0</v>
      </c>
      <c r="J169" t="n">
        <v>0</v>
      </c>
      <c r="K169" t="n">
        <v>0</v>
      </c>
      <c r="L169" t="n">
        <v>0</v>
      </c>
      <c r="M169" t="n">
        <v>0</v>
      </c>
      <c r="N169" t="n">
        <v>0</v>
      </c>
      <c r="O169" t="n">
        <v>0</v>
      </c>
      <c r="P169" t="n">
        <v>0</v>
      </c>
      <c r="Q169" t="n">
        <v>0</v>
      </c>
      <c r="R169" s="2" t="inlineStr"/>
    </row>
    <row r="170" ht="15" customHeight="1">
      <c r="A170" t="inlineStr">
        <is>
          <t>A 458-2025</t>
        </is>
      </c>
      <c r="B170" s="1" t="n">
        <v>45664</v>
      </c>
      <c r="C170" s="1" t="n">
        <v>46145</v>
      </c>
      <c r="D170" t="inlineStr">
        <is>
          <t>NORRBOTTENS LÄN</t>
        </is>
      </c>
      <c r="E170" t="inlineStr">
        <is>
          <t>JOKKMOKK</t>
        </is>
      </c>
      <c r="F170" t="inlineStr">
        <is>
          <t>Övriga statliga verk och myndigheter</t>
        </is>
      </c>
      <c r="G170" t="n">
        <v>10.3</v>
      </c>
      <c r="H170" t="n">
        <v>0</v>
      </c>
      <c r="I170" t="n">
        <v>0</v>
      </c>
      <c r="J170" t="n">
        <v>0</v>
      </c>
      <c r="K170" t="n">
        <v>0</v>
      </c>
      <c r="L170" t="n">
        <v>0</v>
      </c>
      <c r="M170" t="n">
        <v>0</v>
      </c>
      <c r="N170" t="n">
        <v>0</v>
      </c>
      <c r="O170" t="n">
        <v>0</v>
      </c>
      <c r="P170" t="n">
        <v>0</v>
      </c>
      <c r="Q170" t="n">
        <v>0</v>
      </c>
      <c r="R170" s="2" t="inlineStr"/>
    </row>
    <row r="171" ht="15" customHeight="1">
      <c r="A171" t="inlineStr">
        <is>
          <t>A 9859-2023</t>
        </is>
      </c>
      <c r="B171" s="1" t="n">
        <v>44984.93940972222</v>
      </c>
      <c r="C171" s="1" t="n">
        <v>46145</v>
      </c>
      <c r="D171" t="inlineStr">
        <is>
          <t>NORRBOTTENS LÄN</t>
        </is>
      </c>
      <c r="E171" t="inlineStr">
        <is>
          <t>JOKKMOKK</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9864-2023</t>
        </is>
      </c>
      <c r="B172" s="1" t="n">
        <v>44984</v>
      </c>
      <c r="C172" s="1" t="n">
        <v>46145</v>
      </c>
      <c r="D172" t="inlineStr">
        <is>
          <t>NORRBOTTENS LÄN</t>
        </is>
      </c>
      <c r="E172" t="inlineStr">
        <is>
          <t>JOKKMOKK</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34639-2024</t>
        </is>
      </c>
      <c r="B173" s="1" t="n">
        <v>45526.47293981481</v>
      </c>
      <c r="C173" s="1" t="n">
        <v>46145</v>
      </c>
      <c r="D173" t="inlineStr">
        <is>
          <t>NORRBOTTENS LÄN</t>
        </is>
      </c>
      <c r="E173" t="inlineStr">
        <is>
          <t>JOKKMOKK</t>
        </is>
      </c>
      <c r="G173" t="n">
        <v>7.7</v>
      </c>
      <c r="H173" t="n">
        <v>0</v>
      </c>
      <c r="I173" t="n">
        <v>0</v>
      </c>
      <c r="J173" t="n">
        <v>0</v>
      </c>
      <c r="K173" t="n">
        <v>0</v>
      </c>
      <c r="L173" t="n">
        <v>0</v>
      </c>
      <c r="M173" t="n">
        <v>0</v>
      </c>
      <c r="N173" t="n">
        <v>0</v>
      </c>
      <c r="O173" t="n">
        <v>0</v>
      </c>
      <c r="P173" t="n">
        <v>0</v>
      </c>
      <c r="Q173" t="n">
        <v>0</v>
      </c>
      <c r="R173" s="2" t="inlineStr"/>
    </row>
    <row r="174" ht="15" customHeight="1">
      <c r="A174" t="inlineStr">
        <is>
          <t>A 47157-2024</t>
        </is>
      </c>
      <c r="B174" s="1" t="n">
        <v>45586</v>
      </c>
      <c r="C174" s="1" t="n">
        <v>46145</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49477-2024</t>
        </is>
      </c>
      <c r="B175" s="1" t="n">
        <v>45596.34576388889</v>
      </c>
      <c r="C175" s="1" t="n">
        <v>46145</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9874-2023</t>
        </is>
      </c>
      <c r="B176" s="1" t="n">
        <v>44984.94069444444</v>
      </c>
      <c r="C176" s="1" t="n">
        <v>46145</v>
      </c>
      <c r="D176" t="inlineStr">
        <is>
          <t>NORRBOTTENS LÄN</t>
        </is>
      </c>
      <c r="E176" t="inlineStr">
        <is>
          <t>JOKKMOKK</t>
        </is>
      </c>
      <c r="G176" t="n">
        <v>1.7</v>
      </c>
      <c r="H176" t="n">
        <v>0</v>
      </c>
      <c r="I176" t="n">
        <v>0</v>
      </c>
      <c r="J176" t="n">
        <v>0</v>
      </c>
      <c r="K176" t="n">
        <v>0</v>
      </c>
      <c r="L176" t="n">
        <v>0</v>
      </c>
      <c r="M176" t="n">
        <v>0</v>
      </c>
      <c r="N176" t="n">
        <v>0</v>
      </c>
      <c r="O176" t="n">
        <v>0</v>
      </c>
      <c r="P176" t="n">
        <v>0</v>
      </c>
      <c r="Q176" t="n">
        <v>0</v>
      </c>
      <c r="R176" s="2" t="inlineStr"/>
    </row>
    <row r="177" ht="15" customHeight="1">
      <c r="A177" t="inlineStr">
        <is>
          <t>A 9875-2023</t>
        </is>
      </c>
      <c r="B177" s="1" t="n">
        <v>44984.94076388889</v>
      </c>
      <c r="C177" s="1" t="n">
        <v>46145</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16847-2023</t>
        </is>
      </c>
      <c r="B178" s="1" t="n">
        <v>45028</v>
      </c>
      <c r="C178" s="1" t="n">
        <v>46145</v>
      </c>
      <c r="D178" t="inlineStr">
        <is>
          <t>NORRBOTTENS LÄN</t>
        </is>
      </c>
      <c r="E178" t="inlineStr">
        <is>
          <t>JOKKMOKK</t>
        </is>
      </c>
      <c r="G178" t="n">
        <v>7.3</v>
      </c>
      <c r="H178" t="n">
        <v>0</v>
      </c>
      <c r="I178" t="n">
        <v>0</v>
      </c>
      <c r="J178" t="n">
        <v>0</v>
      </c>
      <c r="K178" t="n">
        <v>0</v>
      </c>
      <c r="L178" t="n">
        <v>0</v>
      </c>
      <c r="M178" t="n">
        <v>0</v>
      </c>
      <c r="N178" t="n">
        <v>0</v>
      </c>
      <c r="O178" t="n">
        <v>0</v>
      </c>
      <c r="P178" t="n">
        <v>0</v>
      </c>
      <c r="Q178" t="n">
        <v>0</v>
      </c>
      <c r="R178" s="2" t="inlineStr"/>
    </row>
    <row r="179" ht="15" customHeight="1">
      <c r="A179" t="inlineStr">
        <is>
          <t>A 41923-2021</t>
        </is>
      </c>
      <c r="B179" s="1" t="n">
        <v>44425</v>
      </c>
      <c r="C179" s="1" t="n">
        <v>46145</v>
      </c>
      <c r="D179" t="inlineStr">
        <is>
          <t>NORRBOTTENS LÄN</t>
        </is>
      </c>
      <c r="E179" t="inlineStr">
        <is>
          <t>JOKKMOKK</t>
        </is>
      </c>
      <c r="F179" t="inlineStr">
        <is>
          <t>Övriga statliga verk och myndigheter</t>
        </is>
      </c>
      <c r="G179" t="n">
        <v>22</v>
      </c>
      <c r="H179" t="n">
        <v>0</v>
      </c>
      <c r="I179" t="n">
        <v>0</v>
      </c>
      <c r="J179" t="n">
        <v>0</v>
      </c>
      <c r="K179" t="n">
        <v>0</v>
      </c>
      <c r="L179" t="n">
        <v>0</v>
      </c>
      <c r="M179" t="n">
        <v>0</v>
      </c>
      <c r="N179" t="n">
        <v>0</v>
      </c>
      <c r="O179" t="n">
        <v>0</v>
      </c>
      <c r="P179" t="n">
        <v>0</v>
      </c>
      <c r="Q179" t="n">
        <v>0</v>
      </c>
      <c r="R179" s="2" t="inlineStr"/>
    </row>
    <row r="180" ht="15" customHeight="1">
      <c r="A180" t="inlineStr">
        <is>
          <t>A 48210-2024</t>
        </is>
      </c>
      <c r="B180" s="1" t="n">
        <v>45590</v>
      </c>
      <c r="C180" s="1" t="n">
        <v>46145</v>
      </c>
      <c r="D180" t="inlineStr">
        <is>
          <t>NORRBOTTENS LÄN</t>
        </is>
      </c>
      <c r="E180" t="inlineStr">
        <is>
          <t>JOKKMOKK</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49478-2024</t>
        </is>
      </c>
      <c r="B181" s="1" t="n">
        <v>45596.34599537037</v>
      </c>
      <c r="C181" s="1" t="n">
        <v>46145</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50436-2024</t>
        </is>
      </c>
      <c r="B182" s="1" t="n">
        <v>45601.4096875</v>
      </c>
      <c r="C182" s="1" t="n">
        <v>46145</v>
      </c>
      <c r="D182" t="inlineStr">
        <is>
          <t>NORRBOTTENS LÄN</t>
        </is>
      </c>
      <c r="E182" t="inlineStr">
        <is>
          <t>JOKKMOKK</t>
        </is>
      </c>
      <c r="F182" t="inlineStr">
        <is>
          <t>Allmännings- och besparingsskogar</t>
        </is>
      </c>
      <c r="G182" t="n">
        <v>6.5</v>
      </c>
      <c r="H182" t="n">
        <v>0</v>
      </c>
      <c r="I182" t="n">
        <v>0</v>
      </c>
      <c r="J182" t="n">
        <v>0</v>
      </c>
      <c r="K182" t="n">
        <v>0</v>
      </c>
      <c r="L182" t="n">
        <v>0</v>
      </c>
      <c r="M182" t="n">
        <v>0</v>
      </c>
      <c r="N182" t="n">
        <v>0</v>
      </c>
      <c r="O182" t="n">
        <v>0</v>
      </c>
      <c r="P182" t="n">
        <v>0</v>
      </c>
      <c r="Q182" t="n">
        <v>0</v>
      </c>
      <c r="R182" s="2" t="inlineStr"/>
    </row>
    <row r="183" ht="15" customHeight="1">
      <c r="A183" t="inlineStr">
        <is>
          <t>A 37120-2025</t>
        </is>
      </c>
      <c r="B183" s="1" t="n">
        <v>45875.51827546296</v>
      </c>
      <c r="C183" s="1" t="n">
        <v>46145</v>
      </c>
      <c r="D183" t="inlineStr">
        <is>
          <t>NORRBOTTENS LÄN</t>
        </is>
      </c>
      <c r="E183" t="inlineStr">
        <is>
          <t>JOKKMOKK</t>
        </is>
      </c>
      <c r="G183" t="n">
        <v>17.6</v>
      </c>
      <c r="H183" t="n">
        <v>0</v>
      </c>
      <c r="I183" t="n">
        <v>0</v>
      </c>
      <c r="J183" t="n">
        <v>0</v>
      </c>
      <c r="K183" t="n">
        <v>0</v>
      </c>
      <c r="L183" t="n">
        <v>0</v>
      </c>
      <c r="M183" t="n">
        <v>0</v>
      </c>
      <c r="N183" t="n">
        <v>0</v>
      </c>
      <c r="O183" t="n">
        <v>0</v>
      </c>
      <c r="P183" t="n">
        <v>0</v>
      </c>
      <c r="Q183" t="n">
        <v>0</v>
      </c>
      <c r="R183" s="2" t="inlineStr"/>
    </row>
    <row r="184" ht="15" customHeight="1">
      <c r="A184" t="inlineStr">
        <is>
          <t>A 38579-2025</t>
        </is>
      </c>
      <c r="B184" s="1" t="n">
        <v>45884.46925925926</v>
      </c>
      <c r="C184" s="1" t="n">
        <v>46145</v>
      </c>
      <c r="D184" t="inlineStr">
        <is>
          <t>NORRBOTTENS LÄN</t>
        </is>
      </c>
      <c r="E184" t="inlineStr">
        <is>
          <t>JOKKMOKK</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37694-2025</t>
        </is>
      </c>
      <c r="B185" s="1" t="n">
        <v>45880.57349537037</v>
      </c>
      <c r="C185" s="1" t="n">
        <v>46145</v>
      </c>
      <c r="D185" t="inlineStr">
        <is>
          <t>NORRBOTTENS LÄN</t>
        </is>
      </c>
      <c r="E185" t="inlineStr">
        <is>
          <t>JOKKMOKK</t>
        </is>
      </c>
      <c r="F185" t="inlineStr">
        <is>
          <t>SCA</t>
        </is>
      </c>
      <c r="G185" t="n">
        <v>2.7</v>
      </c>
      <c r="H185" t="n">
        <v>0</v>
      </c>
      <c r="I185" t="n">
        <v>0</v>
      </c>
      <c r="J185" t="n">
        <v>0</v>
      </c>
      <c r="K185" t="n">
        <v>0</v>
      </c>
      <c r="L185" t="n">
        <v>0</v>
      </c>
      <c r="M185" t="n">
        <v>0</v>
      </c>
      <c r="N185" t="n">
        <v>0</v>
      </c>
      <c r="O185" t="n">
        <v>0</v>
      </c>
      <c r="P185" t="n">
        <v>0</v>
      </c>
      <c r="Q185" t="n">
        <v>0</v>
      </c>
      <c r="R185" s="2" t="inlineStr"/>
    </row>
    <row r="186" ht="15" customHeight="1">
      <c r="A186" t="inlineStr">
        <is>
          <t>A 28090-2023</t>
        </is>
      </c>
      <c r="B186" s="1" t="n">
        <v>45099</v>
      </c>
      <c r="C186" s="1" t="n">
        <v>46145</v>
      </c>
      <c r="D186" t="inlineStr">
        <is>
          <t>NORRBOTTENS LÄN</t>
        </is>
      </c>
      <c r="E186" t="inlineStr">
        <is>
          <t>JOKKMOKK</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37917-2025</t>
        </is>
      </c>
      <c r="B187" s="1" t="n">
        <v>45881.57443287037</v>
      </c>
      <c r="C187" s="1" t="n">
        <v>46145</v>
      </c>
      <c r="D187" t="inlineStr">
        <is>
          <t>NORRBOTTENS LÄN</t>
        </is>
      </c>
      <c r="E187" t="inlineStr">
        <is>
          <t>JOKKMOKK</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38223-2025</t>
        </is>
      </c>
      <c r="B188" s="1" t="n">
        <v>45883</v>
      </c>
      <c r="C188" s="1" t="n">
        <v>46145</v>
      </c>
      <c r="D188" t="inlineStr">
        <is>
          <t>NORRBOTTENS LÄN</t>
        </is>
      </c>
      <c r="E188" t="inlineStr">
        <is>
          <t>JOKKMOKK</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38228-2025</t>
        </is>
      </c>
      <c r="B189" s="1" t="n">
        <v>45883.34554398148</v>
      </c>
      <c r="C189" s="1" t="n">
        <v>46145</v>
      </c>
      <c r="D189" t="inlineStr">
        <is>
          <t>NORRBOTTENS LÄN</t>
        </is>
      </c>
      <c r="E189" t="inlineStr">
        <is>
          <t>JOKKMOKK</t>
        </is>
      </c>
      <c r="F189" t="inlineStr">
        <is>
          <t>SCA</t>
        </is>
      </c>
      <c r="G189" t="n">
        <v>14.5</v>
      </c>
      <c r="H189" t="n">
        <v>0</v>
      </c>
      <c r="I189" t="n">
        <v>0</v>
      </c>
      <c r="J189" t="n">
        <v>0</v>
      </c>
      <c r="K189" t="n">
        <v>0</v>
      </c>
      <c r="L189" t="n">
        <v>0</v>
      </c>
      <c r="M189" t="n">
        <v>0</v>
      </c>
      <c r="N189" t="n">
        <v>0</v>
      </c>
      <c r="O189" t="n">
        <v>0</v>
      </c>
      <c r="P189" t="n">
        <v>0</v>
      </c>
      <c r="Q189" t="n">
        <v>0</v>
      </c>
      <c r="R189" s="2" t="inlineStr"/>
    </row>
    <row r="190" ht="15" customHeight="1">
      <c r="A190" t="inlineStr">
        <is>
          <t>A 42481-2024</t>
        </is>
      </c>
      <c r="B190" s="1" t="n">
        <v>45565.49210648148</v>
      </c>
      <c r="C190" s="1" t="n">
        <v>46145</v>
      </c>
      <c r="D190" t="inlineStr">
        <is>
          <t>NORRBOTTENS LÄN</t>
        </is>
      </c>
      <c r="E190" t="inlineStr">
        <is>
          <t>JOKKMOKK</t>
        </is>
      </c>
      <c r="F190" t="inlineStr">
        <is>
          <t>SCA</t>
        </is>
      </c>
      <c r="G190" t="n">
        <v>25.2</v>
      </c>
      <c r="H190" t="n">
        <v>0</v>
      </c>
      <c r="I190" t="n">
        <v>0</v>
      </c>
      <c r="J190" t="n">
        <v>0</v>
      </c>
      <c r="K190" t="n">
        <v>0</v>
      </c>
      <c r="L190" t="n">
        <v>0</v>
      </c>
      <c r="M190" t="n">
        <v>0</v>
      </c>
      <c r="N190" t="n">
        <v>0</v>
      </c>
      <c r="O190" t="n">
        <v>0</v>
      </c>
      <c r="P190" t="n">
        <v>0</v>
      </c>
      <c r="Q190" t="n">
        <v>0</v>
      </c>
      <c r="R190" s="2" t="inlineStr"/>
    </row>
    <row r="191" ht="15" customHeight="1">
      <c r="A191" t="inlineStr">
        <is>
          <t>A 53232-2024</t>
        </is>
      </c>
      <c r="B191" s="1" t="n">
        <v>45613.67967592592</v>
      </c>
      <c r="C191" s="1" t="n">
        <v>46145</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50628-2024</t>
        </is>
      </c>
      <c r="B192" s="1" t="n">
        <v>45601.66423611111</v>
      </c>
      <c r="C192" s="1" t="n">
        <v>46145</v>
      </c>
      <c r="D192" t="inlineStr">
        <is>
          <t>NORRBOTTENS LÄN</t>
        </is>
      </c>
      <c r="E192" t="inlineStr">
        <is>
          <t>JOKKMOKK</t>
        </is>
      </c>
      <c r="F192" t="inlineStr">
        <is>
          <t>Allmännings- och besparingsskogar</t>
        </is>
      </c>
      <c r="G192" t="n">
        <v>2.4</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45664.4005787037</v>
      </c>
      <c r="C193" s="1" t="n">
        <v>46145</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46145</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38595-2025</t>
        </is>
      </c>
      <c r="B195" s="1" t="n">
        <v>45884.49027777778</v>
      </c>
      <c r="C195" s="1" t="n">
        <v>46145</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30511-2023</t>
        </is>
      </c>
      <c r="B196" s="1" t="n">
        <v>45111</v>
      </c>
      <c r="C196" s="1" t="n">
        <v>46145</v>
      </c>
      <c r="D196" t="inlineStr">
        <is>
          <t>NORRBOTTENS LÄN</t>
        </is>
      </c>
      <c r="E196" t="inlineStr">
        <is>
          <t>JOKKMOKK</t>
        </is>
      </c>
      <c r="G196" t="n">
        <v>0.9</v>
      </c>
      <c r="H196" t="n">
        <v>0</v>
      </c>
      <c r="I196" t="n">
        <v>0</v>
      </c>
      <c r="J196" t="n">
        <v>0</v>
      </c>
      <c r="K196" t="n">
        <v>0</v>
      </c>
      <c r="L196" t="n">
        <v>0</v>
      </c>
      <c r="M196" t="n">
        <v>0</v>
      </c>
      <c r="N196" t="n">
        <v>0</v>
      </c>
      <c r="O196" t="n">
        <v>0</v>
      </c>
      <c r="P196" t="n">
        <v>0</v>
      </c>
      <c r="Q196" t="n">
        <v>0</v>
      </c>
      <c r="R196" s="2" t="inlineStr"/>
    </row>
    <row r="197" ht="15" customHeight="1">
      <c r="A197" t="inlineStr">
        <is>
          <t>A 38226-2025</t>
        </is>
      </c>
      <c r="B197" s="1" t="n">
        <v>45883.34521990741</v>
      </c>
      <c r="C197" s="1" t="n">
        <v>46145</v>
      </c>
      <c r="D197" t="inlineStr">
        <is>
          <t>NORRBOTTENS LÄN</t>
        </is>
      </c>
      <c r="E197" t="inlineStr">
        <is>
          <t>JOKKMOKK</t>
        </is>
      </c>
      <c r="F197" t="inlineStr">
        <is>
          <t>SCA</t>
        </is>
      </c>
      <c r="G197" t="n">
        <v>14.5</v>
      </c>
      <c r="H197" t="n">
        <v>0</v>
      </c>
      <c r="I197" t="n">
        <v>0</v>
      </c>
      <c r="J197" t="n">
        <v>0</v>
      </c>
      <c r="K197" t="n">
        <v>0</v>
      </c>
      <c r="L197" t="n">
        <v>0</v>
      </c>
      <c r="M197" t="n">
        <v>0</v>
      </c>
      <c r="N197" t="n">
        <v>0</v>
      </c>
      <c r="O197" t="n">
        <v>0</v>
      </c>
      <c r="P197" t="n">
        <v>0</v>
      </c>
      <c r="Q197" t="n">
        <v>0</v>
      </c>
      <c r="R197" s="2" t="inlineStr"/>
    </row>
    <row r="198" ht="15" customHeight="1">
      <c r="A198" t="inlineStr">
        <is>
          <t>A 52733-2024</t>
        </is>
      </c>
      <c r="B198" s="1" t="n">
        <v>45610</v>
      </c>
      <c r="C198" s="1" t="n">
        <v>46145</v>
      </c>
      <c r="D198" t="inlineStr">
        <is>
          <t>NORRBOTTENS LÄN</t>
        </is>
      </c>
      <c r="E198" t="inlineStr">
        <is>
          <t>JOKKMOKK</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52855-2024</t>
        </is>
      </c>
      <c r="B199" s="1" t="n">
        <v>45610</v>
      </c>
      <c r="C199" s="1" t="n">
        <v>46145</v>
      </c>
      <c r="D199" t="inlineStr">
        <is>
          <t>NORRBOTTENS LÄN</t>
        </is>
      </c>
      <c r="E199" t="inlineStr">
        <is>
          <t>JOKKMOKK</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50496-2024</t>
        </is>
      </c>
      <c r="B200" s="1" t="n">
        <v>45601.51266203704</v>
      </c>
      <c r="C200" s="1" t="n">
        <v>46145</v>
      </c>
      <c r="D200" t="inlineStr">
        <is>
          <t>NORRBOTTENS LÄN</t>
        </is>
      </c>
      <c r="E200" t="inlineStr">
        <is>
          <t>JOKKMOKK</t>
        </is>
      </c>
      <c r="F200" t="inlineStr">
        <is>
          <t>Allmännings- och besparingsskogar</t>
        </is>
      </c>
      <c r="G200" t="n">
        <v>2.1</v>
      </c>
      <c r="H200" t="n">
        <v>0</v>
      </c>
      <c r="I200" t="n">
        <v>0</v>
      </c>
      <c r="J200" t="n">
        <v>0</v>
      </c>
      <c r="K200" t="n">
        <v>0</v>
      </c>
      <c r="L200" t="n">
        <v>0</v>
      </c>
      <c r="M200" t="n">
        <v>0</v>
      </c>
      <c r="N200" t="n">
        <v>0</v>
      </c>
      <c r="O200" t="n">
        <v>0</v>
      </c>
      <c r="P200" t="n">
        <v>0</v>
      </c>
      <c r="Q200" t="n">
        <v>0</v>
      </c>
      <c r="R200" s="2" t="inlineStr"/>
    </row>
    <row r="201" ht="15" customHeight="1">
      <c r="A201" t="inlineStr">
        <is>
          <t>A 61500-2024</t>
        </is>
      </c>
      <c r="B201" s="1" t="n">
        <v>45645</v>
      </c>
      <c r="C201" s="1" t="n">
        <v>46145</v>
      </c>
      <c r="D201" t="inlineStr">
        <is>
          <t>NORRBOTTENS LÄN</t>
        </is>
      </c>
      <c r="E201" t="inlineStr">
        <is>
          <t>JOKKMOKK</t>
        </is>
      </c>
      <c r="G201" t="n">
        <v>39.8</v>
      </c>
      <c r="H201" t="n">
        <v>0</v>
      </c>
      <c r="I201" t="n">
        <v>0</v>
      </c>
      <c r="J201" t="n">
        <v>0</v>
      </c>
      <c r="K201" t="n">
        <v>0</v>
      </c>
      <c r="L201" t="n">
        <v>0</v>
      </c>
      <c r="M201" t="n">
        <v>0</v>
      </c>
      <c r="N201" t="n">
        <v>0</v>
      </c>
      <c r="O201" t="n">
        <v>0</v>
      </c>
      <c r="P201" t="n">
        <v>0</v>
      </c>
      <c r="Q201" t="n">
        <v>0</v>
      </c>
      <c r="R201" s="2" t="inlineStr"/>
    </row>
    <row r="202" ht="15" customHeight="1">
      <c r="A202" t="inlineStr">
        <is>
          <t>A 35876-2022</t>
        </is>
      </c>
      <c r="B202" s="1" t="n">
        <v>44802</v>
      </c>
      <c r="C202" s="1" t="n">
        <v>46145</v>
      </c>
      <c r="D202" t="inlineStr">
        <is>
          <t>NORRBOTTENS LÄN</t>
        </is>
      </c>
      <c r="E202" t="inlineStr">
        <is>
          <t>JOKKMOKK</t>
        </is>
      </c>
      <c r="G202" t="n">
        <v>9.5</v>
      </c>
      <c r="H202" t="n">
        <v>0</v>
      </c>
      <c r="I202" t="n">
        <v>0</v>
      </c>
      <c r="J202" t="n">
        <v>0</v>
      </c>
      <c r="K202" t="n">
        <v>0</v>
      </c>
      <c r="L202" t="n">
        <v>0</v>
      </c>
      <c r="M202" t="n">
        <v>0</v>
      </c>
      <c r="N202" t="n">
        <v>0</v>
      </c>
      <c r="O202" t="n">
        <v>0</v>
      </c>
      <c r="P202" t="n">
        <v>0</v>
      </c>
      <c r="Q202" t="n">
        <v>0</v>
      </c>
      <c r="R202" s="2" t="inlineStr"/>
    </row>
    <row r="203" ht="15" customHeight="1">
      <c r="A203" t="inlineStr">
        <is>
          <t>A 39846-2025</t>
        </is>
      </c>
      <c r="B203" s="1" t="n">
        <v>45891.58376157407</v>
      </c>
      <c r="C203" s="1" t="n">
        <v>46145</v>
      </c>
      <c r="D203" t="inlineStr">
        <is>
          <t>NORRBOTTENS LÄN</t>
        </is>
      </c>
      <c r="E203" t="inlineStr">
        <is>
          <t>JOKKMOKK</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40756-2025</t>
        </is>
      </c>
      <c r="B204" s="1" t="n">
        <v>45897.38686342593</v>
      </c>
      <c r="C204" s="1" t="n">
        <v>46145</v>
      </c>
      <c r="D204" t="inlineStr">
        <is>
          <t>NORRBOTTENS LÄN</t>
        </is>
      </c>
      <c r="E204" t="inlineStr">
        <is>
          <t>JOKKMOKK</t>
        </is>
      </c>
      <c r="G204" t="n">
        <v>24.7</v>
      </c>
      <c r="H204" t="n">
        <v>0</v>
      </c>
      <c r="I204" t="n">
        <v>0</v>
      </c>
      <c r="J204" t="n">
        <v>0</v>
      </c>
      <c r="K204" t="n">
        <v>0</v>
      </c>
      <c r="L204" t="n">
        <v>0</v>
      </c>
      <c r="M204" t="n">
        <v>0</v>
      </c>
      <c r="N204" t="n">
        <v>0</v>
      </c>
      <c r="O204" t="n">
        <v>0</v>
      </c>
      <c r="P204" t="n">
        <v>0</v>
      </c>
      <c r="Q204" t="n">
        <v>0</v>
      </c>
      <c r="R204" s="2" t="inlineStr"/>
    </row>
    <row r="205" ht="15" customHeight="1">
      <c r="A205" t="inlineStr">
        <is>
          <t>A 40779-2025</t>
        </is>
      </c>
      <c r="B205" s="1" t="n">
        <v>45897</v>
      </c>
      <c r="C205" s="1" t="n">
        <v>46145</v>
      </c>
      <c r="D205" t="inlineStr">
        <is>
          <t>NORRBOTTENS LÄN</t>
        </is>
      </c>
      <c r="E205" t="inlineStr">
        <is>
          <t>JOKKMOKK</t>
        </is>
      </c>
      <c r="F205" t="inlineStr">
        <is>
          <t>Sveaskog</t>
        </is>
      </c>
      <c r="G205" t="n">
        <v>53.8</v>
      </c>
      <c r="H205" t="n">
        <v>0</v>
      </c>
      <c r="I205" t="n">
        <v>0</v>
      </c>
      <c r="J205" t="n">
        <v>0</v>
      </c>
      <c r="K205" t="n">
        <v>0</v>
      </c>
      <c r="L205" t="n">
        <v>0</v>
      </c>
      <c r="M205" t="n">
        <v>0</v>
      </c>
      <c r="N205" t="n">
        <v>0</v>
      </c>
      <c r="O205" t="n">
        <v>0</v>
      </c>
      <c r="P205" t="n">
        <v>0</v>
      </c>
      <c r="Q205" t="n">
        <v>0</v>
      </c>
      <c r="R205" s="2" t="inlineStr"/>
    </row>
    <row r="206" ht="15" customHeight="1">
      <c r="A206" t="inlineStr">
        <is>
          <t>A 40808-2025</t>
        </is>
      </c>
      <c r="B206" s="1" t="n">
        <v>45897.46922453704</v>
      </c>
      <c r="C206" s="1" t="n">
        <v>46145</v>
      </c>
      <c r="D206" t="inlineStr">
        <is>
          <t>NORRBOTTENS LÄN</t>
        </is>
      </c>
      <c r="E206" t="inlineStr">
        <is>
          <t>JOKKMOKK</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41403-2025</t>
        </is>
      </c>
      <c r="B207" s="1" t="n">
        <v>45901.344375</v>
      </c>
      <c r="C207" s="1" t="n">
        <v>46145</v>
      </c>
      <c r="D207" t="inlineStr">
        <is>
          <t>NORRBOTTENS LÄN</t>
        </is>
      </c>
      <c r="E207" t="inlineStr">
        <is>
          <t>JOKKMOKK</t>
        </is>
      </c>
      <c r="F207" t="inlineStr">
        <is>
          <t>SCA</t>
        </is>
      </c>
      <c r="G207" t="n">
        <v>2.9</v>
      </c>
      <c r="H207" t="n">
        <v>0</v>
      </c>
      <c r="I207" t="n">
        <v>0</v>
      </c>
      <c r="J207" t="n">
        <v>0</v>
      </c>
      <c r="K207" t="n">
        <v>0</v>
      </c>
      <c r="L207" t="n">
        <v>0</v>
      </c>
      <c r="M207" t="n">
        <v>0</v>
      </c>
      <c r="N207" t="n">
        <v>0</v>
      </c>
      <c r="O207" t="n">
        <v>0</v>
      </c>
      <c r="P207" t="n">
        <v>0</v>
      </c>
      <c r="Q207" t="n">
        <v>0</v>
      </c>
      <c r="R207" s="2" t="inlineStr"/>
    </row>
    <row r="208" ht="15" customHeight="1">
      <c r="A208" t="inlineStr">
        <is>
          <t>A 61760-2024</t>
        </is>
      </c>
      <c r="B208" s="1" t="n">
        <v>45649</v>
      </c>
      <c r="C208" s="1" t="n">
        <v>46145</v>
      </c>
      <c r="D208" t="inlineStr">
        <is>
          <t>NORRBOTTENS LÄN</t>
        </is>
      </c>
      <c r="E208" t="inlineStr">
        <is>
          <t>JOKKMOKK</t>
        </is>
      </c>
      <c r="F208" t="inlineStr">
        <is>
          <t>Övriga statliga verk och myndigheter</t>
        </is>
      </c>
      <c r="G208" t="n">
        <v>19.3</v>
      </c>
      <c r="H208" t="n">
        <v>0</v>
      </c>
      <c r="I208" t="n">
        <v>0</v>
      </c>
      <c r="J208" t="n">
        <v>0</v>
      </c>
      <c r="K208" t="n">
        <v>0</v>
      </c>
      <c r="L208" t="n">
        <v>0</v>
      </c>
      <c r="M208" t="n">
        <v>0</v>
      </c>
      <c r="N208" t="n">
        <v>0</v>
      </c>
      <c r="O208" t="n">
        <v>0</v>
      </c>
      <c r="P208" t="n">
        <v>0</v>
      </c>
      <c r="Q208" t="n">
        <v>0</v>
      </c>
      <c r="R208" s="2" t="inlineStr"/>
    </row>
    <row r="209" ht="15" customHeight="1">
      <c r="A209" t="inlineStr">
        <is>
          <t>A 42322-2025</t>
        </is>
      </c>
      <c r="B209" s="1" t="n">
        <v>45904</v>
      </c>
      <c r="C209" s="1" t="n">
        <v>46145</v>
      </c>
      <c r="D209" t="inlineStr">
        <is>
          <t>NORRBOTTENS LÄN</t>
        </is>
      </c>
      <c r="E209" t="inlineStr">
        <is>
          <t>JOKKMOKK</t>
        </is>
      </c>
      <c r="G209" t="n">
        <v>3.8</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45124.95214120371</v>
      </c>
      <c r="C210" s="1" t="n">
        <v>46145</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42126-2025</t>
        </is>
      </c>
      <c r="B211" s="1" t="n">
        <v>45904.34486111111</v>
      </c>
      <c r="C211" s="1" t="n">
        <v>46145</v>
      </c>
      <c r="D211" t="inlineStr">
        <is>
          <t>NORRBOTTENS LÄN</t>
        </is>
      </c>
      <c r="E211" t="inlineStr">
        <is>
          <t>JOKKMOKK</t>
        </is>
      </c>
      <c r="F211" t="inlineStr">
        <is>
          <t>SCA</t>
        </is>
      </c>
      <c r="G211" t="n">
        <v>4.9</v>
      </c>
      <c r="H211" t="n">
        <v>0</v>
      </c>
      <c r="I211" t="n">
        <v>0</v>
      </c>
      <c r="J211" t="n">
        <v>0</v>
      </c>
      <c r="K211" t="n">
        <v>0</v>
      </c>
      <c r="L211" t="n">
        <v>0</v>
      </c>
      <c r="M211" t="n">
        <v>0</v>
      </c>
      <c r="N211" t="n">
        <v>0</v>
      </c>
      <c r="O211" t="n">
        <v>0</v>
      </c>
      <c r="P211" t="n">
        <v>0</v>
      </c>
      <c r="Q211" t="n">
        <v>0</v>
      </c>
      <c r="R211" s="2" t="inlineStr"/>
    </row>
    <row r="212" ht="15" customHeight="1">
      <c r="A212" t="inlineStr">
        <is>
          <t>A 30041-2024</t>
        </is>
      </c>
      <c r="B212" s="1" t="n">
        <v>45488</v>
      </c>
      <c r="C212" s="1" t="n">
        <v>46145</v>
      </c>
      <c r="D212" t="inlineStr">
        <is>
          <t>NORRBOTTENS LÄN</t>
        </is>
      </c>
      <c r="E212" t="inlineStr">
        <is>
          <t>JOKKMOKK</t>
        </is>
      </c>
      <c r="G212" t="n">
        <v>19.9</v>
      </c>
      <c r="H212" t="n">
        <v>0</v>
      </c>
      <c r="I212" t="n">
        <v>0</v>
      </c>
      <c r="J212" t="n">
        <v>0</v>
      </c>
      <c r="K212" t="n">
        <v>0</v>
      </c>
      <c r="L212" t="n">
        <v>0</v>
      </c>
      <c r="M212" t="n">
        <v>0</v>
      </c>
      <c r="N212" t="n">
        <v>0</v>
      </c>
      <c r="O212" t="n">
        <v>0</v>
      </c>
      <c r="P212" t="n">
        <v>0</v>
      </c>
      <c r="Q212" t="n">
        <v>0</v>
      </c>
      <c r="R212" s="2" t="inlineStr"/>
    </row>
    <row r="213" ht="15" customHeight="1">
      <c r="A213" t="inlineStr">
        <is>
          <t>A 42575-2025</t>
        </is>
      </c>
      <c r="B213" s="1" t="n">
        <v>45905.61263888889</v>
      </c>
      <c r="C213" s="1" t="n">
        <v>46145</v>
      </c>
      <c r="D213" t="inlineStr">
        <is>
          <t>NORRBOTTENS LÄN</t>
        </is>
      </c>
      <c r="E213" t="inlineStr">
        <is>
          <t>JOKKMOKK</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42664-2025</t>
        </is>
      </c>
      <c r="B214" s="1" t="n">
        <v>45907</v>
      </c>
      <c r="C214" s="1" t="n">
        <v>46145</v>
      </c>
      <c r="D214" t="inlineStr">
        <is>
          <t>NORRBOTTENS LÄN</t>
        </is>
      </c>
      <c r="E214" t="inlineStr">
        <is>
          <t>JOKKMOKK</t>
        </is>
      </c>
      <c r="G214" t="n">
        <v>1.9</v>
      </c>
      <c r="H214" t="n">
        <v>0</v>
      </c>
      <c r="I214" t="n">
        <v>0</v>
      </c>
      <c r="J214" t="n">
        <v>0</v>
      </c>
      <c r="K214" t="n">
        <v>0</v>
      </c>
      <c r="L214" t="n">
        <v>0</v>
      </c>
      <c r="M214" t="n">
        <v>0</v>
      </c>
      <c r="N214" t="n">
        <v>0</v>
      </c>
      <c r="O214" t="n">
        <v>0</v>
      </c>
      <c r="P214" t="n">
        <v>0</v>
      </c>
      <c r="Q214" t="n">
        <v>0</v>
      </c>
      <c r="R214" s="2" t="inlineStr"/>
    </row>
    <row r="215" ht="15" customHeight="1">
      <c r="A215" t="inlineStr">
        <is>
          <t>A 42959-2025</t>
        </is>
      </c>
      <c r="B215" s="1" t="n">
        <v>45909</v>
      </c>
      <c r="C215" s="1" t="n">
        <v>46145</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16864-2023</t>
        </is>
      </c>
      <c r="B216" s="1" t="n">
        <v>45028</v>
      </c>
      <c r="C216" s="1" t="n">
        <v>46145</v>
      </c>
      <c r="D216" t="inlineStr">
        <is>
          <t>NORRBOTTENS LÄN</t>
        </is>
      </c>
      <c r="E216" t="inlineStr">
        <is>
          <t>JOKKMOKK</t>
        </is>
      </c>
      <c r="G216" t="n">
        <v>4</v>
      </c>
      <c r="H216" t="n">
        <v>0</v>
      </c>
      <c r="I216" t="n">
        <v>0</v>
      </c>
      <c r="J216" t="n">
        <v>0</v>
      </c>
      <c r="K216" t="n">
        <v>0</v>
      </c>
      <c r="L216" t="n">
        <v>0</v>
      </c>
      <c r="M216" t="n">
        <v>0</v>
      </c>
      <c r="N216" t="n">
        <v>0</v>
      </c>
      <c r="O216" t="n">
        <v>0</v>
      </c>
      <c r="P216" t="n">
        <v>0</v>
      </c>
      <c r="Q216" t="n">
        <v>0</v>
      </c>
      <c r="R216" s="2" t="inlineStr"/>
    </row>
    <row r="217" ht="15" customHeight="1">
      <c r="A217" t="inlineStr">
        <is>
          <t>A 42944-2025</t>
        </is>
      </c>
      <c r="B217" s="1" t="n">
        <v>45909.34434027778</v>
      </c>
      <c r="C217" s="1" t="n">
        <v>46145</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43658-2025</t>
        </is>
      </c>
      <c r="B218" s="1" t="n">
        <v>45912.34276620371</v>
      </c>
      <c r="C218" s="1" t="n">
        <v>46145</v>
      </c>
      <c r="D218" t="inlineStr">
        <is>
          <t>NORRBOTTENS LÄN</t>
        </is>
      </c>
      <c r="E218" t="inlineStr">
        <is>
          <t>JOKKMOKK</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46145</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45468-2022</t>
        </is>
      </c>
      <c r="B220" s="1" t="n">
        <v>44841</v>
      </c>
      <c r="C220" s="1" t="n">
        <v>46145</v>
      </c>
      <c r="D220" t="inlineStr">
        <is>
          <t>NORRBOTTENS LÄN</t>
        </is>
      </c>
      <c r="E220" t="inlineStr">
        <is>
          <t>JOKKMOKK</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36607-2021</t>
        </is>
      </c>
      <c r="B221" s="1" t="n">
        <v>44391</v>
      </c>
      <c r="C221" s="1" t="n">
        <v>46145</v>
      </c>
      <c r="D221" t="inlineStr">
        <is>
          <t>NORRBOTTENS LÄN</t>
        </is>
      </c>
      <c r="E221" t="inlineStr">
        <is>
          <t>JOKKMOKK</t>
        </is>
      </c>
      <c r="F221" t="inlineStr">
        <is>
          <t>Allmännings- och besparingsskogar</t>
        </is>
      </c>
      <c r="G221" t="n">
        <v>9.5</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46145</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44691-2025</t>
        </is>
      </c>
      <c r="B223" s="1" t="n">
        <v>45917.59425925926</v>
      </c>
      <c r="C223" s="1" t="n">
        <v>46145</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44606-2025</t>
        </is>
      </c>
      <c r="B224" s="1" t="n">
        <v>45917.4485300926</v>
      </c>
      <c r="C224" s="1" t="n">
        <v>46145</v>
      </c>
      <c r="D224" t="inlineStr">
        <is>
          <t>NORRBOTTENS LÄN</t>
        </is>
      </c>
      <c r="E224" t="inlineStr">
        <is>
          <t>JOKKMOKK</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44958-2025</t>
        </is>
      </c>
      <c r="B225" s="1" t="n">
        <v>45918.61519675926</v>
      </c>
      <c r="C225" s="1" t="n">
        <v>46145</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30291-2023</t>
        </is>
      </c>
      <c r="B226" s="1" t="n">
        <v>45110.92523148148</v>
      </c>
      <c r="C226" s="1" t="n">
        <v>46145</v>
      </c>
      <c r="D226" t="inlineStr">
        <is>
          <t>NORRBOTTENS LÄN</t>
        </is>
      </c>
      <c r="E226" t="inlineStr">
        <is>
          <t>JOKKMOKK</t>
        </is>
      </c>
      <c r="G226" t="n">
        <v>1.6</v>
      </c>
      <c r="H226" t="n">
        <v>0</v>
      </c>
      <c r="I226" t="n">
        <v>0</v>
      </c>
      <c r="J226" t="n">
        <v>0</v>
      </c>
      <c r="K226" t="n">
        <v>0</v>
      </c>
      <c r="L226" t="n">
        <v>0</v>
      </c>
      <c r="M226" t="n">
        <v>0</v>
      </c>
      <c r="N226" t="n">
        <v>0</v>
      </c>
      <c r="O226" t="n">
        <v>0</v>
      </c>
      <c r="P226" t="n">
        <v>0</v>
      </c>
      <c r="Q226" t="n">
        <v>0</v>
      </c>
      <c r="R226" s="2" t="inlineStr"/>
    </row>
    <row r="227" ht="15" customHeight="1">
      <c r="A227" t="inlineStr">
        <is>
          <t>A 45065-2025</t>
        </is>
      </c>
      <c r="B227" s="1" t="n">
        <v>45919.34540509259</v>
      </c>
      <c r="C227" s="1" t="n">
        <v>46145</v>
      </c>
      <c r="D227" t="inlineStr">
        <is>
          <t>NORRBOTTENS LÄN</t>
        </is>
      </c>
      <c r="E227" t="inlineStr">
        <is>
          <t>JOKKMOKK</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46145</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33740-2025</t>
        </is>
      </c>
      <c r="B229" s="1" t="n">
        <v>45842.34456018519</v>
      </c>
      <c r="C229" s="1" t="n">
        <v>46145</v>
      </c>
      <c r="D229" t="inlineStr">
        <is>
          <t>NORRBOTTENS LÄN</t>
        </is>
      </c>
      <c r="E229" t="inlineStr">
        <is>
          <t>JOKKMOKK</t>
        </is>
      </c>
      <c r="F229" t="inlineStr">
        <is>
          <t>SCA</t>
        </is>
      </c>
      <c r="G229" t="n">
        <v>23.3</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46145</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46145</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46460-2025</t>
        </is>
      </c>
      <c r="B232" s="1" t="n">
        <v>45925.66606481482</v>
      </c>
      <c r="C232" s="1" t="n">
        <v>46145</v>
      </c>
      <c r="D232" t="inlineStr">
        <is>
          <t>NORRBOTTENS LÄN</t>
        </is>
      </c>
      <c r="E232" t="inlineStr">
        <is>
          <t>JOKKMOKK</t>
        </is>
      </c>
      <c r="G232" t="n">
        <v>1.2</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45928.34450231482</v>
      </c>
      <c r="C233" s="1" t="n">
        <v>46145</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27651-2024</t>
        </is>
      </c>
      <c r="B234" s="1" t="n">
        <v>45474</v>
      </c>
      <c r="C234" s="1" t="n">
        <v>46145</v>
      </c>
      <c r="D234" t="inlineStr">
        <is>
          <t>NORRBOTTENS LÄN</t>
        </is>
      </c>
      <c r="E234" t="inlineStr">
        <is>
          <t>JOKKMOKK</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47472-2025</t>
        </is>
      </c>
      <c r="B235" s="1" t="n">
        <v>45930.67752314815</v>
      </c>
      <c r="C235" s="1" t="n">
        <v>46145</v>
      </c>
      <c r="D235" t="inlineStr">
        <is>
          <t>NORRBOTTENS LÄN</t>
        </is>
      </c>
      <c r="E235" t="inlineStr">
        <is>
          <t>JOKKMOKK</t>
        </is>
      </c>
      <c r="F235" t="inlineStr">
        <is>
          <t>SCA</t>
        </is>
      </c>
      <c r="G235" t="n">
        <v>4.1</v>
      </c>
      <c r="H235" t="n">
        <v>0</v>
      </c>
      <c r="I235" t="n">
        <v>0</v>
      </c>
      <c r="J235" t="n">
        <v>0</v>
      </c>
      <c r="K235" t="n">
        <v>0</v>
      </c>
      <c r="L235" t="n">
        <v>0</v>
      </c>
      <c r="M235" t="n">
        <v>0</v>
      </c>
      <c r="N235" t="n">
        <v>0</v>
      </c>
      <c r="O235" t="n">
        <v>0</v>
      </c>
      <c r="P235" t="n">
        <v>0</v>
      </c>
      <c r="Q235" t="n">
        <v>0</v>
      </c>
      <c r="R235" s="2" t="inlineStr"/>
    </row>
    <row r="236" ht="15" customHeight="1">
      <c r="A236" t="inlineStr">
        <is>
          <t>A 38928-2025</t>
        </is>
      </c>
      <c r="B236" s="1" t="n">
        <v>45887</v>
      </c>
      <c r="C236" s="1" t="n">
        <v>46145</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32915-2024</t>
        </is>
      </c>
      <c r="B237" s="1" t="n">
        <v>45516</v>
      </c>
      <c r="C237" s="1" t="n">
        <v>46145</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46145</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46145</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47529-2025</t>
        </is>
      </c>
      <c r="B240" s="1" t="n">
        <v>45931</v>
      </c>
      <c r="C240" s="1" t="n">
        <v>46145</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48166-2025</t>
        </is>
      </c>
      <c r="B241" s="1" t="n">
        <v>45933</v>
      </c>
      <c r="C241" s="1" t="n">
        <v>46145</v>
      </c>
      <c r="D241" t="inlineStr">
        <is>
          <t>NORRBOTTENS LÄN</t>
        </is>
      </c>
      <c r="E241" t="inlineStr">
        <is>
          <t>JOKKMOKK</t>
        </is>
      </c>
      <c r="G241" t="n">
        <v>41.8</v>
      </c>
      <c r="H241" t="n">
        <v>0</v>
      </c>
      <c r="I241" t="n">
        <v>0</v>
      </c>
      <c r="J241" t="n">
        <v>0</v>
      </c>
      <c r="K241" t="n">
        <v>0</v>
      </c>
      <c r="L241" t="n">
        <v>0</v>
      </c>
      <c r="M241" t="n">
        <v>0</v>
      </c>
      <c r="N241" t="n">
        <v>0</v>
      </c>
      <c r="O241" t="n">
        <v>0</v>
      </c>
      <c r="P241" t="n">
        <v>0</v>
      </c>
      <c r="Q241" t="n">
        <v>0</v>
      </c>
      <c r="R241" s="2" t="inlineStr"/>
    </row>
    <row r="242" ht="15" customHeight="1">
      <c r="A242" t="inlineStr">
        <is>
          <t>A 48167-2025</t>
        </is>
      </c>
      <c r="B242" s="1" t="n">
        <v>45933</v>
      </c>
      <c r="C242" s="1" t="n">
        <v>46145</v>
      </c>
      <c r="D242" t="inlineStr">
        <is>
          <t>NORRBOTTENS LÄN</t>
        </is>
      </c>
      <c r="E242" t="inlineStr">
        <is>
          <t>JOKKMOKK</t>
        </is>
      </c>
      <c r="G242" t="n">
        <v>3.4</v>
      </c>
      <c r="H242" t="n">
        <v>0</v>
      </c>
      <c r="I242" t="n">
        <v>0</v>
      </c>
      <c r="J242" t="n">
        <v>0</v>
      </c>
      <c r="K242" t="n">
        <v>0</v>
      </c>
      <c r="L242" t="n">
        <v>0</v>
      </c>
      <c r="M242" t="n">
        <v>0</v>
      </c>
      <c r="N242" t="n">
        <v>0</v>
      </c>
      <c r="O242" t="n">
        <v>0</v>
      </c>
      <c r="P242" t="n">
        <v>0</v>
      </c>
      <c r="Q242" t="n">
        <v>0</v>
      </c>
      <c r="R242" s="2" t="inlineStr"/>
    </row>
    <row r="243" ht="15" customHeight="1">
      <c r="A243" t="inlineStr">
        <is>
          <t>A 48141-2025</t>
        </is>
      </c>
      <c r="B243" s="1" t="n">
        <v>45933</v>
      </c>
      <c r="C243" s="1" t="n">
        <v>46145</v>
      </c>
      <c r="D243" t="inlineStr">
        <is>
          <t>NORRBOTTENS LÄN</t>
        </is>
      </c>
      <c r="E243" t="inlineStr">
        <is>
          <t>JOKKMOKK</t>
        </is>
      </c>
      <c r="G243" t="n">
        <v>17.7</v>
      </c>
      <c r="H243" t="n">
        <v>0</v>
      </c>
      <c r="I243" t="n">
        <v>0</v>
      </c>
      <c r="J243" t="n">
        <v>0</v>
      </c>
      <c r="K243" t="n">
        <v>0</v>
      </c>
      <c r="L243" t="n">
        <v>0</v>
      </c>
      <c r="M243" t="n">
        <v>0</v>
      </c>
      <c r="N243" t="n">
        <v>0</v>
      </c>
      <c r="O243" t="n">
        <v>0</v>
      </c>
      <c r="P243" t="n">
        <v>0</v>
      </c>
      <c r="Q243" t="n">
        <v>0</v>
      </c>
      <c r="R243" s="2" t="inlineStr"/>
    </row>
    <row r="244" ht="15" customHeight="1">
      <c r="A244" t="inlineStr">
        <is>
          <t>A 16336-2023</t>
        </is>
      </c>
      <c r="B244" s="1" t="n">
        <v>45022</v>
      </c>
      <c r="C244" s="1" t="n">
        <v>46145</v>
      </c>
      <c r="D244" t="inlineStr">
        <is>
          <t>NORRBOTTENS LÄN</t>
        </is>
      </c>
      <c r="E244" t="inlineStr">
        <is>
          <t>JOKKMOKK</t>
        </is>
      </c>
      <c r="F244" t="inlineStr">
        <is>
          <t>Övriga statliga verk och myndigheter</t>
        </is>
      </c>
      <c r="G244" t="n">
        <v>130.2</v>
      </c>
      <c r="H244" t="n">
        <v>0</v>
      </c>
      <c r="I244" t="n">
        <v>0</v>
      </c>
      <c r="J244" t="n">
        <v>0</v>
      </c>
      <c r="K244" t="n">
        <v>0</v>
      </c>
      <c r="L244" t="n">
        <v>0</v>
      </c>
      <c r="M244" t="n">
        <v>0</v>
      </c>
      <c r="N244" t="n">
        <v>0</v>
      </c>
      <c r="O244" t="n">
        <v>0</v>
      </c>
      <c r="P244" t="n">
        <v>0</v>
      </c>
      <c r="Q244" t="n">
        <v>0</v>
      </c>
      <c r="R244" s="2" t="inlineStr"/>
    </row>
    <row r="245" ht="15" customHeight="1">
      <c r="A245" t="inlineStr">
        <is>
          <t>A 48946-2025</t>
        </is>
      </c>
      <c r="B245" s="1" t="n">
        <v>45937.53831018518</v>
      </c>
      <c r="C245" s="1" t="n">
        <v>46145</v>
      </c>
      <c r="D245" t="inlineStr">
        <is>
          <t>NORRBOTTENS LÄN</t>
        </is>
      </c>
      <c r="E245" t="inlineStr">
        <is>
          <t>JOKKMOKK</t>
        </is>
      </c>
      <c r="G245" t="n">
        <v>57.3</v>
      </c>
      <c r="H245" t="n">
        <v>0</v>
      </c>
      <c r="I245" t="n">
        <v>0</v>
      </c>
      <c r="J245" t="n">
        <v>0</v>
      </c>
      <c r="K245" t="n">
        <v>0</v>
      </c>
      <c r="L245" t="n">
        <v>0</v>
      </c>
      <c r="M245" t="n">
        <v>0</v>
      </c>
      <c r="N245" t="n">
        <v>0</v>
      </c>
      <c r="O245" t="n">
        <v>0</v>
      </c>
      <c r="P245" t="n">
        <v>0</v>
      </c>
      <c r="Q245" t="n">
        <v>0</v>
      </c>
      <c r="R245" s="2" t="inlineStr"/>
    </row>
    <row r="246" ht="15" customHeight="1">
      <c r="A246" t="inlineStr">
        <is>
          <t>A 49896-2025</t>
        </is>
      </c>
      <c r="B246" s="1" t="n">
        <v>45940.58270833334</v>
      </c>
      <c r="C246" s="1" t="n">
        <v>46145</v>
      </c>
      <c r="D246" t="inlineStr">
        <is>
          <t>NORRBOTTENS LÄN</t>
        </is>
      </c>
      <c r="E246" t="inlineStr">
        <is>
          <t>JOKKMOKK</t>
        </is>
      </c>
      <c r="F246" t="inlineStr">
        <is>
          <t>Sveaskog</t>
        </is>
      </c>
      <c r="G246" t="n">
        <v>7.6</v>
      </c>
      <c r="H246" t="n">
        <v>0</v>
      </c>
      <c r="I246" t="n">
        <v>0</v>
      </c>
      <c r="J246" t="n">
        <v>0</v>
      </c>
      <c r="K246" t="n">
        <v>0</v>
      </c>
      <c r="L246" t="n">
        <v>0</v>
      </c>
      <c r="M246" t="n">
        <v>0</v>
      </c>
      <c r="N246" t="n">
        <v>0</v>
      </c>
      <c r="O246" t="n">
        <v>0</v>
      </c>
      <c r="P246" t="n">
        <v>0</v>
      </c>
      <c r="Q246" t="n">
        <v>0</v>
      </c>
      <c r="R246" s="2" t="inlineStr"/>
    </row>
    <row r="247" ht="15" customHeight="1">
      <c r="A247" t="inlineStr">
        <is>
          <t>A 49477-2025</t>
        </is>
      </c>
      <c r="B247" s="1" t="n">
        <v>45939.34547453704</v>
      </c>
      <c r="C247" s="1" t="n">
        <v>46145</v>
      </c>
      <c r="D247" t="inlineStr">
        <is>
          <t>NORRBOTTENS LÄN</t>
        </is>
      </c>
      <c r="E247" t="inlineStr">
        <is>
          <t>JOKKMOKK</t>
        </is>
      </c>
      <c r="F247" t="inlineStr">
        <is>
          <t>SCA</t>
        </is>
      </c>
      <c r="G247" t="n">
        <v>3.6</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46145</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49856-2025</t>
        </is>
      </c>
      <c r="B249" s="1" t="n">
        <v>45940.50591435185</v>
      </c>
      <c r="C249" s="1" t="n">
        <v>46145</v>
      </c>
      <c r="D249" t="inlineStr">
        <is>
          <t>NORRBOTTENS LÄN</t>
        </is>
      </c>
      <c r="E249" t="inlineStr">
        <is>
          <t>JOKKMOKK</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50397-2025</t>
        </is>
      </c>
      <c r="B250" s="1" t="n">
        <v>45944.62211805556</v>
      </c>
      <c r="C250" s="1" t="n">
        <v>46145</v>
      </c>
      <c r="D250" t="inlineStr">
        <is>
          <t>NORRBOTTENS LÄN</t>
        </is>
      </c>
      <c r="E250" t="inlineStr">
        <is>
          <t>JOKKMOKK</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61761-2024</t>
        </is>
      </c>
      <c r="B251" s="1" t="n">
        <v>45649</v>
      </c>
      <c r="C251" s="1" t="n">
        <v>46145</v>
      </c>
      <c r="D251" t="inlineStr">
        <is>
          <t>NORRBOTTENS LÄN</t>
        </is>
      </c>
      <c r="E251" t="inlineStr">
        <is>
          <t>JOKKMOKK</t>
        </is>
      </c>
      <c r="F251" t="inlineStr">
        <is>
          <t>Övriga statliga verk och myndigheter</t>
        </is>
      </c>
      <c r="G251" t="n">
        <v>3.7</v>
      </c>
      <c r="H251" t="n">
        <v>0</v>
      </c>
      <c r="I251" t="n">
        <v>0</v>
      </c>
      <c r="J251" t="n">
        <v>0</v>
      </c>
      <c r="K251" t="n">
        <v>0</v>
      </c>
      <c r="L251" t="n">
        <v>0</v>
      </c>
      <c r="M251" t="n">
        <v>0</v>
      </c>
      <c r="N251" t="n">
        <v>0</v>
      </c>
      <c r="O251" t="n">
        <v>0</v>
      </c>
      <c r="P251" t="n">
        <v>0</v>
      </c>
      <c r="Q251" t="n">
        <v>0</v>
      </c>
      <c r="R251" s="2" t="inlineStr"/>
    </row>
    <row r="252" ht="15" customHeight="1">
      <c r="A252" t="inlineStr">
        <is>
          <t>A 50185-2025</t>
        </is>
      </c>
      <c r="B252" s="1" t="n">
        <v>45943.62515046296</v>
      </c>
      <c r="C252" s="1" t="n">
        <v>46145</v>
      </c>
      <c r="D252" t="inlineStr">
        <is>
          <t>NORRBOTTENS LÄN</t>
        </is>
      </c>
      <c r="E252" t="inlineStr">
        <is>
          <t>JOKKMOKK</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46145</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49978-2025</t>
        </is>
      </c>
      <c r="B254" s="1" t="n">
        <v>45942.61520833334</v>
      </c>
      <c r="C254" s="1" t="n">
        <v>46145</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50731-2025</t>
        </is>
      </c>
      <c r="B255" s="1" t="n">
        <v>45946.36513888889</v>
      </c>
      <c r="C255" s="1" t="n">
        <v>46145</v>
      </c>
      <c r="D255" t="inlineStr">
        <is>
          <t>NORRBOTTENS LÄN</t>
        </is>
      </c>
      <c r="E255" t="inlineStr">
        <is>
          <t>JOKKMOKK</t>
        </is>
      </c>
      <c r="F255" t="inlineStr">
        <is>
          <t>SCA</t>
        </is>
      </c>
      <c r="G255" t="n">
        <v>4</v>
      </c>
      <c r="H255" t="n">
        <v>0</v>
      </c>
      <c r="I255" t="n">
        <v>0</v>
      </c>
      <c r="J255" t="n">
        <v>0</v>
      </c>
      <c r="K255" t="n">
        <v>0</v>
      </c>
      <c r="L255" t="n">
        <v>0</v>
      </c>
      <c r="M255" t="n">
        <v>0</v>
      </c>
      <c r="N255" t="n">
        <v>0</v>
      </c>
      <c r="O255" t="n">
        <v>0</v>
      </c>
      <c r="P255" t="n">
        <v>0</v>
      </c>
      <c r="Q255" t="n">
        <v>0</v>
      </c>
      <c r="R255" s="2" t="inlineStr"/>
    </row>
    <row r="256" ht="15" customHeight="1">
      <c r="A256" t="inlineStr">
        <is>
          <t>A 50732-2025</t>
        </is>
      </c>
      <c r="B256" s="1" t="n">
        <v>45946.36519675926</v>
      </c>
      <c r="C256" s="1" t="n">
        <v>46145</v>
      </c>
      <c r="D256" t="inlineStr">
        <is>
          <t>NORRBOTTENS LÄN</t>
        </is>
      </c>
      <c r="E256" t="inlineStr">
        <is>
          <t>JOKKMOKK</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50717-2025</t>
        </is>
      </c>
      <c r="B257" s="1" t="n">
        <v>45946.34598379629</v>
      </c>
      <c r="C257" s="1" t="n">
        <v>46145</v>
      </c>
      <c r="D257" t="inlineStr">
        <is>
          <t>NORRBOTTENS LÄN</t>
        </is>
      </c>
      <c r="E257" t="inlineStr">
        <is>
          <t>JOKKMOKK</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50723-2025</t>
        </is>
      </c>
      <c r="B258" s="1" t="n">
        <v>45946.34690972222</v>
      </c>
      <c r="C258" s="1" t="n">
        <v>46145</v>
      </c>
      <c r="D258" t="inlineStr">
        <is>
          <t>NORRBOTTENS LÄN</t>
        </is>
      </c>
      <c r="E258" t="inlineStr">
        <is>
          <t>JOKKMOKK</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51499-2025</t>
        </is>
      </c>
      <c r="B259" s="1" t="n">
        <v>45950.63737268518</v>
      </c>
      <c r="C259" s="1" t="n">
        <v>46145</v>
      </c>
      <c r="D259" t="inlineStr">
        <is>
          <t>NORRBOTTENS LÄN</t>
        </is>
      </c>
      <c r="E259" t="inlineStr">
        <is>
          <t>JOKKMOKK</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51500-2025</t>
        </is>
      </c>
      <c r="B260" s="1" t="n">
        <v>45950.63739583334</v>
      </c>
      <c r="C260" s="1" t="n">
        <v>46145</v>
      </c>
      <c r="D260" t="inlineStr">
        <is>
          <t>NORRBOTTENS LÄN</t>
        </is>
      </c>
      <c r="E260" t="inlineStr">
        <is>
          <t>JOKKMOKK</t>
        </is>
      </c>
      <c r="G260" t="n">
        <v>10.1</v>
      </c>
      <c r="H260" t="n">
        <v>0</v>
      </c>
      <c r="I260" t="n">
        <v>0</v>
      </c>
      <c r="J260" t="n">
        <v>0</v>
      </c>
      <c r="K260" t="n">
        <v>0</v>
      </c>
      <c r="L260" t="n">
        <v>0</v>
      </c>
      <c r="M260" t="n">
        <v>0</v>
      </c>
      <c r="N260" t="n">
        <v>0</v>
      </c>
      <c r="O260" t="n">
        <v>0</v>
      </c>
      <c r="P260" t="n">
        <v>0</v>
      </c>
      <c r="Q260" t="n">
        <v>0</v>
      </c>
      <c r="R260" s="2" t="inlineStr"/>
    </row>
    <row r="261" ht="15" customHeight="1">
      <c r="A261" t="inlineStr">
        <is>
          <t>A 50986-2025</t>
        </is>
      </c>
      <c r="B261" s="1" t="n">
        <v>45947.3453125</v>
      </c>
      <c r="C261" s="1" t="n">
        <v>46145</v>
      </c>
      <c r="D261" t="inlineStr">
        <is>
          <t>NORRBOTTENS LÄN</t>
        </is>
      </c>
      <c r="E261" t="inlineStr">
        <is>
          <t>JOKKMOKK</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27650-2024</t>
        </is>
      </c>
      <c r="B262" s="1" t="n">
        <v>45474.94802083333</v>
      </c>
      <c r="C262" s="1" t="n">
        <v>46145</v>
      </c>
      <c r="D262" t="inlineStr">
        <is>
          <t>NORRBOTTENS LÄN</t>
        </is>
      </c>
      <c r="E262" t="inlineStr">
        <is>
          <t>JOKKMOKK</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51707-2025</t>
        </is>
      </c>
      <c r="B263" s="1" t="n">
        <v>45951</v>
      </c>
      <c r="C263" s="1" t="n">
        <v>46145</v>
      </c>
      <c r="D263" t="inlineStr">
        <is>
          <t>NORRBOTTENS LÄN</t>
        </is>
      </c>
      <c r="E263" t="inlineStr">
        <is>
          <t>JOKKMOKK</t>
        </is>
      </c>
      <c r="F263" t="inlineStr">
        <is>
          <t>Övriga statliga verk och myndigheter</t>
        </is>
      </c>
      <c r="G263" t="n">
        <v>7.2</v>
      </c>
      <c r="H263" t="n">
        <v>0</v>
      </c>
      <c r="I263" t="n">
        <v>0</v>
      </c>
      <c r="J263" t="n">
        <v>0</v>
      </c>
      <c r="K263" t="n">
        <v>0</v>
      </c>
      <c r="L263" t="n">
        <v>0</v>
      </c>
      <c r="M263" t="n">
        <v>0</v>
      </c>
      <c r="N263" t="n">
        <v>0</v>
      </c>
      <c r="O263" t="n">
        <v>0</v>
      </c>
      <c r="P263" t="n">
        <v>0</v>
      </c>
      <c r="Q263" t="n">
        <v>0</v>
      </c>
      <c r="R263" s="2" t="inlineStr"/>
    </row>
    <row r="264" ht="15" customHeight="1">
      <c r="A264" t="inlineStr">
        <is>
          <t>A 51717-2025</t>
        </is>
      </c>
      <c r="B264" s="1" t="n">
        <v>45951.57743055555</v>
      </c>
      <c r="C264" s="1" t="n">
        <v>46145</v>
      </c>
      <c r="D264" t="inlineStr">
        <is>
          <t>NORRBOTTENS LÄN</t>
        </is>
      </c>
      <c r="E264" t="inlineStr">
        <is>
          <t>JOKKMOKK</t>
        </is>
      </c>
      <c r="F264" t="inlineStr">
        <is>
          <t>Övriga statliga verk och myndigheter</t>
        </is>
      </c>
      <c r="G264" t="n">
        <v>3.4</v>
      </c>
      <c r="H264" t="n">
        <v>0</v>
      </c>
      <c r="I264" t="n">
        <v>0</v>
      </c>
      <c r="J264" t="n">
        <v>0</v>
      </c>
      <c r="K264" t="n">
        <v>0</v>
      </c>
      <c r="L264" t="n">
        <v>0</v>
      </c>
      <c r="M264" t="n">
        <v>0</v>
      </c>
      <c r="N264" t="n">
        <v>0</v>
      </c>
      <c r="O264" t="n">
        <v>0</v>
      </c>
      <c r="P264" t="n">
        <v>0</v>
      </c>
      <c r="Q264" t="n">
        <v>0</v>
      </c>
      <c r="R264" s="2" t="inlineStr"/>
    </row>
    <row r="265" ht="15" customHeight="1">
      <c r="A265" t="inlineStr">
        <is>
          <t>A 51718-2025</t>
        </is>
      </c>
      <c r="B265" s="1" t="n">
        <v>45951.57791666667</v>
      </c>
      <c r="C265" s="1" t="n">
        <v>46145</v>
      </c>
      <c r="D265" t="inlineStr">
        <is>
          <t>NORRBOTTENS LÄN</t>
        </is>
      </c>
      <c r="E265" t="inlineStr">
        <is>
          <t>JOKKMOKK</t>
        </is>
      </c>
      <c r="F265" t="inlineStr">
        <is>
          <t>Övriga statliga verk och myndigheter</t>
        </is>
      </c>
      <c r="G265" t="n">
        <v>31.9</v>
      </c>
      <c r="H265" t="n">
        <v>0</v>
      </c>
      <c r="I265" t="n">
        <v>0</v>
      </c>
      <c r="J265" t="n">
        <v>0</v>
      </c>
      <c r="K265" t="n">
        <v>0</v>
      </c>
      <c r="L265" t="n">
        <v>0</v>
      </c>
      <c r="M265" t="n">
        <v>0</v>
      </c>
      <c r="N265" t="n">
        <v>0</v>
      </c>
      <c r="O265" t="n">
        <v>0</v>
      </c>
      <c r="P265" t="n">
        <v>0</v>
      </c>
      <c r="Q265" t="n">
        <v>0</v>
      </c>
      <c r="R265" s="2" t="inlineStr"/>
    </row>
    <row r="266" ht="15" customHeight="1">
      <c r="A266" t="inlineStr">
        <is>
          <t>A 52112-2025</t>
        </is>
      </c>
      <c r="B266" s="1" t="n">
        <v>45952.69846064815</v>
      </c>
      <c r="C266" s="1" t="n">
        <v>46145</v>
      </c>
      <c r="D266" t="inlineStr">
        <is>
          <t>NORRBOTTENS LÄN</t>
        </is>
      </c>
      <c r="E266" t="inlineStr">
        <is>
          <t>JOKKMOKK</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51576-2025</t>
        </is>
      </c>
      <c r="B267" s="1" t="n">
        <v>45951.34469907408</v>
      </c>
      <c r="C267" s="1" t="n">
        <v>46145</v>
      </c>
      <c r="D267" t="inlineStr">
        <is>
          <t>NORRBOTTENS LÄN</t>
        </is>
      </c>
      <c r="E267" t="inlineStr">
        <is>
          <t>JOKKMOKK</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51577-2025</t>
        </is>
      </c>
      <c r="B268" s="1" t="n">
        <v>45951</v>
      </c>
      <c r="C268" s="1" t="n">
        <v>46145</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46145</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51699-2025</t>
        </is>
      </c>
      <c r="B270" s="1" t="n">
        <v>45951.55253472222</v>
      </c>
      <c r="C270" s="1" t="n">
        <v>46145</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9852-2023</t>
        </is>
      </c>
      <c r="B271" s="1" t="n">
        <v>44984</v>
      </c>
      <c r="C271" s="1" t="n">
        <v>46145</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46145</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51700-2025</t>
        </is>
      </c>
      <c r="B273" s="1" t="n">
        <v>45951.55287037037</v>
      </c>
      <c r="C273" s="1" t="n">
        <v>46145</v>
      </c>
      <c r="D273" t="inlineStr">
        <is>
          <t>NORRBOTTENS LÄN</t>
        </is>
      </c>
      <c r="E273" t="inlineStr">
        <is>
          <t>JOKKMOKK</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51715-2025</t>
        </is>
      </c>
      <c r="B274" s="1" t="n">
        <v>45951.57585648148</v>
      </c>
      <c r="C274" s="1" t="n">
        <v>46145</v>
      </c>
      <c r="D274" t="inlineStr">
        <is>
          <t>NORRBOTTENS LÄN</t>
        </is>
      </c>
      <c r="E274" t="inlineStr">
        <is>
          <t>JOKKMOKK</t>
        </is>
      </c>
      <c r="F274" t="inlineStr">
        <is>
          <t>Övriga statliga verk och myndigheter</t>
        </is>
      </c>
      <c r="G274" t="n">
        <v>4.1</v>
      </c>
      <c r="H274" t="n">
        <v>0</v>
      </c>
      <c r="I274" t="n">
        <v>0</v>
      </c>
      <c r="J274" t="n">
        <v>0</v>
      </c>
      <c r="K274" t="n">
        <v>0</v>
      </c>
      <c r="L274" t="n">
        <v>0</v>
      </c>
      <c r="M274" t="n">
        <v>0</v>
      </c>
      <c r="N274" t="n">
        <v>0</v>
      </c>
      <c r="O274" t="n">
        <v>0</v>
      </c>
      <c r="P274" t="n">
        <v>0</v>
      </c>
      <c r="Q274" t="n">
        <v>0</v>
      </c>
      <c r="R274" s="2" t="inlineStr"/>
    </row>
    <row r="275" ht="15" customHeight="1">
      <c r="A275" t="inlineStr">
        <is>
          <t>A 52278-2025</t>
        </is>
      </c>
      <c r="B275" s="1" t="n">
        <v>45953.56256944445</v>
      </c>
      <c r="C275" s="1" t="n">
        <v>46145</v>
      </c>
      <c r="D275" t="inlineStr">
        <is>
          <t>NORRBOTTENS LÄN</t>
        </is>
      </c>
      <c r="E275" t="inlineStr">
        <is>
          <t>JOKKMOKK</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52294-2025</t>
        </is>
      </c>
      <c r="B276" s="1" t="n">
        <v>45953.59979166667</v>
      </c>
      <c r="C276" s="1" t="n">
        <v>46145</v>
      </c>
      <c r="D276" t="inlineStr">
        <is>
          <t>NORRBOTTENS LÄN</t>
        </is>
      </c>
      <c r="E276" t="inlineStr">
        <is>
          <t>JOKKMOKK</t>
        </is>
      </c>
      <c r="F276" t="inlineStr">
        <is>
          <t>Övriga statliga verk och myndigheter</t>
        </is>
      </c>
      <c r="G276" t="n">
        <v>22</v>
      </c>
      <c r="H276" t="n">
        <v>0</v>
      </c>
      <c r="I276" t="n">
        <v>0</v>
      </c>
      <c r="J276" t="n">
        <v>0</v>
      </c>
      <c r="K276" t="n">
        <v>0</v>
      </c>
      <c r="L276" t="n">
        <v>0</v>
      </c>
      <c r="M276" t="n">
        <v>0</v>
      </c>
      <c r="N276" t="n">
        <v>0</v>
      </c>
      <c r="O276" t="n">
        <v>0</v>
      </c>
      <c r="P276" t="n">
        <v>0</v>
      </c>
      <c r="Q276" t="n">
        <v>0</v>
      </c>
      <c r="R276" s="2" t="inlineStr"/>
    </row>
    <row r="277" ht="15" customHeight="1">
      <c r="A277" t="inlineStr">
        <is>
          <t>A 52288-2025</t>
        </is>
      </c>
      <c r="B277" s="1" t="n">
        <v>45953.59483796296</v>
      </c>
      <c r="C277" s="1" t="n">
        <v>46145</v>
      </c>
      <c r="D277" t="inlineStr">
        <is>
          <t>NORRBOTTENS LÄN</t>
        </is>
      </c>
      <c r="E277" t="inlineStr">
        <is>
          <t>JOKKMOKK</t>
        </is>
      </c>
      <c r="F277" t="inlineStr">
        <is>
          <t>Övriga statliga verk och myndigheter</t>
        </is>
      </c>
      <c r="G277" t="n">
        <v>11.4</v>
      </c>
      <c r="H277" t="n">
        <v>0</v>
      </c>
      <c r="I277" t="n">
        <v>0</v>
      </c>
      <c r="J277" t="n">
        <v>0</v>
      </c>
      <c r="K277" t="n">
        <v>0</v>
      </c>
      <c r="L277" t="n">
        <v>0</v>
      </c>
      <c r="M277" t="n">
        <v>0</v>
      </c>
      <c r="N277" t="n">
        <v>0</v>
      </c>
      <c r="O277" t="n">
        <v>0</v>
      </c>
      <c r="P277" t="n">
        <v>0</v>
      </c>
      <c r="Q277" t="n">
        <v>0</v>
      </c>
      <c r="R277" s="2" t="inlineStr"/>
    </row>
    <row r="278" ht="15" customHeight="1">
      <c r="A278" t="inlineStr">
        <is>
          <t>A 52293-2025</t>
        </is>
      </c>
      <c r="B278" s="1" t="n">
        <v>45953.59943287037</v>
      </c>
      <c r="C278" s="1" t="n">
        <v>46145</v>
      </c>
      <c r="D278" t="inlineStr">
        <is>
          <t>NORRBOTTENS LÄN</t>
        </is>
      </c>
      <c r="E278" t="inlineStr">
        <is>
          <t>JOKKMOKK</t>
        </is>
      </c>
      <c r="F278" t="inlineStr">
        <is>
          <t>Övriga statliga verk och myndigheter</t>
        </is>
      </c>
      <c r="G278" t="n">
        <v>65.09999999999999</v>
      </c>
      <c r="H278" t="n">
        <v>0</v>
      </c>
      <c r="I278" t="n">
        <v>0</v>
      </c>
      <c r="J278" t="n">
        <v>0</v>
      </c>
      <c r="K278" t="n">
        <v>0</v>
      </c>
      <c r="L278" t="n">
        <v>0</v>
      </c>
      <c r="M278" t="n">
        <v>0</v>
      </c>
      <c r="N278" t="n">
        <v>0</v>
      </c>
      <c r="O278" t="n">
        <v>0</v>
      </c>
      <c r="P278" t="n">
        <v>0</v>
      </c>
      <c r="Q278" t="n">
        <v>0</v>
      </c>
      <c r="R278" s="2" t="inlineStr"/>
    </row>
    <row r="279" ht="15" customHeight="1">
      <c r="A279" t="inlineStr">
        <is>
          <t>A 52291-2025</t>
        </is>
      </c>
      <c r="B279" s="1" t="n">
        <v>45953.59836805556</v>
      </c>
      <c r="C279" s="1" t="n">
        <v>46145</v>
      </c>
      <c r="D279" t="inlineStr">
        <is>
          <t>NORRBOTTENS LÄN</t>
        </is>
      </c>
      <c r="E279" t="inlineStr">
        <is>
          <t>JOKKMOKK</t>
        </is>
      </c>
      <c r="F279" t="inlineStr">
        <is>
          <t>Övriga statliga verk och myndigheter</t>
        </is>
      </c>
      <c r="G279" t="n">
        <v>41.2</v>
      </c>
      <c r="H279" t="n">
        <v>0</v>
      </c>
      <c r="I279" t="n">
        <v>0</v>
      </c>
      <c r="J279" t="n">
        <v>0</v>
      </c>
      <c r="K279" t="n">
        <v>0</v>
      </c>
      <c r="L279" t="n">
        <v>0</v>
      </c>
      <c r="M279" t="n">
        <v>0</v>
      </c>
      <c r="N279" t="n">
        <v>0</v>
      </c>
      <c r="O279" t="n">
        <v>0</v>
      </c>
      <c r="P279" t="n">
        <v>0</v>
      </c>
      <c r="Q279" t="n">
        <v>0</v>
      </c>
      <c r="R279" s="2" t="inlineStr"/>
    </row>
    <row r="280" ht="15" customHeight="1">
      <c r="A280" t="inlineStr">
        <is>
          <t>A 52770-2025</t>
        </is>
      </c>
      <c r="B280" s="1" t="n">
        <v>45957</v>
      </c>
      <c r="C280" s="1" t="n">
        <v>46145</v>
      </c>
      <c r="D280" t="inlineStr">
        <is>
          <t>NORRBOTTENS LÄN</t>
        </is>
      </c>
      <c r="E280" t="inlineStr">
        <is>
          <t>JOKKMOKK</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24052-2023</t>
        </is>
      </c>
      <c r="B281" s="1" t="n">
        <v>45078</v>
      </c>
      <c r="C281" s="1" t="n">
        <v>46145</v>
      </c>
      <c r="D281" t="inlineStr">
        <is>
          <t>NORRBOTTENS LÄN</t>
        </is>
      </c>
      <c r="E281" t="inlineStr">
        <is>
          <t>JOKKMOKK</t>
        </is>
      </c>
      <c r="F281" t="inlineStr">
        <is>
          <t>Naturvårdsverket</t>
        </is>
      </c>
      <c r="G281" t="n">
        <v>58.1</v>
      </c>
      <c r="H281" t="n">
        <v>0</v>
      </c>
      <c r="I281" t="n">
        <v>0</v>
      </c>
      <c r="J281" t="n">
        <v>0</v>
      </c>
      <c r="K281" t="n">
        <v>0</v>
      </c>
      <c r="L281" t="n">
        <v>0</v>
      </c>
      <c r="M281" t="n">
        <v>0</v>
      </c>
      <c r="N281" t="n">
        <v>0</v>
      </c>
      <c r="O281" t="n">
        <v>0</v>
      </c>
      <c r="P281" t="n">
        <v>0</v>
      </c>
      <c r="Q281" t="n">
        <v>0</v>
      </c>
      <c r="R281" s="2" t="inlineStr"/>
    </row>
    <row r="282" ht="15" customHeight="1">
      <c r="A282" t="inlineStr">
        <is>
          <t>A 52280-2021</t>
        </is>
      </c>
      <c r="B282" s="1" t="n">
        <v>44462</v>
      </c>
      <c r="C282" s="1" t="n">
        <v>46145</v>
      </c>
      <c r="D282" t="inlineStr">
        <is>
          <t>NORRBOTTENS LÄN</t>
        </is>
      </c>
      <c r="E282" t="inlineStr">
        <is>
          <t>JOKKMOKK</t>
        </is>
      </c>
      <c r="F282" t="inlineStr">
        <is>
          <t>Övriga statliga verk och myndigheter</t>
        </is>
      </c>
      <c r="G282" t="n">
        <v>25.9</v>
      </c>
      <c r="H282" t="n">
        <v>0</v>
      </c>
      <c r="I282" t="n">
        <v>0</v>
      </c>
      <c r="J282" t="n">
        <v>0</v>
      </c>
      <c r="K282" t="n">
        <v>0</v>
      </c>
      <c r="L282" t="n">
        <v>0</v>
      </c>
      <c r="M282" t="n">
        <v>0</v>
      </c>
      <c r="N282" t="n">
        <v>0</v>
      </c>
      <c r="O282" t="n">
        <v>0</v>
      </c>
      <c r="P282" t="n">
        <v>0</v>
      </c>
      <c r="Q282" t="n">
        <v>0</v>
      </c>
      <c r="R282" s="2" t="inlineStr"/>
    </row>
    <row r="283" ht="15" customHeight="1">
      <c r="A283" t="inlineStr">
        <is>
          <t>A 59849-2021</t>
        </is>
      </c>
      <c r="B283" s="1" t="n">
        <v>44493</v>
      </c>
      <c r="C283" s="1" t="n">
        <v>46145</v>
      </c>
      <c r="D283" t="inlineStr">
        <is>
          <t>NORRBOTTENS LÄN</t>
        </is>
      </c>
      <c r="E283" t="inlineStr">
        <is>
          <t>JOKKMOKK</t>
        </is>
      </c>
      <c r="F283" t="inlineStr">
        <is>
          <t>Övriga Aktiebolag</t>
        </is>
      </c>
      <c r="G283" t="n">
        <v>11.7</v>
      </c>
      <c r="H283" t="n">
        <v>0</v>
      </c>
      <c r="I283" t="n">
        <v>0</v>
      </c>
      <c r="J283" t="n">
        <v>0</v>
      </c>
      <c r="K283" t="n">
        <v>0</v>
      </c>
      <c r="L283" t="n">
        <v>0</v>
      </c>
      <c r="M283" t="n">
        <v>0</v>
      </c>
      <c r="N283" t="n">
        <v>0</v>
      </c>
      <c r="O283" t="n">
        <v>0</v>
      </c>
      <c r="P283" t="n">
        <v>0</v>
      </c>
      <c r="Q283" t="n">
        <v>0</v>
      </c>
      <c r="R283" s="2" t="inlineStr"/>
    </row>
    <row r="284" ht="15" customHeight="1">
      <c r="A284" t="inlineStr">
        <is>
          <t>A 53513-2025</t>
        </is>
      </c>
      <c r="B284" s="1" t="n">
        <v>45960</v>
      </c>
      <c r="C284" s="1" t="n">
        <v>46145</v>
      </c>
      <c r="D284" t="inlineStr">
        <is>
          <t>NORRBOTTENS LÄN</t>
        </is>
      </c>
      <c r="E284" t="inlineStr">
        <is>
          <t>JOKKMOKK</t>
        </is>
      </c>
      <c r="G284" t="n">
        <v>3.7</v>
      </c>
      <c r="H284" t="n">
        <v>0</v>
      </c>
      <c r="I284" t="n">
        <v>0</v>
      </c>
      <c r="J284" t="n">
        <v>0</v>
      </c>
      <c r="K284" t="n">
        <v>0</v>
      </c>
      <c r="L284" t="n">
        <v>0</v>
      </c>
      <c r="M284" t="n">
        <v>0</v>
      </c>
      <c r="N284" t="n">
        <v>0</v>
      </c>
      <c r="O284" t="n">
        <v>0</v>
      </c>
      <c r="P284" t="n">
        <v>0</v>
      </c>
      <c r="Q284" t="n">
        <v>0</v>
      </c>
      <c r="R284" s="2" t="inlineStr"/>
    </row>
    <row r="285" ht="15" customHeight="1">
      <c r="A285" t="inlineStr">
        <is>
          <t>A 54270-2025</t>
        </is>
      </c>
      <c r="B285" s="1" t="n">
        <v>45964.67798611111</v>
      </c>
      <c r="C285" s="1" t="n">
        <v>46145</v>
      </c>
      <c r="D285" t="inlineStr">
        <is>
          <t>NORRBOTTENS LÄN</t>
        </is>
      </c>
      <c r="E285" t="inlineStr">
        <is>
          <t>JOKKMOKK</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32900-2023</t>
        </is>
      </c>
      <c r="B286" s="1" t="n">
        <v>45124</v>
      </c>
      <c r="C286" s="1" t="n">
        <v>46145</v>
      </c>
      <c r="D286" t="inlineStr">
        <is>
          <t>NORRBOTTENS LÄN</t>
        </is>
      </c>
      <c r="E286" t="inlineStr">
        <is>
          <t>JOKKMOKK</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51269-2024</t>
        </is>
      </c>
      <c r="B287" s="1" t="n">
        <v>45603.71284722222</v>
      </c>
      <c r="C287" s="1" t="n">
        <v>46145</v>
      </c>
      <c r="D287" t="inlineStr">
        <is>
          <t>NORRBOTTENS LÄN</t>
        </is>
      </c>
      <c r="E287" t="inlineStr">
        <is>
          <t>JOKKMOKK</t>
        </is>
      </c>
      <c r="F287" t="inlineStr">
        <is>
          <t>Allmännings- och besparingsskogar</t>
        </is>
      </c>
      <c r="G287" t="n">
        <v>4.4</v>
      </c>
      <c r="H287" t="n">
        <v>0</v>
      </c>
      <c r="I287" t="n">
        <v>0</v>
      </c>
      <c r="J287" t="n">
        <v>0</v>
      </c>
      <c r="K287" t="n">
        <v>0</v>
      </c>
      <c r="L287" t="n">
        <v>0</v>
      </c>
      <c r="M287" t="n">
        <v>0</v>
      </c>
      <c r="N287" t="n">
        <v>0</v>
      </c>
      <c r="O287" t="n">
        <v>0</v>
      </c>
      <c r="P287" t="n">
        <v>0</v>
      </c>
      <c r="Q287" t="n">
        <v>0</v>
      </c>
      <c r="R287" s="2" t="inlineStr"/>
    </row>
    <row r="288" ht="15" customHeight="1">
      <c r="A288" t="inlineStr">
        <is>
          <t>A 54546-2025</t>
        </is>
      </c>
      <c r="B288" s="1" t="n">
        <v>45965.65212962963</v>
      </c>
      <c r="C288" s="1" t="n">
        <v>46145</v>
      </c>
      <c r="D288" t="inlineStr">
        <is>
          <t>NORRBOTTENS LÄN</t>
        </is>
      </c>
      <c r="E288" t="inlineStr">
        <is>
          <t>JOKKMOKK</t>
        </is>
      </c>
      <c r="F288" t="inlineStr">
        <is>
          <t>Allmännings- och besparingsskogar</t>
        </is>
      </c>
      <c r="G288" t="n">
        <v>5.4</v>
      </c>
      <c r="H288" t="n">
        <v>0</v>
      </c>
      <c r="I288" t="n">
        <v>0</v>
      </c>
      <c r="J288" t="n">
        <v>0</v>
      </c>
      <c r="K288" t="n">
        <v>0</v>
      </c>
      <c r="L288" t="n">
        <v>0</v>
      </c>
      <c r="M288" t="n">
        <v>0</v>
      </c>
      <c r="N288" t="n">
        <v>0</v>
      </c>
      <c r="O288" t="n">
        <v>0</v>
      </c>
      <c r="P288" t="n">
        <v>0</v>
      </c>
      <c r="Q288" t="n">
        <v>0</v>
      </c>
      <c r="R288" s="2" t="inlineStr"/>
    </row>
    <row r="289" ht="15" customHeight="1">
      <c r="A289" t="inlineStr">
        <is>
          <t>A 54585-2025</t>
        </is>
      </c>
      <c r="B289" s="1" t="n">
        <v>45965.72071759259</v>
      </c>
      <c r="C289" s="1" t="n">
        <v>46145</v>
      </c>
      <c r="D289" t="inlineStr">
        <is>
          <t>NORRBOTTENS LÄN</t>
        </is>
      </c>
      <c r="E289" t="inlineStr">
        <is>
          <t>JOKKMOKK</t>
        </is>
      </c>
      <c r="F289" t="inlineStr">
        <is>
          <t>Allmännings- och besparingsskogar</t>
        </is>
      </c>
      <c r="G289" t="n">
        <v>10.2</v>
      </c>
      <c r="H289" t="n">
        <v>0</v>
      </c>
      <c r="I289" t="n">
        <v>0</v>
      </c>
      <c r="J289" t="n">
        <v>0</v>
      </c>
      <c r="K289" t="n">
        <v>0</v>
      </c>
      <c r="L289" t="n">
        <v>0</v>
      </c>
      <c r="M289" t="n">
        <v>0</v>
      </c>
      <c r="N289" t="n">
        <v>0</v>
      </c>
      <c r="O289" t="n">
        <v>0</v>
      </c>
      <c r="P289" t="n">
        <v>0</v>
      </c>
      <c r="Q289" t="n">
        <v>0</v>
      </c>
      <c r="R289" s="2" t="inlineStr"/>
    </row>
    <row r="290" ht="15" customHeight="1">
      <c r="A290" t="inlineStr">
        <is>
          <t>A 55195-2025</t>
        </is>
      </c>
      <c r="B290" s="1" t="n">
        <v>45968.5525</v>
      </c>
      <c r="C290" s="1" t="n">
        <v>46145</v>
      </c>
      <c r="D290" t="inlineStr">
        <is>
          <t>NORRBOTTENS LÄN</t>
        </is>
      </c>
      <c r="E290" t="inlineStr">
        <is>
          <t>JOKKMOKK</t>
        </is>
      </c>
      <c r="G290" t="n">
        <v>5.3</v>
      </c>
      <c r="H290" t="n">
        <v>0</v>
      </c>
      <c r="I290" t="n">
        <v>0</v>
      </c>
      <c r="J290" t="n">
        <v>0</v>
      </c>
      <c r="K290" t="n">
        <v>0</v>
      </c>
      <c r="L290" t="n">
        <v>0</v>
      </c>
      <c r="M290" t="n">
        <v>0</v>
      </c>
      <c r="N290" t="n">
        <v>0</v>
      </c>
      <c r="O290" t="n">
        <v>0</v>
      </c>
      <c r="P290" t="n">
        <v>0</v>
      </c>
      <c r="Q290" t="n">
        <v>0</v>
      </c>
      <c r="R290" s="2" t="inlineStr"/>
    </row>
    <row r="291" ht="15" customHeight="1">
      <c r="A291" t="inlineStr">
        <is>
          <t>A 52812-2024</t>
        </is>
      </c>
      <c r="B291" s="1" t="n">
        <v>45610.58070601852</v>
      </c>
      <c r="C291" s="1" t="n">
        <v>46145</v>
      </c>
      <c r="D291" t="inlineStr">
        <is>
          <t>NORRBOTTENS LÄN</t>
        </is>
      </c>
      <c r="E291" t="inlineStr">
        <is>
          <t>JOKKMOKK</t>
        </is>
      </c>
      <c r="G291" t="n">
        <v>84</v>
      </c>
      <c r="H291" t="n">
        <v>0</v>
      </c>
      <c r="I291" t="n">
        <v>0</v>
      </c>
      <c r="J291" t="n">
        <v>0</v>
      </c>
      <c r="K291" t="n">
        <v>0</v>
      </c>
      <c r="L291" t="n">
        <v>0</v>
      </c>
      <c r="M291" t="n">
        <v>0</v>
      </c>
      <c r="N291" t="n">
        <v>0</v>
      </c>
      <c r="O291" t="n">
        <v>0</v>
      </c>
      <c r="P291" t="n">
        <v>0</v>
      </c>
      <c r="Q291" t="n">
        <v>0</v>
      </c>
      <c r="R291" s="2" t="inlineStr"/>
    </row>
    <row r="292" ht="15" customHeight="1">
      <c r="A292" t="inlineStr">
        <is>
          <t>A 37206-2025</t>
        </is>
      </c>
      <c r="B292" s="1" t="n">
        <v>45875.69855324074</v>
      </c>
      <c r="C292" s="1" t="n">
        <v>46145</v>
      </c>
      <c r="D292" t="inlineStr">
        <is>
          <t>NORRBOTTENS LÄN</t>
        </is>
      </c>
      <c r="E292" t="inlineStr">
        <is>
          <t>JOKKMOKK</t>
        </is>
      </c>
      <c r="G292" t="n">
        <v>2.9</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46145</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55673-2025</t>
        </is>
      </c>
      <c r="B294" s="1" t="n">
        <v>45972.40754629629</v>
      </c>
      <c r="C294" s="1" t="n">
        <v>46145</v>
      </c>
      <c r="D294" t="inlineStr">
        <is>
          <t>NORRBOTTENS LÄN</t>
        </is>
      </c>
      <c r="E294" t="inlineStr">
        <is>
          <t>JOKKMOKK</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55577-2025</t>
        </is>
      </c>
      <c r="B295" s="1" t="n">
        <v>45971.6684837963</v>
      </c>
      <c r="C295" s="1" t="n">
        <v>46145</v>
      </c>
      <c r="D295" t="inlineStr">
        <is>
          <t>NORRBOTTENS LÄN</t>
        </is>
      </c>
      <c r="E295" t="inlineStr">
        <is>
          <t>JOKKMOKK</t>
        </is>
      </c>
      <c r="F295" t="inlineStr">
        <is>
          <t>Allmännings- och besparingsskogar</t>
        </is>
      </c>
      <c r="G295" t="n">
        <v>7.8</v>
      </c>
      <c r="H295" t="n">
        <v>0</v>
      </c>
      <c r="I295" t="n">
        <v>0</v>
      </c>
      <c r="J295" t="n">
        <v>0</v>
      </c>
      <c r="K295" t="n">
        <v>0</v>
      </c>
      <c r="L295" t="n">
        <v>0</v>
      </c>
      <c r="M295" t="n">
        <v>0</v>
      </c>
      <c r="N295" t="n">
        <v>0</v>
      </c>
      <c r="O295" t="n">
        <v>0</v>
      </c>
      <c r="P295" t="n">
        <v>0</v>
      </c>
      <c r="Q295" t="n">
        <v>0</v>
      </c>
      <c r="R295" s="2" t="inlineStr"/>
    </row>
    <row r="296" ht="15" customHeight="1">
      <c r="A296" t="inlineStr">
        <is>
          <t>A 56286-2025</t>
        </is>
      </c>
      <c r="B296" s="1" t="n">
        <v>45974.59608796296</v>
      </c>
      <c r="C296" s="1" t="n">
        <v>46145</v>
      </c>
      <c r="D296" t="inlineStr">
        <is>
          <t>NORRBOTTENS LÄN</t>
        </is>
      </c>
      <c r="E296" t="inlineStr">
        <is>
          <t>JOKKMOKK</t>
        </is>
      </c>
      <c r="F296" t="inlineStr">
        <is>
          <t>Sveaskog</t>
        </is>
      </c>
      <c r="G296" t="n">
        <v>22.8</v>
      </c>
      <c r="H296" t="n">
        <v>0</v>
      </c>
      <c r="I296" t="n">
        <v>0</v>
      </c>
      <c r="J296" t="n">
        <v>0</v>
      </c>
      <c r="K296" t="n">
        <v>0</v>
      </c>
      <c r="L296" t="n">
        <v>0</v>
      </c>
      <c r="M296" t="n">
        <v>0</v>
      </c>
      <c r="N296" t="n">
        <v>0</v>
      </c>
      <c r="O296" t="n">
        <v>0</v>
      </c>
      <c r="P296" t="n">
        <v>0</v>
      </c>
      <c r="Q296" t="n">
        <v>0</v>
      </c>
      <c r="R296" s="2" t="inlineStr"/>
    </row>
    <row r="297" ht="15" customHeight="1">
      <c r="A297" t="inlineStr">
        <is>
          <t>A 56012-2025</t>
        </is>
      </c>
      <c r="B297" s="1" t="n">
        <v>45973.58731481482</v>
      </c>
      <c r="C297" s="1" t="n">
        <v>46145</v>
      </c>
      <c r="D297" t="inlineStr">
        <is>
          <t>NORRBOTTENS LÄN</t>
        </is>
      </c>
      <c r="E297" t="inlineStr">
        <is>
          <t>JOKKMOKK</t>
        </is>
      </c>
      <c r="F297" t="inlineStr">
        <is>
          <t>Naturvårdsverket</t>
        </is>
      </c>
      <c r="G297" t="n">
        <v>1.5</v>
      </c>
      <c r="H297" t="n">
        <v>0</v>
      </c>
      <c r="I297" t="n">
        <v>0</v>
      </c>
      <c r="J297" t="n">
        <v>0</v>
      </c>
      <c r="K297" t="n">
        <v>0</v>
      </c>
      <c r="L297" t="n">
        <v>0</v>
      </c>
      <c r="M297" t="n">
        <v>0</v>
      </c>
      <c r="N297" t="n">
        <v>0</v>
      </c>
      <c r="O297" t="n">
        <v>0</v>
      </c>
      <c r="P297" t="n">
        <v>0</v>
      </c>
      <c r="Q297" t="n">
        <v>0</v>
      </c>
      <c r="R297" s="2" t="inlineStr"/>
    </row>
    <row r="298" ht="15" customHeight="1">
      <c r="A298" t="inlineStr">
        <is>
          <t>A 56387-2025</t>
        </is>
      </c>
      <c r="B298" s="1" t="n">
        <v>45974.72184027778</v>
      </c>
      <c r="C298" s="1" t="n">
        <v>46145</v>
      </c>
      <c r="D298" t="inlineStr">
        <is>
          <t>NORRBOTTENS LÄN</t>
        </is>
      </c>
      <c r="E298" t="inlineStr">
        <is>
          <t>JOKKMOKK</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56343-2025</t>
        </is>
      </c>
      <c r="B299" s="1" t="n">
        <v>45974.64890046296</v>
      </c>
      <c r="C299" s="1" t="n">
        <v>46145</v>
      </c>
      <c r="D299" t="inlineStr">
        <is>
          <t>NORRBOTTENS LÄN</t>
        </is>
      </c>
      <c r="E299" t="inlineStr">
        <is>
          <t>JOKKMOKK</t>
        </is>
      </c>
      <c r="F299" t="inlineStr">
        <is>
          <t>Övriga statliga verk och myndigheter</t>
        </is>
      </c>
      <c r="G299" t="n">
        <v>14.8</v>
      </c>
      <c r="H299" t="n">
        <v>0</v>
      </c>
      <c r="I299" t="n">
        <v>0</v>
      </c>
      <c r="J299" t="n">
        <v>0</v>
      </c>
      <c r="K299" t="n">
        <v>0</v>
      </c>
      <c r="L299" t="n">
        <v>0</v>
      </c>
      <c r="M299" t="n">
        <v>0</v>
      </c>
      <c r="N299" t="n">
        <v>0</v>
      </c>
      <c r="O299" t="n">
        <v>0</v>
      </c>
      <c r="P299" t="n">
        <v>0</v>
      </c>
      <c r="Q299" t="n">
        <v>0</v>
      </c>
      <c r="R299" s="2" t="inlineStr"/>
    </row>
    <row r="300" ht="15" customHeight="1">
      <c r="A300" t="inlineStr">
        <is>
          <t>A 56372-2025</t>
        </is>
      </c>
      <c r="B300" s="1" t="n">
        <v>45974.68207175926</v>
      </c>
      <c r="C300" s="1" t="n">
        <v>46145</v>
      </c>
      <c r="D300" t="inlineStr">
        <is>
          <t>NORRBOTTENS LÄN</t>
        </is>
      </c>
      <c r="E300" t="inlineStr">
        <is>
          <t>JOKKMOKK</t>
        </is>
      </c>
      <c r="F300" t="inlineStr">
        <is>
          <t>Sveaskog</t>
        </is>
      </c>
      <c r="G300" t="n">
        <v>26.4</v>
      </c>
      <c r="H300" t="n">
        <v>0</v>
      </c>
      <c r="I300" t="n">
        <v>0</v>
      </c>
      <c r="J300" t="n">
        <v>0</v>
      </c>
      <c r="K300" t="n">
        <v>0</v>
      </c>
      <c r="L300" t="n">
        <v>0</v>
      </c>
      <c r="M300" t="n">
        <v>0</v>
      </c>
      <c r="N300" t="n">
        <v>0</v>
      </c>
      <c r="O300" t="n">
        <v>0</v>
      </c>
      <c r="P300" t="n">
        <v>0</v>
      </c>
      <c r="Q300" t="n">
        <v>0</v>
      </c>
      <c r="R300" s="2" t="inlineStr"/>
    </row>
    <row r="301" ht="15" customHeight="1">
      <c r="A301" t="inlineStr">
        <is>
          <t>A 56317-2025</t>
        </is>
      </c>
      <c r="B301" s="1" t="n">
        <v>45974.63099537037</v>
      </c>
      <c r="C301" s="1" t="n">
        <v>46145</v>
      </c>
      <c r="D301" t="inlineStr">
        <is>
          <t>NORRBOTTENS LÄN</t>
        </is>
      </c>
      <c r="E301" t="inlineStr">
        <is>
          <t>JOKKMOKK</t>
        </is>
      </c>
      <c r="F301" t="inlineStr">
        <is>
          <t>Övriga statliga verk och myndigheter</t>
        </is>
      </c>
      <c r="G301" t="n">
        <v>14.5</v>
      </c>
      <c r="H301" t="n">
        <v>0</v>
      </c>
      <c r="I301" t="n">
        <v>0</v>
      </c>
      <c r="J301" t="n">
        <v>0</v>
      </c>
      <c r="K301" t="n">
        <v>0</v>
      </c>
      <c r="L301" t="n">
        <v>0</v>
      </c>
      <c r="M301" t="n">
        <v>0</v>
      </c>
      <c r="N301" t="n">
        <v>0</v>
      </c>
      <c r="O301" t="n">
        <v>0</v>
      </c>
      <c r="P301" t="n">
        <v>0</v>
      </c>
      <c r="Q301" t="n">
        <v>0</v>
      </c>
      <c r="R301" s="2" t="inlineStr"/>
    </row>
    <row r="302" ht="15" customHeight="1">
      <c r="A302" t="inlineStr">
        <is>
          <t>A 55990-2025</t>
        </is>
      </c>
      <c r="B302" s="1" t="n">
        <v>45973.55615740741</v>
      </c>
      <c r="C302" s="1" t="n">
        <v>46145</v>
      </c>
      <c r="D302" t="inlineStr">
        <is>
          <t>NORRBOTTENS LÄN</t>
        </is>
      </c>
      <c r="E302" t="inlineStr">
        <is>
          <t>JOKKMOKK</t>
        </is>
      </c>
      <c r="F302" t="inlineStr">
        <is>
          <t>Naturvårdsverket</t>
        </is>
      </c>
      <c r="G302" t="n">
        <v>6.2</v>
      </c>
      <c r="H302" t="n">
        <v>0</v>
      </c>
      <c r="I302" t="n">
        <v>0</v>
      </c>
      <c r="J302" t="n">
        <v>0</v>
      </c>
      <c r="K302" t="n">
        <v>0</v>
      </c>
      <c r="L302" t="n">
        <v>0</v>
      </c>
      <c r="M302" t="n">
        <v>0</v>
      </c>
      <c r="N302" t="n">
        <v>0</v>
      </c>
      <c r="O302" t="n">
        <v>0</v>
      </c>
      <c r="P302" t="n">
        <v>0</v>
      </c>
      <c r="Q302" t="n">
        <v>0</v>
      </c>
      <c r="R302" s="2" t="inlineStr"/>
    </row>
    <row r="303" ht="15" customHeight="1">
      <c r="A303" t="inlineStr">
        <is>
          <t>A 56323-2025</t>
        </is>
      </c>
      <c r="B303" s="1" t="n">
        <v>45974.63583333333</v>
      </c>
      <c r="C303" s="1" t="n">
        <v>46145</v>
      </c>
      <c r="D303" t="inlineStr">
        <is>
          <t>NORRBOTTENS LÄN</t>
        </is>
      </c>
      <c r="E303" t="inlineStr">
        <is>
          <t>JOKKMOKK</t>
        </is>
      </c>
      <c r="F303" t="inlineStr">
        <is>
          <t>Övriga statliga verk och myndigheter</t>
        </is>
      </c>
      <c r="G303" t="n">
        <v>5.5</v>
      </c>
      <c r="H303" t="n">
        <v>0</v>
      </c>
      <c r="I303" t="n">
        <v>0</v>
      </c>
      <c r="J303" t="n">
        <v>0</v>
      </c>
      <c r="K303" t="n">
        <v>0</v>
      </c>
      <c r="L303" t="n">
        <v>0</v>
      </c>
      <c r="M303" t="n">
        <v>0</v>
      </c>
      <c r="N303" t="n">
        <v>0</v>
      </c>
      <c r="O303" t="n">
        <v>0</v>
      </c>
      <c r="P303" t="n">
        <v>0</v>
      </c>
      <c r="Q303" t="n">
        <v>0</v>
      </c>
      <c r="R303" s="2" t="inlineStr"/>
    </row>
    <row r="304" ht="15" customHeight="1">
      <c r="A304" t="inlineStr">
        <is>
          <t>A 56321-2025</t>
        </is>
      </c>
      <c r="B304" s="1" t="n">
        <v>45974.63530092593</v>
      </c>
      <c r="C304" s="1" t="n">
        <v>46145</v>
      </c>
      <c r="D304" t="inlineStr">
        <is>
          <t>NORRBOTTENS LÄN</t>
        </is>
      </c>
      <c r="E304" t="inlineStr">
        <is>
          <t>JOKKMOKK</t>
        </is>
      </c>
      <c r="F304" t="inlineStr">
        <is>
          <t>Övriga statliga verk och myndigheter</t>
        </is>
      </c>
      <c r="G304" t="n">
        <v>14.6</v>
      </c>
      <c r="H304" t="n">
        <v>0</v>
      </c>
      <c r="I304" t="n">
        <v>0</v>
      </c>
      <c r="J304" t="n">
        <v>0</v>
      </c>
      <c r="K304" t="n">
        <v>0</v>
      </c>
      <c r="L304" t="n">
        <v>0</v>
      </c>
      <c r="M304" t="n">
        <v>0</v>
      </c>
      <c r="N304" t="n">
        <v>0</v>
      </c>
      <c r="O304" t="n">
        <v>0</v>
      </c>
      <c r="P304" t="n">
        <v>0</v>
      </c>
      <c r="Q304" t="n">
        <v>0</v>
      </c>
      <c r="R304" s="2" t="inlineStr"/>
    </row>
    <row r="305" ht="15" customHeight="1">
      <c r="A305" t="inlineStr">
        <is>
          <t>A 56322-2025</t>
        </is>
      </c>
      <c r="B305" s="1" t="n">
        <v>45974.63550925926</v>
      </c>
      <c r="C305" s="1" t="n">
        <v>46145</v>
      </c>
      <c r="D305" t="inlineStr">
        <is>
          <t>NORRBOTTENS LÄN</t>
        </is>
      </c>
      <c r="E305" t="inlineStr">
        <is>
          <t>JOKKMOKK</t>
        </is>
      </c>
      <c r="F305" t="inlineStr">
        <is>
          <t>Övriga statliga verk och myndigheter</t>
        </is>
      </c>
      <c r="G305" t="n">
        <v>6.2</v>
      </c>
      <c r="H305" t="n">
        <v>0</v>
      </c>
      <c r="I305" t="n">
        <v>0</v>
      </c>
      <c r="J305" t="n">
        <v>0</v>
      </c>
      <c r="K305" t="n">
        <v>0</v>
      </c>
      <c r="L305" t="n">
        <v>0</v>
      </c>
      <c r="M305" t="n">
        <v>0</v>
      </c>
      <c r="N305" t="n">
        <v>0</v>
      </c>
      <c r="O305" t="n">
        <v>0</v>
      </c>
      <c r="P305" t="n">
        <v>0</v>
      </c>
      <c r="Q305" t="n">
        <v>0</v>
      </c>
      <c r="R305" s="2" t="inlineStr"/>
    </row>
    <row r="306" ht="15" customHeight="1">
      <c r="A306" t="inlineStr">
        <is>
          <t>A 56192-2025</t>
        </is>
      </c>
      <c r="B306" s="1" t="n">
        <v>45974.44472222222</v>
      </c>
      <c r="C306" s="1" t="n">
        <v>46145</v>
      </c>
      <c r="D306" t="inlineStr">
        <is>
          <t>NORRBOTTENS LÄN</t>
        </is>
      </c>
      <c r="E306" t="inlineStr">
        <is>
          <t>JOKKMOKK</t>
        </is>
      </c>
      <c r="F306" t="inlineStr">
        <is>
          <t>Sveaskog</t>
        </is>
      </c>
      <c r="G306" t="n">
        <v>3.8</v>
      </c>
      <c r="H306" t="n">
        <v>0</v>
      </c>
      <c r="I306" t="n">
        <v>0</v>
      </c>
      <c r="J306" t="n">
        <v>0</v>
      </c>
      <c r="K306" t="n">
        <v>0</v>
      </c>
      <c r="L306" t="n">
        <v>0</v>
      </c>
      <c r="M306" t="n">
        <v>0</v>
      </c>
      <c r="N306" t="n">
        <v>0</v>
      </c>
      <c r="O306" t="n">
        <v>0</v>
      </c>
      <c r="P306" t="n">
        <v>0</v>
      </c>
      <c r="Q306" t="n">
        <v>0</v>
      </c>
      <c r="R306" s="2" t="inlineStr"/>
    </row>
    <row r="307" ht="15" customHeight="1">
      <c r="A307" t="inlineStr">
        <is>
          <t>A 56193-2025</t>
        </is>
      </c>
      <c r="B307" s="1" t="n">
        <v>45974.44701388889</v>
      </c>
      <c r="C307" s="1" t="n">
        <v>46145</v>
      </c>
      <c r="D307" t="inlineStr">
        <is>
          <t>NORRBOTTENS LÄN</t>
        </is>
      </c>
      <c r="E307" t="inlineStr">
        <is>
          <t>JOKKMOKK</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71369-2021</t>
        </is>
      </c>
      <c r="B308" s="1" t="n">
        <v>44539.94476851852</v>
      </c>
      <c r="C308" s="1" t="n">
        <v>46145</v>
      </c>
      <c r="D308" t="inlineStr">
        <is>
          <t>NORRBOTTENS LÄN</t>
        </is>
      </c>
      <c r="E308" t="inlineStr">
        <is>
          <t>JOKKMOKK</t>
        </is>
      </c>
      <c r="F308" t="inlineStr">
        <is>
          <t>SCA</t>
        </is>
      </c>
      <c r="G308" t="n">
        <v>15.7</v>
      </c>
      <c r="H308" t="n">
        <v>0</v>
      </c>
      <c r="I308" t="n">
        <v>0</v>
      </c>
      <c r="J308" t="n">
        <v>0</v>
      </c>
      <c r="K308" t="n">
        <v>0</v>
      </c>
      <c r="L308" t="n">
        <v>0</v>
      </c>
      <c r="M308" t="n">
        <v>0</v>
      </c>
      <c r="N308" t="n">
        <v>0</v>
      </c>
      <c r="O308" t="n">
        <v>0</v>
      </c>
      <c r="P308" t="n">
        <v>0</v>
      </c>
      <c r="Q308" t="n">
        <v>0</v>
      </c>
      <c r="R308" s="2" t="inlineStr"/>
    </row>
    <row r="309" ht="15" customHeight="1">
      <c r="A309" t="inlineStr">
        <is>
          <t>A 56445-2025</t>
        </is>
      </c>
      <c r="B309" s="1" t="n">
        <v>45975.34825231481</v>
      </c>
      <c r="C309" s="1" t="n">
        <v>46145</v>
      </c>
      <c r="D309" t="inlineStr">
        <is>
          <t>NORRBOTTENS LÄN</t>
        </is>
      </c>
      <c r="E309" t="inlineStr">
        <is>
          <t>JOKKMOKK</t>
        </is>
      </c>
      <c r="G309" t="n">
        <v>35.7</v>
      </c>
      <c r="H309" t="n">
        <v>0</v>
      </c>
      <c r="I309" t="n">
        <v>0</v>
      </c>
      <c r="J309" t="n">
        <v>0</v>
      </c>
      <c r="K309" t="n">
        <v>0</v>
      </c>
      <c r="L309" t="n">
        <v>0</v>
      </c>
      <c r="M309" t="n">
        <v>0</v>
      </c>
      <c r="N309" t="n">
        <v>0</v>
      </c>
      <c r="O309" t="n">
        <v>0</v>
      </c>
      <c r="P309" t="n">
        <v>0</v>
      </c>
      <c r="Q309" t="n">
        <v>0</v>
      </c>
      <c r="R309" s="2" t="inlineStr"/>
    </row>
    <row r="310" ht="15" customHeight="1">
      <c r="A310" t="inlineStr">
        <is>
          <t>A 59793-2024</t>
        </is>
      </c>
      <c r="B310" s="1" t="n">
        <v>45639.58967592593</v>
      </c>
      <c r="C310" s="1" t="n">
        <v>46145</v>
      </c>
      <c r="D310" t="inlineStr">
        <is>
          <t>NORRBOTTENS LÄN</t>
        </is>
      </c>
      <c r="E310" t="inlineStr">
        <is>
          <t>JOKKMOKK</t>
        </is>
      </c>
      <c r="F310" t="inlineStr">
        <is>
          <t>Sveaskog</t>
        </is>
      </c>
      <c r="G310" t="n">
        <v>10.8</v>
      </c>
      <c r="H310" t="n">
        <v>0</v>
      </c>
      <c r="I310" t="n">
        <v>0</v>
      </c>
      <c r="J310" t="n">
        <v>0</v>
      </c>
      <c r="K310" t="n">
        <v>0</v>
      </c>
      <c r="L310" t="n">
        <v>0</v>
      </c>
      <c r="M310" t="n">
        <v>0</v>
      </c>
      <c r="N310" t="n">
        <v>0</v>
      </c>
      <c r="O310" t="n">
        <v>0</v>
      </c>
      <c r="P310" t="n">
        <v>0</v>
      </c>
      <c r="Q310" t="n">
        <v>0</v>
      </c>
      <c r="R310" s="2" t="inlineStr"/>
    </row>
    <row r="311" ht="15" customHeight="1">
      <c r="A311" t="inlineStr">
        <is>
          <t>A 56507-2025</t>
        </is>
      </c>
      <c r="B311" s="1" t="n">
        <v>45975</v>
      </c>
      <c r="C311" s="1" t="n">
        <v>46145</v>
      </c>
      <c r="D311" t="inlineStr">
        <is>
          <t>NORRBOTTENS LÄN</t>
        </is>
      </c>
      <c r="E311" t="inlineStr">
        <is>
          <t>JOKKMOKK</t>
        </is>
      </c>
      <c r="F311" t="inlineStr">
        <is>
          <t>Allmännings- och besparingsskogar</t>
        </is>
      </c>
      <c r="G311" t="n">
        <v>20</v>
      </c>
      <c r="H311" t="n">
        <v>0</v>
      </c>
      <c r="I311" t="n">
        <v>0</v>
      </c>
      <c r="J311" t="n">
        <v>0</v>
      </c>
      <c r="K311" t="n">
        <v>0</v>
      </c>
      <c r="L311" t="n">
        <v>0</v>
      </c>
      <c r="M311" t="n">
        <v>0</v>
      </c>
      <c r="N311" t="n">
        <v>0</v>
      </c>
      <c r="O311" t="n">
        <v>0</v>
      </c>
      <c r="P311" t="n">
        <v>0</v>
      </c>
      <c r="Q311" t="n">
        <v>0</v>
      </c>
      <c r="R311" s="2" t="inlineStr"/>
    </row>
    <row r="312" ht="15" customHeight="1">
      <c r="A312" t="inlineStr">
        <is>
          <t>A 13864-2025</t>
        </is>
      </c>
      <c r="B312" s="1" t="n">
        <v>45737</v>
      </c>
      <c r="C312" s="1" t="n">
        <v>46145</v>
      </c>
      <c r="D312" t="inlineStr">
        <is>
          <t>NORRBOTTENS LÄN</t>
        </is>
      </c>
      <c r="E312" t="inlineStr">
        <is>
          <t>JOKKMOKK</t>
        </is>
      </c>
      <c r="G312" t="n">
        <v>1.7</v>
      </c>
      <c r="H312" t="n">
        <v>0</v>
      </c>
      <c r="I312" t="n">
        <v>0</v>
      </c>
      <c r="J312" t="n">
        <v>0</v>
      </c>
      <c r="K312" t="n">
        <v>0</v>
      </c>
      <c r="L312" t="n">
        <v>0</v>
      </c>
      <c r="M312" t="n">
        <v>0</v>
      </c>
      <c r="N312" t="n">
        <v>0</v>
      </c>
      <c r="O312" t="n">
        <v>0</v>
      </c>
      <c r="P312" t="n">
        <v>0</v>
      </c>
      <c r="Q312" t="n">
        <v>0</v>
      </c>
      <c r="R312" s="2" t="inlineStr"/>
    </row>
    <row r="313" ht="15" customHeight="1">
      <c r="A313" t="inlineStr">
        <is>
          <t>A 39684-2023</t>
        </is>
      </c>
      <c r="B313" s="1" t="n">
        <v>45166</v>
      </c>
      <c r="C313" s="1" t="n">
        <v>46145</v>
      </c>
      <c r="D313" t="inlineStr">
        <is>
          <t>NORRBOTTENS LÄN</t>
        </is>
      </c>
      <c r="E313" t="inlineStr">
        <is>
          <t>JOKKMOKK</t>
        </is>
      </c>
      <c r="G313" t="n">
        <v>6.8</v>
      </c>
      <c r="H313" t="n">
        <v>0</v>
      </c>
      <c r="I313" t="n">
        <v>0</v>
      </c>
      <c r="J313" t="n">
        <v>0</v>
      </c>
      <c r="K313" t="n">
        <v>0</v>
      </c>
      <c r="L313" t="n">
        <v>0</v>
      </c>
      <c r="M313" t="n">
        <v>0</v>
      </c>
      <c r="N313" t="n">
        <v>0</v>
      </c>
      <c r="O313" t="n">
        <v>0</v>
      </c>
      <c r="P313" t="n">
        <v>0</v>
      </c>
      <c r="Q313" t="n">
        <v>0</v>
      </c>
      <c r="R313" s="2" t="inlineStr"/>
    </row>
    <row r="314" ht="15" customHeight="1">
      <c r="A314" t="inlineStr">
        <is>
          <t>A 57167-2025</t>
        </is>
      </c>
      <c r="B314" s="1" t="n">
        <v>45979.54135416666</v>
      </c>
      <c r="C314" s="1" t="n">
        <v>46145</v>
      </c>
      <c r="D314" t="inlineStr">
        <is>
          <t>NORRBOTTENS LÄN</t>
        </is>
      </c>
      <c r="E314" t="inlineStr">
        <is>
          <t>JOKKMOKK</t>
        </is>
      </c>
      <c r="F314" t="inlineStr">
        <is>
          <t>Allmännings- och besparingsskogar</t>
        </is>
      </c>
      <c r="G314" t="n">
        <v>12.8</v>
      </c>
      <c r="H314" t="n">
        <v>0</v>
      </c>
      <c r="I314" t="n">
        <v>0</v>
      </c>
      <c r="J314" t="n">
        <v>0</v>
      </c>
      <c r="K314" t="n">
        <v>0</v>
      </c>
      <c r="L314" t="n">
        <v>0</v>
      </c>
      <c r="M314" t="n">
        <v>0</v>
      </c>
      <c r="N314" t="n">
        <v>0</v>
      </c>
      <c r="O314" t="n">
        <v>0</v>
      </c>
      <c r="P314" t="n">
        <v>0</v>
      </c>
      <c r="Q314" t="n">
        <v>0</v>
      </c>
      <c r="R314" s="2" t="inlineStr"/>
    </row>
    <row r="315" ht="15" customHeight="1">
      <c r="A315" t="inlineStr">
        <is>
          <t>A 57256-2025</t>
        </is>
      </c>
      <c r="B315" s="1" t="n">
        <v>45979.65127314815</v>
      </c>
      <c r="C315" s="1" t="n">
        <v>46145</v>
      </c>
      <c r="D315" t="inlineStr">
        <is>
          <t>NORRBOTTENS LÄN</t>
        </is>
      </c>
      <c r="E315" t="inlineStr">
        <is>
          <t>JOKKMOKK</t>
        </is>
      </c>
      <c r="F315" t="inlineStr">
        <is>
          <t>Allmännings- och besparingsskogar</t>
        </is>
      </c>
      <c r="G315" t="n">
        <v>12.3</v>
      </c>
      <c r="H315" t="n">
        <v>0</v>
      </c>
      <c r="I315" t="n">
        <v>0</v>
      </c>
      <c r="J315" t="n">
        <v>0</v>
      </c>
      <c r="K315" t="n">
        <v>0</v>
      </c>
      <c r="L315" t="n">
        <v>0</v>
      </c>
      <c r="M315" t="n">
        <v>0</v>
      </c>
      <c r="N315" t="n">
        <v>0</v>
      </c>
      <c r="O315" t="n">
        <v>0</v>
      </c>
      <c r="P315" t="n">
        <v>0</v>
      </c>
      <c r="Q315" t="n">
        <v>0</v>
      </c>
      <c r="R315" s="2" t="inlineStr"/>
    </row>
    <row r="316" ht="15" customHeight="1">
      <c r="A316" t="inlineStr">
        <is>
          <t>A 9860-2023</t>
        </is>
      </c>
      <c r="B316" s="1" t="n">
        <v>44984</v>
      </c>
      <c r="C316" s="1" t="n">
        <v>46145</v>
      </c>
      <c r="D316" t="inlineStr">
        <is>
          <t>NORRBOTTENS LÄN</t>
        </is>
      </c>
      <c r="E316" t="inlineStr">
        <is>
          <t>JOKKMOKK</t>
        </is>
      </c>
      <c r="F316" t="inlineStr">
        <is>
          <t>SCA</t>
        </is>
      </c>
      <c r="G316" t="n">
        <v>8</v>
      </c>
      <c r="H316" t="n">
        <v>0</v>
      </c>
      <c r="I316" t="n">
        <v>0</v>
      </c>
      <c r="J316" t="n">
        <v>0</v>
      </c>
      <c r="K316" t="n">
        <v>0</v>
      </c>
      <c r="L316" t="n">
        <v>0</v>
      </c>
      <c r="M316" t="n">
        <v>0</v>
      </c>
      <c r="N316" t="n">
        <v>0</v>
      </c>
      <c r="O316" t="n">
        <v>0</v>
      </c>
      <c r="P316" t="n">
        <v>0</v>
      </c>
      <c r="Q316" t="n">
        <v>0</v>
      </c>
      <c r="R316" s="2" t="inlineStr"/>
    </row>
    <row r="317" ht="15" customHeight="1">
      <c r="A317" t="inlineStr">
        <is>
          <t>A 9863-2023</t>
        </is>
      </c>
      <c r="B317" s="1" t="n">
        <v>44984</v>
      </c>
      <c r="C317" s="1" t="n">
        <v>46145</v>
      </c>
      <c r="D317" t="inlineStr">
        <is>
          <t>NORRBOTTENS LÄN</t>
        </is>
      </c>
      <c r="E317" t="inlineStr">
        <is>
          <t>JOKKMOKK</t>
        </is>
      </c>
      <c r="F317" t="inlineStr">
        <is>
          <t>SCA</t>
        </is>
      </c>
      <c r="G317" t="n">
        <v>14.4</v>
      </c>
      <c r="H317" t="n">
        <v>0</v>
      </c>
      <c r="I317" t="n">
        <v>0</v>
      </c>
      <c r="J317" t="n">
        <v>0</v>
      </c>
      <c r="K317" t="n">
        <v>0</v>
      </c>
      <c r="L317" t="n">
        <v>0</v>
      </c>
      <c r="M317" t="n">
        <v>0</v>
      </c>
      <c r="N317" t="n">
        <v>0</v>
      </c>
      <c r="O317" t="n">
        <v>0</v>
      </c>
      <c r="P317" t="n">
        <v>0</v>
      </c>
      <c r="Q317" t="n">
        <v>0</v>
      </c>
      <c r="R317" s="2" t="inlineStr"/>
    </row>
    <row r="318" ht="15" customHeight="1">
      <c r="A318" t="inlineStr">
        <is>
          <t>A 9872-2023</t>
        </is>
      </c>
      <c r="B318" s="1" t="n">
        <v>44984</v>
      </c>
      <c r="C318" s="1" t="n">
        <v>46145</v>
      </c>
      <c r="D318" t="inlineStr">
        <is>
          <t>NORRBOTTENS LÄN</t>
        </is>
      </c>
      <c r="E318" t="inlineStr">
        <is>
          <t>JOKKMOKK</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9873-2023</t>
        </is>
      </c>
      <c r="B319" s="1" t="n">
        <v>44984</v>
      </c>
      <c r="C319" s="1" t="n">
        <v>46145</v>
      </c>
      <c r="D319" t="inlineStr">
        <is>
          <t>NORRBOTTENS LÄN</t>
        </is>
      </c>
      <c r="E319" t="inlineStr">
        <is>
          <t>JOKKMOKK</t>
        </is>
      </c>
      <c r="G319" t="n">
        <v>1.6</v>
      </c>
      <c r="H319" t="n">
        <v>0</v>
      </c>
      <c r="I319" t="n">
        <v>0</v>
      </c>
      <c r="J319" t="n">
        <v>0</v>
      </c>
      <c r="K319" t="n">
        <v>0</v>
      </c>
      <c r="L319" t="n">
        <v>0</v>
      </c>
      <c r="M319" t="n">
        <v>0</v>
      </c>
      <c r="N319" t="n">
        <v>0</v>
      </c>
      <c r="O319" t="n">
        <v>0</v>
      </c>
      <c r="P319" t="n">
        <v>0</v>
      </c>
      <c r="Q319" t="n">
        <v>0</v>
      </c>
      <c r="R319" s="2" t="inlineStr"/>
    </row>
    <row r="320" ht="15" customHeight="1">
      <c r="A320" t="inlineStr">
        <is>
          <t>A 9877-2023</t>
        </is>
      </c>
      <c r="B320" s="1" t="n">
        <v>44984.94033564815</v>
      </c>
      <c r="C320" s="1" t="n">
        <v>46145</v>
      </c>
      <c r="D320" t="inlineStr">
        <is>
          <t>NORRBOTTENS LÄN</t>
        </is>
      </c>
      <c r="E320" t="inlineStr">
        <is>
          <t>JOKKMOKK</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58133-2025</t>
        </is>
      </c>
      <c r="B321" s="1" t="n">
        <v>45982.61763888889</v>
      </c>
      <c r="C321" s="1" t="n">
        <v>46145</v>
      </c>
      <c r="D321" t="inlineStr">
        <is>
          <t>NORRBOTTENS LÄN</t>
        </is>
      </c>
      <c r="E321" t="inlineStr">
        <is>
          <t>JOKKMOKK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17784-2025</t>
        </is>
      </c>
      <c r="B322" s="1" t="n">
        <v>45758</v>
      </c>
      <c r="C322" s="1" t="n">
        <v>46145</v>
      </c>
      <c r="D322" t="inlineStr">
        <is>
          <t>NORRBOTTENS LÄN</t>
        </is>
      </c>
      <c r="E322" t="inlineStr">
        <is>
          <t>JOKKMOKK</t>
        </is>
      </c>
      <c r="F322" t="inlineStr">
        <is>
          <t>SCA</t>
        </is>
      </c>
      <c r="G322" t="n">
        <v>11.2</v>
      </c>
      <c r="H322" t="n">
        <v>0</v>
      </c>
      <c r="I322" t="n">
        <v>0</v>
      </c>
      <c r="J322" t="n">
        <v>0</v>
      </c>
      <c r="K322" t="n">
        <v>0</v>
      </c>
      <c r="L322" t="n">
        <v>0</v>
      </c>
      <c r="M322" t="n">
        <v>0</v>
      </c>
      <c r="N322" t="n">
        <v>0</v>
      </c>
      <c r="O322" t="n">
        <v>0</v>
      </c>
      <c r="P322" t="n">
        <v>0</v>
      </c>
      <c r="Q322" t="n">
        <v>0</v>
      </c>
      <c r="R322" s="2" t="inlineStr"/>
    </row>
    <row r="323" ht="15" customHeight="1">
      <c r="A323" t="inlineStr">
        <is>
          <t>A 16018-2024</t>
        </is>
      </c>
      <c r="B323" s="1" t="n">
        <v>45405.67028935185</v>
      </c>
      <c r="C323" s="1" t="n">
        <v>46145</v>
      </c>
      <c r="D323" t="inlineStr">
        <is>
          <t>NORRBOTTENS LÄN</t>
        </is>
      </c>
      <c r="E323" t="inlineStr">
        <is>
          <t>JOKKMOKK</t>
        </is>
      </c>
      <c r="G323" t="n">
        <v>1.8</v>
      </c>
      <c r="H323" t="n">
        <v>0</v>
      </c>
      <c r="I323" t="n">
        <v>0</v>
      </c>
      <c r="J323" t="n">
        <v>0</v>
      </c>
      <c r="K323" t="n">
        <v>0</v>
      </c>
      <c r="L323" t="n">
        <v>0</v>
      </c>
      <c r="M323" t="n">
        <v>0</v>
      </c>
      <c r="N323" t="n">
        <v>0</v>
      </c>
      <c r="O323" t="n">
        <v>0</v>
      </c>
      <c r="P323" t="n">
        <v>0</v>
      </c>
      <c r="Q323" t="n">
        <v>0</v>
      </c>
      <c r="R323" s="2" t="inlineStr"/>
    </row>
    <row r="324" ht="15" customHeight="1">
      <c r="A324" t="inlineStr">
        <is>
          <t>A 32899-2023</t>
        </is>
      </c>
      <c r="B324" s="1" t="n">
        <v>45124</v>
      </c>
      <c r="C324" s="1" t="n">
        <v>46145</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58609-2025</t>
        </is>
      </c>
      <c r="B325" s="1" t="n">
        <v>45986</v>
      </c>
      <c r="C325" s="1" t="n">
        <v>46145</v>
      </c>
      <c r="D325" t="inlineStr">
        <is>
          <t>NORRBOTTENS LÄN</t>
        </is>
      </c>
      <c r="E325" t="inlineStr">
        <is>
          <t>JOKKMOKK</t>
        </is>
      </c>
      <c r="G325" t="n">
        <v>6.5</v>
      </c>
      <c r="H325" t="n">
        <v>0</v>
      </c>
      <c r="I325" t="n">
        <v>0</v>
      </c>
      <c r="J325" t="n">
        <v>0</v>
      </c>
      <c r="K325" t="n">
        <v>0</v>
      </c>
      <c r="L325" t="n">
        <v>0</v>
      </c>
      <c r="M325" t="n">
        <v>0</v>
      </c>
      <c r="N325" t="n">
        <v>0</v>
      </c>
      <c r="O325" t="n">
        <v>0</v>
      </c>
      <c r="P325" t="n">
        <v>0</v>
      </c>
      <c r="Q325" t="n">
        <v>0</v>
      </c>
      <c r="R325" s="2" t="inlineStr"/>
    </row>
    <row r="326" ht="15" customHeight="1">
      <c r="A326" t="inlineStr">
        <is>
          <t>A 58404-2025</t>
        </is>
      </c>
      <c r="B326" s="1" t="n">
        <v>45985.56795138889</v>
      </c>
      <c r="C326" s="1" t="n">
        <v>46145</v>
      </c>
      <c r="D326" t="inlineStr">
        <is>
          <t>NORRBOTTENS LÄN</t>
        </is>
      </c>
      <c r="E326" t="inlineStr">
        <is>
          <t>JOKKMOKK</t>
        </is>
      </c>
      <c r="F326" t="inlineStr">
        <is>
          <t>Övriga statliga verk och myndigheter</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58418-2025</t>
        </is>
      </c>
      <c r="B327" s="1" t="n">
        <v>45985.58361111111</v>
      </c>
      <c r="C327" s="1" t="n">
        <v>46145</v>
      </c>
      <c r="D327" t="inlineStr">
        <is>
          <t>NORRBOTTENS LÄN</t>
        </is>
      </c>
      <c r="E327" t="inlineStr">
        <is>
          <t>JOKKMOKK</t>
        </is>
      </c>
      <c r="F327" t="inlineStr">
        <is>
          <t>Övriga statliga verk och myndigheter</t>
        </is>
      </c>
      <c r="G327" t="n">
        <v>18.1</v>
      </c>
      <c r="H327" t="n">
        <v>0</v>
      </c>
      <c r="I327" t="n">
        <v>0</v>
      </c>
      <c r="J327" t="n">
        <v>0</v>
      </c>
      <c r="K327" t="n">
        <v>0</v>
      </c>
      <c r="L327" t="n">
        <v>0</v>
      </c>
      <c r="M327" t="n">
        <v>0</v>
      </c>
      <c r="N327" t="n">
        <v>0</v>
      </c>
      <c r="O327" t="n">
        <v>0</v>
      </c>
      <c r="P327" t="n">
        <v>0</v>
      </c>
      <c r="Q327" t="n">
        <v>0</v>
      </c>
      <c r="R327" s="2" t="inlineStr"/>
    </row>
    <row r="328" ht="15" customHeight="1">
      <c r="A328" t="inlineStr">
        <is>
          <t>A 58419-2025</t>
        </is>
      </c>
      <c r="B328" s="1" t="n">
        <v>45985.58466435185</v>
      </c>
      <c r="C328" s="1" t="n">
        <v>46145</v>
      </c>
      <c r="D328" t="inlineStr">
        <is>
          <t>NORRBOTTENS LÄN</t>
        </is>
      </c>
      <c r="E328" t="inlineStr">
        <is>
          <t>JOKKMOKK</t>
        </is>
      </c>
      <c r="F328" t="inlineStr">
        <is>
          <t>Övriga statliga verk och myndigheter</t>
        </is>
      </c>
      <c r="G328" t="n">
        <v>3.5</v>
      </c>
      <c r="H328" t="n">
        <v>0</v>
      </c>
      <c r="I328" t="n">
        <v>0</v>
      </c>
      <c r="J328" t="n">
        <v>0</v>
      </c>
      <c r="K328" t="n">
        <v>0</v>
      </c>
      <c r="L328" t="n">
        <v>0</v>
      </c>
      <c r="M328" t="n">
        <v>0</v>
      </c>
      <c r="N328" t="n">
        <v>0</v>
      </c>
      <c r="O328" t="n">
        <v>0</v>
      </c>
      <c r="P328" t="n">
        <v>0</v>
      </c>
      <c r="Q328" t="n">
        <v>0</v>
      </c>
      <c r="R328" s="2" t="inlineStr"/>
    </row>
    <row r="329" ht="15" customHeight="1">
      <c r="A329" t="inlineStr">
        <is>
          <t>A 56073-2025</t>
        </is>
      </c>
      <c r="B329" s="1" t="n">
        <v>45973</v>
      </c>
      <c r="C329" s="1" t="n">
        <v>46145</v>
      </c>
      <c r="D329" t="inlineStr">
        <is>
          <t>NORRBOTTENS LÄN</t>
        </is>
      </c>
      <c r="E329" t="inlineStr">
        <is>
          <t>JOKKMOKK</t>
        </is>
      </c>
      <c r="F329" t="inlineStr">
        <is>
          <t>Naturvårdsverket</t>
        </is>
      </c>
      <c r="G329" t="n">
        <v>8.1</v>
      </c>
      <c r="H329" t="n">
        <v>0</v>
      </c>
      <c r="I329" t="n">
        <v>0</v>
      </c>
      <c r="J329" t="n">
        <v>0</v>
      </c>
      <c r="K329" t="n">
        <v>0</v>
      </c>
      <c r="L329" t="n">
        <v>0</v>
      </c>
      <c r="M329" t="n">
        <v>0</v>
      </c>
      <c r="N329" t="n">
        <v>0</v>
      </c>
      <c r="O329" t="n">
        <v>0</v>
      </c>
      <c r="P329" t="n">
        <v>0</v>
      </c>
      <c r="Q329" t="n">
        <v>0</v>
      </c>
      <c r="R329" s="2" t="inlineStr"/>
    </row>
    <row r="330" ht="15" customHeight="1">
      <c r="A330" t="inlineStr">
        <is>
          <t>A 14869-2025</t>
        </is>
      </c>
      <c r="B330" s="1" t="n">
        <v>45743</v>
      </c>
      <c r="C330" s="1" t="n">
        <v>46145</v>
      </c>
      <c r="D330" t="inlineStr">
        <is>
          <t>NORRBOTTENS LÄN</t>
        </is>
      </c>
      <c r="E330" t="inlineStr">
        <is>
          <t>JOKKMOKK</t>
        </is>
      </c>
      <c r="G330" t="n">
        <v>4.9</v>
      </c>
      <c r="H330" t="n">
        <v>0</v>
      </c>
      <c r="I330" t="n">
        <v>0</v>
      </c>
      <c r="J330" t="n">
        <v>0</v>
      </c>
      <c r="K330" t="n">
        <v>0</v>
      </c>
      <c r="L330" t="n">
        <v>0</v>
      </c>
      <c r="M330" t="n">
        <v>0</v>
      </c>
      <c r="N330" t="n">
        <v>0</v>
      </c>
      <c r="O330" t="n">
        <v>0</v>
      </c>
      <c r="P330" t="n">
        <v>0</v>
      </c>
      <c r="Q330" t="n">
        <v>0</v>
      </c>
      <c r="R330" s="2" t="inlineStr"/>
    </row>
    <row r="331" ht="15" customHeight="1">
      <c r="A331" t="inlineStr">
        <is>
          <t>A 59074-2025</t>
        </is>
      </c>
      <c r="B331" s="1" t="n">
        <v>45988.42763888889</v>
      </c>
      <c r="C331" s="1" t="n">
        <v>46145</v>
      </c>
      <c r="D331" t="inlineStr">
        <is>
          <t>NORRBOTTENS LÄN</t>
        </is>
      </c>
      <c r="E331" t="inlineStr">
        <is>
          <t>JOKKMOKK</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3055-2025</t>
        </is>
      </c>
      <c r="B332" s="1" t="n">
        <v>45678.61530092593</v>
      </c>
      <c r="C332" s="1" t="n">
        <v>46145</v>
      </c>
      <c r="D332" t="inlineStr">
        <is>
          <t>NORRBOTTENS LÄN</t>
        </is>
      </c>
      <c r="E332" t="inlineStr">
        <is>
          <t>JOKKMOKK</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42639-2024</t>
        </is>
      </c>
      <c r="B333" s="1" t="n">
        <v>45565.91135416667</v>
      </c>
      <c r="C333" s="1" t="n">
        <v>46145</v>
      </c>
      <c r="D333" t="inlineStr">
        <is>
          <t>NORRBOTTENS LÄN</t>
        </is>
      </c>
      <c r="E333" t="inlineStr">
        <is>
          <t>JOKKMOKK</t>
        </is>
      </c>
      <c r="G333" t="n">
        <v>34.5</v>
      </c>
      <c r="H333" t="n">
        <v>0</v>
      </c>
      <c r="I333" t="n">
        <v>0</v>
      </c>
      <c r="J333" t="n">
        <v>0</v>
      </c>
      <c r="K333" t="n">
        <v>0</v>
      </c>
      <c r="L333" t="n">
        <v>0</v>
      </c>
      <c r="M333" t="n">
        <v>0</v>
      </c>
      <c r="N333" t="n">
        <v>0</v>
      </c>
      <c r="O333" t="n">
        <v>0</v>
      </c>
      <c r="P333" t="n">
        <v>0</v>
      </c>
      <c r="Q333" t="n">
        <v>0</v>
      </c>
      <c r="R333" s="2" t="inlineStr"/>
    </row>
    <row r="334" ht="15" customHeight="1">
      <c r="A334" t="inlineStr">
        <is>
          <t>A 10630-2025</t>
        </is>
      </c>
      <c r="B334" s="1" t="n">
        <v>45721</v>
      </c>
      <c r="C334" s="1" t="n">
        <v>46145</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52181-2023</t>
        </is>
      </c>
      <c r="B335" s="1" t="n">
        <v>45224</v>
      </c>
      <c r="C335" s="1" t="n">
        <v>46145</v>
      </c>
      <c r="D335" t="inlineStr">
        <is>
          <t>NORRBOTTENS LÄN</t>
        </is>
      </c>
      <c r="E335" t="inlineStr">
        <is>
          <t>JOKKMOKK</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60155-2025</t>
        </is>
      </c>
      <c r="B336" s="1" t="n">
        <v>45994.42386574074</v>
      </c>
      <c r="C336" s="1" t="n">
        <v>46145</v>
      </c>
      <c r="D336" t="inlineStr">
        <is>
          <t>NORRBOTTENS LÄN</t>
        </is>
      </c>
      <c r="E336" t="inlineStr">
        <is>
          <t>JOKKMOKK</t>
        </is>
      </c>
      <c r="F336" t="inlineStr">
        <is>
          <t>Övriga statliga verk och myndigheter</t>
        </is>
      </c>
      <c r="G336" t="n">
        <v>2.7</v>
      </c>
      <c r="H336" t="n">
        <v>0</v>
      </c>
      <c r="I336" t="n">
        <v>0</v>
      </c>
      <c r="J336" t="n">
        <v>0</v>
      </c>
      <c r="K336" t="n">
        <v>0</v>
      </c>
      <c r="L336" t="n">
        <v>0</v>
      </c>
      <c r="M336" t="n">
        <v>0</v>
      </c>
      <c r="N336" t="n">
        <v>0</v>
      </c>
      <c r="O336" t="n">
        <v>0</v>
      </c>
      <c r="P336" t="n">
        <v>0</v>
      </c>
      <c r="Q336" t="n">
        <v>0</v>
      </c>
      <c r="R336" s="2" t="inlineStr"/>
    </row>
    <row r="337" ht="15" customHeight="1">
      <c r="A337" t="inlineStr">
        <is>
          <t>A 50651-2024</t>
        </is>
      </c>
      <c r="B337" s="1" t="n">
        <v>45601.70364583333</v>
      </c>
      <c r="C337" s="1" t="n">
        <v>46145</v>
      </c>
      <c r="D337" t="inlineStr">
        <is>
          <t>NORRBOTTENS LÄN</t>
        </is>
      </c>
      <c r="E337" t="inlineStr">
        <is>
          <t>JOKKMOKK</t>
        </is>
      </c>
      <c r="F337" t="inlineStr">
        <is>
          <t>Allmännings- och besparingsskogar</t>
        </is>
      </c>
      <c r="G337" t="n">
        <v>6.1</v>
      </c>
      <c r="H337" t="n">
        <v>0</v>
      </c>
      <c r="I337" t="n">
        <v>0</v>
      </c>
      <c r="J337" t="n">
        <v>0</v>
      </c>
      <c r="K337" t="n">
        <v>0</v>
      </c>
      <c r="L337" t="n">
        <v>0</v>
      </c>
      <c r="M337" t="n">
        <v>0</v>
      </c>
      <c r="N337" t="n">
        <v>0</v>
      </c>
      <c r="O337" t="n">
        <v>0</v>
      </c>
      <c r="P337" t="n">
        <v>0</v>
      </c>
      <c r="Q337" t="n">
        <v>0</v>
      </c>
      <c r="R337" s="2" t="inlineStr"/>
    </row>
    <row r="338" ht="15" customHeight="1">
      <c r="A338" t="inlineStr">
        <is>
          <t>A 40432-2024</t>
        </is>
      </c>
      <c r="B338" s="1" t="n">
        <v>45555.47401620371</v>
      </c>
      <c r="C338" s="1" t="n">
        <v>46145</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7845-2024</t>
        </is>
      </c>
      <c r="B339" s="1" t="n">
        <v>45349</v>
      </c>
      <c r="C339" s="1" t="n">
        <v>46145</v>
      </c>
      <c r="D339" t="inlineStr">
        <is>
          <t>NORRBOTTENS LÄN</t>
        </is>
      </c>
      <c r="E339" t="inlineStr">
        <is>
          <t>JOKKMOKK</t>
        </is>
      </c>
      <c r="G339" t="n">
        <v>3</v>
      </c>
      <c r="H339" t="n">
        <v>0</v>
      </c>
      <c r="I339" t="n">
        <v>0</v>
      </c>
      <c r="J339" t="n">
        <v>0</v>
      </c>
      <c r="K339" t="n">
        <v>0</v>
      </c>
      <c r="L339" t="n">
        <v>0</v>
      </c>
      <c r="M339" t="n">
        <v>0</v>
      </c>
      <c r="N339" t="n">
        <v>0</v>
      </c>
      <c r="O339" t="n">
        <v>0</v>
      </c>
      <c r="P339" t="n">
        <v>0</v>
      </c>
      <c r="Q339" t="n">
        <v>0</v>
      </c>
      <c r="R339" s="2" t="inlineStr"/>
    </row>
    <row r="340" ht="15" customHeight="1">
      <c r="A340" t="inlineStr">
        <is>
          <t>A 60404-2025</t>
        </is>
      </c>
      <c r="B340" s="1" t="n">
        <v>45995.42780092593</v>
      </c>
      <c r="C340" s="1" t="n">
        <v>46145</v>
      </c>
      <c r="D340" t="inlineStr">
        <is>
          <t>NORRBOTTENS LÄN</t>
        </is>
      </c>
      <c r="E340" t="inlineStr">
        <is>
          <t>JOKKMOKK</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60408-2025</t>
        </is>
      </c>
      <c r="B341" s="1" t="n">
        <v>45995</v>
      </c>
      <c r="C341" s="1" t="n">
        <v>46145</v>
      </c>
      <c r="D341" t="inlineStr">
        <is>
          <t>NORRBOTTENS LÄN</t>
        </is>
      </c>
      <c r="E341" t="inlineStr">
        <is>
          <t>JOKKMOKK</t>
        </is>
      </c>
      <c r="F341" t="inlineStr">
        <is>
          <t>Övriga statliga verk och myndigheter</t>
        </is>
      </c>
      <c r="G341" t="n">
        <v>9.6</v>
      </c>
      <c r="H341" t="n">
        <v>0</v>
      </c>
      <c r="I341" t="n">
        <v>0</v>
      </c>
      <c r="J341" t="n">
        <v>0</v>
      </c>
      <c r="K341" t="n">
        <v>0</v>
      </c>
      <c r="L341" t="n">
        <v>0</v>
      </c>
      <c r="M341" t="n">
        <v>0</v>
      </c>
      <c r="N341" t="n">
        <v>0</v>
      </c>
      <c r="O341" t="n">
        <v>0</v>
      </c>
      <c r="P341" t="n">
        <v>0</v>
      </c>
      <c r="Q341" t="n">
        <v>0</v>
      </c>
      <c r="R341" s="2" t="inlineStr"/>
    </row>
    <row r="342" ht="15" customHeight="1">
      <c r="A342" t="inlineStr">
        <is>
          <t>A 11657-2024</t>
        </is>
      </c>
      <c r="B342" s="1" t="n">
        <v>45373</v>
      </c>
      <c r="C342" s="1" t="n">
        <v>46145</v>
      </c>
      <c r="D342" t="inlineStr">
        <is>
          <t>NORRBOTTENS LÄN</t>
        </is>
      </c>
      <c r="E342" t="inlineStr">
        <is>
          <t>JOKKMOKK</t>
        </is>
      </c>
      <c r="G342" t="n">
        <v>14.3</v>
      </c>
      <c r="H342" t="n">
        <v>0</v>
      </c>
      <c r="I342" t="n">
        <v>0</v>
      </c>
      <c r="J342" t="n">
        <v>0</v>
      </c>
      <c r="K342" t="n">
        <v>0</v>
      </c>
      <c r="L342" t="n">
        <v>0</v>
      </c>
      <c r="M342" t="n">
        <v>0</v>
      </c>
      <c r="N342" t="n">
        <v>0</v>
      </c>
      <c r="O342" t="n">
        <v>0</v>
      </c>
      <c r="P342" t="n">
        <v>0</v>
      </c>
      <c r="Q342" t="n">
        <v>0</v>
      </c>
      <c r="R342" s="2" t="inlineStr"/>
    </row>
    <row r="343" ht="15" customHeight="1">
      <c r="A343" t="inlineStr">
        <is>
          <t>A 52240-2025</t>
        </is>
      </c>
      <c r="B343" s="1" t="n">
        <v>45953</v>
      </c>
      <c r="C343" s="1" t="n">
        <v>46145</v>
      </c>
      <c r="D343" t="inlineStr">
        <is>
          <t>NORRBOTTENS LÄN</t>
        </is>
      </c>
      <c r="E343" t="inlineStr">
        <is>
          <t>JOKKMOKK</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35749-2025</t>
        </is>
      </c>
      <c r="B344" s="1" t="n">
        <v>45860</v>
      </c>
      <c r="C344" s="1" t="n">
        <v>46145</v>
      </c>
      <c r="D344" t="inlineStr">
        <is>
          <t>NORRBOTTENS LÄN</t>
        </is>
      </c>
      <c r="E344" t="inlineStr">
        <is>
          <t>JOKKMOKK</t>
        </is>
      </c>
      <c r="G344" t="n">
        <v>4.2</v>
      </c>
      <c r="H344" t="n">
        <v>0</v>
      </c>
      <c r="I344" t="n">
        <v>0</v>
      </c>
      <c r="J344" t="n">
        <v>0</v>
      </c>
      <c r="K344" t="n">
        <v>0</v>
      </c>
      <c r="L344" t="n">
        <v>0</v>
      </c>
      <c r="M344" t="n">
        <v>0</v>
      </c>
      <c r="N344" t="n">
        <v>0</v>
      </c>
      <c r="O344" t="n">
        <v>0</v>
      </c>
      <c r="P344" t="n">
        <v>0</v>
      </c>
      <c r="Q344" t="n">
        <v>0</v>
      </c>
      <c r="R344" s="2" t="inlineStr"/>
    </row>
    <row r="345" ht="15" customHeight="1">
      <c r="A345" t="inlineStr">
        <is>
          <t>A 30292-2023</t>
        </is>
      </c>
      <c r="B345" s="1" t="n">
        <v>45110</v>
      </c>
      <c r="C345" s="1" t="n">
        <v>46145</v>
      </c>
      <c r="D345" t="inlineStr">
        <is>
          <t>NORRBOTTENS LÄN</t>
        </is>
      </c>
      <c r="E345" t="inlineStr">
        <is>
          <t>JOKKMOKK</t>
        </is>
      </c>
      <c r="G345" t="n">
        <v>1.4</v>
      </c>
      <c r="H345" t="n">
        <v>0</v>
      </c>
      <c r="I345" t="n">
        <v>0</v>
      </c>
      <c r="J345" t="n">
        <v>0</v>
      </c>
      <c r="K345" t="n">
        <v>0</v>
      </c>
      <c r="L345" t="n">
        <v>0</v>
      </c>
      <c r="M345" t="n">
        <v>0</v>
      </c>
      <c r="N345" t="n">
        <v>0</v>
      </c>
      <c r="O345" t="n">
        <v>0</v>
      </c>
      <c r="P345" t="n">
        <v>0</v>
      </c>
      <c r="Q345" t="n">
        <v>0</v>
      </c>
      <c r="R345" s="2" t="inlineStr"/>
    </row>
    <row r="346" ht="15" customHeight="1">
      <c r="A346" t="inlineStr">
        <is>
          <t>A 62093-2025</t>
        </is>
      </c>
      <c r="B346" s="1" t="n">
        <v>46006.38633101852</v>
      </c>
      <c r="C346" s="1" t="n">
        <v>46145</v>
      </c>
      <c r="D346" t="inlineStr">
        <is>
          <t>NORRBOTTENS LÄN</t>
        </is>
      </c>
      <c r="E346" t="inlineStr">
        <is>
          <t>JOKKMOKK</t>
        </is>
      </c>
      <c r="G346" t="n">
        <v>1</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46145</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63206-2025</t>
        </is>
      </c>
      <c r="B348" s="1" t="n">
        <v>46010</v>
      </c>
      <c r="C348" s="1" t="n">
        <v>46145</v>
      </c>
      <c r="D348" t="inlineStr">
        <is>
          <t>NORRBOTTENS LÄN</t>
        </is>
      </c>
      <c r="E348" t="inlineStr">
        <is>
          <t>JOKKMOKK</t>
        </is>
      </c>
      <c r="G348" t="n">
        <v>1.1</v>
      </c>
      <c r="H348" t="n">
        <v>0</v>
      </c>
      <c r="I348" t="n">
        <v>0</v>
      </c>
      <c r="J348" t="n">
        <v>0</v>
      </c>
      <c r="K348" t="n">
        <v>0</v>
      </c>
      <c r="L348" t="n">
        <v>0</v>
      </c>
      <c r="M348" t="n">
        <v>0</v>
      </c>
      <c r="N348" t="n">
        <v>0</v>
      </c>
      <c r="O348" t="n">
        <v>0</v>
      </c>
      <c r="P348" t="n">
        <v>0</v>
      </c>
      <c r="Q348" t="n">
        <v>0</v>
      </c>
      <c r="R348" s="2" t="inlineStr"/>
    </row>
    <row r="349" ht="15" customHeight="1">
      <c r="A349" t="inlineStr">
        <is>
          <t>A 45709-2025</t>
        </is>
      </c>
      <c r="B349" s="1" t="n">
        <v>45923</v>
      </c>
      <c r="C349" s="1" t="n">
        <v>46145</v>
      </c>
      <c r="D349" t="inlineStr">
        <is>
          <t>NORRBOTTENS LÄN</t>
        </is>
      </c>
      <c r="E349" t="inlineStr">
        <is>
          <t>JOKKMOKK</t>
        </is>
      </c>
      <c r="G349" t="n">
        <v>11.7</v>
      </c>
      <c r="H349" t="n">
        <v>0</v>
      </c>
      <c r="I349" t="n">
        <v>0</v>
      </c>
      <c r="J349" t="n">
        <v>0</v>
      </c>
      <c r="K349" t="n">
        <v>0</v>
      </c>
      <c r="L349" t="n">
        <v>0</v>
      </c>
      <c r="M349" t="n">
        <v>0</v>
      </c>
      <c r="N349" t="n">
        <v>0</v>
      </c>
      <c r="O349" t="n">
        <v>0</v>
      </c>
      <c r="P349" t="n">
        <v>0</v>
      </c>
      <c r="Q349" t="n">
        <v>0</v>
      </c>
      <c r="R349" s="2" t="inlineStr"/>
    </row>
    <row r="350" ht="15" customHeight="1">
      <c r="A350" t="inlineStr">
        <is>
          <t>A 43997-2024</t>
        </is>
      </c>
      <c r="B350" s="1" t="n">
        <v>45572</v>
      </c>
      <c r="C350" s="1" t="n">
        <v>46145</v>
      </c>
      <c r="D350" t="inlineStr">
        <is>
          <t>NORRBOTTENS LÄN</t>
        </is>
      </c>
      <c r="E350" t="inlineStr">
        <is>
          <t>JOKKMOKK</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64016-2025</t>
        </is>
      </c>
      <c r="B351" s="1" t="n">
        <v>46021.44820601852</v>
      </c>
      <c r="C351" s="1" t="n">
        <v>46145</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43803-2025</t>
        </is>
      </c>
      <c r="B352" s="1" t="n">
        <v>45912</v>
      </c>
      <c r="C352" s="1" t="n">
        <v>46145</v>
      </c>
      <c r="D352" t="inlineStr">
        <is>
          <t>NORRBOTTENS LÄN</t>
        </is>
      </c>
      <c r="E352" t="inlineStr">
        <is>
          <t>JOKKMOKK</t>
        </is>
      </c>
      <c r="F352" t="inlineStr">
        <is>
          <t>SCA</t>
        </is>
      </c>
      <c r="G352" t="n">
        <v>6.2</v>
      </c>
      <c r="H352" t="n">
        <v>0</v>
      </c>
      <c r="I352" t="n">
        <v>0</v>
      </c>
      <c r="J352" t="n">
        <v>0</v>
      </c>
      <c r="K352" t="n">
        <v>0</v>
      </c>
      <c r="L352" t="n">
        <v>0</v>
      </c>
      <c r="M352" t="n">
        <v>0</v>
      </c>
      <c r="N352" t="n">
        <v>0</v>
      </c>
      <c r="O352" t="n">
        <v>0</v>
      </c>
      <c r="P352" t="n">
        <v>0</v>
      </c>
      <c r="Q352" t="n">
        <v>0</v>
      </c>
      <c r="R352" s="2" t="inlineStr"/>
    </row>
    <row r="353" ht="15" customHeight="1">
      <c r="A353" t="inlineStr">
        <is>
          <t>A 59150-2025</t>
        </is>
      </c>
      <c r="B353" s="1" t="n">
        <v>45988.53171296296</v>
      </c>
      <c r="C353" s="1" t="n">
        <v>46145</v>
      </c>
      <c r="D353" t="inlineStr">
        <is>
          <t>NORRBOTTENS LÄN</t>
        </is>
      </c>
      <c r="E353" t="inlineStr">
        <is>
          <t>JOKKMOKK</t>
        </is>
      </c>
      <c r="F353" t="inlineStr">
        <is>
          <t>SCA</t>
        </is>
      </c>
      <c r="G353" t="n">
        <v>16.6</v>
      </c>
      <c r="H353" t="n">
        <v>0</v>
      </c>
      <c r="I353" t="n">
        <v>0</v>
      </c>
      <c r="J353" t="n">
        <v>0</v>
      </c>
      <c r="K353" t="n">
        <v>0</v>
      </c>
      <c r="L353" t="n">
        <v>0</v>
      </c>
      <c r="M353" t="n">
        <v>0</v>
      </c>
      <c r="N353" t="n">
        <v>0</v>
      </c>
      <c r="O353" t="n">
        <v>0</v>
      </c>
      <c r="P353" t="n">
        <v>0</v>
      </c>
      <c r="Q353" t="n">
        <v>0</v>
      </c>
      <c r="R353" s="2" t="inlineStr"/>
    </row>
    <row r="354" ht="15" customHeight="1">
      <c r="A354" t="inlineStr">
        <is>
          <t>A 63181-2025</t>
        </is>
      </c>
      <c r="B354" s="1" t="n">
        <v>46010</v>
      </c>
      <c r="C354" s="1" t="n">
        <v>46145</v>
      </c>
      <c r="D354" t="inlineStr">
        <is>
          <t>NORRBOTTENS LÄN</t>
        </is>
      </c>
      <c r="E354" t="inlineStr">
        <is>
          <t>JOKKMOKK</t>
        </is>
      </c>
      <c r="G354" t="n">
        <v>42.7</v>
      </c>
      <c r="H354" t="n">
        <v>0</v>
      </c>
      <c r="I354" t="n">
        <v>0</v>
      </c>
      <c r="J354" t="n">
        <v>0</v>
      </c>
      <c r="K354" t="n">
        <v>0</v>
      </c>
      <c r="L354" t="n">
        <v>0</v>
      </c>
      <c r="M354" t="n">
        <v>0</v>
      </c>
      <c r="N354" t="n">
        <v>0</v>
      </c>
      <c r="O354" t="n">
        <v>0</v>
      </c>
      <c r="P354" t="n">
        <v>0</v>
      </c>
      <c r="Q354" t="n">
        <v>0</v>
      </c>
      <c r="R354" s="2" t="inlineStr"/>
    </row>
    <row r="355" ht="15" customHeight="1">
      <c r="A355" t="inlineStr">
        <is>
          <t>A 49483-2021</t>
        </is>
      </c>
      <c r="B355" s="1" t="n">
        <v>44454</v>
      </c>
      <c r="C355" s="1" t="n">
        <v>46145</v>
      </c>
      <c r="D355" t="inlineStr">
        <is>
          <t>NORRBOTTENS LÄN</t>
        </is>
      </c>
      <c r="E355" t="inlineStr">
        <is>
          <t>JOKKMOKK</t>
        </is>
      </c>
      <c r="F355" t="inlineStr">
        <is>
          <t>SCA</t>
        </is>
      </c>
      <c r="G355" t="n">
        <v>24.2</v>
      </c>
      <c r="H355" t="n">
        <v>0</v>
      </c>
      <c r="I355" t="n">
        <v>0</v>
      </c>
      <c r="J355" t="n">
        <v>0</v>
      </c>
      <c r="K355" t="n">
        <v>0</v>
      </c>
      <c r="L355" t="n">
        <v>0</v>
      </c>
      <c r="M355" t="n">
        <v>0</v>
      </c>
      <c r="N355" t="n">
        <v>0</v>
      </c>
      <c r="O355" t="n">
        <v>0</v>
      </c>
      <c r="P355" t="n">
        <v>0</v>
      </c>
      <c r="Q355" t="n">
        <v>0</v>
      </c>
      <c r="R355" s="2" t="inlineStr"/>
    </row>
    <row r="356" ht="15" customHeight="1">
      <c r="A356" t="inlineStr">
        <is>
          <t>A 63142-2025</t>
        </is>
      </c>
      <c r="B356" s="1" t="n">
        <v>46010</v>
      </c>
      <c r="C356" s="1" t="n">
        <v>46145</v>
      </c>
      <c r="D356" t="inlineStr">
        <is>
          <t>NORRBOTTENS LÄN</t>
        </is>
      </c>
      <c r="E356" t="inlineStr">
        <is>
          <t>JOKKMOKK</t>
        </is>
      </c>
      <c r="F356" t="inlineStr">
        <is>
          <t>SCA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43886-2025</t>
        </is>
      </c>
      <c r="B357" s="1" t="n">
        <v>45912</v>
      </c>
      <c r="C357" s="1" t="n">
        <v>46145</v>
      </c>
      <c r="D357" t="inlineStr">
        <is>
          <t>NORRBOTTENS LÄN</t>
        </is>
      </c>
      <c r="E357" t="inlineStr">
        <is>
          <t>JOKKMOKK</t>
        </is>
      </c>
      <c r="G357" t="n">
        <v>38.1</v>
      </c>
      <c r="H357" t="n">
        <v>0</v>
      </c>
      <c r="I357" t="n">
        <v>0</v>
      </c>
      <c r="J357" t="n">
        <v>0</v>
      </c>
      <c r="K357" t="n">
        <v>0</v>
      </c>
      <c r="L357" t="n">
        <v>0</v>
      </c>
      <c r="M357" t="n">
        <v>0</v>
      </c>
      <c r="N357" t="n">
        <v>0</v>
      </c>
      <c r="O357" t="n">
        <v>0</v>
      </c>
      <c r="P357" t="n">
        <v>0</v>
      </c>
      <c r="Q357" t="n">
        <v>0</v>
      </c>
      <c r="R357" s="2" t="inlineStr"/>
    </row>
    <row r="358" ht="15" customHeight="1">
      <c r="A358" t="inlineStr">
        <is>
          <t>A 46418-2023</t>
        </is>
      </c>
      <c r="B358" s="1" t="n">
        <v>45197</v>
      </c>
      <c r="C358" s="1" t="n">
        <v>46145</v>
      </c>
      <c r="D358" t="inlineStr">
        <is>
          <t>NORRBOTTENS LÄN</t>
        </is>
      </c>
      <c r="E358" t="inlineStr">
        <is>
          <t>JOKKMOKK</t>
        </is>
      </c>
      <c r="G358" t="n">
        <v>7.4</v>
      </c>
      <c r="H358" t="n">
        <v>0</v>
      </c>
      <c r="I358" t="n">
        <v>0</v>
      </c>
      <c r="J358" t="n">
        <v>0</v>
      </c>
      <c r="K358" t="n">
        <v>0</v>
      </c>
      <c r="L358" t="n">
        <v>0</v>
      </c>
      <c r="M358" t="n">
        <v>0</v>
      </c>
      <c r="N358" t="n">
        <v>0</v>
      </c>
      <c r="O358" t="n">
        <v>0</v>
      </c>
      <c r="P358" t="n">
        <v>0</v>
      </c>
      <c r="Q358" t="n">
        <v>0</v>
      </c>
      <c r="R358" s="2" t="inlineStr"/>
    </row>
    <row r="359" ht="15" customHeight="1">
      <c r="A359" t="inlineStr">
        <is>
          <t>A 63024-2025</t>
        </is>
      </c>
      <c r="B359" s="1" t="n">
        <v>46009</v>
      </c>
      <c r="C359" s="1" t="n">
        <v>46145</v>
      </c>
      <c r="D359" t="inlineStr">
        <is>
          <t>NORRBOTTENS LÄN</t>
        </is>
      </c>
      <c r="E359" t="inlineStr">
        <is>
          <t>JOKKMOKK</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848-2026</t>
        </is>
      </c>
      <c r="B360" s="1" t="n">
        <v>46030.38719907407</v>
      </c>
      <c r="C360" s="1" t="n">
        <v>46145</v>
      </c>
      <c r="D360" t="inlineStr">
        <is>
          <t>NORRBOTTENS LÄN</t>
        </is>
      </c>
      <c r="E360" t="inlineStr">
        <is>
          <t>JOKKMOKK</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53237-2025</t>
        </is>
      </c>
      <c r="B361" s="1" t="n">
        <v>45957</v>
      </c>
      <c r="C361" s="1" t="n">
        <v>46145</v>
      </c>
      <c r="D361" t="inlineStr">
        <is>
          <t>NORRBOTTENS LÄN</t>
        </is>
      </c>
      <c r="E361" t="inlineStr">
        <is>
          <t>JOKKMOKK</t>
        </is>
      </c>
      <c r="F361" t="inlineStr">
        <is>
          <t>Övriga Aktiebolag</t>
        </is>
      </c>
      <c r="G361" t="n">
        <v>28.1</v>
      </c>
      <c r="H361" t="n">
        <v>0</v>
      </c>
      <c r="I361" t="n">
        <v>0</v>
      </c>
      <c r="J361" t="n">
        <v>0</v>
      </c>
      <c r="K361" t="n">
        <v>0</v>
      </c>
      <c r="L361" t="n">
        <v>0</v>
      </c>
      <c r="M361" t="n">
        <v>0</v>
      </c>
      <c r="N361" t="n">
        <v>0</v>
      </c>
      <c r="O361" t="n">
        <v>0</v>
      </c>
      <c r="P361" t="n">
        <v>0</v>
      </c>
      <c r="Q361" t="n">
        <v>0</v>
      </c>
      <c r="R361" s="2" t="inlineStr"/>
    </row>
    <row r="362" ht="15" customHeight="1">
      <c r="A362" t="inlineStr">
        <is>
          <t>A 60308-2025</t>
        </is>
      </c>
      <c r="B362" s="1" t="n">
        <v>45994.68775462963</v>
      </c>
      <c r="C362" s="1" t="n">
        <v>46145</v>
      </c>
      <c r="D362" t="inlineStr">
        <is>
          <t>NORRBOTTENS LÄN</t>
        </is>
      </c>
      <c r="E362" t="inlineStr">
        <is>
          <t>JOKKMOKK</t>
        </is>
      </c>
      <c r="F362" t="inlineStr">
        <is>
          <t>Allmännings- och besparingsskogar</t>
        </is>
      </c>
      <c r="G362" t="n">
        <v>6.5</v>
      </c>
      <c r="H362" t="n">
        <v>0</v>
      </c>
      <c r="I362" t="n">
        <v>0</v>
      </c>
      <c r="J362" t="n">
        <v>0</v>
      </c>
      <c r="K362" t="n">
        <v>0</v>
      </c>
      <c r="L362" t="n">
        <v>0</v>
      </c>
      <c r="M362" t="n">
        <v>0</v>
      </c>
      <c r="N362" t="n">
        <v>0</v>
      </c>
      <c r="O362" t="n">
        <v>0</v>
      </c>
      <c r="P362" t="n">
        <v>0</v>
      </c>
      <c r="Q362" t="n">
        <v>0</v>
      </c>
      <c r="R362" s="2" t="inlineStr"/>
    </row>
    <row r="363" ht="15" customHeight="1">
      <c r="A363" t="inlineStr">
        <is>
          <t>A 60275-2023</t>
        </is>
      </c>
      <c r="B363" s="1" t="n">
        <v>45258.67847222222</v>
      </c>
      <c r="C363" s="1" t="n">
        <v>46145</v>
      </c>
      <c r="D363" t="inlineStr">
        <is>
          <t>NORRBOTTENS LÄN</t>
        </is>
      </c>
      <c r="E363" t="inlineStr">
        <is>
          <t>JOKKMOKK</t>
        </is>
      </c>
      <c r="G363" t="n">
        <v>3.2</v>
      </c>
      <c r="H363" t="n">
        <v>0</v>
      </c>
      <c r="I363" t="n">
        <v>0</v>
      </c>
      <c r="J363" t="n">
        <v>0</v>
      </c>
      <c r="K363" t="n">
        <v>0</v>
      </c>
      <c r="L363" t="n">
        <v>0</v>
      </c>
      <c r="M363" t="n">
        <v>0</v>
      </c>
      <c r="N363" t="n">
        <v>0</v>
      </c>
      <c r="O363" t="n">
        <v>0</v>
      </c>
      <c r="P363" t="n">
        <v>0</v>
      </c>
      <c r="Q363" t="n">
        <v>0</v>
      </c>
      <c r="R363" s="2" t="inlineStr"/>
    </row>
    <row r="364" ht="15" customHeight="1">
      <c r="A364" t="inlineStr">
        <is>
          <t>A 40771-2023</t>
        </is>
      </c>
      <c r="B364" s="1" t="n">
        <v>45170.95657407407</v>
      </c>
      <c r="C364" s="1" t="n">
        <v>46145</v>
      </c>
      <c r="D364" t="inlineStr">
        <is>
          <t>NORRBOTTENS LÄN</t>
        </is>
      </c>
      <c r="E364" t="inlineStr">
        <is>
          <t>JOKKMOKK</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59666-2025</t>
        </is>
      </c>
      <c r="B365" s="1" t="n">
        <v>45992.45447916666</v>
      </c>
      <c r="C365" s="1" t="n">
        <v>46145</v>
      </c>
      <c r="D365" t="inlineStr">
        <is>
          <t>NORRBOTTENS LÄN</t>
        </is>
      </c>
      <c r="E365" t="inlineStr">
        <is>
          <t>JOKKMOKK</t>
        </is>
      </c>
      <c r="F365" t="inlineStr">
        <is>
          <t>Allmännings- och besparingsskogar</t>
        </is>
      </c>
      <c r="G365" t="n">
        <v>12.2</v>
      </c>
      <c r="H365" t="n">
        <v>0</v>
      </c>
      <c r="I365" t="n">
        <v>0</v>
      </c>
      <c r="J365" t="n">
        <v>0</v>
      </c>
      <c r="K365" t="n">
        <v>0</v>
      </c>
      <c r="L365" t="n">
        <v>0</v>
      </c>
      <c r="M365" t="n">
        <v>0</v>
      </c>
      <c r="N365" t="n">
        <v>0</v>
      </c>
      <c r="O365" t="n">
        <v>0</v>
      </c>
      <c r="P365" t="n">
        <v>0</v>
      </c>
      <c r="Q365" t="n">
        <v>0</v>
      </c>
      <c r="R365" s="2" t="inlineStr"/>
    </row>
    <row r="366" ht="15" customHeight="1">
      <c r="A366" t="inlineStr">
        <is>
          <t>A 59984-2025</t>
        </is>
      </c>
      <c r="B366" s="1" t="n">
        <v>45993.54810185185</v>
      </c>
      <c r="C366" s="1" t="n">
        <v>46145</v>
      </c>
      <c r="D366" t="inlineStr">
        <is>
          <t>NORRBOTTENS LÄN</t>
        </is>
      </c>
      <c r="E366" t="inlineStr">
        <is>
          <t>JOKKMOKK</t>
        </is>
      </c>
      <c r="F366" t="inlineStr">
        <is>
          <t>Allmännings- och besparingsskogar</t>
        </is>
      </c>
      <c r="G366" t="n">
        <v>4.4</v>
      </c>
      <c r="H366" t="n">
        <v>0</v>
      </c>
      <c r="I366" t="n">
        <v>0</v>
      </c>
      <c r="J366" t="n">
        <v>0</v>
      </c>
      <c r="K366" t="n">
        <v>0</v>
      </c>
      <c r="L366" t="n">
        <v>0</v>
      </c>
      <c r="M366" t="n">
        <v>0</v>
      </c>
      <c r="N366" t="n">
        <v>0</v>
      </c>
      <c r="O366" t="n">
        <v>0</v>
      </c>
      <c r="P366" t="n">
        <v>0</v>
      </c>
      <c r="Q366" t="n">
        <v>0</v>
      </c>
      <c r="R366" s="2" t="inlineStr"/>
    </row>
    <row r="367" ht="15" customHeight="1">
      <c r="A367" t="inlineStr">
        <is>
          <t>A 10596-2025</t>
        </is>
      </c>
      <c r="B367" s="1" t="n">
        <v>45721</v>
      </c>
      <c r="C367" s="1" t="n">
        <v>46145</v>
      </c>
      <c r="D367" t="inlineStr">
        <is>
          <t>NORRBOTTENS LÄN</t>
        </is>
      </c>
      <c r="E367" t="inlineStr">
        <is>
          <t>JOKKMOKK</t>
        </is>
      </c>
      <c r="G367" t="n">
        <v>17.7</v>
      </c>
      <c r="H367" t="n">
        <v>0</v>
      </c>
      <c r="I367" t="n">
        <v>0</v>
      </c>
      <c r="J367" t="n">
        <v>0</v>
      </c>
      <c r="K367" t="n">
        <v>0</v>
      </c>
      <c r="L367" t="n">
        <v>0</v>
      </c>
      <c r="M367" t="n">
        <v>0</v>
      </c>
      <c r="N367" t="n">
        <v>0</v>
      </c>
      <c r="O367" t="n">
        <v>0</v>
      </c>
      <c r="P367" t="n">
        <v>0</v>
      </c>
      <c r="Q367" t="n">
        <v>0</v>
      </c>
      <c r="R367" s="2" t="inlineStr"/>
    </row>
    <row r="368" ht="15" customHeight="1">
      <c r="A368" t="inlineStr">
        <is>
          <t>A 47208-2022</t>
        </is>
      </c>
      <c r="B368" s="1" t="n">
        <v>44851</v>
      </c>
      <c r="C368" s="1" t="n">
        <v>46145</v>
      </c>
      <c r="D368" t="inlineStr">
        <is>
          <t>NORRBOTTENS LÄN</t>
        </is>
      </c>
      <c r="E368" t="inlineStr">
        <is>
          <t>JOKKMOKK</t>
        </is>
      </c>
      <c r="G368" t="n">
        <v>1.2</v>
      </c>
      <c r="H368" t="n">
        <v>0</v>
      </c>
      <c r="I368" t="n">
        <v>0</v>
      </c>
      <c r="J368" t="n">
        <v>0</v>
      </c>
      <c r="K368" t="n">
        <v>0</v>
      </c>
      <c r="L368" t="n">
        <v>0</v>
      </c>
      <c r="M368" t="n">
        <v>0</v>
      </c>
      <c r="N368" t="n">
        <v>0</v>
      </c>
      <c r="O368" t="n">
        <v>0</v>
      </c>
      <c r="P368" t="n">
        <v>0</v>
      </c>
      <c r="Q368" t="n">
        <v>0</v>
      </c>
      <c r="R368" s="2" t="inlineStr"/>
    </row>
    <row r="369" ht="15" customHeight="1">
      <c r="A369" t="inlineStr">
        <is>
          <t>A 6437-2025</t>
        </is>
      </c>
      <c r="B369" s="1" t="n">
        <v>45699</v>
      </c>
      <c r="C369" s="1" t="n">
        <v>46145</v>
      </c>
      <c r="D369" t="inlineStr">
        <is>
          <t>NORRBOTTENS LÄN</t>
        </is>
      </c>
      <c r="E369" t="inlineStr">
        <is>
          <t>JOKKMOKK</t>
        </is>
      </c>
      <c r="G369" t="n">
        <v>3.4</v>
      </c>
      <c r="H369" t="n">
        <v>0</v>
      </c>
      <c r="I369" t="n">
        <v>0</v>
      </c>
      <c r="J369" t="n">
        <v>0</v>
      </c>
      <c r="K369" t="n">
        <v>0</v>
      </c>
      <c r="L369" t="n">
        <v>0</v>
      </c>
      <c r="M369" t="n">
        <v>0</v>
      </c>
      <c r="N369" t="n">
        <v>0</v>
      </c>
      <c r="O369" t="n">
        <v>0</v>
      </c>
      <c r="P369" t="n">
        <v>0</v>
      </c>
      <c r="Q369" t="n">
        <v>0</v>
      </c>
      <c r="R369" s="2" t="inlineStr"/>
    </row>
    <row r="370" ht="15" customHeight="1">
      <c r="A370" t="inlineStr">
        <is>
          <t>A 5670-2025</t>
        </is>
      </c>
      <c r="B370" s="1" t="n">
        <v>45693</v>
      </c>
      <c r="C370" s="1" t="n">
        <v>46145</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37827-2024</t>
        </is>
      </c>
      <c r="B371" s="1" t="n">
        <v>45544</v>
      </c>
      <c r="C371" s="1" t="n">
        <v>46145</v>
      </c>
      <c r="D371" t="inlineStr">
        <is>
          <t>NORRBOTTENS LÄN</t>
        </is>
      </c>
      <c r="E371" t="inlineStr">
        <is>
          <t>JOKKMOKK</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55491-2024</t>
        </is>
      </c>
      <c r="B372" s="1" t="n">
        <v>45622</v>
      </c>
      <c r="C372" s="1" t="n">
        <v>46145</v>
      </c>
      <c r="D372" t="inlineStr">
        <is>
          <t>NORRBOTTENS LÄN</t>
        </is>
      </c>
      <c r="E372" t="inlineStr">
        <is>
          <t>JOKKMOKK</t>
        </is>
      </c>
      <c r="F372" t="inlineStr">
        <is>
          <t>Allmännings- och besparingsskogar</t>
        </is>
      </c>
      <c r="G372" t="n">
        <v>25.2</v>
      </c>
      <c r="H372" t="n">
        <v>0</v>
      </c>
      <c r="I372" t="n">
        <v>0</v>
      </c>
      <c r="J372" t="n">
        <v>0</v>
      </c>
      <c r="K372" t="n">
        <v>0</v>
      </c>
      <c r="L372" t="n">
        <v>0</v>
      </c>
      <c r="M372" t="n">
        <v>0</v>
      </c>
      <c r="N372" t="n">
        <v>0</v>
      </c>
      <c r="O372" t="n">
        <v>0</v>
      </c>
      <c r="P372" t="n">
        <v>0</v>
      </c>
      <c r="Q372" t="n">
        <v>0</v>
      </c>
      <c r="R372" s="2" t="inlineStr"/>
    </row>
    <row r="373" ht="15" customHeight="1">
      <c r="A373" t="inlineStr">
        <is>
          <t>A 1615-2024</t>
        </is>
      </c>
      <c r="B373" s="1" t="n">
        <v>45306</v>
      </c>
      <c r="C373" s="1" t="n">
        <v>46145</v>
      </c>
      <c r="D373" t="inlineStr">
        <is>
          <t>NORRBOTTENS LÄN</t>
        </is>
      </c>
      <c r="E373" t="inlineStr">
        <is>
          <t>JOKKMOKK</t>
        </is>
      </c>
      <c r="G373" t="n">
        <v>10.8</v>
      </c>
      <c r="H373" t="n">
        <v>0</v>
      </c>
      <c r="I373" t="n">
        <v>0</v>
      </c>
      <c r="J373" t="n">
        <v>0</v>
      </c>
      <c r="K373" t="n">
        <v>0</v>
      </c>
      <c r="L373" t="n">
        <v>0</v>
      </c>
      <c r="M373" t="n">
        <v>0</v>
      </c>
      <c r="N373" t="n">
        <v>0</v>
      </c>
      <c r="O373" t="n">
        <v>0</v>
      </c>
      <c r="P373" t="n">
        <v>0</v>
      </c>
      <c r="Q373" t="n">
        <v>0</v>
      </c>
      <c r="R373" s="2" t="inlineStr"/>
    </row>
    <row r="374" ht="15" customHeight="1">
      <c r="A374" t="inlineStr">
        <is>
          <t>A 3821-2026</t>
        </is>
      </c>
      <c r="B374" s="1" t="n">
        <v>46043</v>
      </c>
      <c r="C374" s="1" t="n">
        <v>46145</v>
      </c>
      <c r="D374" t="inlineStr">
        <is>
          <t>NORRBOTTENS LÄN</t>
        </is>
      </c>
      <c r="E374" t="inlineStr">
        <is>
          <t>JOKKMOKK</t>
        </is>
      </c>
      <c r="G374" t="n">
        <v>15.7</v>
      </c>
      <c r="H374" t="n">
        <v>0</v>
      </c>
      <c r="I374" t="n">
        <v>0</v>
      </c>
      <c r="J374" t="n">
        <v>0</v>
      </c>
      <c r="K374" t="n">
        <v>0</v>
      </c>
      <c r="L374" t="n">
        <v>0</v>
      </c>
      <c r="M374" t="n">
        <v>0</v>
      </c>
      <c r="N374" t="n">
        <v>0</v>
      </c>
      <c r="O374" t="n">
        <v>0</v>
      </c>
      <c r="P374" t="n">
        <v>0</v>
      </c>
      <c r="Q374" t="n">
        <v>0</v>
      </c>
      <c r="R374" s="2" t="inlineStr"/>
    </row>
    <row r="375" ht="15" customHeight="1">
      <c r="A375" t="inlineStr">
        <is>
          <t>A 59849-2023</t>
        </is>
      </c>
      <c r="B375" s="1" t="n">
        <v>45257</v>
      </c>
      <c r="C375" s="1" t="n">
        <v>46145</v>
      </c>
      <c r="D375" t="inlineStr">
        <is>
          <t>NORRBOTTENS LÄN</t>
        </is>
      </c>
      <c r="E375" t="inlineStr">
        <is>
          <t>JOKKMOKK</t>
        </is>
      </c>
      <c r="F375" t="inlineStr">
        <is>
          <t>Allmännings- och besparingsskogar</t>
        </is>
      </c>
      <c r="G375" t="n">
        <v>12.7</v>
      </c>
      <c r="H375" t="n">
        <v>0</v>
      </c>
      <c r="I375" t="n">
        <v>0</v>
      </c>
      <c r="J375" t="n">
        <v>0</v>
      </c>
      <c r="K375" t="n">
        <v>0</v>
      </c>
      <c r="L375" t="n">
        <v>0</v>
      </c>
      <c r="M375" t="n">
        <v>0</v>
      </c>
      <c r="N375" t="n">
        <v>0</v>
      </c>
      <c r="O375" t="n">
        <v>0</v>
      </c>
      <c r="P375" t="n">
        <v>0</v>
      </c>
      <c r="Q375" t="n">
        <v>0</v>
      </c>
      <c r="R375" s="2" t="inlineStr"/>
    </row>
    <row r="376" ht="15" customHeight="1">
      <c r="A376" t="inlineStr">
        <is>
          <t>A 4859-2026</t>
        </is>
      </c>
      <c r="B376" s="1" t="n">
        <v>46048.63609953703</v>
      </c>
      <c r="C376" s="1" t="n">
        <v>46145</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27652-2024</t>
        </is>
      </c>
      <c r="B377" s="1" t="n">
        <v>45474.94982638889</v>
      </c>
      <c r="C377" s="1" t="n">
        <v>46145</v>
      </c>
      <c r="D377" t="inlineStr">
        <is>
          <t>NORRBOTTENS LÄN</t>
        </is>
      </c>
      <c r="E377" t="inlineStr">
        <is>
          <t>JOKKMOKK</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38462-2025</t>
        </is>
      </c>
      <c r="B378" s="1" t="n">
        <v>45883</v>
      </c>
      <c r="C378" s="1" t="n">
        <v>46145</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18493-2025</t>
        </is>
      </c>
      <c r="B379" s="1" t="n">
        <v>45763.34474537037</v>
      </c>
      <c r="C379" s="1" t="n">
        <v>46145</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63190-2025</t>
        </is>
      </c>
      <c r="B380" s="1" t="n">
        <v>46010</v>
      </c>
      <c r="C380" s="1" t="n">
        <v>46145</v>
      </c>
      <c r="D380" t="inlineStr">
        <is>
          <t>NORRBOTTENS LÄN</t>
        </is>
      </c>
      <c r="E380" t="inlineStr">
        <is>
          <t>JOKKMOKK</t>
        </is>
      </c>
      <c r="G380" t="n">
        <v>11.4</v>
      </c>
      <c r="H380" t="n">
        <v>0</v>
      </c>
      <c r="I380" t="n">
        <v>0</v>
      </c>
      <c r="J380" t="n">
        <v>0</v>
      </c>
      <c r="K380" t="n">
        <v>0</v>
      </c>
      <c r="L380" t="n">
        <v>0</v>
      </c>
      <c r="M380" t="n">
        <v>0</v>
      </c>
      <c r="N380" t="n">
        <v>0</v>
      </c>
      <c r="O380" t="n">
        <v>0</v>
      </c>
      <c r="P380" t="n">
        <v>0</v>
      </c>
      <c r="Q380" t="n">
        <v>0</v>
      </c>
      <c r="R380" s="2" t="inlineStr"/>
    </row>
    <row r="381" ht="15" customHeight="1">
      <c r="A381" t="inlineStr">
        <is>
          <t>A 44150-2024</t>
        </is>
      </c>
      <c r="B381" s="1" t="n">
        <v>45572.67520833333</v>
      </c>
      <c r="C381" s="1" t="n">
        <v>46145</v>
      </c>
      <c r="D381" t="inlineStr">
        <is>
          <t>NORRBOTTENS LÄN</t>
        </is>
      </c>
      <c r="E381" t="inlineStr">
        <is>
          <t>JOKKMOKK</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63182-2025</t>
        </is>
      </c>
      <c r="B382" s="1" t="n">
        <v>46010</v>
      </c>
      <c r="C382" s="1" t="n">
        <v>46145</v>
      </c>
      <c r="D382" t="inlineStr">
        <is>
          <t>NORRBOTTENS LÄN</t>
        </is>
      </c>
      <c r="E382" t="inlineStr">
        <is>
          <t>JOKKMOKK</t>
        </is>
      </c>
      <c r="G382" t="n">
        <v>6.9</v>
      </c>
      <c r="H382" t="n">
        <v>0</v>
      </c>
      <c r="I382" t="n">
        <v>0</v>
      </c>
      <c r="J382" t="n">
        <v>0</v>
      </c>
      <c r="K382" t="n">
        <v>0</v>
      </c>
      <c r="L382" t="n">
        <v>0</v>
      </c>
      <c r="M382" t="n">
        <v>0</v>
      </c>
      <c r="N382" t="n">
        <v>0</v>
      </c>
      <c r="O382" t="n">
        <v>0</v>
      </c>
      <c r="P382" t="n">
        <v>0</v>
      </c>
      <c r="Q382" t="n">
        <v>0</v>
      </c>
      <c r="R382" s="2" t="inlineStr"/>
    </row>
    <row r="383" ht="15" customHeight="1">
      <c r="A383" t="inlineStr">
        <is>
          <t>A 63025-2025</t>
        </is>
      </c>
      <c r="B383" s="1" t="n">
        <v>46009</v>
      </c>
      <c r="C383" s="1" t="n">
        <v>46145</v>
      </c>
      <c r="D383" t="inlineStr">
        <is>
          <t>NORRBOTTENS LÄN</t>
        </is>
      </c>
      <c r="E383" t="inlineStr">
        <is>
          <t>JOKKMOKK</t>
        </is>
      </c>
      <c r="G383" t="n">
        <v>11.1</v>
      </c>
      <c r="H383" t="n">
        <v>0</v>
      </c>
      <c r="I383" t="n">
        <v>0</v>
      </c>
      <c r="J383" t="n">
        <v>0</v>
      </c>
      <c r="K383" t="n">
        <v>0</v>
      </c>
      <c r="L383" t="n">
        <v>0</v>
      </c>
      <c r="M383" t="n">
        <v>0</v>
      </c>
      <c r="N383" t="n">
        <v>0</v>
      </c>
      <c r="O383" t="n">
        <v>0</v>
      </c>
      <c r="P383" t="n">
        <v>0</v>
      </c>
      <c r="Q383" t="n">
        <v>0</v>
      </c>
      <c r="R383" s="2" t="inlineStr"/>
    </row>
    <row r="384" ht="15" customHeight="1">
      <c r="A384" t="inlineStr">
        <is>
          <t>A 2040-2025</t>
        </is>
      </c>
      <c r="B384" s="1" t="n">
        <v>45671</v>
      </c>
      <c r="C384" s="1" t="n">
        <v>46145</v>
      </c>
      <c r="D384" t="inlineStr">
        <is>
          <t>NORRBOTTENS LÄN</t>
        </is>
      </c>
      <c r="E384" t="inlineStr">
        <is>
          <t>JOKKMOKK</t>
        </is>
      </c>
      <c r="G384" t="n">
        <v>5.1</v>
      </c>
      <c r="H384" t="n">
        <v>0</v>
      </c>
      <c r="I384" t="n">
        <v>0</v>
      </c>
      <c r="J384" t="n">
        <v>0</v>
      </c>
      <c r="K384" t="n">
        <v>0</v>
      </c>
      <c r="L384" t="n">
        <v>0</v>
      </c>
      <c r="M384" t="n">
        <v>0</v>
      </c>
      <c r="N384" t="n">
        <v>0</v>
      </c>
      <c r="O384" t="n">
        <v>0</v>
      </c>
      <c r="P384" t="n">
        <v>0</v>
      </c>
      <c r="Q384" t="n">
        <v>0</v>
      </c>
      <c r="R384" s="2" t="inlineStr"/>
    </row>
    <row r="385" ht="15" customHeight="1">
      <c r="A385" t="inlineStr">
        <is>
          <t>A 18772-2023</t>
        </is>
      </c>
      <c r="B385" s="1" t="n">
        <v>45043</v>
      </c>
      <c r="C385" s="1" t="n">
        <v>46145</v>
      </c>
      <c r="D385" t="inlineStr">
        <is>
          <t>NORRBOTTENS LÄN</t>
        </is>
      </c>
      <c r="E385" t="inlineStr">
        <is>
          <t>JOKKMOKK</t>
        </is>
      </c>
      <c r="F385" t="inlineStr">
        <is>
          <t>SCA</t>
        </is>
      </c>
      <c r="G385" t="n">
        <v>11.9</v>
      </c>
      <c r="H385" t="n">
        <v>0</v>
      </c>
      <c r="I385" t="n">
        <v>0</v>
      </c>
      <c r="J385" t="n">
        <v>0</v>
      </c>
      <c r="K385" t="n">
        <v>0</v>
      </c>
      <c r="L385" t="n">
        <v>0</v>
      </c>
      <c r="M385" t="n">
        <v>0</v>
      </c>
      <c r="N385" t="n">
        <v>0</v>
      </c>
      <c r="O385" t="n">
        <v>0</v>
      </c>
      <c r="P385" t="n">
        <v>0</v>
      </c>
      <c r="Q385" t="n">
        <v>0</v>
      </c>
      <c r="R385" s="2" t="inlineStr"/>
    </row>
    <row r="386" ht="15" customHeight="1">
      <c r="A386" t="inlineStr">
        <is>
          <t>A 9854-2023</t>
        </is>
      </c>
      <c r="B386" s="1" t="n">
        <v>44984</v>
      </c>
      <c r="C386" s="1" t="n">
        <v>46145</v>
      </c>
      <c r="D386" t="inlineStr">
        <is>
          <t>NORRBOTTENS LÄN</t>
        </is>
      </c>
      <c r="E386" t="inlineStr">
        <is>
          <t>JOKKMOKK</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56168-2022</t>
        </is>
      </c>
      <c r="B387" s="1" t="n">
        <v>44889</v>
      </c>
      <c r="C387" s="1" t="n">
        <v>46145</v>
      </c>
      <c r="D387" t="inlineStr">
        <is>
          <t>NORRBOTTENS LÄN</t>
        </is>
      </c>
      <c r="E387" t="inlineStr">
        <is>
          <t>JOKKMOKK</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9865-2023</t>
        </is>
      </c>
      <c r="B388" s="1" t="n">
        <v>44984</v>
      </c>
      <c r="C388" s="1" t="n">
        <v>46145</v>
      </c>
      <c r="D388" t="inlineStr">
        <is>
          <t>NORRBOTTENS LÄN</t>
        </is>
      </c>
      <c r="E388" t="inlineStr">
        <is>
          <t>JOKKMOKK</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15385-2026</t>
        </is>
      </c>
      <c r="B389" s="1" t="n">
        <v>46106.34521990741</v>
      </c>
      <c r="C389" s="1" t="n">
        <v>46145</v>
      </c>
      <c r="D389" t="inlineStr">
        <is>
          <t>NORRBOTTENS LÄN</t>
        </is>
      </c>
      <c r="E389" t="inlineStr">
        <is>
          <t>JOKKMOKK</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36361-2024</t>
        </is>
      </c>
      <c r="B390" s="1" t="n">
        <v>45534.64626157407</v>
      </c>
      <c r="C390" s="1" t="n">
        <v>46145</v>
      </c>
      <c r="D390" t="inlineStr">
        <is>
          <t>NORRBOTTENS LÄN</t>
        </is>
      </c>
      <c r="E390" t="inlineStr">
        <is>
          <t>JOKKMOKK</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45469-2022</t>
        </is>
      </c>
      <c r="B391" s="1" t="n">
        <v>44841</v>
      </c>
      <c r="C391" s="1" t="n">
        <v>46145</v>
      </c>
      <c r="D391" t="inlineStr">
        <is>
          <t>NORRBOTTENS LÄN</t>
        </is>
      </c>
      <c r="E391" t="inlineStr">
        <is>
          <t>JOKKMOKK</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15968-2026</t>
        </is>
      </c>
      <c r="B392" s="1" t="n">
        <v>46108.34496527778</v>
      </c>
      <c r="C392" s="1" t="n">
        <v>46145</v>
      </c>
      <c r="D392" t="inlineStr">
        <is>
          <t>NORRBOTTENS LÄN</t>
        </is>
      </c>
      <c r="E392" t="inlineStr">
        <is>
          <t>JOKKMOKK</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32957-2024</t>
        </is>
      </c>
      <c r="B393" s="1" t="n">
        <v>45517.3762037037</v>
      </c>
      <c r="C393" s="1" t="n">
        <v>46145</v>
      </c>
      <c r="D393" t="inlineStr">
        <is>
          <t>NORRBOTTENS LÄN</t>
        </is>
      </c>
      <c r="E393" t="inlineStr">
        <is>
          <t>JOKKMOKK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31902-2021</t>
        </is>
      </c>
      <c r="B394" s="1" t="n">
        <v>44370</v>
      </c>
      <c r="C394" s="1" t="n">
        <v>46145</v>
      </c>
      <c r="D394" t="inlineStr">
        <is>
          <t>NORRBOTTENS LÄN</t>
        </is>
      </c>
      <c r="E394" t="inlineStr">
        <is>
          <t>JOKKMOKK</t>
        </is>
      </c>
      <c r="G394" t="n">
        <v>20</v>
      </c>
      <c r="H394" t="n">
        <v>0</v>
      </c>
      <c r="I394" t="n">
        <v>0</v>
      </c>
      <c r="J394" t="n">
        <v>0</v>
      </c>
      <c r="K394" t="n">
        <v>0</v>
      </c>
      <c r="L394" t="n">
        <v>0</v>
      </c>
      <c r="M394" t="n">
        <v>0</v>
      </c>
      <c r="N394" t="n">
        <v>0</v>
      </c>
      <c r="O394" t="n">
        <v>0</v>
      </c>
      <c r="P394" t="n">
        <v>0</v>
      </c>
      <c r="Q394" t="n">
        <v>0</v>
      </c>
      <c r="R394" s="2" t="inlineStr"/>
    </row>
    <row r="395" ht="15" customHeight="1">
      <c r="A395" t="inlineStr">
        <is>
          <t>A 45333-2024</t>
        </is>
      </c>
      <c r="B395" s="1" t="n">
        <v>45576</v>
      </c>
      <c r="C395" s="1" t="n">
        <v>46145</v>
      </c>
      <c r="D395" t="inlineStr">
        <is>
          <t>NORRBOTTENS LÄN</t>
        </is>
      </c>
      <c r="E395" t="inlineStr">
        <is>
          <t>JOKKMOKK</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6778-2023</t>
        </is>
      </c>
      <c r="B396" s="1" t="n">
        <v>44966</v>
      </c>
      <c r="C396" s="1" t="n">
        <v>46145</v>
      </c>
      <c r="D396" t="inlineStr">
        <is>
          <t>NORRBOTTENS LÄN</t>
        </is>
      </c>
      <c r="E396" t="inlineStr">
        <is>
          <t>JOKKMOKK</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31209-2023</t>
        </is>
      </c>
      <c r="B397" s="1" t="n">
        <v>45113.95096064815</v>
      </c>
      <c r="C397" s="1" t="n">
        <v>46145</v>
      </c>
      <c r="D397" t="inlineStr">
        <is>
          <t>NORRBOTTENS LÄN</t>
        </is>
      </c>
      <c r="E397" t="inlineStr">
        <is>
          <t>JOKKMOKK</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46145</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16757-2026</t>
        </is>
      </c>
      <c r="B399" s="1" t="n">
        <v>46113.40782407407</v>
      </c>
      <c r="C399" s="1" t="n">
        <v>46145</v>
      </c>
      <c r="D399" t="inlineStr">
        <is>
          <t>NORRBOTTENS LÄN</t>
        </is>
      </c>
      <c r="E399" t="inlineStr">
        <is>
          <t>JOKKMOKK</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34062-2021</t>
        </is>
      </c>
      <c r="B400" s="1" t="n">
        <v>44378</v>
      </c>
      <c r="C400" s="1" t="n">
        <v>46145</v>
      </c>
      <c r="D400" t="inlineStr">
        <is>
          <t>NORRBOTTENS LÄN</t>
        </is>
      </c>
      <c r="E400" t="inlineStr">
        <is>
          <t>JOKKMOKK</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17001-2026</t>
        </is>
      </c>
      <c r="B401" s="1" t="n">
        <v>46114</v>
      </c>
      <c r="C401" s="1" t="n">
        <v>46145</v>
      </c>
      <c r="D401" t="inlineStr">
        <is>
          <t>NORRBOTTENS LÄN</t>
        </is>
      </c>
      <c r="E401" t="inlineStr">
        <is>
          <t>JOKKMOKK</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16711-2026</t>
        </is>
      </c>
      <c r="B402" s="1" t="n">
        <v>46113.34599537037</v>
      </c>
      <c r="C402" s="1" t="n">
        <v>46145</v>
      </c>
      <c r="D402" t="inlineStr">
        <is>
          <t>NORRBOTTENS LÄN</t>
        </is>
      </c>
      <c r="E402" t="inlineStr">
        <is>
          <t>JOKKMOKK</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16708-2026</t>
        </is>
      </c>
      <c r="B403" s="1" t="n">
        <v>46113.3455787037</v>
      </c>
      <c r="C403" s="1" t="n">
        <v>46145</v>
      </c>
      <c r="D403" t="inlineStr">
        <is>
          <t>NORRBOTTENS LÄN</t>
        </is>
      </c>
      <c r="E403" t="inlineStr">
        <is>
          <t>JOKKMOKK</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16716-2026</t>
        </is>
      </c>
      <c r="B404" s="1" t="n">
        <v>46113.34640046296</v>
      </c>
      <c r="C404" s="1" t="n">
        <v>46145</v>
      </c>
      <c r="D404" t="inlineStr">
        <is>
          <t>NORRBOTTENS LÄN</t>
        </is>
      </c>
      <c r="E404" t="inlineStr">
        <is>
          <t>JOKKMOKK</t>
        </is>
      </c>
      <c r="F404" t="inlineStr">
        <is>
          <t>SCA</t>
        </is>
      </c>
      <c r="G404" t="n">
        <v>7.5</v>
      </c>
      <c r="H404" t="n">
        <v>0</v>
      </c>
      <c r="I404" t="n">
        <v>0</v>
      </c>
      <c r="J404" t="n">
        <v>0</v>
      </c>
      <c r="K404" t="n">
        <v>0</v>
      </c>
      <c r="L404" t="n">
        <v>0</v>
      </c>
      <c r="M404" t="n">
        <v>0</v>
      </c>
      <c r="N404" t="n">
        <v>0</v>
      </c>
      <c r="O404" t="n">
        <v>0</v>
      </c>
      <c r="P404" t="n">
        <v>0</v>
      </c>
      <c r="Q404" t="n">
        <v>0</v>
      </c>
      <c r="R404" s="2" t="inlineStr"/>
    </row>
    <row r="405" ht="15" customHeight="1">
      <c r="A405" t="inlineStr">
        <is>
          <t>A 15969-2026</t>
        </is>
      </c>
      <c r="B405" s="1" t="n">
        <v>46108.34518518519</v>
      </c>
      <c r="C405" s="1" t="n">
        <v>46145</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16709-2026</t>
        </is>
      </c>
      <c r="B406" s="1" t="n">
        <v>46113.34570601852</v>
      </c>
      <c r="C406" s="1" t="n">
        <v>46145</v>
      </c>
      <c r="D406" t="inlineStr">
        <is>
          <t>NORRBOTTENS LÄN</t>
        </is>
      </c>
      <c r="E406" t="inlineStr">
        <is>
          <t>JOKKMOKK</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16714-2026</t>
        </is>
      </c>
      <c r="B407" s="1" t="n">
        <v>46113.34625</v>
      </c>
      <c r="C407" s="1" t="n">
        <v>46145</v>
      </c>
      <c r="D407" t="inlineStr">
        <is>
          <t>NORRBOTTENS LÄN</t>
        </is>
      </c>
      <c r="E407" t="inlineStr">
        <is>
          <t>JOKKMOKK</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15972-2026</t>
        </is>
      </c>
      <c r="B408" s="1" t="n">
        <v>46108.34601851852</v>
      </c>
      <c r="C408" s="1" t="n">
        <v>46145</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4136-2024</t>
        </is>
      </c>
      <c r="B409" s="1" t="n">
        <v>45323</v>
      </c>
      <c r="C409" s="1" t="n">
        <v>46145</v>
      </c>
      <c r="D409" t="inlineStr">
        <is>
          <t>NORRBOTTENS LÄN</t>
        </is>
      </c>
      <c r="E409" t="inlineStr">
        <is>
          <t>JOKKMOKK</t>
        </is>
      </c>
      <c r="G409" t="n">
        <v>27.3</v>
      </c>
      <c r="H409" t="n">
        <v>0</v>
      </c>
      <c r="I409" t="n">
        <v>0</v>
      </c>
      <c r="J409" t="n">
        <v>0</v>
      </c>
      <c r="K409" t="n">
        <v>0</v>
      </c>
      <c r="L409" t="n">
        <v>0</v>
      </c>
      <c r="M409" t="n">
        <v>0</v>
      </c>
      <c r="N409" t="n">
        <v>0</v>
      </c>
      <c r="O409" t="n">
        <v>0</v>
      </c>
      <c r="P409" t="n">
        <v>0</v>
      </c>
      <c r="Q409" t="n">
        <v>0</v>
      </c>
      <c r="R409" s="2" t="inlineStr"/>
    </row>
    <row r="410" ht="15" customHeight="1">
      <c r="A410" t="inlineStr">
        <is>
          <t>A 10590-2026</t>
        </is>
      </c>
      <c r="B410" s="1" t="n">
        <v>46077.6984837963</v>
      </c>
      <c r="C410" s="1" t="n">
        <v>46145</v>
      </c>
      <c r="D410" t="inlineStr">
        <is>
          <t>NORRBOTTENS LÄN</t>
        </is>
      </c>
      <c r="E410" t="inlineStr">
        <is>
          <t>JOKKMOKK</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10593-2026</t>
        </is>
      </c>
      <c r="B411" s="1" t="n">
        <v>46077.69886574074</v>
      </c>
      <c r="C411" s="1" t="n">
        <v>46145</v>
      </c>
      <c r="D411" t="inlineStr">
        <is>
          <t>NORRBOTTENS LÄN</t>
        </is>
      </c>
      <c r="E411" t="inlineStr">
        <is>
          <t>JOKKMOKK</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10592-2026</t>
        </is>
      </c>
      <c r="B412" s="1" t="n">
        <v>46077.69880787037</v>
      </c>
      <c r="C412" s="1" t="n">
        <v>46145</v>
      </c>
      <c r="D412" t="inlineStr">
        <is>
          <t>NORRBOTTENS LÄN</t>
        </is>
      </c>
      <c r="E412" t="inlineStr">
        <is>
          <t>JOKKMOKK</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10591-2026</t>
        </is>
      </c>
      <c r="B413" s="1" t="n">
        <v>46077.69856481482</v>
      </c>
      <c r="C413" s="1" t="n">
        <v>46145</v>
      </c>
      <c r="D413" t="inlineStr">
        <is>
          <t>NORRBOTTENS LÄN</t>
        </is>
      </c>
      <c r="E413" t="inlineStr">
        <is>
          <t>JOKKMOKK</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15386-2026</t>
        </is>
      </c>
      <c r="B414" s="1" t="n">
        <v>46106.34540509259</v>
      </c>
      <c r="C414" s="1" t="n">
        <v>46145</v>
      </c>
      <c r="D414" t="inlineStr">
        <is>
          <t>NORRBOTTENS LÄN</t>
        </is>
      </c>
      <c r="E414" t="inlineStr">
        <is>
          <t>JOKKMOKK</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18537-2023</t>
        </is>
      </c>
      <c r="B415" s="1" t="n">
        <v>45028</v>
      </c>
      <c r="C415" s="1" t="n">
        <v>46145</v>
      </c>
      <c r="D415" t="inlineStr">
        <is>
          <t>NORRBOTTENS LÄN</t>
        </is>
      </c>
      <c r="E415" t="inlineStr">
        <is>
          <t>JOKKMOKK</t>
        </is>
      </c>
      <c r="G415" t="n">
        <v>1</v>
      </c>
      <c r="H415" t="n">
        <v>0</v>
      </c>
      <c r="I415" t="n">
        <v>0</v>
      </c>
      <c r="J415" t="n">
        <v>0</v>
      </c>
      <c r="K415" t="n">
        <v>0</v>
      </c>
      <c r="L415" t="n">
        <v>0</v>
      </c>
      <c r="M415" t="n">
        <v>0</v>
      </c>
      <c r="N415" t="n">
        <v>0</v>
      </c>
      <c r="O415" t="n">
        <v>0</v>
      </c>
      <c r="P415" t="n">
        <v>0</v>
      </c>
      <c r="Q415" t="n">
        <v>0</v>
      </c>
      <c r="R415" s="2" t="inlineStr"/>
    </row>
    <row r="416" ht="15" customHeight="1">
      <c r="A416" t="inlineStr">
        <is>
          <t>A 49474-2024</t>
        </is>
      </c>
      <c r="B416" s="1" t="n">
        <v>45596.34523148148</v>
      </c>
      <c r="C416" s="1" t="n">
        <v>46145</v>
      </c>
      <c r="D416" t="inlineStr">
        <is>
          <t>NORRBOTTENS LÄN</t>
        </is>
      </c>
      <c r="E416" t="inlineStr">
        <is>
          <t>JOKKMOKK</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10576-2026</t>
        </is>
      </c>
      <c r="B417" s="1" t="n">
        <v>46077.66550925926</v>
      </c>
      <c r="C417" s="1" t="n">
        <v>46145</v>
      </c>
      <c r="D417" t="inlineStr">
        <is>
          <t>NORRBOTTENS LÄN</t>
        </is>
      </c>
      <c r="E417" t="inlineStr">
        <is>
          <t>JOKKMOKK</t>
        </is>
      </c>
      <c r="G417" t="n">
        <v>2.5</v>
      </c>
      <c r="H417" t="n">
        <v>0</v>
      </c>
      <c r="I417" t="n">
        <v>0</v>
      </c>
      <c r="J417" t="n">
        <v>0</v>
      </c>
      <c r="K417" t="n">
        <v>0</v>
      </c>
      <c r="L417" t="n">
        <v>0</v>
      </c>
      <c r="M417" t="n">
        <v>0</v>
      </c>
      <c r="N417" t="n">
        <v>0</v>
      </c>
      <c r="O417" t="n">
        <v>0</v>
      </c>
      <c r="P417" t="n">
        <v>0</v>
      </c>
      <c r="Q417" t="n">
        <v>0</v>
      </c>
      <c r="R417" s="2" t="inlineStr"/>
    </row>
    <row r="418" ht="15" customHeight="1">
      <c r="A418" t="inlineStr">
        <is>
          <t>A 49679-2024</t>
        </is>
      </c>
      <c r="B418" s="1" t="n">
        <v>45596.6649537037</v>
      </c>
      <c r="C418" s="1" t="n">
        <v>46145</v>
      </c>
      <c r="D418" t="inlineStr">
        <is>
          <t>NORRBOTTENS LÄN</t>
        </is>
      </c>
      <c r="E418" t="inlineStr">
        <is>
          <t>JOKKMOKK</t>
        </is>
      </c>
      <c r="F418" t="inlineStr">
        <is>
          <t>Allmännings- och besparingsskogar</t>
        </is>
      </c>
      <c r="G418" t="n">
        <v>14.1</v>
      </c>
      <c r="H418" t="n">
        <v>0</v>
      </c>
      <c r="I418" t="n">
        <v>0</v>
      </c>
      <c r="J418" t="n">
        <v>0</v>
      </c>
      <c r="K418" t="n">
        <v>0</v>
      </c>
      <c r="L418" t="n">
        <v>0</v>
      </c>
      <c r="M418" t="n">
        <v>0</v>
      </c>
      <c r="N418" t="n">
        <v>0</v>
      </c>
      <c r="O418" t="n">
        <v>0</v>
      </c>
      <c r="P418" t="n">
        <v>0</v>
      </c>
      <c r="Q418" t="n">
        <v>0</v>
      </c>
      <c r="R418" s="2" t="inlineStr"/>
    </row>
    <row r="419" ht="15" customHeight="1">
      <c r="A419" t="inlineStr">
        <is>
          <t>A 17595-2026</t>
        </is>
      </c>
      <c r="B419" s="1" t="n">
        <v>46121.41641203704</v>
      </c>
      <c r="C419" s="1" t="n">
        <v>46145</v>
      </c>
      <c r="D419" t="inlineStr">
        <is>
          <t>NORRBOTTENS LÄN</t>
        </is>
      </c>
      <c r="E419" t="inlineStr">
        <is>
          <t>JOKKMOKK</t>
        </is>
      </c>
      <c r="G419" t="n">
        <v>16.3</v>
      </c>
      <c r="H419" t="n">
        <v>0</v>
      </c>
      <c r="I419" t="n">
        <v>0</v>
      </c>
      <c r="J419" t="n">
        <v>0</v>
      </c>
      <c r="K419" t="n">
        <v>0</v>
      </c>
      <c r="L419" t="n">
        <v>0</v>
      </c>
      <c r="M419" t="n">
        <v>0</v>
      </c>
      <c r="N419" t="n">
        <v>0</v>
      </c>
      <c r="O419" t="n">
        <v>0</v>
      </c>
      <c r="P419" t="n">
        <v>0</v>
      </c>
      <c r="Q419" t="n">
        <v>0</v>
      </c>
      <c r="R419" s="2" t="inlineStr"/>
    </row>
    <row r="420" ht="15" customHeight="1">
      <c r="A420" t="inlineStr">
        <is>
          <t>A 16710-2026</t>
        </is>
      </c>
      <c r="B420" s="1" t="n">
        <v>46113</v>
      </c>
      <c r="C420" s="1" t="n">
        <v>46145</v>
      </c>
      <c r="D420" t="inlineStr">
        <is>
          <t>NORRBOTTENS LÄN</t>
        </is>
      </c>
      <c r="E420" t="inlineStr">
        <is>
          <t>JOKKMOKK</t>
        </is>
      </c>
      <c r="F420" t="inlineStr">
        <is>
          <t>SCA</t>
        </is>
      </c>
      <c r="G420" t="n">
        <v>18.9</v>
      </c>
      <c r="H420" t="n">
        <v>0</v>
      </c>
      <c r="I420" t="n">
        <v>0</v>
      </c>
      <c r="J420" t="n">
        <v>0</v>
      </c>
      <c r="K420" t="n">
        <v>0</v>
      </c>
      <c r="L420" t="n">
        <v>0</v>
      </c>
      <c r="M420" t="n">
        <v>0</v>
      </c>
      <c r="N420" t="n">
        <v>0</v>
      </c>
      <c r="O420" t="n">
        <v>0</v>
      </c>
      <c r="P420" t="n">
        <v>0</v>
      </c>
      <c r="Q420" t="n">
        <v>0</v>
      </c>
      <c r="R420" s="2" t="inlineStr"/>
    </row>
    <row r="421" ht="15" customHeight="1">
      <c r="A421" t="inlineStr">
        <is>
          <t>A 18903-2025</t>
        </is>
      </c>
      <c r="B421" s="1" t="n">
        <v>45764.46019675926</v>
      </c>
      <c r="C421" s="1" t="n">
        <v>46145</v>
      </c>
      <c r="D421" t="inlineStr">
        <is>
          <t>NORRBOTTENS LÄN</t>
        </is>
      </c>
      <c r="E421" t="inlineStr">
        <is>
          <t>JOKKMOKK</t>
        </is>
      </c>
      <c r="G421" t="n">
        <v>9.1</v>
      </c>
      <c r="H421" t="n">
        <v>0</v>
      </c>
      <c r="I421" t="n">
        <v>0</v>
      </c>
      <c r="J421" t="n">
        <v>0</v>
      </c>
      <c r="K421" t="n">
        <v>0</v>
      </c>
      <c r="L421" t="n">
        <v>0</v>
      </c>
      <c r="M421" t="n">
        <v>0</v>
      </c>
      <c r="N421" t="n">
        <v>0</v>
      </c>
      <c r="O421" t="n">
        <v>0</v>
      </c>
      <c r="P421" t="n">
        <v>0</v>
      </c>
      <c r="Q421" t="n">
        <v>0</v>
      </c>
      <c r="R421" s="2" t="inlineStr"/>
    </row>
    <row r="422" ht="15" customHeight="1">
      <c r="A422" t="inlineStr">
        <is>
          <t>A 15383-2026</t>
        </is>
      </c>
      <c r="B422" s="1" t="n">
        <v>46106</v>
      </c>
      <c r="C422" s="1" t="n">
        <v>46145</v>
      </c>
      <c r="D422" t="inlineStr">
        <is>
          <t>NORRBOTTENS LÄN</t>
        </is>
      </c>
      <c r="E422" t="inlineStr">
        <is>
          <t>JOKKMOKK</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20593-2023</t>
        </is>
      </c>
      <c r="B423" s="1" t="n">
        <v>45057</v>
      </c>
      <c r="C423" s="1" t="n">
        <v>46145</v>
      </c>
      <c r="D423" t="inlineStr">
        <is>
          <t>NORRBOTTENS LÄN</t>
        </is>
      </c>
      <c r="E423" t="inlineStr">
        <is>
          <t>JOKKMOKK</t>
        </is>
      </c>
      <c r="F423" t="inlineStr">
        <is>
          <t>SCA</t>
        </is>
      </c>
      <c r="G423" t="n">
        <v>0.5</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46145</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11381-2026</t>
        </is>
      </c>
      <c r="B425" s="1" t="n">
        <v>46083</v>
      </c>
      <c r="C425" s="1" t="n">
        <v>46145</v>
      </c>
      <c r="D425" t="inlineStr">
        <is>
          <t>NORRBOTTENS LÄN</t>
        </is>
      </c>
      <c r="E425" t="inlineStr">
        <is>
          <t>JOKKMOKK</t>
        </is>
      </c>
      <c r="G425" t="n">
        <v>49.1</v>
      </c>
      <c r="H425" t="n">
        <v>0</v>
      </c>
      <c r="I425" t="n">
        <v>0</v>
      </c>
      <c r="J425" t="n">
        <v>0</v>
      </c>
      <c r="K425" t="n">
        <v>0</v>
      </c>
      <c r="L425" t="n">
        <v>0</v>
      </c>
      <c r="M425" t="n">
        <v>0</v>
      </c>
      <c r="N425" t="n">
        <v>0</v>
      </c>
      <c r="O425" t="n">
        <v>0</v>
      </c>
      <c r="P425" t="n">
        <v>0</v>
      </c>
      <c r="Q425" t="n">
        <v>0</v>
      </c>
      <c r="R425" s="2" t="inlineStr"/>
    </row>
    <row r="426" ht="15" customHeight="1">
      <c r="A426" t="inlineStr">
        <is>
          <t>A 28319-2021</t>
        </is>
      </c>
      <c r="B426" s="1" t="n">
        <v>44355</v>
      </c>
      <c r="C426" s="1" t="n">
        <v>46145</v>
      </c>
      <c r="D426" t="inlineStr">
        <is>
          <t>NORRBOTTENS LÄN</t>
        </is>
      </c>
      <c r="E426" t="inlineStr">
        <is>
          <t>JOKKMOKK</t>
        </is>
      </c>
      <c r="F426" t="inlineStr">
        <is>
          <t>Övriga statliga verk och myndigheter</t>
        </is>
      </c>
      <c r="G426" t="n">
        <v>40</v>
      </c>
      <c r="H426" t="n">
        <v>0</v>
      </c>
      <c r="I426" t="n">
        <v>0</v>
      </c>
      <c r="J426" t="n">
        <v>0</v>
      </c>
      <c r="K426" t="n">
        <v>0</v>
      </c>
      <c r="L426" t="n">
        <v>0</v>
      </c>
      <c r="M426" t="n">
        <v>0</v>
      </c>
      <c r="N426" t="n">
        <v>0</v>
      </c>
      <c r="O426" t="n">
        <v>0</v>
      </c>
      <c r="P426" t="n">
        <v>0</v>
      </c>
      <c r="Q426" t="n">
        <v>0</v>
      </c>
      <c r="R426" s="2" t="inlineStr"/>
    </row>
    <row r="427" ht="15" customHeight="1">
      <c r="A427" t="inlineStr">
        <is>
          <t>A 56199-2021</t>
        </is>
      </c>
      <c r="B427" s="1" t="n">
        <v>44477</v>
      </c>
      <c r="C427" s="1" t="n">
        <v>46145</v>
      </c>
      <c r="D427" t="inlineStr">
        <is>
          <t>NORRBOTTENS LÄN</t>
        </is>
      </c>
      <c r="E427" t="inlineStr">
        <is>
          <t>JOKKMOKK</t>
        </is>
      </c>
      <c r="G427" t="n">
        <v>1</v>
      </c>
      <c r="H427" t="n">
        <v>0</v>
      </c>
      <c r="I427" t="n">
        <v>0</v>
      </c>
      <c r="J427" t="n">
        <v>0</v>
      </c>
      <c r="K427" t="n">
        <v>0</v>
      </c>
      <c r="L427" t="n">
        <v>0</v>
      </c>
      <c r="M427" t="n">
        <v>0</v>
      </c>
      <c r="N427" t="n">
        <v>0</v>
      </c>
      <c r="O427" t="n">
        <v>0</v>
      </c>
      <c r="P427" t="n">
        <v>0</v>
      </c>
      <c r="Q427" t="n">
        <v>0</v>
      </c>
      <c r="R427" s="2" t="inlineStr"/>
    </row>
    <row r="428" ht="15" customHeight="1">
      <c r="A428" t="inlineStr">
        <is>
          <t>A 50820-2024</t>
        </is>
      </c>
      <c r="B428" s="1" t="n">
        <v>45602</v>
      </c>
      <c r="C428" s="1" t="n">
        <v>46145</v>
      </c>
      <c r="D428" t="inlineStr">
        <is>
          <t>NORRBOTTENS LÄN</t>
        </is>
      </c>
      <c r="E428" t="inlineStr">
        <is>
          <t>JOKKMOKK</t>
        </is>
      </c>
      <c r="F428" t="inlineStr">
        <is>
          <t>Allmännings- och besparingsskogar</t>
        </is>
      </c>
      <c r="G428" t="n">
        <v>4</v>
      </c>
      <c r="H428" t="n">
        <v>0</v>
      </c>
      <c r="I428" t="n">
        <v>0</v>
      </c>
      <c r="J428" t="n">
        <v>0</v>
      </c>
      <c r="K428" t="n">
        <v>0</v>
      </c>
      <c r="L428" t="n">
        <v>0</v>
      </c>
      <c r="M428" t="n">
        <v>0</v>
      </c>
      <c r="N428" t="n">
        <v>0</v>
      </c>
      <c r="O428" t="n">
        <v>0</v>
      </c>
      <c r="P428" t="n">
        <v>0</v>
      </c>
      <c r="Q428" t="n">
        <v>0</v>
      </c>
      <c r="R428" s="2" t="inlineStr"/>
    </row>
    <row r="429" ht="15" customHeight="1">
      <c r="A429" t="inlineStr">
        <is>
          <t>A 2826-2025</t>
        </is>
      </c>
      <c r="B429" s="1" t="n">
        <v>45677.61483796296</v>
      </c>
      <c r="C429" s="1" t="n">
        <v>46145</v>
      </c>
      <c r="D429" t="inlineStr">
        <is>
          <t>NORRBOTTENS LÄN</t>
        </is>
      </c>
      <c r="E429" t="inlineStr">
        <is>
          <t>JOKKMOKK</t>
        </is>
      </c>
      <c r="F429" t="inlineStr">
        <is>
          <t>Övriga statliga verk och myndigheter</t>
        </is>
      </c>
      <c r="G429" t="n">
        <v>10.5</v>
      </c>
      <c r="H429" t="n">
        <v>0</v>
      </c>
      <c r="I429" t="n">
        <v>0</v>
      </c>
      <c r="J429" t="n">
        <v>0</v>
      </c>
      <c r="K429" t="n">
        <v>0</v>
      </c>
      <c r="L429" t="n">
        <v>0</v>
      </c>
      <c r="M429" t="n">
        <v>0</v>
      </c>
      <c r="N429" t="n">
        <v>0</v>
      </c>
      <c r="O429" t="n">
        <v>0</v>
      </c>
      <c r="P429" t="n">
        <v>0</v>
      </c>
      <c r="Q429" t="n">
        <v>0</v>
      </c>
      <c r="R429" s="2" t="inlineStr"/>
    </row>
    <row r="430" ht="15" customHeight="1">
      <c r="A430" t="inlineStr">
        <is>
          <t>A 40106-2023</t>
        </is>
      </c>
      <c r="B430" s="1" t="n">
        <v>45168.93785879629</v>
      </c>
      <c r="C430" s="1" t="n">
        <v>46145</v>
      </c>
      <c r="D430" t="inlineStr">
        <is>
          <t>NORRBOTTENS LÄN</t>
        </is>
      </c>
      <c r="E430" t="inlineStr">
        <is>
          <t>JOKKMOKK</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23204-2024</t>
        </is>
      </c>
      <c r="B431" s="1" t="n">
        <v>45451</v>
      </c>
      <c r="C431" s="1" t="n">
        <v>46145</v>
      </c>
      <c r="D431" t="inlineStr">
        <is>
          <t>NORRBOTTENS LÄN</t>
        </is>
      </c>
      <c r="E431" t="inlineStr">
        <is>
          <t>JOKKMOKK</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46145</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25720-2023</t>
        </is>
      </c>
      <c r="B433" s="1" t="n">
        <v>45090</v>
      </c>
      <c r="C433" s="1" t="n">
        <v>46145</v>
      </c>
      <c r="D433" t="inlineStr">
        <is>
          <t>NORRBOTTENS LÄN</t>
        </is>
      </c>
      <c r="E433" t="inlineStr">
        <is>
          <t>JOKKMOKK</t>
        </is>
      </c>
      <c r="G433" t="n">
        <v>2.1</v>
      </c>
      <c r="H433" t="n">
        <v>0</v>
      </c>
      <c r="I433" t="n">
        <v>0</v>
      </c>
      <c r="J433" t="n">
        <v>0</v>
      </c>
      <c r="K433" t="n">
        <v>0</v>
      </c>
      <c r="L433" t="n">
        <v>0</v>
      </c>
      <c r="M433" t="n">
        <v>0</v>
      </c>
      <c r="N433" t="n">
        <v>0</v>
      </c>
      <c r="O433" t="n">
        <v>0</v>
      </c>
      <c r="P433" t="n">
        <v>0</v>
      </c>
      <c r="Q433" t="n">
        <v>0</v>
      </c>
      <c r="R433" s="2" t="inlineStr"/>
    </row>
    <row r="434" ht="15" customHeight="1">
      <c r="A434" t="inlineStr">
        <is>
          <t>A 29212-2024</t>
        </is>
      </c>
      <c r="B434" s="1" t="n">
        <v>45482</v>
      </c>
      <c r="C434" s="1" t="n">
        <v>46145</v>
      </c>
      <c r="D434" t="inlineStr">
        <is>
          <t>NORRBOTTENS LÄN</t>
        </is>
      </c>
      <c r="E434" t="inlineStr">
        <is>
          <t>JOKKMOKK</t>
        </is>
      </c>
      <c r="G434" t="n">
        <v>8.5</v>
      </c>
      <c r="H434" t="n">
        <v>0</v>
      </c>
      <c r="I434" t="n">
        <v>0</v>
      </c>
      <c r="J434" t="n">
        <v>0</v>
      </c>
      <c r="K434" t="n">
        <v>0</v>
      </c>
      <c r="L434" t="n">
        <v>0</v>
      </c>
      <c r="M434" t="n">
        <v>0</v>
      </c>
      <c r="N434" t="n">
        <v>0</v>
      </c>
      <c r="O434" t="n">
        <v>0</v>
      </c>
      <c r="P434" t="n">
        <v>0</v>
      </c>
      <c r="Q434" t="n">
        <v>0</v>
      </c>
      <c r="R434" s="2" t="inlineStr"/>
    </row>
    <row r="435" ht="15" customHeight="1">
      <c r="A435" t="inlineStr">
        <is>
          <t>A 12862-2026</t>
        </is>
      </c>
      <c r="B435" s="1" t="n">
        <v>46092.49033564814</v>
      </c>
      <c r="C435" s="1" t="n">
        <v>46145</v>
      </c>
      <c r="D435" t="inlineStr">
        <is>
          <t>NORRBOTTENS LÄN</t>
        </is>
      </c>
      <c r="E435" t="inlineStr">
        <is>
          <t>JOKKMOKK</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12863-2026</t>
        </is>
      </c>
      <c r="B436" s="1" t="n">
        <v>46092.49055555555</v>
      </c>
      <c r="C436" s="1" t="n">
        <v>46145</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32853-2024</t>
        </is>
      </c>
      <c r="B437" s="1" t="n">
        <v>45516.63964120371</v>
      </c>
      <c r="C437" s="1" t="n">
        <v>46145</v>
      </c>
      <c r="D437" t="inlineStr">
        <is>
          <t>NORRBOTTENS LÄN</t>
        </is>
      </c>
      <c r="E437" t="inlineStr">
        <is>
          <t>JOKKMOKK</t>
        </is>
      </c>
      <c r="F437" t="inlineStr">
        <is>
          <t>Sveaskog</t>
        </is>
      </c>
      <c r="G437" t="n">
        <v>40.4</v>
      </c>
      <c r="H437" t="n">
        <v>0</v>
      </c>
      <c r="I437" t="n">
        <v>0</v>
      </c>
      <c r="J437" t="n">
        <v>0</v>
      </c>
      <c r="K437" t="n">
        <v>0</v>
      </c>
      <c r="L437" t="n">
        <v>0</v>
      </c>
      <c r="M437" t="n">
        <v>0</v>
      </c>
      <c r="N437" t="n">
        <v>0</v>
      </c>
      <c r="O437" t="n">
        <v>0</v>
      </c>
      <c r="P437" t="n">
        <v>0</v>
      </c>
      <c r="Q437" t="n">
        <v>0</v>
      </c>
      <c r="R437" s="2" t="inlineStr"/>
    </row>
    <row r="438" ht="15" customHeight="1">
      <c r="A438" t="inlineStr">
        <is>
          <t>A 3206-2025</t>
        </is>
      </c>
      <c r="B438" s="1" t="n">
        <v>45679</v>
      </c>
      <c r="C438" s="1" t="n">
        <v>46145</v>
      </c>
      <c r="D438" t="inlineStr">
        <is>
          <t>NORRBOTTENS LÄN</t>
        </is>
      </c>
      <c r="E438" t="inlineStr">
        <is>
          <t>JOKKMOKK</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36113-2024</t>
        </is>
      </c>
      <c r="B439" s="1" t="n">
        <v>45534.30302083334</v>
      </c>
      <c r="C439" s="1" t="n">
        <v>46145</v>
      </c>
      <c r="D439" t="inlineStr">
        <is>
          <t>NORRBOTTENS LÄN</t>
        </is>
      </c>
      <c r="E439" t="inlineStr">
        <is>
          <t>JOKKMOKK</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12867-2026</t>
        </is>
      </c>
      <c r="B440" s="1" t="n">
        <v>46092.49130787037</v>
      </c>
      <c r="C440" s="1" t="n">
        <v>46145</v>
      </c>
      <c r="D440" t="inlineStr">
        <is>
          <t>NORRBOTTENS LÄN</t>
        </is>
      </c>
      <c r="E440" t="inlineStr">
        <is>
          <t>JOKKMOKK</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33827-2024</t>
        </is>
      </c>
      <c r="B441" s="1" t="n">
        <v>45520</v>
      </c>
      <c r="C441" s="1" t="n">
        <v>46145</v>
      </c>
      <c r="D441" t="inlineStr">
        <is>
          <t>NORRBOTTENS LÄN</t>
        </is>
      </c>
      <c r="E441" t="inlineStr">
        <is>
          <t>JOKKMOKK</t>
        </is>
      </c>
      <c r="F441" t="inlineStr">
        <is>
          <t>SCA</t>
        </is>
      </c>
      <c r="G441" t="n">
        <v>12.8</v>
      </c>
      <c r="H441" t="n">
        <v>0</v>
      </c>
      <c r="I441" t="n">
        <v>0</v>
      </c>
      <c r="J441" t="n">
        <v>0</v>
      </c>
      <c r="K441" t="n">
        <v>0</v>
      </c>
      <c r="L441" t="n">
        <v>0</v>
      </c>
      <c r="M441" t="n">
        <v>0</v>
      </c>
      <c r="N441" t="n">
        <v>0</v>
      </c>
      <c r="O441" t="n">
        <v>0</v>
      </c>
      <c r="P441" t="n">
        <v>0</v>
      </c>
      <c r="Q441" t="n">
        <v>0</v>
      </c>
      <c r="R441" s="2" t="inlineStr"/>
    </row>
    <row r="442" ht="15" customHeight="1">
      <c r="A442" t="inlineStr">
        <is>
          <t>A 20270-2025</t>
        </is>
      </c>
      <c r="B442" s="1" t="n">
        <v>45773.71444444444</v>
      </c>
      <c r="C442" s="1" t="n">
        <v>46145</v>
      </c>
      <c r="D442" t="inlineStr">
        <is>
          <t>NORRBOTTENS LÄN</t>
        </is>
      </c>
      <c r="E442" t="inlineStr">
        <is>
          <t>JOKKMOKK</t>
        </is>
      </c>
      <c r="G442" t="n">
        <v>90.09999999999999</v>
      </c>
      <c r="H442" t="n">
        <v>0</v>
      </c>
      <c r="I442" t="n">
        <v>0</v>
      </c>
      <c r="J442" t="n">
        <v>0</v>
      </c>
      <c r="K442" t="n">
        <v>0</v>
      </c>
      <c r="L442" t="n">
        <v>0</v>
      </c>
      <c r="M442" t="n">
        <v>0</v>
      </c>
      <c r="N442" t="n">
        <v>0</v>
      </c>
      <c r="O442" t="n">
        <v>0</v>
      </c>
      <c r="P442" t="n">
        <v>0</v>
      </c>
      <c r="Q442" t="n">
        <v>0</v>
      </c>
      <c r="R442" s="2" t="inlineStr"/>
    </row>
    <row r="443" ht="15" customHeight="1">
      <c r="A443" t="inlineStr">
        <is>
          <t>A 46442-2023</t>
        </is>
      </c>
      <c r="B443" s="1" t="n">
        <v>45197.59248842593</v>
      </c>
      <c r="C443" s="1" t="n">
        <v>46145</v>
      </c>
      <c r="D443" t="inlineStr">
        <is>
          <t>NORRBOTTENS LÄN</t>
        </is>
      </c>
      <c r="E443" t="inlineStr">
        <is>
          <t>JOKKMOKK</t>
        </is>
      </c>
      <c r="G443" t="n">
        <v>6.4</v>
      </c>
      <c r="H443" t="n">
        <v>0</v>
      </c>
      <c r="I443" t="n">
        <v>0</v>
      </c>
      <c r="J443" t="n">
        <v>0</v>
      </c>
      <c r="K443" t="n">
        <v>0</v>
      </c>
      <c r="L443" t="n">
        <v>0</v>
      </c>
      <c r="M443" t="n">
        <v>0</v>
      </c>
      <c r="N443" t="n">
        <v>0</v>
      </c>
      <c r="O443" t="n">
        <v>0</v>
      </c>
      <c r="P443" t="n">
        <v>0</v>
      </c>
      <c r="Q443" t="n">
        <v>0</v>
      </c>
      <c r="R443" s="2" t="inlineStr"/>
    </row>
    <row r="444" ht="15" customHeight="1">
      <c r="A444" t="inlineStr">
        <is>
          <t>A 52564-2024</t>
        </is>
      </c>
      <c r="B444" s="1" t="n">
        <v>45609</v>
      </c>
      <c r="C444" s="1" t="n">
        <v>46145</v>
      </c>
      <c r="D444" t="inlineStr">
        <is>
          <t>NORRBOTTENS LÄN</t>
        </is>
      </c>
      <c r="E444" t="inlineStr">
        <is>
          <t>JOKKMOKK</t>
        </is>
      </c>
      <c r="F444" t="inlineStr">
        <is>
          <t>Allmännings- och besparingsskogar</t>
        </is>
      </c>
      <c r="G444" t="n">
        <v>16.5</v>
      </c>
      <c r="H444" t="n">
        <v>0</v>
      </c>
      <c r="I444" t="n">
        <v>0</v>
      </c>
      <c r="J444" t="n">
        <v>0</v>
      </c>
      <c r="K444" t="n">
        <v>0</v>
      </c>
      <c r="L444" t="n">
        <v>0</v>
      </c>
      <c r="M444" t="n">
        <v>0</v>
      </c>
      <c r="N444" t="n">
        <v>0</v>
      </c>
      <c r="O444" t="n">
        <v>0</v>
      </c>
      <c r="P444" t="n">
        <v>0</v>
      </c>
      <c r="Q444" t="n">
        <v>0</v>
      </c>
      <c r="R444" s="2" t="inlineStr"/>
    </row>
    <row r="445" ht="15" customHeight="1">
      <c r="A445" t="inlineStr">
        <is>
          <t>A 12861-2026</t>
        </is>
      </c>
      <c r="B445" s="1" t="n">
        <v>46092.49012731481</v>
      </c>
      <c r="C445" s="1" t="n">
        <v>46145</v>
      </c>
      <c r="D445" t="inlineStr">
        <is>
          <t>NORRBOTTENS LÄN</t>
        </is>
      </c>
      <c r="E445" t="inlineStr">
        <is>
          <t>JOKKMOKK</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60193-2023</t>
        </is>
      </c>
      <c r="B446" s="1" t="n">
        <v>45258</v>
      </c>
      <c r="C446" s="1" t="n">
        <v>46145</v>
      </c>
      <c r="D446" t="inlineStr">
        <is>
          <t>NORRBOTTENS LÄN</t>
        </is>
      </c>
      <c r="E446" t="inlineStr">
        <is>
          <t>JOKKMOKK</t>
        </is>
      </c>
      <c r="F446" t="inlineStr">
        <is>
          <t>Allmännings- och besparingsskogar</t>
        </is>
      </c>
      <c r="G446" t="n">
        <v>11.1</v>
      </c>
      <c r="H446" t="n">
        <v>0</v>
      </c>
      <c r="I446" t="n">
        <v>0</v>
      </c>
      <c r="J446" t="n">
        <v>0</v>
      </c>
      <c r="K446" t="n">
        <v>0</v>
      </c>
      <c r="L446" t="n">
        <v>0</v>
      </c>
      <c r="M446" t="n">
        <v>0</v>
      </c>
      <c r="N446" t="n">
        <v>0</v>
      </c>
      <c r="O446" t="n">
        <v>0</v>
      </c>
      <c r="P446" t="n">
        <v>0</v>
      </c>
      <c r="Q446" t="n">
        <v>0</v>
      </c>
      <c r="R446" s="2" t="inlineStr"/>
    </row>
    <row r="447" ht="15" customHeight="1">
      <c r="A447" t="inlineStr">
        <is>
          <t>A 20142-2026</t>
        </is>
      </c>
      <c r="B447" s="1" t="n">
        <v>46137.34488425926</v>
      </c>
      <c r="C447" s="1" t="n">
        <v>46145</v>
      </c>
      <c r="D447" t="inlineStr">
        <is>
          <t>NORRBOTTENS LÄN</t>
        </is>
      </c>
      <c r="E447" t="inlineStr">
        <is>
          <t>JOKKMOKK</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13726-2026</t>
        </is>
      </c>
      <c r="B448" s="1" t="n">
        <v>46097</v>
      </c>
      <c r="C448" s="1" t="n">
        <v>46145</v>
      </c>
      <c r="D448" t="inlineStr">
        <is>
          <t>NORRBOTTENS LÄN</t>
        </is>
      </c>
      <c r="E448" t="inlineStr">
        <is>
          <t>JOKKMOKK</t>
        </is>
      </c>
      <c r="F448" t="inlineStr">
        <is>
          <t>SCA</t>
        </is>
      </c>
      <c r="G448" t="n">
        <v>7.4</v>
      </c>
      <c r="H448" t="n">
        <v>0</v>
      </c>
      <c r="I448" t="n">
        <v>0</v>
      </c>
      <c r="J448" t="n">
        <v>0</v>
      </c>
      <c r="K448" t="n">
        <v>0</v>
      </c>
      <c r="L448" t="n">
        <v>0</v>
      </c>
      <c r="M448" t="n">
        <v>0</v>
      </c>
      <c r="N448" t="n">
        <v>0</v>
      </c>
      <c r="O448" t="n">
        <v>0</v>
      </c>
      <c r="P448" t="n">
        <v>0</v>
      </c>
      <c r="Q448" t="n">
        <v>0</v>
      </c>
      <c r="R448" s="2" t="inlineStr"/>
    </row>
    <row r="449" ht="15" customHeight="1">
      <c r="A449" t="inlineStr">
        <is>
          <t>A 44151-2024</t>
        </is>
      </c>
      <c r="B449" s="1" t="n">
        <v>45572.67773148148</v>
      </c>
      <c r="C449" s="1" t="n">
        <v>46145</v>
      </c>
      <c r="D449" t="inlineStr">
        <is>
          <t>NORRBOTTENS LÄN</t>
        </is>
      </c>
      <c r="E449" t="inlineStr">
        <is>
          <t>JOKKMOKK</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60028-2025</t>
        </is>
      </c>
      <c r="B450" s="1" t="n">
        <v>45993</v>
      </c>
      <c r="C450" s="1" t="n">
        <v>46145</v>
      </c>
      <c r="D450" t="inlineStr">
        <is>
          <t>NORRBOTTENS LÄN</t>
        </is>
      </c>
      <c r="E450" t="inlineStr">
        <is>
          <t>JOKKMOKK</t>
        </is>
      </c>
      <c r="F450" t="inlineStr">
        <is>
          <t>Övriga statliga verk och myndigheter</t>
        </is>
      </c>
      <c r="G450" t="n">
        <v>15.8</v>
      </c>
      <c r="H450" t="n">
        <v>0</v>
      </c>
      <c r="I450" t="n">
        <v>0</v>
      </c>
      <c r="J450" t="n">
        <v>0</v>
      </c>
      <c r="K450" t="n">
        <v>0</v>
      </c>
      <c r="L450" t="n">
        <v>0</v>
      </c>
      <c r="M450" t="n">
        <v>0</v>
      </c>
      <c r="N450" t="n">
        <v>0</v>
      </c>
      <c r="O450" t="n">
        <v>0</v>
      </c>
      <c r="P450" t="n">
        <v>0</v>
      </c>
      <c r="Q450" t="n">
        <v>0</v>
      </c>
      <c r="R450" s="2" t="inlineStr"/>
    </row>
    <row r="451" ht="15" customHeight="1">
      <c r="A451" t="inlineStr">
        <is>
          <t>A 45505-2022</t>
        </is>
      </c>
      <c r="B451" s="1" t="n">
        <v>44841</v>
      </c>
      <c r="C451" s="1" t="n">
        <v>46145</v>
      </c>
      <c r="D451" t="inlineStr">
        <is>
          <t>NORRBOTTENS LÄN</t>
        </is>
      </c>
      <c r="E451" t="inlineStr">
        <is>
          <t>JOKKMOKK</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16972-2025</t>
        </is>
      </c>
      <c r="B452" s="1" t="n">
        <v>45755.46942129629</v>
      </c>
      <c r="C452" s="1" t="n">
        <v>46145</v>
      </c>
      <c r="D452" t="inlineStr">
        <is>
          <t>NORRBOTTENS LÄN</t>
        </is>
      </c>
      <c r="E452" t="inlineStr">
        <is>
          <t>JOKKMOKK</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14815-2024</t>
        </is>
      </c>
      <c r="B453" s="1" t="n">
        <v>45397.95770833334</v>
      </c>
      <c r="C453" s="1" t="n">
        <v>46145</v>
      </c>
      <c r="D453" t="inlineStr">
        <is>
          <t>NORRBOTTENS LÄN</t>
        </is>
      </c>
      <c r="E453" t="inlineStr">
        <is>
          <t>JOKKMOKK</t>
        </is>
      </c>
      <c r="F453" t="inlineStr">
        <is>
          <t>SCA</t>
        </is>
      </c>
      <c r="G453" t="n">
        <v>54.1</v>
      </c>
      <c r="H453" t="n">
        <v>0</v>
      </c>
      <c r="I453" t="n">
        <v>0</v>
      </c>
      <c r="J453" t="n">
        <v>0</v>
      </c>
      <c r="K453" t="n">
        <v>0</v>
      </c>
      <c r="L453" t="n">
        <v>0</v>
      </c>
      <c r="M453" t="n">
        <v>0</v>
      </c>
      <c r="N453" t="n">
        <v>0</v>
      </c>
      <c r="O453" t="n">
        <v>0</v>
      </c>
      <c r="P453" t="n">
        <v>0</v>
      </c>
      <c r="Q453" t="n">
        <v>0</v>
      </c>
      <c r="R453" s="2" t="inlineStr"/>
    </row>
    <row r="454" ht="15" customHeight="1">
      <c r="A454" t="inlineStr">
        <is>
          <t>A 4661-2022</t>
        </is>
      </c>
      <c r="B454" s="1" t="n">
        <v>44589</v>
      </c>
      <c r="C454" s="1" t="n">
        <v>46145</v>
      </c>
      <c r="D454" t="inlineStr">
        <is>
          <t>NORRBOTTENS LÄN</t>
        </is>
      </c>
      <c r="E454" t="inlineStr">
        <is>
          <t>JOKKMOKK</t>
        </is>
      </c>
      <c r="G454" t="n">
        <v>39.5</v>
      </c>
      <c r="H454" t="n">
        <v>0</v>
      </c>
      <c r="I454" t="n">
        <v>0</v>
      </c>
      <c r="J454" t="n">
        <v>0</v>
      </c>
      <c r="K454" t="n">
        <v>0</v>
      </c>
      <c r="L454" t="n">
        <v>0</v>
      </c>
      <c r="M454" t="n">
        <v>0</v>
      </c>
      <c r="N454" t="n">
        <v>0</v>
      </c>
      <c r="O454" t="n">
        <v>0</v>
      </c>
      <c r="P454" t="n">
        <v>0</v>
      </c>
      <c r="Q454" t="n">
        <v>0</v>
      </c>
      <c r="R454" s="2" t="inlineStr"/>
    </row>
    <row r="455" ht="15" customHeight="1">
      <c r="A455" t="inlineStr">
        <is>
          <t>A 14786-2026</t>
        </is>
      </c>
      <c r="B455" s="1" t="n">
        <v>46101.6775462963</v>
      </c>
      <c r="C455" s="1" t="n">
        <v>46145</v>
      </c>
      <c r="D455" t="inlineStr">
        <is>
          <t>NORRBOTTENS LÄN</t>
        </is>
      </c>
      <c r="E455" t="inlineStr">
        <is>
          <t>JOKKMOKK</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46145</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14650-2026</t>
        </is>
      </c>
      <c r="B457" s="1" t="n">
        <v>46101.42767361111</v>
      </c>
      <c r="C457" s="1" t="n">
        <v>46145</v>
      </c>
      <c r="D457" t="inlineStr">
        <is>
          <t>NORRBOTTENS LÄN</t>
        </is>
      </c>
      <c r="E457" t="inlineStr">
        <is>
          <t>JOKKMOKK</t>
        </is>
      </c>
      <c r="F457" t="inlineStr">
        <is>
          <t>SCA</t>
        </is>
      </c>
      <c r="G457" t="n">
        <v>23.6</v>
      </c>
      <c r="H457" t="n">
        <v>0</v>
      </c>
      <c r="I457" t="n">
        <v>0</v>
      </c>
      <c r="J457" t="n">
        <v>0</v>
      </c>
      <c r="K457" t="n">
        <v>0</v>
      </c>
      <c r="L457" t="n">
        <v>0</v>
      </c>
      <c r="M457" t="n">
        <v>0</v>
      </c>
      <c r="N457" t="n">
        <v>0</v>
      </c>
      <c r="O457" t="n">
        <v>0</v>
      </c>
      <c r="P457" t="n">
        <v>0</v>
      </c>
      <c r="Q457" t="n">
        <v>0</v>
      </c>
      <c r="R457" s="2" t="inlineStr"/>
    </row>
    <row r="458" ht="15" customHeight="1">
      <c r="A458" t="inlineStr">
        <is>
          <t>A 40345-2024</t>
        </is>
      </c>
      <c r="B458" s="1" t="n">
        <v>45555.344375</v>
      </c>
      <c r="C458" s="1" t="n">
        <v>46145</v>
      </c>
      <c r="D458" t="inlineStr">
        <is>
          <t>NORRBOTTENS LÄN</t>
        </is>
      </c>
      <c r="E458" t="inlineStr">
        <is>
          <t>JOKKMOKK</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60390-2023</t>
        </is>
      </c>
      <c r="B459" s="1" t="n">
        <v>45259.43483796297</v>
      </c>
      <c r="C459" s="1" t="n">
        <v>46145</v>
      </c>
      <c r="D459" t="inlineStr">
        <is>
          <t>NORRBOTTENS LÄN</t>
        </is>
      </c>
      <c r="E459" t="inlineStr">
        <is>
          <t>JOKKMOKK</t>
        </is>
      </c>
      <c r="F459" t="inlineStr">
        <is>
          <t>Sveaskog</t>
        </is>
      </c>
      <c r="G459" t="n">
        <v>10.9</v>
      </c>
      <c r="H459" t="n">
        <v>0</v>
      </c>
      <c r="I459" t="n">
        <v>0</v>
      </c>
      <c r="J459" t="n">
        <v>0</v>
      </c>
      <c r="K459" t="n">
        <v>0</v>
      </c>
      <c r="L459" t="n">
        <v>0</v>
      </c>
      <c r="M459" t="n">
        <v>0</v>
      </c>
      <c r="N459" t="n">
        <v>0</v>
      </c>
      <c r="O459" t="n">
        <v>0</v>
      </c>
      <c r="P459" t="n">
        <v>0</v>
      </c>
      <c r="Q459" t="n">
        <v>0</v>
      </c>
      <c r="R459" s="2" t="inlineStr"/>
    </row>
    <row r="460" ht="15" customHeight="1">
      <c r="A460" t="inlineStr">
        <is>
          <t>A 30313-2024</t>
        </is>
      </c>
      <c r="B460" s="1" t="n">
        <v>45490</v>
      </c>
      <c r="C460" s="1" t="n">
        <v>46145</v>
      </c>
      <c r="D460" t="inlineStr">
        <is>
          <t>NORRBOTTENS LÄN</t>
        </is>
      </c>
      <c r="E460" t="inlineStr">
        <is>
          <t>JOKKMOKK</t>
        </is>
      </c>
      <c r="G460" t="n">
        <v>3.4</v>
      </c>
      <c r="H460" t="n">
        <v>0</v>
      </c>
      <c r="I460" t="n">
        <v>0</v>
      </c>
      <c r="J460" t="n">
        <v>0</v>
      </c>
      <c r="K460" t="n">
        <v>0</v>
      </c>
      <c r="L460" t="n">
        <v>0</v>
      </c>
      <c r="M460" t="n">
        <v>0</v>
      </c>
      <c r="N460" t="n">
        <v>0</v>
      </c>
      <c r="O460" t="n">
        <v>0</v>
      </c>
      <c r="P460" t="n">
        <v>0</v>
      </c>
      <c r="Q460" t="n">
        <v>0</v>
      </c>
      <c r="R460" s="2" t="inlineStr"/>
    </row>
    <row r="461" ht="15" customHeight="1">
      <c r="A461" t="inlineStr">
        <is>
          <t>A 52882-2023</t>
        </is>
      </c>
      <c r="B461" s="1" t="n">
        <v>45222</v>
      </c>
      <c r="C461" s="1" t="n">
        <v>46145</v>
      </c>
      <c r="D461" t="inlineStr">
        <is>
          <t>NORRBOTTENS LÄN</t>
        </is>
      </c>
      <c r="E461" t="inlineStr">
        <is>
          <t>JOKKMOKK</t>
        </is>
      </c>
      <c r="G461" t="n">
        <v>56.1</v>
      </c>
      <c r="H461" t="n">
        <v>0</v>
      </c>
      <c r="I461" t="n">
        <v>0</v>
      </c>
      <c r="J461" t="n">
        <v>0</v>
      </c>
      <c r="K461" t="n">
        <v>0</v>
      </c>
      <c r="L461" t="n">
        <v>0</v>
      </c>
      <c r="M461" t="n">
        <v>0</v>
      </c>
      <c r="N461" t="n">
        <v>0</v>
      </c>
      <c r="O461" t="n">
        <v>0</v>
      </c>
      <c r="P461" t="n">
        <v>0</v>
      </c>
      <c r="Q461" t="n">
        <v>0</v>
      </c>
      <c r="R461" s="2" t="inlineStr"/>
    </row>
    <row r="462" ht="15" customHeight="1">
      <c r="A462" t="inlineStr">
        <is>
          <t>A 51261-2024</t>
        </is>
      </c>
      <c r="B462" s="1" t="n">
        <v>45603.69465277778</v>
      </c>
      <c r="C462" s="1" t="n">
        <v>46145</v>
      </c>
      <c r="D462" t="inlineStr">
        <is>
          <t>NORRBOTTENS LÄN</t>
        </is>
      </c>
      <c r="E462" t="inlineStr">
        <is>
          <t>JOKKMOKK</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46145</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46145</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46145</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46145</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46145</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46145</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46145</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46145</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46145</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ht="15" customHeight="1">
      <c r="A472" t="inlineStr">
        <is>
          <t>A 21829-2025</t>
        </is>
      </c>
      <c r="B472" s="1" t="n">
        <v>45783.96920138889</v>
      </c>
      <c r="C472" s="1" t="n">
        <v>46145</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row r="473" ht="15" customHeight="1">
      <c r="A473" t="inlineStr">
        <is>
          <t>A 51293-2024</t>
        </is>
      </c>
      <c r="B473" s="1" t="n">
        <v>45603.92878472222</v>
      </c>
      <c r="C473" s="1" t="n">
        <v>46145</v>
      </c>
      <c r="D473" t="inlineStr">
        <is>
          <t>NORRBOTTENS LÄN</t>
        </is>
      </c>
      <c r="E473" t="inlineStr">
        <is>
          <t>JOKKMOKK</t>
        </is>
      </c>
      <c r="G473" t="n">
        <v>2.5</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46145</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46145</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28036-2024</t>
        </is>
      </c>
      <c r="B476" s="1" t="n">
        <v>45476.49958333333</v>
      </c>
      <c r="C476" s="1" t="n">
        <v>46145</v>
      </c>
      <c r="D476" t="inlineStr">
        <is>
          <t>NORRBOTTENS LÄN</t>
        </is>
      </c>
      <c r="E476" t="inlineStr">
        <is>
          <t>JOKKMOKK</t>
        </is>
      </c>
      <c r="G476" t="n">
        <v>7.4</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46145</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46145</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60418-2023</t>
        </is>
      </c>
      <c r="B479" s="1" t="n">
        <v>45259.49666666667</v>
      </c>
      <c r="C479" s="1" t="n">
        <v>46145</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60164-2023</t>
        </is>
      </c>
      <c r="B480" s="1" t="n">
        <v>45258</v>
      </c>
      <c r="C480" s="1" t="n">
        <v>46145</v>
      </c>
      <c r="D480" t="inlineStr">
        <is>
          <t>NORRBOTTENS LÄN</t>
        </is>
      </c>
      <c r="E480" t="inlineStr">
        <is>
          <t>JOKKMOKK</t>
        </is>
      </c>
      <c r="F480" t="inlineStr">
        <is>
          <t>Allmännings- och besparingsskogar</t>
        </is>
      </c>
      <c r="G480" t="n">
        <v>14.3</v>
      </c>
      <c r="H480" t="n">
        <v>0</v>
      </c>
      <c r="I480" t="n">
        <v>0</v>
      </c>
      <c r="J480" t="n">
        <v>0</v>
      </c>
      <c r="K480" t="n">
        <v>0</v>
      </c>
      <c r="L480" t="n">
        <v>0</v>
      </c>
      <c r="M480" t="n">
        <v>0</v>
      </c>
      <c r="N480" t="n">
        <v>0</v>
      </c>
      <c r="O480" t="n">
        <v>0</v>
      </c>
      <c r="P480" t="n">
        <v>0</v>
      </c>
      <c r="Q480" t="n">
        <v>0</v>
      </c>
      <c r="R480" s="2" t="inlineStr"/>
    </row>
    <row r="481" ht="15" customHeight="1">
      <c r="A481" t="inlineStr">
        <is>
          <t>A 49562-2024</t>
        </is>
      </c>
      <c r="B481" s="1" t="n">
        <v>45596</v>
      </c>
      <c r="C481" s="1" t="n">
        <v>46145</v>
      </c>
      <c r="D481" t="inlineStr">
        <is>
          <t>NORRBOTTENS LÄN</t>
        </is>
      </c>
      <c r="E481" t="inlineStr">
        <is>
          <t>JOKKMOKK</t>
        </is>
      </c>
      <c r="F481" t="inlineStr">
        <is>
          <t>Allmännings- och besparingsskogar</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49953-2024</t>
        </is>
      </c>
      <c r="B482" s="1" t="n">
        <v>45597</v>
      </c>
      <c r="C482" s="1" t="n">
        <v>46145</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37828-2024</t>
        </is>
      </c>
      <c r="B483" s="1" t="n">
        <v>45544</v>
      </c>
      <c r="C483" s="1" t="n">
        <v>46145</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46145</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18602-2024</t>
        </is>
      </c>
      <c r="B485" s="1" t="n">
        <v>45425</v>
      </c>
      <c r="C485" s="1" t="n">
        <v>46145</v>
      </c>
      <c r="D485" t="inlineStr">
        <is>
          <t>NORRBOTTENS LÄN</t>
        </is>
      </c>
      <c r="E485" t="inlineStr">
        <is>
          <t>JOKKMOKK</t>
        </is>
      </c>
      <c r="G485" t="n">
        <v>4.6</v>
      </c>
      <c r="H485" t="n">
        <v>0</v>
      </c>
      <c r="I485" t="n">
        <v>0</v>
      </c>
      <c r="J485" t="n">
        <v>0</v>
      </c>
      <c r="K485" t="n">
        <v>0</v>
      </c>
      <c r="L485" t="n">
        <v>0</v>
      </c>
      <c r="M485" t="n">
        <v>0</v>
      </c>
      <c r="N485" t="n">
        <v>0</v>
      </c>
      <c r="O485" t="n">
        <v>0</v>
      </c>
      <c r="P485" t="n">
        <v>0</v>
      </c>
      <c r="Q485" t="n">
        <v>0</v>
      </c>
      <c r="R485" s="2" t="inlineStr"/>
    </row>
    <row r="486" ht="15" customHeight="1">
      <c r="A486" t="inlineStr">
        <is>
          <t>A 55635-2024</t>
        </is>
      </c>
      <c r="B486" s="1" t="n">
        <v>45622</v>
      </c>
      <c r="C486" s="1" t="n">
        <v>46145</v>
      </c>
      <c r="D486" t="inlineStr">
        <is>
          <t>NORRBOTTENS LÄN</t>
        </is>
      </c>
      <c r="E486" t="inlineStr">
        <is>
          <t>JOKKMOKK</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35675-2024</t>
        </is>
      </c>
      <c r="B487" s="1" t="n">
        <v>45532</v>
      </c>
      <c r="C487" s="1" t="n">
        <v>46145</v>
      </c>
      <c r="D487" t="inlineStr">
        <is>
          <t>NORRBOTTENS LÄN</t>
        </is>
      </c>
      <c r="E487" t="inlineStr">
        <is>
          <t>JOKKMOKK</t>
        </is>
      </c>
      <c r="G487" t="n">
        <v>1.4</v>
      </c>
      <c r="H487" t="n">
        <v>0</v>
      </c>
      <c r="I487" t="n">
        <v>0</v>
      </c>
      <c r="J487" t="n">
        <v>0</v>
      </c>
      <c r="K487" t="n">
        <v>0</v>
      </c>
      <c r="L487" t="n">
        <v>0</v>
      </c>
      <c r="M487" t="n">
        <v>0</v>
      </c>
      <c r="N487" t="n">
        <v>0</v>
      </c>
      <c r="O487" t="n">
        <v>0</v>
      </c>
      <c r="P487" t="n">
        <v>0</v>
      </c>
      <c r="Q487" t="n">
        <v>0</v>
      </c>
      <c r="R487" s="2" t="inlineStr"/>
    </row>
    <row r="488" ht="15" customHeight="1">
      <c r="A488" t="inlineStr">
        <is>
          <t>A 27685-2025</t>
        </is>
      </c>
      <c r="B488" s="1" t="n">
        <v>45813.65023148148</v>
      </c>
      <c r="C488" s="1" t="n">
        <v>46145</v>
      </c>
      <c r="D488" t="inlineStr">
        <is>
          <t>NORRBOTTENS LÄN</t>
        </is>
      </c>
      <c r="E488" t="inlineStr">
        <is>
          <t>JOKKMOKK</t>
        </is>
      </c>
      <c r="G488" t="n">
        <v>2</v>
      </c>
      <c r="H488" t="n">
        <v>0</v>
      </c>
      <c r="I488" t="n">
        <v>0</v>
      </c>
      <c r="J488" t="n">
        <v>0</v>
      </c>
      <c r="K488" t="n">
        <v>0</v>
      </c>
      <c r="L488" t="n">
        <v>0</v>
      </c>
      <c r="M488" t="n">
        <v>0</v>
      </c>
      <c r="N488" t="n">
        <v>0</v>
      </c>
      <c r="O488" t="n">
        <v>0</v>
      </c>
      <c r="P488" t="n">
        <v>0</v>
      </c>
      <c r="Q488" t="n">
        <v>0</v>
      </c>
      <c r="R488" s="2" t="inlineStr"/>
    </row>
    <row r="489" ht="15" customHeight="1">
      <c r="A489" t="inlineStr">
        <is>
          <t>A 48339-2024</t>
        </is>
      </c>
      <c r="B489" s="1" t="n">
        <v>45590</v>
      </c>
      <c r="C489" s="1" t="n">
        <v>46145</v>
      </c>
      <c r="D489" t="inlineStr">
        <is>
          <t>NORRBOTTENS LÄN</t>
        </is>
      </c>
      <c r="E489" t="inlineStr">
        <is>
          <t>JOKKMOKK</t>
        </is>
      </c>
      <c r="F489" t="inlineStr">
        <is>
          <t>Allmännings- och besparingsskogar</t>
        </is>
      </c>
      <c r="G489" t="n">
        <v>24.9</v>
      </c>
      <c r="H489" t="n">
        <v>0</v>
      </c>
      <c r="I489" t="n">
        <v>0</v>
      </c>
      <c r="J489" t="n">
        <v>0</v>
      </c>
      <c r="K489" t="n">
        <v>0</v>
      </c>
      <c r="L489" t="n">
        <v>0</v>
      </c>
      <c r="M489" t="n">
        <v>0</v>
      </c>
      <c r="N489" t="n">
        <v>0</v>
      </c>
      <c r="O489" t="n">
        <v>0</v>
      </c>
      <c r="P489" t="n">
        <v>0</v>
      </c>
      <c r="Q489" t="n">
        <v>0</v>
      </c>
      <c r="R489" s="2" t="inlineStr"/>
    </row>
    <row r="490" ht="15" customHeight="1">
      <c r="A490" t="inlineStr">
        <is>
          <t>A 28591-2025</t>
        </is>
      </c>
      <c r="B490" s="1" t="n">
        <v>45819.59027777778</v>
      </c>
      <c r="C490" s="1" t="n">
        <v>46145</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28639-2025</t>
        </is>
      </c>
      <c r="B491" s="1" t="n">
        <v>45819.63649305556</v>
      </c>
      <c r="C491" s="1" t="n">
        <v>46145</v>
      </c>
      <c r="D491" t="inlineStr">
        <is>
          <t>NORRBOTTENS LÄN</t>
        </is>
      </c>
      <c r="E491" t="inlineStr">
        <is>
          <t>JOKKMOKK</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28601-2025</t>
        </is>
      </c>
      <c r="B492" s="1" t="n">
        <v>45819.59802083333</v>
      </c>
      <c r="C492" s="1" t="n">
        <v>46145</v>
      </c>
      <c r="D492" t="inlineStr">
        <is>
          <t>NORRBOTTENS LÄN</t>
        </is>
      </c>
      <c r="E492" t="inlineStr">
        <is>
          <t>JOKKMOKK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29446-2025</t>
        </is>
      </c>
      <c r="B493" s="1" t="n">
        <v>45824</v>
      </c>
      <c r="C493" s="1" t="n">
        <v>46145</v>
      </c>
      <c r="D493" t="inlineStr">
        <is>
          <t>NORRBOTTENS LÄN</t>
        </is>
      </c>
      <c r="E493" t="inlineStr">
        <is>
          <t>JOKKMOKK</t>
        </is>
      </c>
      <c r="G493" t="n">
        <v>68.5</v>
      </c>
      <c r="H493" t="n">
        <v>0</v>
      </c>
      <c r="I493" t="n">
        <v>0</v>
      </c>
      <c r="J493" t="n">
        <v>0</v>
      </c>
      <c r="K493" t="n">
        <v>0</v>
      </c>
      <c r="L493" t="n">
        <v>0</v>
      </c>
      <c r="M493" t="n">
        <v>0</v>
      </c>
      <c r="N493" t="n">
        <v>0</v>
      </c>
      <c r="O493" t="n">
        <v>0</v>
      </c>
      <c r="P493" t="n">
        <v>0</v>
      </c>
      <c r="Q493" t="n">
        <v>0</v>
      </c>
      <c r="R493" s="2" t="inlineStr"/>
    </row>
    <row r="494" ht="15" customHeight="1">
      <c r="A494" t="inlineStr">
        <is>
          <t>A 29333-2025</t>
        </is>
      </c>
      <c r="B494" s="1" t="n">
        <v>45824</v>
      </c>
      <c r="C494" s="1" t="n">
        <v>46145</v>
      </c>
      <c r="D494" t="inlineStr">
        <is>
          <t>NORRBOTTENS LÄN</t>
        </is>
      </c>
      <c r="E494" t="inlineStr">
        <is>
          <t>JOKKMOKK</t>
        </is>
      </c>
      <c r="G494" t="n">
        <v>17.3</v>
      </c>
      <c r="H494" t="n">
        <v>0</v>
      </c>
      <c r="I494" t="n">
        <v>0</v>
      </c>
      <c r="J494" t="n">
        <v>0</v>
      </c>
      <c r="K494" t="n">
        <v>0</v>
      </c>
      <c r="L494" t="n">
        <v>0</v>
      </c>
      <c r="M494" t="n">
        <v>0</v>
      </c>
      <c r="N494" t="n">
        <v>0</v>
      </c>
      <c r="O494" t="n">
        <v>0</v>
      </c>
      <c r="P494" t="n">
        <v>0</v>
      </c>
      <c r="Q494" t="n">
        <v>0</v>
      </c>
      <c r="R494" s="2" t="inlineStr"/>
    </row>
    <row r="495" ht="15" customHeight="1">
      <c r="A495" t="inlineStr">
        <is>
          <t>A 29418-2025</t>
        </is>
      </c>
      <c r="B495" s="1" t="n">
        <v>45824.63607638889</v>
      </c>
      <c r="C495" s="1" t="n">
        <v>46145</v>
      </c>
      <c r="D495" t="inlineStr">
        <is>
          <t>NORRBOTTENS LÄN</t>
        </is>
      </c>
      <c r="E495" t="inlineStr">
        <is>
          <t>JOKKMOKK</t>
        </is>
      </c>
      <c r="G495" t="n">
        <v>17.8</v>
      </c>
      <c r="H495" t="n">
        <v>0</v>
      </c>
      <c r="I495" t="n">
        <v>0</v>
      </c>
      <c r="J495" t="n">
        <v>0</v>
      </c>
      <c r="K495" t="n">
        <v>0</v>
      </c>
      <c r="L495" t="n">
        <v>0</v>
      </c>
      <c r="M495" t="n">
        <v>0</v>
      </c>
      <c r="N495" t="n">
        <v>0</v>
      </c>
      <c r="O495" t="n">
        <v>0</v>
      </c>
      <c r="P495" t="n">
        <v>0</v>
      </c>
      <c r="Q495" t="n">
        <v>0</v>
      </c>
      <c r="R495" s="2" t="inlineStr"/>
    </row>
    <row r="496" ht="15" customHeight="1">
      <c r="A496" t="inlineStr">
        <is>
          <t>A 29853-2025</t>
        </is>
      </c>
      <c r="B496" s="1" t="n">
        <v>45826.34438657408</v>
      </c>
      <c r="C496" s="1" t="n">
        <v>46145</v>
      </c>
      <c r="D496" t="inlineStr">
        <is>
          <t>NORRBOTTENS LÄN</t>
        </is>
      </c>
      <c r="E496" t="inlineStr">
        <is>
          <t>JOKKMOKK</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29857-2025</t>
        </is>
      </c>
      <c r="B497" s="1" t="n">
        <v>45826.3453125</v>
      </c>
      <c r="C497" s="1" t="n">
        <v>46145</v>
      </c>
      <c r="D497" t="inlineStr">
        <is>
          <t>NORRBOTTENS LÄN</t>
        </is>
      </c>
      <c r="E497" t="inlineStr">
        <is>
          <t>JOKKMOKK</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29856-2025</t>
        </is>
      </c>
      <c r="B498" s="1" t="n">
        <v>45826.345</v>
      </c>
      <c r="C498" s="1" t="n">
        <v>46145</v>
      </c>
      <c r="D498" t="inlineStr">
        <is>
          <t>NORRBOTTENS LÄN</t>
        </is>
      </c>
      <c r="E498" t="inlineStr">
        <is>
          <t>JOKKMOKK</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29858-2025</t>
        </is>
      </c>
      <c r="B499" s="1" t="n">
        <v>45826.34565972222</v>
      </c>
      <c r="C499" s="1" t="n">
        <v>46145</v>
      </c>
      <c r="D499" t="inlineStr">
        <is>
          <t>NORRBOTTENS LÄN</t>
        </is>
      </c>
      <c r="E499" t="inlineStr">
        <is>
          <t>JOKKMOKK</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30189-2025</t>
        </is>
      </c>
      <c r="B500" s="1" t="n">
        <v>45827.34756944444</v>
      </c>
      <c r="C500" s="1" t="n">
        <v>46145</v>
      </c>
      <c r="D500" t="inlineStr">
        <is>
          <t>NORRBOTTENS LÄN</t>
        </is>
      </c>
      <c r="E500" t="inlineStr">
        <is>
          <t>JOKKMOKK</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30178-2025</t>
        </is>
      </c>
      <c r="B501" s="1" t="n">
        <v>45827.34571759259</v>
      </c>
      <c r="C501" s="1" t="n">
        <v>46145</v>
      </c>
      <c r="D501" t="inlineStr">
        <is>
          <t>NORRBOTTENS LÄN</t>
        </is>
      </c>
      <c r="E501" t="inlineStr">
        <is>
          <t>JOKKMOKK</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30181-2025</t>
        </is>
      </c>
      <c r="B502" s="1" t="n">
        <v>45827.34607638889</v>
      </c>
      <c r="C502" s="1" t="n">
        <v>46145</v>
      </c>
      <c r="D502" t="inlineStr">
        <is>
          <t>NORRBOTTENS LÄN</t>
        </is>
      </c>
      <c r="E502" t="inlineStr">
        <is>
          <t>JOKKMOKK</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30182-2025</t>
        </is>
      </c>
      <c r="B503" s="1" t="n">
        <v>45827.34640046296</v>
      </c>
      <c r="C503" s="1" t="n">
        <v>46145</v>
      </c>
      <c r="D503" t="inlineStr">
        <is>
          <t>NORRBOTTENS LÄN</t>
        </is>
      </c>
      <c r="E503" t="inlineStr">
        <is>
          <t>JOKKMOKK</t>
        </is>
      </c>
      <c r="F503" t="inlineStr">
        <is>
          <t>SCA</t>
        </is>
      </c>
      <c r="G503" t="n">
        <v>9.9</v>
      </c>
      <c r="H503" t="n">
        <v>0</v>
      </c>
      <c r="I503" t="n">
        <v>0</v>
      </c>
      <c r="J503" t="n">
        <v>0</v>
      </c>
      <c r="K503" t="n">
        <v>0</v>
      </c>
      <c r="L503" t="n">
        <v>0</v>
      </c>
      <c r="M503" t="n">
        <v>0</v>
      </c>
      <c r="N503" t="n">
        <v>0</v>
      </c>
      <c r="O503" t="n">
        <v>0</v>
      </c>
      <c r="P503" t="n">
        <v>0</v>
      </c>
      <c r="Q503" t="n">
        <v>0</v>
      </c>
      <c r="R503" s="2" t="inlineStr"/>
    </row>
    <row r="504" ht="15" customHeight="1">
      <c r="A504" t="inlineStr">
        <is>
          <t>A 30184-2025</t>
        </is>
      </c>
      <c r="B504" s="1" t="n">
        <v>45827.34695601852</v>
      </c>
      <c r="C504" s="1" t="n">
        <v>46145</v>
      </c>
      <c r="D504" t="inlineStr">
        <is>
          <t>NORRBOTTENS LÄN</t>
        </is>
      </c>
      <c r="E504" t="inlineStr">
        <is>
          <t>JOKKMOKK</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30177-2025</t>
        </is>
      </c>
      <c r="B505" s="1" t="n">
        <v>45827.34537037037</v>
      </c>
      <c r="C505" s="1" t="n">
        <v>46145</v>
      </c>
      <c r="D505" t="inlineStr">
        <is>
          <t>NORRBOTTENS LÄN</t>
        </is>
      </c>
      <c r="E505" t="inlineStr">
        <is>
          <t>JOKKMOKK</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30185-2025</t>
        </is>
      </c>
      <c r="B506" s="1" t="n">
        <v>45827.34717592593</v>
      </c>
      <c r="C506" s="1" t="n">
        <v>46145</v>
      </c>
      <c r="D506" t="inlineStr">
        <is>
          <t>NORRBOTTENS LÄN</t>
        </is>
      </c>
      <c r="E506" t="inlineStr">
        <is>
          <t>JOKKMOKK</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31918-2025</t>
        </is>
      </c>
      <c r="B507" s="1" t="n">
        <v>45834</v>
      </c>
      <c r="C507" s="1" t="n">
        <v>46145</v>
      </c>
      <c r="D507" t="inlineStr">
        <is>
          <t>NORRBOTTENS LÄN</t>
        </is>
      </c>
      <c r="E507" t="inlineStr">
        <is>
          <t>JOKKMOKK</t>
        </is>
      </c>
      <c r="G507" t="n">
        <v>15.2</v>
      </c>
      <c r="H507" t="n">
        <v>0</v>
      </c>
      <c r="I507" t="n">
        <v>0</v>
      </c>
      <c r="J507" t="n">
        <v>0</v>
      </c>
      <c r="K507" t="n">
        <v>0</v>
      </c>
      <c r="L507" t="n">
        <v>0</v>
      </c>
      <c r="M507" t="n">
        <v>0</v>
      </c>
      <c r="N507" t="n">
        <v>0</v>
      </c>
      <c r="O507" t="n">
        <v>0</v>
      </c>
      <c r="P507" t="n">
        <v>0</v>
      </c>
      <c r="Q507" t="n">
        <v>0</v>
      </c>
      <c r="R507" s="2" t="inlineStr"/>
    </row>
    <row r="508" ht="15" customHeight="1">
      <c r="A508" t="inlineStr">
        <is>
          <t>A 32670-2025</t>
        </is>
      </c>
      <c r="B508" s="1" t="n">
        <v>45838.70071759259</v>
      </c>
      <c r="C508" s="1" t="n">
        <v>46145</v>
      </c>
      <c r="D508" t="inlineStr">
        <is>
          <t>NORRBOTTENS LÄN</t>
        </is>
      </c>
      <c r="E508" t="inlineStr">
        <is>
          <t>JOKKMOKK</t>
        </is>
      </c>
      <c r="F508" t="inlineStr">
        <is>
          <t>Sveaskog</t>
        </is>
      </c>
      <c r="G508" t="n">
        <v>6.8</v>
      </c>
      <c r="H508" t="n">
        <v>0</v>
      </c>
      <c r="I508" t="n">
        <v>0</v>
      </c>
      <c r="J508" t="n">
        <v>0</v>
      </c>
      <c r="K508" t="n">
        <v>0</v>
      </c>
      <c r="L508" t="n">
        <v>0</v>
      </c>
      <c r="M508" t="n">
        <v>0</v>
      </c>
      <c r="N508" t="n">
        <v>0</v>
      </c>
      <c r="O508" t="n">
        <v>0</v>
      </c>
      <c r="P508" t="n">
        <v>0</v>
      </c>
      <c r="Q508" t="n">
        <v>0</v>
      </c>
      <c r="R508" s="2" t="inlineStr"/>
    </row>
    <row r="509" ht="15" customHeight="1">
      <c r="A509" t="inlineStr">
        <is>
          <t>A 33551-2025</t>
        </is>
      </c>
      <c r="B509" s="1" t="n">
        <v>45841.57357638889</v>
      </c>
      <c r="C509" s="1" t="n">
        <v>46145</v>
      </c>
      <c r="D509" t="inlineStr">
        <is>
          <t>NORRBOTTENS LÄN</t>
        </is>
      </c>
      <c r="E509" t="inlineStr">
        <is>
          <t>JOKKMOKK</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33349-2025</t>
        </is>
      </c>
      <c r="B510" s="1" t="n">
        <v>45841.3704050926</v>
      </c>
      <c r="C510" s="1" t="n">
        <v>46145</v>
      </c>
      <c r="D510" t="inlineStr">
        <is>
          <t>NORRBOTTENS LÄN</t>
        </is>
      </c>
      <c r="E510" t="inlineStr">
        <is>
          <t>JOKKMOKK</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33523-2025</t>
        </is>
      </c>
      <c r="B511" s="1" t="n">
        <v>45841.54601851852</v>
      </c>
      <c r="C511" s="1" t="n">
        <v>46145</v>
      </c>
      <c r="D511" t="inlineStr">
        <is>
          <t>NORRBOTTENS LÄN</t>
        </is>
      </c>
      <c r="E511" t="inlineStr">
        <is>
          <t>JOKKMOKK</t>
        </is>
      </c>
      <c r="F511" t="inlineStr">
        <is>
          <t>Sveaskog</t>
        </is>
      </c>
      <c r="G511" t="n">
        <v>5.5</v>
      </c>
      <c r="H511" t="n">
        <v>0</v>
      </c>
      <c r="I511" t="n">
        <v>0</v>
      </c>
      <c r="J511" t="n">
        <v>0</v>
      </c>
      <c r="K511" t="n">
        <v>0</v>
      </c>
      <c r="L511" t="n">
        <v>0</v>
      </c>
      <c r="M511" t="n">
        <v>0</v>
      </c>
      <c r="N511" t="n">
        <v>0</v>
      </c>
      <c r="O511" t="n">
        <v>0</v>
      </c>
      <c r="P511" t="n">
        <v>0</v>
      </c>
      <c r="Q511" t="n">
        <v>0</v>
      </c>
      <c r="R511" s="2" t="inlineStr"/>
    </row>
    <row r="512" ht="15" customHeight="1">
      <c r="A512" t="inlineStr">
        <is>
          <t>A 33515-2025</t>
        </is>
      </c>
      <c r="B512" s="1" t="n">
        <v>45841.53164351852</v>
      </c>
      <c r="C512" s="1" t="n">
        <v>46145</v>
      </c>
      <c r="D512" t="inlineStr">
        <is>
          <t>NORRBOTTENS LÄN</t>
        </is>
      </c>
      <c r="E512" t="inlineStr">
        <is>
          <t>JOKKMOKK</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33554-2025</t>
        </is>
      </c>
      <c r="B513" s="1" t="n">
        <v>45841.57400462963</v>
      </c>
      <c r="C513" s="1" t="n">
        <v>46145</v>
      </c>
      <c r="D513" t="inlineStr">
        <is>
          <t>NORRBOTTENS LÄN</t>
        </is>
      </c>
      <c r="E513" t="inlineStr">
        <is>
          <t>JOKKMOKK</t>
        </is>
      </c>
      <c r="F513" t="inlineStr">
        <is>
          <t>SCA</t>
        </is>
      </c>
      <c r="G513" t="n">
        <v>11.4</v>
      </c>
      <c r="H513" t="n">
        <v>0</v>
      </c>
      <c r="I513" t="n">
        <v>0</v>
      </c>
      <c r="J513" t="n">
        <v>0</v>
      </c>
      <c r="K513" t="n">
        <v>0</v>
      </c>
      <c r="L513" t="n">
        <v>0</v>
      </c>
      <c r="M513" t="n">
        <v>0</v>
      </c>
      <c r="N513" t="n">
        <v>0</v>
      </c>
      <c r="O513" t="n">
        <v>0</v>
      </c>
      <c r="P513" t="n">
        <v>0</v>
      </c>
      <c r="Q513" t="n">
        <v>0</v>
      </c>
      <c r="R513" s="2" t="inlineStr"/>
    </row>
    <row r="514" ht="15" customHeight="1">
      <c r="A514" t="inlineStr">
        <is>
          <t>A 33741-2025</t>
        </is>
      </c>
      <c r="B514" s="1" t="n">
        <v>45842.3446875</v>
      </c>
      <c r="C514" s="1" t="n">
        <v>46145</v>
      </c>
      <c r="D514" t="inlineStr">
        <is>
          <t>NORRBOTTENS LÄN</t>
        </is>
      </c>
      <c r="E514" t="inlineStr">
        <is>
          <t>JOKKMOKK</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35040-2025</t>
        </is>
      </c>
      <c r="B515" s="1" t="n">
        <v>45852.34420138889</v>
      </c>
      <c r="C515" s="1" t="n">
        <v>46145</v>
      </c>
      <c r="D515" t="inlineStr">
        <is>
          <t>NORRBOTTENS LÄN</t>
        </is>
      </c>
      <c r="E515" t="inlineStr">
        <is>
          <t>JOKKMOKK</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35511-2025</t>
        </is>
      </c>
      <c r="B516" s="1" t="n">
        <v>45856.36497685185</v>
      </c>
      <c r="C516" s="1" t="n">
        <v>46145</v>
      </c>
      <c r="D516" t="inlineStr">
        <is>
          <t>NORRBOTTENS LÄN</t>
        </is>
      </c>
      <c r="E516" t="inlineStr">
        <is>
          <t>JOKKMOKK</t>
        </is>
      </c>
      <c r="F516" t="inlineStr">
        <is>
          <t>SCA</t>
        </is>
      </c>
      <c r="G516" t="n">
        <v>7</v>
      </c>
      <c r="H516" t="n">
        <v>0</v>
      </c>
      <c r="I516" t="n">
        <v>0</v>
      </c>
      <c r="J516" t="n">
        <v>0</v>
      </c>
      <c r="K516" t="n">
        <v>0</v>
      </c>
      <c r="L516" t="n">
        <v>0</v>
      </c>
      <c r="M516" t="n">
        <v>0</v>
      </c>
      <c r="N516" t="n">
        <v>0</v>
      </c>
      <c r="O516" t="n">
        <v>0</v>
      </c>
      <c r="P516" t="n">
        <v>0</v>
      </c>
      <c r="Q516" t="n">
        <v>0</v>
      </c>
      <c r="R516" s="2" t="inlineStr"/>
    </row>
    <row r="517" ht="15" customHeight="1">
      <c r="A517" t="inlineStr">
        <is>
          <t>A 35805-2025</t>
        </is>
      </c>
      <c r="B517" s="1" t="n">
        <v>45861.4019212963</v>
      </c>
      <c r="C517" s="1" t="n">
        <v>46145</v>
      </c>
      <c r="D517" t="inlineStr">
        <is>
          <t>NORRBOTTENS LÄN</t>
        </is>
      </c>
      <c r="E517" t="inlineStr">
        <is>
          <t>JOKKMOKK</t>
        </is>
      </c>
      <c r="G517" t="n">
        <v>7</v>
      </c>
      <c r="H517" t="n">
        <v>0</v>
      </c>
      <c r="I517" t="n">
        <v>0</v>
      </c>
      <c r="J517" t="n">
        <v>0</v>
      </c>
      <c r="K517" t="n">
        <v>0</v>
      </c>
      <c r="L517" t="n">
        <v>0</v>
      </c>
      <c r="M517" t="n">
        <v>0</v>
      </c>
      <c r="N517" t="n">
        <v>0</v>
      </c>
      <c r="O517" t="n">
        <v>0</v>
      </c>
      <c r="P517" t="n">
        <v>0</v>
      </c>
      <c r="Q517" t="n">
        <v>0</v>
      </c>
      <c r="R517" s="2" t="inlineStr"/>
    </row>
    <row r="518" ht="15" customHeight="1">
      <c r="A518" t="inlineStr">
        <is>
          <t>A 26552-2025</t>
        </is>
      </c>
      <c r="B518" s="1" t="n">
        <v>45807</v>
      </c>
      <c r="C518" s="1" t="n">
        <v>46145</v>
      </c>
      <c r="D518" t="inlineStr">
        <is>
          <t>NORRBOTTENS LÄN</t>
        </is>
      </c>
      <c r="E518" t="inlineStr">
        <is>
          <t>JOKKMOKK</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36325-2025</t>
        </is>
      </c>
      <c r="B519" s="1" t="n">
        <v>45868.40723379629</v>
      </c>
      <c r="C519" s="1" t="n">
        <v>46145</v>
      </c>
      <c r="D519" t="inlineStr">
        <is>
          <t>NORRBOTTENS LÄN</t>
        </is>
      </c>
      <c r="E519" t="inlineStr">
        <is>
          <t>JOKKMOKK</t>
        </is>
      </c>
      <c r="F519" t="inlineStr">
        <is>
          <t>SCA</t>
        </is>
      </c>
      <c r="G519" t="n">
        <v>14.4</v>
      </c>
      <c r="H519" t="n">
        <v>0</v>
      </c>
      <c r="I519" t="n">
        <v>0</v>
      </c>
      <c r="J519" t="n">
        <v>0</v>
      </c>
      <c r="K519" t="n">
        <v>0</v>
      </c>
      <c r="L519" t="n">
        <v>0</v>
      </c>
      <c r="M519" t="n">
        <v>0</v>
      </c>
      <c r="N519" t="n">
        <v>0</v>
      </c>
      <c r="O519" t="n">
        <v>0</v>
      </c>
      <c r="P519" t="n">
        <v>0</v>
      </c>
      <c r="Q519" t="n">
        <v>0</v>
      </c>
      <c r="R519" s="2" t="inlineStr"/>
    </row>
    <row r="520" ht="15" customHeight="1">
      <c r="A520" t="inlineStr">
        <is>
          <t>A 36357-2025</t>
        </is>
      </c>
      <c r="B520" s="1" t="n">
        <v>45868.5107175926</v>
      </c>
      <c r="C520" s="1" t="n">
        <v>46145</v>
      </c>
      <c r="D520" t="inlineStr">
        <is>
          <t>NORRBOTTENS LÄN</t>
        </is>
      </c>
      <c r="E520" t="inlineStr">
        <is>
          <t>JOKKMOKK</t>
        </is>
      </c>
      <c r="G520" t="n">
        <v>0.5</v>
      </c>
      <c r="H520" t="n">
        <v>0</v>
      </c>
      <c r="I520" t="n">
        <v>0</v>
      </c>
      <c r="J520" t="n">
        <v>0</v>
      </c>
      <c r="K520" t="n">
        <v>0</v>
      </c>
      <c r="L520" t="n">
        <v>0</v>
      </c>
      <c r="M520" t="n">
        <v>0</v>
      </c>
      <c r="N520" t="n">
        <v>0</v>
      </c>
      <c r="O520" t="n">
        <v>0</v>
      </c>
      <c r="P520" t="n">
        <v>0</v>
      </c>
      <c r="Q520" t="n">
        <v>0</v>
      </c>
      <c r="R520" s="2" t="inlineStr"/>
    </row>
    <row r="521">
      <c r="A521" t="inlineStr">
        <is>
          <t>A 36168-2025</t>
        </is>
      </c>
      <c r="B521" s="1" t="n">
        <v>45867.38582175926</v>
      </c>
      <c r="C521" s="1" t="n">
        <v>46145</v>
      </c>
      <c r="D521" t="inlineStr">
        <is>
          <t>NORRBOTTENS LÄN</t>
        </is>
      </c>
      <c r="E521" t="inlineStr">
        <is>
          <t>JOKKMOKK</t>
        </is>
      </c>
      <c r="F521" t="inlineStr">
        <is>
          <t>SCA</t>
        </is>
      </c>
      <c r="G521" t="n">
        <v>2</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2026-05-03T11:03:30Z</dcterms:created>
  <dcterms:modified xmlns:dcterms="http://purl.org/dc/terms/" xmlns:xsi="http://www.w3.org/2001/XMLSchema-instance" xsi:type="dcterms:W3CDTF">2026-05-03T11:03:31Z</dcterms:modified>
</cp:coreProperties>
</file>