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45907</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45907</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45907</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45907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45907</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45907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45907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45907</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45907</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45907</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45907</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45907</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45907</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45907</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45907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45907</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45907</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45907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45907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45907</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45907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45907</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45907</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45907</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45907</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45907</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45907</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45907</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45907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45907</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45907</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45907</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45907</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33139-2023</t>
        </is>
      </c>
      <c r="B43" s="1" t="n">
        <v>45114</v>
      </c>
      <c r="C43" s="1" t="n">
        <v>45907</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72477-2021</t>
        </is>
      </c>
      <c r="B44" s="1" t="n">
        <v>44545</v>
      </c>
      <c r="C44" s="1" t="n">
        <v>45907</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45907</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45907</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45907</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45907</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45907</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45907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45907</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50237-2022</t>
        </is>
      </c>
      <c r="B52" s="1" t="n">
        <v>44865</v>
      </c>
      <c r="C52" s="1" t="n">
        <v>45907</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36594-2021</t>
        </is>
      </c>
      <c r="B53" s="1" t="n">
        <v>44391</v>
      </c>
      <c r="C53" s="1" t="n">
        <v>45907</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45907</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45907</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51875-2020</t>
        </is>
      </c>
      <c r="B56" s="1" t="n">
        <v>44109</v>
      </c>
      <c r="C56" s="1" t="n">
        <v>45907</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43039-2024</t>
        </is>
      </c>
      <c r="B57" s="1" t="n">
        <v>45567</v>
      </c>
      <c r="C57" s="1" t="n">
        <v>45907</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45907</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50121-2024</t>
        </is>
      </c>
      <c r="B59" s="1" t="n">
        <v>45600.42096064815</v>
      </c>
      <c r="C59" s="1" t="n">
        <v>45907</v>
      </c>
      <c r="D59" t="inlineStr">
        <is>
          <t>NORRBOTTENS LÄN</t>
        </is>
      </c>
      <c r="E59" t="inlineStr">
        <is>
          <t>JOKKMOKK</t>
        </is>
      </c>
      <c r="G59" t="n">
        <v>2.3</v>
      </c>
      <c r="H59" t="n">
        <v>1</v>
      </c>
      <c r="I59" t="n">
        <v>0</v>
      </c>
      <c r="J59" t="n">
        <v>1</v>
      </c>
      <c r="K59" t="n">
        <v>0</v>
      </c>
      <c r="L59" t="n">
        <v>0</v>
      </c>
      <c r="M59" t="n">
        <v>0</v>
      </c>
      <c r="N59" t="n">
        <v>0</v>
      </c>
      <c r="O59" t="n">
        <v>1</v>
      </c>
      <c r="P59" t="n">
        <v>0</v>
      </c>
      <c r="Q59" t="n">
        <v>1</v>
      </c>
      <c r="R59" s="2" t="inlineStr">
        <is>
          <t>Buskskvätta</t>
        </is>
      </c>
      <c r="S59">
        <f>HYPERLINK("https://klasma.github.io/Logging_2510/artfynd/A 50121-2024 artfynd.xlsx", "A 50121-2024")</f>
        <v/>
      </c>
      <c r="T59">
        <f>HYPERLINK("https://klasma.github.io/Logging_2510/kartor/A 50121-2024 karta.png", "A 50121-2024")</f>
        <v/>
      </c>
      <c r="V59">
        <f>HYPERLINK("https://klasma.github.io/Logging_2510/klagomål/A 50121-2024 FSC-klagomål.docx", "A 50121-2024")</f>
        <v/>
      </c>
      <c r="W59">
        <f>HYPERLINK("https://klasma.github.io/Logging_2510/klagomålsmail/A 50121-2024 FSC-klagomål mail.docx", "A 50121-2024")</f>
        <v/>
      </c>
      <c r="X59">
        <f>HYPERLINK("https://klasma.github.io/Logging_2510/tillsyn/A 50121-2024 tillsynsbegäran.docx", "A 50121-2024")</f>
        <v/>
      </c>
      <c r="Y59">
        <f>HYPERLINK("https://klasma.github.io/Logging_2510/tillsynsmail/A 50121-2024 tillsynsbegäran mail.docx", "A 50121-2024")</f>
        <v/>
      </c>
      <c r="Z59">
        <f>HYPERLINK("https://klasma.github.io/Logging_2510/fåglar/A 50121-2024 prioriterade fågelarter.docx", "A 50121-2024")</f>
        <v/>
      </c>
    </row>
    <row r="60" ht="15" customHeight="1">
      <c r="A60" t="inlineStr">
        <is>
          <t>A 29859-2025</t>
        </is>
      </c>
      <c r="B60" s="1" t="n">
        <v>45826.34621527778</v>
      </c>
      <c r="C60" s="1" t="n">
        <v>45907</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37252-2025</t>
        </is>
      </c>
      <c r="B61" s="1" t="n">
        <v>45876.4228125</v>
      </c>
      <c r="C61" s="1" t="n">
        <v>45907</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32669-2025</t>
        </is>
      </c>
      <c r="B62" s="1" t="n">
        <v>45838.69793981482</v>
      </c>
      <c r="C62" s="1" t="n">
        <v>45907</v>
      </c>
      <c r="D62" t="inlineStr">
        <is>
          <t>NORRBOTTENS LÄN</t>
        </is>
      </c>
      <c r="E62" t="inlineStr">
        <is>
          <t>JOKKMOKK</t>
        </is>
      </c>
      <c r="F62" t="inlineStr">
        <is>
          <t>Sveaskog</t>
        </is>
      </c>
      <c r="G62" t="n">
        <v>14.6</v>
      </c>
      <c r="H62" t="n">
        <v>1</v>
      </c>
      <c r="I62" t="n">
        <v>1</v>
      </c>
      <c r="J62" t="n">
        <v>0</v>
      </c>
      <c r="K62" t="n">
        <v>0</v>
      </c>
      <c r="L62" t="n">
        <v>0</v>
      </c>
      <c r="M62" t="n">
        <v>0</v>
      </c>
      <c r="N62" t="n">
        <v>0</v>
      </c>
      <c r="O62" t="n">
        <v>0</v>
      </c>
      <c r="P62" t="n">
        <v>0</v>
      </c>
      <c r="Q62" t="n">
        <v>1</v>
      </c>
      <c r="R62" s="2" t="inlineStr">
        <is>
          <t>Plattlummer</t>
        </is>
      </c>
      <c r="S62">
        <f>HYPERLINK("https://klasma.github.io/Logging_2510/artfynd/A 32669-2025 artfynd.xlsx", "A 32669-2025")</f>
        <v/>
      </c>
      <c r="T62">
        <f>HYPERLINK("https://klasma.github.io/Logging_2510/kartor/A 32669-2025 karta.png", "A 32669-2025")</f>
        <v/>
      </c>
      <c r="V62">
        <f>HYPERLINK("https://klasma.github.io/Logging_2510/klagomål/A 32669-2025 FSC-klagomål.docx", "A 32669-2025")</f>
        <v/>
      </c>
      <c r="W62">
        <f>HYPERLINK("https://klasma.github.io/Logging_2510/klagomålsmail/A 32669-2025 FSC-klagomål mail.docx", "A 32669-2025")</f>
        <v/>
      </c>
      <c r="X62">
        <f>HYPERLINK("https://klasma.github.io/Logging_2510/tillsyn/A 32669-2025 tillsynsbegäran.docx", "A 32669-2025")</f>
        <v/>
      </c>
      <c r="Y62">
        <f>HYPERLINK("https://klasma.github.io/Logging_2510/tillsynsmail/A 32669-2025 tillsynsbegäran mail.docx", "A 32669-2025")</f>
        <v/>
      </c>
    </row>
    <row r="63" ht="15" customHeight="1">
      <c r="A63" t="inlineStr">
        <is>
          <t>A 34135-2025</t>
        </is>
      </c>
      <c r="B63" s="1" t="n">
        <v>45845.5409375</v>
      </c>
      <c r="C63" s="1" t="n">
        <v>45907</v>
      </c>
      <c r="D63" t="inlineStr">
        <is>
          <t>NORRBOTTENS LÄN</t>
        </is>
      </c>
      <c r="E63" t="inlineStr">
        <is>
          <t>JOKKMOKK</t>
        </is>
      </c>
      <c r="G63" t="n">
        <v>4.8</v>
      </c>
      <c r="H63" t="n">
        <v>0</v>
      </c>
      <c r="I63" t="n">
        <v>0</v>
      </c>
      <c r="J63" t="n">
        <v>1</v>
      </c>
      <c r="K63" t="n">
        <v>0</v>
      </c>
      <c r="L63" t="n">
        <v>0</v>
      </c>
      <c r="M63" t="n">
        <v>0</v>
      </c>
      <c r="N63" t="n">
        <v>0</v>
      </c>
      <c r="O63" t="n">
        <v>1</v>
      </c>
      <c r="P63" t="n">
        <v>0</v>
      </c>
      <c r="Q63" t="n">
        <v>1</v>
      </c>
      <c r="R63" s="2" t="inlineStr">
        <is>
          <t>Svart taggsvamp</t>
        </is>
      </c>
      <c r="S63">
        <f>HYPERLINK("https://klasma.github.io/Logging_2510/artfynd/A 34135-2025 artfynd.xlsx", "A 34135-2025")</f>
        <v/>
      </c>
      <c r="T63">
        <f>HYPERLINK("https://klasma.github.io/Logging_2510/kartor/A 34135-2025 karta.png", "A 34135-2025")</f>
        <v/>
      </c>
      <c r="V63">
        <f>HYPERLINK("https://klasma.github.io/Logging_2510/klagomål/A 34135-2025 FSC-klagomål.docx", "A 34135-2025")</f>
        <v/>
      </c>
      <c r="W63">
        <f>HYPERLINK("https://klasma.github.io/Logging_2510/klagomålsmail/A 34135-2025 FSC-klagomål mail.docx", "A 34135-2025")</f>
        <v/>
      </c>
      <c r="X63">
        <f>HYPERLINK("https://klasma.github.io/Logging_2510/tillsyn/A 34135-2025 tillsynsbegäran.docx", "A 34135-2025")</f>
        <v/>
      </c>
      <c r="Y63">
        <f>HYPERLINK("https://klasma.github.io/Logging_2510/tillsynsmail/A 34135-2025 tillsynsbegäran mail.docx", "A 34135-2025")</f>
        <v/>
      </c>
    </row>
    <row r="64" ht="15" customHeight="1">
      <c r="A64" t="inlineStr">
        <is>
          <t>A 72480-2021</t>
        </is>
      </c>
      <c r="B64" s="1" t="n">
        <v>44545</v>
      </c>
      <c r="C64" s="1" t="n">
        <v>45907</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40466-2023</t>
        </is>
      </c>
      <c r="B65" s="1" t="n">
        <v>45170</v>
      </c>
      <c r="C65" s="1" t="n">
        <v>45907</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52994-2024</t>
        </is>
      </c>
      <c r="B66" s="1" t="n">
        <v>45611.37796296296</v>
      </c>
      <c r="C66" s="1" t="n">
        <v>45907</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49525-2024</t>
        </is>
      </c>
      <c r="B67" s="1" t="n">
        <v>45596</v>
      </c>
      <c r="C67" s="1" t="n">
        <v>45907</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52537-2023</t>
        </is>
      </c>
      <c r="B68" s="1" t="n">
        <v>45225</v>
      </c>
      <c r="C68" s="1" t="n">
        <v>45907</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48338-2020</t>
        </is>
      </c>
      <c r="B69" s="1" t="n">
        <v>44098</v>
      </c>
      <c r="C69" s="1" t="n">
        <v>45907</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45907</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45907</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45907</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45907</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45907</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45907</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45907</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45907</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45907</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45907</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45907</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45907</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45907</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45907</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45907</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45907</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45907</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45907</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45907</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45907</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45907</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45907</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45907</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45907</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45907</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45907</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45907</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45907</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45907</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45907</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45907</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45907</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45907</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45907</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45907</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45907</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45907</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45907</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45907</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45907</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71927-2021</t>
        </is>
      </c>
      <c r="B110" s="1" t="n">
        <v>44543.94331018518</v>
      </c>
      <c r="C110" s="1" t="n">
        <v>45907</v>
      </c>
      <c r="D110" t="inlineStr">
        <is>
          <t>NORRBOTTENS LÄN</t>
        </is>
      </c>
      <c r="E110" t="inlineStr">
        <is>
          <t>JOKKMOKK</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71937-2021</t>
        </is>
      </c>
      <c r="B111" s="1" t="n">
        <v>44543.94414351852</v>
      </c>
      <c r="C111" s="1" t="n">
        <v>45907</v>
      </c>
      <c r="D111" t="inlineStr">
        <is>
          <t>NORRBOTTENS LÄN</t>
        </is>
      </c>
      <c r="E111" t="inlineStr">
        <is>
          <t>JOKKMOKK</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40833-2022</t>
        </is>
      </c>
      <c r="B112" s="1" t="n">
        <v>44824</v>
      </c>
      <c r="C112" s="1" t="n">
        <v>45907</v>
      </c>
      <c r="D112" t="inlineStr">
        <is>
          <t>NORRBOTTENS LÄN</t>
        </is>
      </c>
      <c r="E112" t="inlineStr">
        <is>
          <t>JOKKMOKK</t>
        </is>
      </c>
      <c r="F112" t="inlineStr">
        <is>
          <t>SCA</t>
        </is>
      </c>
      <c r="G112" t="n">
        <v>122.1</v>
      </c>
      <c r="H112" t="n">
        <v>0</v>
      </c>
      <c r="I112" t="n">
        <v>0</v>
      </c>
      <c r="J112" t="n">
        <v>0</v>
      </c>
      <c r="K112" t="n">
        <v>0</v>
      </c>
      <c r="L112" t="n">
        <v>0</v>
      </c>
      <c r="M112" t="n">
        <v>0</v>
      </c>
      <c r="N112" t="n">
        <v>0</v>
      </c>
      <c r="O112" t="n">
        <v>0</v>
      </c>
      <c r="P112" t="n">
        <v>0</v>
      </c>
      <c r="Q112" t="n">
        <v>0</v>
      </c>
      <c r="R112" s="2" t="inlineStr"/>
    </row>
    <row r="113" ht="15" customHeight="1">
      <c r="A113" t="inlineStr">
        <is>
          <t>A 40834-2022</t>
        </is>
      </c>
      <c r="B113" s="1" t="n">
        <v>44824</v>
      </c>
      <c r="C113" s="1" t="n">
        <v>45907</v>
      </c>
      <c r="D113" t="inlineStr">
        <is>
          <t>NORRBOTTENS LÄN</t>
        </is>
      </c>
      <c r="E113" t="inlineStr">
        <is>
          <t>JOKKMOKK</t>
        </is>
      </c>
      <c r="F113" t="inlineStr">
        <is>
          <t>SCA</t>
        </is>
      </c>
      <c r="G113" t="n">
        <v>106.1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45907</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45907</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45907</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45907</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45907</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8360-2021</t>
        </is>
      </c>
      <c r="B119" s="1" t="n">
        <v>44244</v>
      </c>
      <c r="C119" s="1" t="n">
        <v>45907</v>
      </c>
      <c r="D119" t="inlineStr">
        <is>
          <t>NORRBOTTENS LÄN</t>
        </is>
      </c>
      <c r="E119" t="inlineStr">
        <is>
          <t>JOKKMOKK</t>
        </is>
      </c>
      <c r="F119" t="inlineStr">
        <is>
          <t>SCA</t>
        </is>
      </c>
      <c r="G119" t="n">
        <v>5</v>
      </c>
      <c r="H119" t="n">
        <v>0</v>
      </c>
      <c r="I119" t="n">
        <v>0</v>
      </c>
      <c r="J119" t="n">
        <v>0</v>
      </c>
      <c r="K119" t="n">
        <v>0</v>
      </c>
      <c r="L119" t="n">
        <v>0</v>
      </c>
      <c r="M119" t="n">
        <v>0</v>
      </c>
      <c r="N119" t="n">
        <v>0</v>
      </c>
      <c r="O119" t="n">
        <v>0</v>
      </c>
      <c r="P119" t="n">
        <v>0</v>
      </c>
      <c r="Q119" t="n">
        <v>0</v>
      </c>
      <c r="R119" s="2" t="inlineStr"/>
    </row>
    <row r="120" ht="15" customHeight="1">
      <c r="A120" t="inlineStr">
        <is>
          <t>A 69883-2021</t>
        </is>
      </c>
      <c r="B120" s="1" t="n">
        <v>44532</v>
      </c>
      <c r="C120" s="1" t="n">
        <v>45907</v>
      </c>
      <c r="D120" t="inlineStr">
        <is>
          <t>NORRBOTTENS LÄN</t>
        </is>
      </c>
      <c r="E120" t="inlineStr">
        <is>
          <t>JOKKMOKK</t>
        </is>
      </c>
      <c r="G120" t="n">
        <v>12.5</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45907</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45907</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45907</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45907</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45907</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29625-2023</t>
        </is>
      </c>
      <c r="B126" s="1" t="n">
        <v>45106.94556712963</v>
      </c>
      <c r="C126" s="1" t="n">
        <v>45907</v>
      </c>
      <c r="D126" t="inlineStr">
        <is>
          <t>NORRBOTTENS LÄN</t>
        </is>
      </c>
      <c r="E126" t="inlineStr">
        <is>
          <t>JOKKMOKK</t>
        </is>
      </c>
      <c r="F126" t="inlineStr">
        <is>
          <t>SCA</t>
        </is>
      </c>
      <c r="G126" t="n">
        <v>7.2</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45907</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45907</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50628-2024</t>
        </is>
      </c>
      <c r="B129" s="1" t="n">
        <v>45601.66423611111</v>
      </c>
      <c r="C129" s="1" t="n">
        <v>45907</v>
      </c>
      <c r="D129" t="inlineStr">
        <is>
          <t>NORRBOTTENS LÄN</t>
        </is>
      </c>
      <c r="E129" t="inlineStr">
        <is>
          <t>JOKKMOKK</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9349-2023</t>
        </is>
      </c>
      <c r="B130" s="1" t="n">
        <v>44980</v>
      </c>
      <c r="C130" s="1" t="n">
        <v>45907</v>
      </c>
      <c r="D130" t="inlineStr">
        <is>
          <t>NORRBOTTENS LÄN</t>
        </is>
      </c>
      <c r="E130" t="inlineStr">
        <is>
          <t>JOKKMOKK</t>
        </is>
      </c>
      <c r="F130" t="inlineStr">
        <is>
          <t>SCA</t>
        </is>
      </c>
      <c r="G130" t="n">
        <v>5.2</v>
      </c>
      <c r="H130" t="n">
        <v>0</v>
      </c>
      <c r="I130" t="n">
        <v>0</v>
      </c>
      <c r="J130" t="n">
        <v>0</v>
      </c>
      <c r="K130" t="n">
        <v>0</v>
      </c>
      <c r="L130" t="n">
        <v>0</v>
      </c>
      <c r="M130" t="n">
        <v>0</v>
      </c>
      <c r="N130" t="n">
        <v>0</v>
      </c>
      <c r="O130" t="n">
        <v>0</v>
      </c>
      <c r="P130" t="n">
        <v>0</v>
      </c>
      <c r="Q130" t="n">
        <v>0</v>
      </c>
      <c r="R130" s="2" t="inlineStr"/>
    </row>
    <row r="131" ht="15" customHeight="1">
      <c r="A131" t="inlineStr">
        <is>
          <t>A 9351-2023</t>
        </is>
      </c>
      <c r="B131" s="1" t="n">
        <v>44980</v>
      </c>
      <c r="C131" s="1" t="n">
        <v>45907</v>
      </c>
      <c r="D131" t="inlineStr">
        <is>
          <t>NORRBOTTENS LÄN</t>
        </is>
      </c>
      <c r="E131" t="inlineStr">
        <is>
          <t>JOKKMOKK</t>
        </is>
      </c>
      <c r="F131" t="inlineStr">
        <is>
          <t>SCA</t>
        </is>
      </c>
      <c r="G131" t="n">
        <v>2.3</v>
      </c>
      <c r="H131" t="n">
        <v>0</v>
      </c>
      <c r="I131" t="n">
        <v>0</v>
      </c>
      <c r="J131" t="n">
        <v>0</v>
      </c>
      <c r="K131" t="n">
        <v>0</v>
      </c>
      <c r="L131" t="n">
        <v>0</v>
      </c>
      <c r="M131" t="n">
        <v>0</v>
      </c>
      <c r="N131" t="n">
        <v>0</v>
      </c>
      <c r="O131" t="n">
        <v>0</v>
      </c>
      <c r="P131" t="n">
        <v>0</v>
      </c>
      <c r="Q131" t="n">
        <v>0</v>
      </c>
      <c r="R131" s="2" t="inlineStr"/>
    </row>
    <row r="132" ht="15" customHeight="1">
      <c r="A132" t="inlineStr">
        <is>
          <t>A 23204-2024</t>
        </is>
      </c>
      <c r="B132" s="1" t="n">
        <v>45451</v>
      </c>
      <c r="C132" s="1" t="n">
        <v>45907</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51336-2024</t>
        </is>
      </c>
      <c r="B133" s="1" t="n">
        <v>45604.34443287037</v>
      </c>
      <c r="C133" s="1" t="n">
        <v>45907</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2040-2025</t>
        </is>
      </c>
      <c r="B134" s="1" t="n">
        <v>45671</v>
      </c>
      <c r="C134" s="1" t="n">
        <v>45907</v>
      </c>
      <c r="D134" t="inlineStr">
        <is>
          <t>NORRBOTTENS LÄN</t>
        </is>
      </c>
      <c r="E134" t="inlineStr">
        <is>
          <t>JOKKMOKK</t>
        </is>
      </c>
      <c r="G134" t="n">
        <v>5.1</v>
      </c>
      <c r="H134" t="n">
        <v>0</v>
      </c>
      <c r="I134" t="n">
        <v>0</v>
      </c>
      <c r="J134" t="n">
        <v>0</v>
      </c>
      <c r="K134" t="n">
        <v>0</v>
      </c>
      <c r="L134" t="n">
        <v>0</v>
      </c>
      <c r="M134" t="n">
        <v>0</v>
      </c>
      <c r="N134" t="n">
        <v>0</v>
      </c>
      <c r="O134" t="n">
        <v>0</v>
      </c>
      <c r="P134" t="n">
        <v>0</v>
      </c>
      <c r="Q134" t="n">
        <v>0</v>
      </c>
      <c r="R134" s="2" t="inlineStr"/>
    </row>
    <row r="135" ht="15" customHeight="1">
      <c r="A135" t="inlineStr">
        <is>
          <t>A 21710-2025</t>
        </is>
      </c>
      <c r="B135" s="1" t="n">
        <v>45783.53160879629</v>
      </c>
      <c r="C135" s="1" t="n">
        <v>45907</v>
      </c>
      <c r="D135" t="inlineStr">
        <is>
          <t>NORRBOTTENS LÄN</t>
        </is>
      </c>
      <c r="E135" t="inlineStr">
        <is>
          <t>JOKKMOKK</t>
        </is>
      </c>
      <c r="F135" t="inlineStr">
        <is>
          <t>SCA</t>
        </is>
      </c>
      <c r="G135" t="n">
        <v>4.3</v>
      </c>
      <c r="H135" t="n">
        <v>0</v>
      </c>
      <c r="I135" t="n">
        <v>0</v>
      </c>
      <c r="J135" t="n">
        <v>0</v>
      </c>
      <c r="K135" t="n">
        <v>0</v>
      </c>
      <c r="L135" t="n">
        <v>0</v>
      </c>
      <c r="M135" t="n">
        <v>0</v>
      </c>
      <c r="N135" t="n">
        <v>0</v>
      </c>
      <c r="O135" t="n">
        <v>0</v>
      </c>
      <c r="P135" t="n">
        <v>0</v>
      </c>
      <c r="Q135" t="n">
        <v>0</v>
      </c>
      <c r="R135" s="2" t="inlineStr"/>
    </row>
    <row r="136" ht="15" customHeight="1">
      <c r="A136" t="inlineStr">
        <is>
          <t>A 21829-2025</t>
        </is>
      </c>
      <c r="B136" s="1" t="n">
        <v>45783.96920138889</v>
      </c>
      <c r="C136" s="1" t="n">
        <v>45907</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27657-2024</t>
        </is>
      </c>
      <c r="B137" s="1" t="n">
        <v>45474.95196759259</v>
      </c>
      <c r="C137" s="1" t="n">
        <v>45907</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27658-2024</t>
        </is>
      </c>
      <c r="B138" s="1" t="n">
        <v>45474.95246527778</v>
      </c>
      <c r="C138" s="1" t="n">
        <v>45907</v>
      </c>
      <c r="D138" t="inlineStr">
        <is>
          <t>NORRBOTTENS LÄN</t>
        </is>
      </c>
      <c r="E138" t="inlineStr">
        <is>
          <t>JOKKMOKK</t>
        </is>
      </c>
      <c r="F138" t="inlineStr">
        <is>
          <t>SCA</t>
        </is>
      </c>
      <c r="G138" t="n">
        <v>1</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45907</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6437-2025</t>
        </is>
      </c>
      <c r="B140" s="1" t="n">
        <v>45699</v>
      </c>
      <c r="C140" s="1" t="n">
        <v>45907</v>
      </c>
      <c r="D140" t="inlineStr">
        <is>
          <t>NORRBOTTENS LÄN</t>
        </is>
      </c>
      <c r="E140" t="inlineStr">
        <is>
          <t>JOKKMOKK</t>
        </is>
      </c>
      <c r="G140" t="n">
        <v>3.4</v>
      </c>
      <c r="H140" t="n">
        <v>0</v>
      </c>
      <c r="I140" t="n">
        <v>0</v>
      </c>
      <c r="J140" t="n">
        <v>0</v>
      </c>
      <c r="K140" t="n">
        <v>0</v>
      </c>
      <c r="L140" t="n">
        <v>0</v>
      </c>
      <c r="M140" t="n">
        <v>0</v>
      </c>
      <c r="N140" t="n">
        <v>0</v>
      </c>
      <c r="O140" t="n">
        <v>0</v>
      </c>
      <c r="P140" t="n">
        <v>0</v>
      </c>
      <c r="Q140" t="n">
        <v>0</v>
      </c>
      <c r="R140" s="2" t="inlineStr"/>
    </row>
    <row r="141" ht="15" customHeight="1">
      <c r="A141" t="inlineStr">
        <is>
          <t>A 14815-2024</t>
        </is>
      </c>
      <c r="B141" s="1" t="n">
        <v>45397.95770833334</v>
      </c>
      <c r="C141" s="1" t="n">
        <v>45907</v>
      </c>
      <c r="D141" t="inlineStr">
        <is>
          <t>NORRBOTTENS LÄN</t>
        </is>
      </c>
      <c r="E141" t="inlineStr">
        <is>
          <t>JOKKMOKK</t>
        </is>
      </c>
      <c r="F141" t="inlineStr">
        <is>
          <t>SCA</t>
        </is>
      </c>
      <c r="G141" t="n">
        <v>54.1</v>
      </c>
      <c r="H141" t="n">
        <v>0</v>
      </c>
      <c r="I141" t="n">
        <v>0</v>
      </c>
      <c r="J141" t="n">
        <v>0</v>
      </c>
      <c r="K141" t="n">
        <v>0</v>
      </c>
      <c r="L141" t="n">
        <v>0</v>
      </c>
      <c r="M141" t="n">
        <v>0</v>
      </c>
      <c r="N141" t="n">
        <v>0</v>
      </c>
      <c r="O141" t="n">
        <v>0</v>
      </c>
      <c r="P141" t="n">
        <v>0</v>
      </c>
      <c r="Q141" t="n">
        <v>0</v>
      </c>
      <c r="R141" s="2" t="inlineStr"/>
    </row>
    <row r="142" ht="15" customHeight="1">
      <c r="A142" t="inlineStr">
        <is>
          <t>A 52733-2024</t>
        </is>
      </c>
      <c r="B142" s="1" t="n">
        <v>45610</v>
      </c>
      <c r="C142" s="1" t="n">
        <v>45907</v>
      </c>
      <c r="D142" t="inlineStr">
        <is>
          <t>NORRBOTTENS LÄN</t>
        </is>
      </c>
      <c r="E142" t="inlineStr">
        <is>
          <t>JOKKMOKK</t>
        </is>
      </c>
      <c r="F142" t="inlineStr">
        <is>
          <t>Allmännings- och besparingsskogar</t>
        </is>
      </c>
      <c r="G142" t="n">
        <v>6.1</v>
      </c>
      <c r="H142" t="n">
        <v>0</v>
      </c>
      <c r="I142" t="n">
        <v>0</v>
      </c>
      <c r="J142" t="n">
        <v>0</v>
      </c>
      <c r="K142" t="n">
        <v>0</v>
      </c>
      <c r="L142" t="n">
        <v>0</v>
      </c>
      <c r="M142" t="n">
        <v>0</v>
      </c>
      <c r="N142" t="n">
        <v>0</v>
      </c>
      <c r="O142" t="n">
        <v>0</v>
      </c>
      <c r="P142" t="n">
        <v>0</v>
      </c>
      <c r="Q142" t="n">
        <v>0</v>
      </c>
      <c r="R142" s="2" t="inlineStr"/>
    </row>
    <row r="143" ht="15" customHeight="1">
      <c r="A143" t="inlineStr">
        <is>
          <t>A 61760-2024</t>
        </is>
      </c>
      <c r="B143" s="1" t="n">
        <v>45649</v>
      </c>
      <c r="C143" s="1" t="n">
        <v>45907</v>
      </c>
      <c r="D143" t="inlineStr">
        <is>
          <t>NORRBOTTENS LÄN</t>
        </is>
      </c>
      <c r="E143" t="inlineStr">
        <is>
          <t>JOKKMOKK</t>
        </is>
      </c>
      <c r="F143" t="inlineStr">
        <is>
          <t>Övriga statliga verk och myndigheter</t>
        </is>
      </c>
      <c r="G143" t="n">
        <v>19.3</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45907</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45907</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18537-2023</t>
        </is>
      </c>
      <c r="B146" s="1" t="n">
        <v>45028</v>
      </c>
      <c r="C146" s="1" t="n">
        <v>45907</v>
      </c>
      <c r="D146" t="inlineStr">
        <is>
          <t>NORRBOTTENS LÄN</t>
        </is>
      </c>
      <c r="E146" t="inlineStr">
        <is>
          <t>JOKKMOKK</t>
        </is>
      </c>
      <c r="G146" t="n">
        <v>1</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45907</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45907</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1615-2024</t>
        </is>
      </c>
      <c r="B149" s="1" t="n">
        <v>45306</v>
      </c>
      <c r="C149" s="1" t="n">
        <v>45907</v>
      </c>
      <c r="D149" t="inlineStr">
        <is>
          <t>NORRBOTTENS LÄN</t>
        </is>
      </c>
      <c r="E149" t="inlineStr">
        <is>
          <t>JOKKMOKK</t>
        </is>
      </c>
      <c r="G149" t="n">
        <v>10.8</v>
      </c>
      <c r="H149" t="n">
        <v>0</v>
      </c>
      <c r="I149" t="n">
        <v>0</v>
      </c>
      <c r="J149" t="n">
        <v>0</v>
      </c>
      <c r="K149" t="n">
        <v>0</v>
      </c>
      <c r="L149" t="n">
        <v>0</v>
      </c>
      <c r="M149" t="n">
        <v>0</v>
      </c>
      <c r="N149" t="n">
        <v>0</v>
      </c>
      <c r="O149" t="n">
        <v>0</v>
      </c>
      <c r="P149" t="n">
        <v>0</v>
      </c>
      <c r="Q149" t="n">
        <v>0</v>
      </c>
      <c r="R149" s="2" t="inlineStr"/>
    </row>
    <row r="150" ht="15" customHeight="1">
      <c r="A150" t="inlineStr">
        <is>
          <t>A 6777-2023</t>
        </is>
      </c>
      <c r="B150" s="1" t="n">
        <v>44966</v>
      </c>
      <c r="C150" s="1" t="n">
        <v>45907</v>
      </c>
      <c r="D150" t="inlineStr">
        <is>
          <t>NORRBOTTENS LÄN</t>
        </is>
      </c>
      <c r="E150" t="inlineStr">
        <is>
          <t>JOKKMOKK</t>
        </is>
      </c>
      <c r="G150" t="n">
        <v>2.2</v>
      </c>
      <c r="H150" t="n">
        <v>0</v>
      </c>
      <c r="I150" t="n">
        <v>0</v>
      </c>
      <c r="J150" t="n">
        <v>0</v>
      </c>
      <c r="K150" t="n">
        <v>0</v>
      </c>
      <c r="L150" t="n">
        <v>0</v>
      </c>
      <c r="M150" t="n">
        <v>0</v>
      </c>
      <c r="N150" t="n">
        <v>0</v>
      </c>
      <c r="O150" t="n">
        <v>0</v>
      </c>
      <c r="P150" t="n">
        <v>0</v>
      </c>
      <c r="Q150" t="n">
        <v>0</v>
      </c>
      <c r="R150" s="2" t="inlineStr"/>
    </row>
    <row r="151" ht="15" customHeight="1">
      <c r="A151" t="inlineStr">
        <is>
          <t>A 31534-2024</t>
        </is>
      </c>
      <c r="B151" s="1" t="n">
        <v>45505</v>
      </c>
      <c r="C151" s="1" t="n">
        <v>45907</v>
      </c>
      <c r="D151" t="inlineStr">
        <is>
          <t>NORRBOTTENS LÄN</t>
        </is>
      </c>
      <c r="E151" t="inlineStr">
        <is>
          <t>JOKKMOKK</t>
        </is>
      </c>
      <c r="F151" t="inlineStr">
        <is>
          <t>SCA</t>
        </is>
      </c>
      <c r="G151" t="n">
        <v>3.4</v>
      </c>
      <c r="H151" t="n">
        <v>0</v>
      </c>
      <c r="I151" t="n">
        <v>0</v>
      </c>
      <c r="J151" t="n">
        <v>0</v>
      </c>
      <c r="K151" t="n">
        <v>0</v>
      </c>
      <c r="L151" t="n">
        <v>0</v>
      </c>
      <c r="M151" t="n">
        <v>0</v>
      </c>
      <c r="N151" t="n">
        <v>0</v>
      </c>
      <c r="O151" t="n">
        <v>0</v>
      </c>
      <c r="P151" t="n">
        <v>0</v>
      </c>
      <c r="Q151" t="n">
        <v>0</v>
      </c>
      <c r="R151" s="2" t="inlineStr"/>
    </row>
    <row r="152" ht="15" customHeight="1">
      <c r="A152" t="inlineStr">
        <is>
          <t>A 49477-2024</t>
        </is>
      </c>
      <c r="B152" s="1" t="n">
        <v>45596.34576388889</v>
      </c>
      <c r="C152" s="1" t="n">
        <v>45907</v>
      </c>
      <c r="D152" t="inlineStr">
        <is>
          <t>NORRBOTTENS LÄN</t>
        </is>
      </c>
      <c r="E152" t="inlineStr">
        <is>
          <t>JOKKMOKK</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49478-2024</t>
        </is>
      </c>
      <c r="B153" s="1" t="n">
        <v>45596.34599537037</v>
      </c>
      <c r="C153" s="1" t="n">
        <v>45907</v>
      </c>
      <c r="D153" t="inlineStr">
        <is>
          <t>NORRBOTTENS LÄN</t>
        </is>
      </c>
      <c r="E153" t="inlineStr">
        <is>
          <t>JOKKMOKK</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30401-2024</t>
        </is>
      </c>
      <c r="B154" s="1" t="n">
        <v>45491</v>
      </c>
      <c r="C154" s="1" t="n">
        <v>45907</v>
      </c>
      <c r="D154" t="inlineStr">
        <is>
          <t>NORRBOTTENS LÄN</t>
        </is>
      </c>
      <c r="E154" t="inlineStr">
        <is>
          <t>JOKKMOKK</t>
        </is>
      </c>
      <c r="G154" t="n">
        <v>1</v>
      </c>
      <c r="H154" t="n">
        <v>0</v>
      </c>
      <c r="I154" t="n">
        <v>0</v>
      </c>
      <c r="J154" t="n">
        <v>0</v>
      </c>
      <c r="K154" t="n">
        <v>0</v>
      </c>
      <c r="L154" t="n">
        <v>0</v>
      </c>
      <c r="M154" t="n">
        <v>0</v>
      </c>
      <c r="N154" t="n">
        <v>0</v>
      </c>
      <c r="O154" t="n">
        <v>0</v>
      </c>
      <c r="P154" t="n">
        <v>0</v>
      </c>
      <c r="Q154" t="n">
        <v>0</v>
      </c>
      <c r="R154" s="2" t="inlineStr"/>
    </row>
    <row r="155" ht="15" customHeight="1">
      <c r="A155" t="inlineStr">
        <is>
          <t>A 46442-2023</t>
        </is>
      </c>
      <c r="B155" s="1" t="n">
        <v>45197.59248842593</v>
      </c>
      <c r="C155" s="1" t="n">
        <v>45907</v>
      </c>
      <c r="D155" t="inlineStr">
        <is>
          <t>NORRBOTTENS LÄN</t>
        </is>
      </c>
      <c r="E155" t="inlineStr">
        <is>
          <t>JOKKMOKK</t>
        </is>
      </c>
      <c r="G155" t="n">
        <v>6.4</v>
      </c>
      <c r="H155" t="n">
        <v>0</v>
      </c>
      <c r="I155" t="n">
        <v>0</v>
      </c>
      <c r="J155" t="n">
        <v>0</v>
      </c>
      <c r="K155" t="n">
        <v>0</v>
      </c>
      <c r="L155" t="n">
        <v>0</v>
      </c>
      <c r="M155" t="n">
        <v>0</v>
      </c>
      <c r="N155" t="n">
        <v>0</v>
      </c>
      <c r="O155" t="n">
        <v>0</v>
      </c>
      <c r="P155" t="n">
        <v>0</v>
      </c>
      <c r="Q155" t="n">
        <v>0</v>
      </c>
      <c r="R155" s="2" t="inlineStr"/>
    </row>
    <row r="156" ht="15" customHeight="1">
      <c r="A156" t="inlineStr">
        <is>
          <t>A 23317-2025</t>
        </is>
      </c>
      <c r="B156" s="1" t="n">
        <v>45791.61278935185</v>
      </c>
      <c r="C156" s="1" t="n">
        <v>45907</v>
      </c>
      <c r="D156" t="inlineStr">
        <is>
          <t>NORRBOTTENS LÄN</t>
        </is>
      </c>
      <c r="E156" t="inlineStr">
        <is>
          <t>JOKKMOKK</t>
        </is>
      </c>
      <c r="F156" t="inlineStr">
        <is>
          <t>Sveaskog</t>
        </is>
      </c>
      <c r="G156" t="n">
        <v>22.4</v>
      </c>
      <c r="H156" t="n">
        <v>0</v>
      </c>
      <c r="I156" t="n">
        <v>0</v>
      </c>
      <c r="J156" t="n">
        <v>0</v>
      </c>
      <c r="K156" t="n">
        <v>0</v>
      </c>
      <c r="L156" t="n">
        <v>0</v>
      </c>
      <c r="M156" t="n">
        <v>0</v>
      </c>
      <c r="N156" t="n">
        <v>0</v>
      </c>
      <c r="O156" t="n">
        <v>0</v>
      </c>
      <c r="P156" t="n">
        <v>0</v>
      </c>
      <c r="Q156" t="n">
        <v>0</v>
      </c>
      <c r="R156" s="2" t="inlineStr"/>
    </row>
    <row r="157" ht="15" customHeight="1">
      <c r="A157" t="inlineStr">
        <is>
          <t>A 51293-2024</t>
        </is>
      </c>
      <c r="B157" s="1" t="n">
        <v>45603.92878472222</v>
      </c>
      <c r="C157" s="1" t="n">
        <v>45907</v>
      </c>
      <c r="D157" t="inlineStr">
        <is>
          <t>NORRBOTTENS LÄN</t>
        </is>
      </c>
      <c r="E157" t="inlineStr">
        <is>
          <t>JOKKMOKK</t>
        </is>
      </c>
      <c r="G157" t="n">
        <v>2.5</v>
      </c>
      <c r="H157" t="n">
        <v>0</v>
      </c>
      <c r="I157" t="n">
        <v>0</v>
      </c>
      <c r="J157" t="n">
        <v>0</v>
      </c>
      <c r="K157" t="n">
        <v>0</v>
      </c>
      <c r="L157" t="n">
        <v>0</v>
      </c>
      <c r="M157" t="n">
        <v>0</v>
      </c>
      <c r="N157" t="n">
        <v>0</v>
      </c>
      <c r="O157" t="n">
        <v>0</v>
      </c>
      <c r="P157" t="n">
        <v>0</v>
      </c>
      <c r="Q157" t="n">
        <v>0</v>
      </c>
      <c r="R157" s="2" t="inlineStr"/>
    </row>
    <row r="158" ht="15" customHeight="1">
      <c r="A158" t="inlineStr">
        <is>
          <t>A 40836-2022</t>
        </is>
      </c>
      <c r="B158" s="1" t="n">
        <v>44824</v>
      </c>
      <c r="C158" s="1" t="n">
        <v>45907</v>
      </c>
      <c r="D158" t="inlineStr">
        <is>
          <t>NORRBOTTENS LÄN</t>
        </is>
      </c>
      <c r="E158" t="inlineStr">
        <is>
          <t>JOKKMOKK</t>
        </is>
      </c>
      <c r="F158" t="inlineStr">
        <is>
          <t>SCA</t>
        </is>
      </c>
      <c r="G158" t="n">
        <v>229.8</v>
      </c>
      <c r="H158" t="n">
        <v>0</v>
      </c>
      <c r="I158" t="n">
        <v>0</v>
      </c>
      <c r="J158" t="n">
        <v>0</v>
      </c>
      <c r="K158" t="n">
        <v>0</v>
      </c>
      <c r="L158" t="n">
        <v>0</v>
      </c>
      <c r="M158" t="n">
        <v>0</v>
      </c>
      <c r="N158" t="n">
        <v>0</v>
      </c>
      <c r="O158" t="n">
        <v>0</v>
      </c>
      <c r="P158" t="n">
        <v>0</v>
      </c>
      <c r="Q158" t="n">
        <v>0</v>
      </c>
      <c r="R158" s="2" t="inlineStr"/>
    </row>
    <row r="159" ht="15" customHeight="1">
      <c r="A159" t="inlineStr">
        <is>
          <t>A 56523-2021</t>
        </is>
      </c>
      <c r="B159" s="1" t="n">
        <v>44477</v>
      </c>
      <c r="C159" s="1" t="n">
        <v>45907</v>
      </c>
      <c r="D159" t="inlineStr">
        <is>
          <t>NORRBOTTENS LÄN</t>
        </is>
      </c>
      <c r="E159" t="inlineStr">
        <is>
          <t>JOKKMOKK</t>
        </is>
      </c>
      <c r="G159" t="n">
        <v>6.6</v>
      </c>
      <c r="H159" t="n">
        <v>0</v>
      </c>
      <c r="I159" t="n">
        <v>0</v>
      </c>
      <c r="J159" t="n">
        <v>0</v>
      </c>
      <c r="K159" t="n">
        <v>0</v>
      </c>
      <c r="L159" t="n">
        <v>0</v>
      </c>
      <c r="M159" t="n">
        <v>0</v>
      </c>
      <c r="N159" t="n">
        <v>0</v>
      </c>
      <c r="O159" t="n">
        <v>0</v>
      </c>
      <c r="P159" t="n">
        <v>0</v>
      </c>
      <c r="Q159" t="n">
        <v>0</v>
      </c>
      <c r="R159" s="2" t="inlineStr"/>
    </row>
    <row r="160" ht="15" customHeight="1">
      <c r="A160" t="inlineStr">
        <is>
          <t>A 33827-2024</t>
        </is>
      </c>
      <c r="B160" s="1" t="n">
        <v>45520</v>
      </c>
      <c r="C160" s="1" t="n">
        <v>45907</v>
      </c>
      <c r="D160" t="inlineStr">
        <is>
          <t>NORRBOTTENS LÄN</t>
        </is>
      </c>
      <c r="E160" t="inlineStr">
        <is>
          <t>JOKKMOKK</t>
        </is>
      </c>
      <c r="F160" t="inlineStr">
        <is>
          <t>SCA</t>
        </is>
      </c>
      <c r="G160" t="n">
        <v>12.8</v>
      </c>
      <c r="H160" t="n">
        <v>0</v>
      </c>
      <c r="I160" t="n">
        <v>0</v>
      </c>
      <c r="J160" t="n">
        <v>0</v>
      </c>
      <c r="K160" t="n">
        <v>0</v>
      </c>
      <c r="L160" t="n">
        <v>0</v>
      </c>
      <c r="M160" t="n">
        <v>0</v>
      </c>
      <c r="N160" t="n">
        <v>0</v>
      </c>
      <c r="O160" t="n">
        <v>0</v>
      </c>
      <c r="P160" t="n">
        <v>0</v>
      </c>
      <c r="Q160" t="n">
        <v>0</v>
      </c>
      <c r="R160" s="2" t="inlineStr"/>
    </row>
    <row r="161" ht="15" customHeight="1">
      <c r="A161" t="inlineStr">
        <is>
          <t>A 47157-2024</t>
        </is>
      </c>
      <c r="B161" s="1" t="n">
        <v>45586</v>
      </c>
      <c r="C161" s="1" t="n">
        <v>45907</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59788-2024</t>
        </is>
      </c>
      <c r="B162" s="1" t="n">
        <v>45639.58282407407</v>
      </c>
      <c r="C162" s="1" t="n">
        <v>45907</v>
      </c>
      <c r="D162" t="inlineStr">
        <is>
          <t>NORRBOTTENS LÄN</t>
        </is>
      </c>
      <c r="E162" t="inlineStr">
        <is>
          <t>JOKKMOKK</t>
        </is>
      </c>
      <c r="F162" t="inlineStr">
        <is>
          <t>Sveaskog</t>
        </is>
      </c>
      <c r="G162" t="n">
        <v>11.4</v>
      </c>
      <c r="H162" t="n">
        <v>0</v>
      </c>
      <c r="I162" t="n">
        <v>0</v>
      </c>
      <c r="J162" t="n">
        <v>0</v>
      </c>
      <c r="K162" t="n">
        <v>0</v>
      </c>
      <c r="L162" t="n">
        <v>0</v>
      </c>
      <c r="M162" t="n">
        <v>0</v>
      </c>
      <c r="N162" t="n">
        <v>0</v>
      </c>
      <c r="O162" t="n">
        <v>0</v>
      </c>
      <c r="P162" t="n">
        <v>0</v>
      </c>
      <c r="Q162" t="n">
        <v>0</v>
      </c>
      <c r="R162" s="2" t="inlineStr"/>
    </row>
    <row r="163" ht="15" customHeight="1">
      <c r="A163" t="inlineStr">
        <is>
          <t>A 41923-2021</t>
        </is>
      </c>
      <c r="B163" s="1" t="n">
        <v>44425</v>
      </c>
      <c r="C163" s="1" t="n">
        <v>45907</v>
      </c>
      <c r="D163" t="inlineStr">
        <is>
          <t>NORRBOTTENS LÄN</t>
        </is>
      </c>
      <c r="E163" t="inlineStr">
        <is>
          <t>JOKKMOKK</t>
        </is>
      </c>
      <c r="F163" t="inlineStr">
        <is>
          <t>Övriga statliga verk och myndigheter</t>
        </is>
      </c>
      <c r="G163" t="n">
        <v>22</v>
      </c>
      <c r="H163" t="n">
        <v>0</v>
      </c>
      <c r="I163" t="n">
        <v>0</v>
      </c>
      <c r="J163" t="n">
        <v>0</v>
      </c>
      <c r="K163" t="n">
        <v>0</v>
      </c>
      <c r="L163" t="n">
        <v>0</v>
      </c>
      <c r="M163" t="n">
        <v>0</v>
      </c>
      <c r="N163" t="n">
        <v>0</v>
      </c>
      <c r="O163" t="n">
        <v>0</v>
      </c>
      <c r="P163" t="n">
        <v>0</v>
      </c>
      <c r="Q163" t="n">
        <v>0</v>
      </c>
      <c r="R163" s="2" t="inlineStr"/>
    </row>
    <row r="164" ht="15" customHeight="1">
      <c r="A164" t="inlineStr">
        <is>
          <t>A 19493-2025</t>
        </is>
      </c>
      <c r="B164" s="1" t="n">
        <v>45770.38886574074</v>
      </c>
      <c r="C164" s="1" t="n">
        <v>45907</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48586-2022</t>
        </is>
      </c>
      <c r="B165" s="1" t="n">
        <v>44854</v>
      </c>
      <c r="C165" s="1" t="n">
        <v>45907</v>
      </c>
      <c r="D165" t="inlineStr">
        <is>
          <t>NORRBOTTENS LÄN</t>
        </is>
      </c>
      <c r="E165" t="inlineStr">
        <is>
          <t>JOKKMOKK</t>
        </is>
      </c>
      <c r="F165" t="inlineStr">
        <is>
          <t>Övriga statliga verk och myndigheter</t>
        </is>
      </c>
      <c r="G165" t="n">
        <v>26.1</v>
      </c>
      <c r="H165" t="n">
        <v>0</v>
      </c>
      <c r="I165" t="n">
        <v>0</v>
      </c>
      <c r="J165" t="n">
        <v>0</v>
      </c>
      <c r="K165" t="n">
        <v>0</v>
      </c>
      <c r="L165" t="n">
        <v>0</v>
      </c>
      <c r="M165" t="n">
        <v>0</v>
      </c>
      <c r="N165" t="n">
        <v>0</v>
      </c>
      <c r="O165" t="n">
        <v>0</v>
      </c>
      <c r="P165" t="n">
        <v>0</v>
      </c>
      <c r="Q165" t="n">
        <v>0</v>
      </c>
      <c r="R165" s="2" t="inlineStr"/>
    </row>
    <row r="166" ht="15" customHeight="1">
      <c r="A166" t="inlineStr">
        <is>
          <t>A 34609-2024</t>
        </is>
      </c>
      <c r="B166" s="1" t="n">
        <v>45526</v>
      </c>
      <c r="C166" s="1" t="n">
        <v>45907</v>
      </c>
      <c r="D166" t="inlineStr">
        <is>
          <t>NORRBOTTENS LÄN</t>
        </is>
      </c>
      <c r="E166" t="inlineStr">
        <is>
          <t>JOKKMOKK</t>
        </is>
      </c>
      <c r="G166" t="n">
        <v>27</v>
      </c>
      <c r="H166" t="n">
        <v>0</v>
      </c>
      <c r="I166" t="n">
        <v>0</v>
      </c>
      <c r="J166" t="n">
        <v>0</v>
      </c>
      <c r="K166" t="n">
        <v>0</v>
      </c>
      <c r="L166" t="n">
        <v>0</v>
      </c>
      <c r="M166" t="n">
        <v>0</v>
      </c>
      <c r="N166" t="n">
        <v>0</v>
      </c>
      <c r="O166" t="n">
        <v>0</v>
      </c>
      <c r="P166" t="n">
        <v>0</v>
      </c>
      <c r="Q166" t="n">
        <v>0</v>
      </c>
      <c r="R166" s="2" t="inlineStr"/>
    </row>
    <row r="167" ht="15" customHeight="1">
      <c r="A167" t="inlineStr">
        <is>
          <t>A 25722-2024</t>
        </is>
      </c>
      <c r="B167" s="1" t="n">
        <v>45463</v>
      </c>
      <c r="C167" s="1" t="n">
        <v>45907</v>
      </c>
      <c r="D167" t="inlineStr">
        <is>
          <t>NORRBOTTENS LÄN</t>
        </is>
      </c>
      <c r="E167" t="inlineStr">
        <is>
          <t>JOKKMOKK</t>
        </is>
      </c>
      <c r="F167" t="inlineStr">
        <is>
          <t>SCA</t>
        </is>
      </c>
      <c r="G167" t="n">
        <v>3.3</v>
      </c>
      <c r="H167" t="n">
        <v>0</v>
      </c>
      <c r="I167" t="n">
        <v>0</v>
      </c>
      <c r="J167" t="n">
        <v>0</v>
      </c>
      <c r="K167" t="n">
        <v>0</v>
      </c>
      <c r="L167" t="n">
        <v>0</v>
      </c>
      <c r="M167" t="n">
        <v>0</v>
      </c>
      <c r="N167" t="n">
        <v>0</v>
      </c>
      <c r="O167" t="n">
        <v>0</v>
      </c>
      <c r="P167" t="n">
        <v>0</v>
      </c>
      <c r="Q167" t="n">
        <v>0</v>
      </c>
      <c r="R167" s="2" t="inlineStr"/>
    </row>
    <row r="168" ht="15" customHeight="1">
      <c r="A168" t="inlineStr">
        <is>
          <t>A 29213-2024</t>
        </is>
      </c>
      <c r="B168" s="1" t="n">
        <v>45482</v>
      </c>
      <c r="C168" s="1" t="n">
        <v>45907</v>
      </c>
      <c r="D168" t="inlineStr">
        <is>
          <t>NORRBOTTENS LÄN</t>
        </is>
      </c>
      <c r="E168" t="inlineStr">
        <is>
          <t>JOKKMOKK</t>
        </is>
      </c>
      <c r="G168" t="n">
        <v>55</v>
      </c>
      <c r="H168" t="n">
        <v>0</v>
      </c>
      <c r="I168" t="n">
        <v>0</v>
      </c>
      <c r="J168" t="n">
        <v>0</v>
      </c>
      <c r="K168" t="n">
        <v>0</v>
      </c>
      <c r="L168" t="n">
        <v>0</v>
      </c>
      <c r="M168" t="n">
        <v>0</v>
      </c>
      <c r="N168" t="n">
        <v>0</v>
      </c>
      <c r="O168" t="n">
        <v>0</v>
      </c>
      <c r="P168" t="n">
        <v>0</v>
      </c>
      <c r="Q168" t="n">
        <v>0</v>
      </c>
      <c r="R168" s="2" t="inlineStr"/>
    </row>
    <row r="169" ht="15" customHeight="1">
      <c r="A169" t="inlineStr">
        <is>
          <t>A 49483-2021</t>
        </is>
      </c>
      <c r="B169" s="1" t="n">
        <v>44454</v>
      </c>
      <c r="C169" s="1" t="n">
        <v>45907</v>
      </c>
      <c r="D169" t="inlineStr">
        <is>
          <t>NORRBOTTENS LÄN</t>
        </is>
      </c>
      <c r="E169" t="inlineStr">
        <is>
          <t>JOKKMOKK</t>
        </is>
      </c>
      <c r="F169" t="inlineStr">
        <is>
          <t>SCA</t>
        </is>
      </c>
      <c r="G169" t="n">
        <v>24.2</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45907</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52882-2023</t>
        </is>
      </c>
      <c r="B171" s="1" t="n">
        <v>45222</v>
      </c>
      <c r="C171" s="1" t="n">
        <v>45907</v>
      </c>
      <c r="D171" t="inlineStr">
        <is>
          <t>NORRBOTTENS LÄN</t>
        </is>
      </c>
      <c r="E171" t="inlineStr">
        <is>
          <t>JOKKMOKK</t>
        </is>
      </c>
      <c r="G171" t="n">
        <v>56.1</v>
      </c>
      <c r="H171" t="n">
        <v>0</v>
      </c>
      <c r="I171" t="n">
        <v>0</v>
      </c>
      <c r="J171" t="n">
        <v>0</v>
      </c>
      <c r="K171" t="n">
        <v>0</v>
      </c>
      <c r="L171" t="n">
        <v>0</v>
      </c>
      <c r="M171" t="n">
        <v>0</v>
      </c>
      <c r="N171" t="n">
        <v>0</v>
      </c>
      <c r="O171" t="n">
        <v>0</v>
      </c>
      <c r="P171" t="n">
        <v>0</v>
      </c>
      <c r="Q171" t="n">
        <v>0</v>
      </c>
      <c r="R171" s="2" t="inlineStr"/>
    </row>
    <row r="172" ht="15" customHeight="1">
      <c r="A172" t="inlineStr">
        <is>
          <t>A 51617-2024</t>
        </is>
      </c>
      <c r="B172" s="1" t="n">
        <v>45604.71908564815</v>
      </c>
      <c r="C172" s="1" t="n">
        <v>45907</v>
      </c>
      <c r="D172" t="inlineStr">
        <is>
          <t>NORRBOTTENS LÄN</t>
        </is>
      </c>
      <c r="E172" t="inlineStr">
        <is>
          <t>JOKKMOKK</t>
        </is>
      </c>
      <c r="F172" t="inlineStr">
        <is>
          <t>SCA</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20270-2025</t>
        </is>
      </c>
      <c r="B173" s="1" t="n">
        <v>45773.71444444444</v>
      </c>
      <c r="C173" s="1" t="n">
        <v>45907</v>
      </c>
      <c r="D173" t="inlineStr">
        <is>
          <t>NORRBOTTENS LÄN</t>
        </is>
      </c>
      <c r="E173" t="inlineStr">
        <is>
          <t>JOKKMOKK</t>
        </is>
      </c>
      <c r="G173" t="n">
        <v>90.09999999999999</v>
      </c>
      <c r="H173" t="n">
        <v>0</v>
      </c>
      <c r="I173" t="n">
        <v>0</v>
      </c>
      <c r="J173" t="n">
        <v>0</v>
      </c>
      <c r="K173" t="n">
        <v>0</v>
      </c>
      <c r="L173" t="n">
        <v>0</v>
      </c>
      <c r="M173" t="n">
        <v>0</v>
      </c>
      <c r="N173" t="n">
        <v>0</v>
      </c>
      <c r="O173" t="n">
        <v>0</v>
      </c>
      <c r="P173" t="n">
        <v>0</v>
      </c>
      <c r="Q173" t="n">
        <v>0</v>
      </c>
      <c r="R173" s="2" t="inlineStr"/>
    </row>
    <row r="174" ht="15" customHeight="1">
      <c r="A174" t="inlineStr">
        <is>
          <t>A 40658-2024</t>
        </is>
      </c>
      <c r="B174" s="1" t="n">
        <v>45558</v>
      </c>
      <c r="C174" s="1" t="n">
        <v>45907</v>
      </c>
      <c r="D174" t="inlineStr">
        <is>
          <t>NORRBOTTENS LÄN</t>
        </is>
      </c>
      <c r="E174" t="inlineStr">
        <is>
          <t>JOKKMOKK</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3055-2025</t>
        </is>
      </c>
      <c r="B175" s="1" t="n">
        <v>45678.61530092593</v>
      </c>
      <c r="C175" s="1" t="n">
        <v>45907</v>
      </c>
      <c r="D175" t="inlineStr">
        <is>
          <t>NORRBOTTENS LÄN</t>
        </is>
      </c>
      <c r="E175" t="inlineStr">
        <is>
          <t>JOKKMOKK</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25720-2023</t>
        </is>
      </c>
      <c r="B176" s="1" t="n">
        <v>45090</v>
      </c>
      <c r="C176" s="1" t="n">
        <v>45907</v>
      </c>
      <c r="D176" t="inlineStr">
        <is>
          <t>NORRBOTTENS LÄN</t>
        </is>
      </c>
      <c r="E176" t="inlineStr">
        <is>
          <t>JOKKMOKK</t>
        </is>
      </c>
      <c r="G176" t="n">
        <v>2.1</v>
      </c>
      <c r="H176" t="n">
        <v>0</v>
      </c>
      <c r="I176" t="n">
        <v>0</v>
      </c>
      <c r="J176" t="n">
        <v>0</v>
      </c>
      <c r="K176" t="n">
        <v>0</v>
      </c>
      <c r="L176" t="n">
        <v>0</v>
      </c>
      <c r="M176" t="n">
        <v>0</v>
      </c>
      <c r="N176" t="n">
        <v>0</v>
      </c>
      <c r="O176" t="n">
        <v>0</v>
      </c>
      <c r="P176" t="n">
        <v>0</v>
      </c>
      <c r="Q176" t="n">
        <v>0</v>
      </c>
      <c r="R176" s="2" t="inlineStr"/>
    </row>
    <row r="177" ht="15" customHeight="1">
      <c r="A177" t="inlineStr">
        <is>
          <t>A 27650-2024</t>
        </is>
      </c>
      <c r="B177" s="1" t="n">
        <v>45474.94802083333</v>
      </c>
      <c r="C177" s="1" t="n">
        <v>45907</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27651-2024</t>
        </is>
      </c>
      <c r="B178" s="1" t="n">
        <v>45474</v>
      </c>
      <c r="C178" s="1" t="n">
        <v>45907</v>
      </c>
      <c r="D178" t="inlineStr">
        <is>
          <t>NORRBOTTENS LÄN</t>
        </is>
      </c>
      <c r="E178" t="inlineStr">
        <is>
          <t>JOKKMOKK</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34639-2024</t>
        </is>
      </c>
      <c r="B179" s="1" t="n">
        <v>45526.47293981481</v>
      </c>
      <c r="C179" s="1" t="n">
        <v>45907</v>
      </c>
      <c r="D179" t="inlineStr">
        <is>
          <t>NORRBOTTENS LÄN</t>
        </is>
      </c>
      <c r="E179" t="inlineStr">
        <is>
          <t>JOKKMOKK</t>
        </is>
      </c>
      <c r="G179" t="n">
        <v>7.7</v>
      </c>
      <c r="H179" t="n">
        <v>0</v>
      </c>
      <c r="I179" t="n">
        <v>0</v>
      </c>
      <c r="J179" t="n">
        <v>0</v>
      </c>
      <c r="K179" t="n">
        <v>0</v>
      </c>
      <c r="L179" t="n">
        <v>0</v>
      </c>
      <c r="M179" t="n">
        <v>0</v>
      </c>
      <c r="N179" t="n">
        <v>0</v>
      </c>
      <c r="O179" t="n">
        <v>0</v>
      </c>
      <c r="P179" t="n">
        <v>0</v>
      </c>
      <c r="Q179" t="n">
        <v>0</v>
      </c>
      <c r="R179" s="2" t="inlineStr"/>
    </row>
    <row r="180" ht="15" customHeight="1">
      <c r="A180" t="inlineStr">
        <is>
          <t>A 49679-2024</t>
        </is>
      </c>
      <c r="B180" s="1" t="n">
        <v>45596.6649537037</v>
      </c>
      <c r="C180" s="1" t="n">
        <v>45907</v>
      </c>
      <c r="D180" t="inlineStr">
        <is>
          <t>NORRBOTTENS LÄN</t>
        </is>
      </c>
      <c r="E180" t="inlineStr">
        <is>
          <t>JOKKMOKK</t>
        </is>
      </c>
      <c r="F180" t="inlineStr">
        <is>
          <t>Allmännings- och besparingsskogar</t>
        </is>
      </c>
      <c r="G180" t="n">
        <v>14.1</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45907</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45907</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60193-2023</t>
        </is>
      </c>
      <c r="B183" s="1" t="n">
        <v>45258</v>
      </c>
      <c r="C183" s="1" t="n">
        <v>45907</v>
      </c>
      <c r="D183" t="inlineStr">
        <is>
          <t>NORRBOTTENS LÄN</t>
        </is>
      </c>
      <c r="E183" t="inlineStr">
        <is>
          <t>JOKKMOKK</t>
        </is>
      </c>
      <c r="F183" t="inlineStr">
        <is>
          <t>Allmännings- och besparingsskogar</t>
        </is>
      </c>
      <c r="G183" t="n">
        <v>11.1</v>
      </c>
      <c r="H183" t="n">
        <v>0</v>
      </c>
      <c r="I183" t="n">
        <v>0</v>
      </c>
      <c r="J183" t="n">
        <v>0</v>
      </c>
      <c r="K183" t="n">
        <v>0</v>
      </c>
      <c r="L183" t="n">
        <v>0</v>
      </c>
      <c r="M183" t="n">
        <v>0</v>
      </c>
      <c r="N183" t="n">
        <v>0</v>
      </c>
      <c r="O183" t="n">
        <v>0</v>
      </c>
      <c r="P183" t="n">
        <v>0</v>
      </c>
      <c r="Q183" t="n">
        <v>0</v>
      </c>
      <c r="R183" s="2" t="inlineStr"/>
    </row>
    <row r="184" ht="15" customHeight="1">
      <c r="A184" t="inlineStr">
        <is>
          <t>A 9852-2023</t>
        </is>
      </c>
      <c r="B184" s="1" t="n">
        <v>44984</v>
      </c>
      <c r="C184" s="1" t="n">
        <v>45907</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28036-2024</t>
        </is>
      </c>
      <c r="B185" s="1" t="n">
        <v>45476.49958333333</v>
      </c>
      <c r="C185" s="1" t="n">
        <v>45907</v>
      </c>
      <c r="D185" t="inlineStr">
        <is>
          <t>NORRBOTTENS LÄN</t>
        </is>
      </c>
      <c r="E185" t="inlineStr">
        <is>
          <t>JOKKMOKK</t>
        </is>
      </c>
      <c r="G185" t="n">
        <v>7.4</v>
      </c>
      <c r="H185" t="n">
        <v>0</v>
      </c>
      <c r="I185" t="n">
        <v>0</v>
      </c>
      <c r="J185" t="n">
        <v>0</v>
      </c>
      <c r="K185" t="n">
        <v>0</v>
      </c>
      <c r="L185" t="n">
        <v>0</v>
      </c>
      <c r="M185" t="n">
        <v>0</v>
      </c>
      <c r="N185" t="n">
        <v>0</v>
      </c>
      <c r="O185" t="n">
        <v>0</v>
      </c>
      <c r="P185" t="n">
        <v>0</v>
      </c>
      <c r="Q185" t="n">
        <v>0</v>
      </c>
      <c r="R185" s="2" t="inlineStr"/>
    </row>
    <row r="186" ht="15" customHeight="1">
      <c r="A186" t="inlineStr">
        <is>
          <t>A 24746-2025</t>
        </is>
      </c>
      <c r="B186" s="1" t="n">
        <v>45799.34662037037</v>
      </c>
      <c r="C186" s="1" t="n">
        <v>45907</v>
      </c>
      <c r="D186" t="inlineStr">
        <is>
          <t>NORRBOTTENS LÄN</t>
        </is>
      </c>
      <c r="E186" t="inlineStr">
        <is>
          <t>JOKKMOKK</t>
        </is>
      </c>
      <c r="F186" t="inlineStr">
        <is>
          <t>SCA</t>
        </is>
      </c>
      <c r="G186" t="n">
        <v>6.1</v>
      </c>
      <c r="H186" t="n">
        <v>0</v>
      </c>
      <c r="I186" t="n">
        <v>0</v>
      </c>
      <c r="J186" t="n">
        <v>0</v>
      </c>
      <c r="K186" t="n">
        <v>0</v>
      </c>
      <c r="L186" t="n">
        <v>0</v>
      </c>
      <c r="M186" t="n">
        <v>0</v>
      </c>
      <c r="N186" t="n">
        <v>0</v>
      </c>
      <c r="O186" t="n">
        <v>0</v>
      </c>
      <c r="P186" t="n">
        <v>0</v>
      </c>
      <c r="Q186" t="n">
        <v>0</v>
      </c>
      <c r="R186" s="2" t="inlineStr"/>
    </row>
    <row r="187" ht="15" customHeight="1">
      <c r="A187" t="inlineStr">
        <is>
          <t>A 26131-2023</t>
        </is>
      </c>
      <c r="B187" s="1" t="n">
        <v>45086</v>
      </c>
      <c r="C187" s="1" t="n">
        <v>45907</v>
      </c>
      <c r="D187" t="inlineStr">
        <is>
          <t>NORRBOTTENS LÄN</t>
        </is>
      </c>
      <c r="E187" t="inlineStr">
        <is>
          <t>JOKKMOKK</t>
        </is>
      </c>
      <c r="G187" t="n">
        <v>35.6</v>
      </c>
      <c r="H187" t="n">
        <v>0</v>
      </c>
      <c r="I187" t="n">
        <v>0</v>
      </c>
      <c r="J187" t="n">
        <v>0</v>
      </c>
      <c r="K187" t="n">
        <v>0</v>
      </c>
      <c r="L187" t="n">
        <v>0</v>
      </c>
      <c r="M187" t="n">
        <v>0</v>
      </c>
      <c r="N187" t="n">
        <v>0</v>
      </c>
      <c r="O187" t="n">
        <v>0</v>
      </c>
      <c r="P187" t="n">
        <v>0</v>
      </c>
      <c r="Q187" t="n">
        <v>0</v>
      </c>
      <c r="R187" s="2" t="inlineStr"/>
    </row>
    <row r="188" ht="15" customHeight="1">
      <c r="A188" t="inlineStr">
        <is>
          <t>A 29212-2024</t>
        </is>
      </c>
      <c r="B188" s="1" t="n">
        <v>45482</v>
      </c>
      <c r="C188" s="1" t="n">
        <v>45907</v>
      </c>
      <c r="D188" t="inlineStr">
        <is>
          <t>NORRBOTTENS LÄN</t>
        </is>
      </c>
      <c r="E188" t="inlineStr">
        <is>
          <t>JOKKMOKK</t>
        </is>
      </c>
      <c r="G188" t="n">
        <v>8.5</v>
      </c>
      <c r="H188" t="n">
        <v>0</v>
      </c>
      <c r="I188" t="n">
        <v>0</v>
      </c>
      <c r="J188" t="n">
        <v>0</v>
      </c>
      <c r="K188" t="n">
        <v>0</v>
      </c>
      <c r="L188" t="n">
        <v>0</v>
      </c>
      <c r="M188" t="n">
        <v>0</v>
      </c>
      <c r="N188" t="n">
        <v>0</v>
      </c>
      <c r="O188" t="n">
        <v>0</v>
      </c>
      <c r="P188" t="n">
        <v>0</v>
      </c>
      <c r="Q188" t="n">
        <v>0</v>
      </c>
      <c r="R188" s="2" t="inlineStr"/>
    </row>
    <row r="189" ht="15" customHeight="1">
      <c r="A189" t="inlineStr">
        <is>
          <t>A 47397-2020</t>
        </is>
      </c>
      <c r="B189" s="1" t="n">
        <v>44095</v>
      </c>
      <c r="C189" s="1" t="n">
        <v>45907</v>
      </c>
      <c r="D189" t="inlineStr">
        <is>
          <t>NORRBOTTENS LÄN</t>
        </is>
      </c>
      <c r="E189" t="inlineStr">
        <is>
          <t>JOKKMOKK</t>
        </is>
      </c>
      <c r="F189" t="inlineStr">
        <is>
          <t>Allmännings- och besparingsskogar</t>
        </is>
      </c>
      <c r="G189" t="n">
        <v>3.5</v>
      </c>
      <c r="H189" t="n">
        <v>0</v>
      </c>
      <c r="I189" t="n">
        <v>0</v>
      </c>
      <c r="J189" t="n">
        <v>0</v>
      </c>
      <c r="K189" t="n">
        <v>0</v>
      </c>
      <c r="L189" t="n">
        <v>0</v>
      </c>
      <c r="M189" t="n">
        <v>0</v>
      </c>
      <c r="N189" t="n">
        <v>0</v>
      </c>
      <c r="O189" t="n">
        <v>0</v>
      </c>
      <c r="P189" t="n">
        <v>0</v>
      </c>
      <c r="Q189" t="n">
        <v>0</v>
      </c>
      <c r="R189" s="2" t="inlineStr"/>
    </row>
    <row r="190" ht="15" customHeight="1">
      <c r="A190" t="inlineStr">
        <is>
          <t>A 453-2025</t>
        </is>
      </c>
      <c r="B190" s="1" t="n">
        <v>45664.4005787037</v>
      </c>
      <c r="C190" s="1" t="n">
        <v>45907</v>
      </c>
      <c r="D190" t="inlineStr">
        <is>
          <t>NORRBOTTENS LÄN</t>
        </is>
      </c>
      <c r="E190" t="inlineStr">
        <is>
          <t>JOKKMOKK</t>
        </is>
      </c>
      <c r="F190" t="inlineStr">
        <is>
          <t>Övriga statliga verk och myndigheter</t>
        </is>
      </c>
      <c r="G190" t="n">
        <v>5</v>
      </c>
      <c r="H190" t="n">
        <v>0</v>
      </c>
      <c r="I190" t="n">
        <v>0</v>
      </c>
      <c r="J190" t="n">
        <v>0</v>
      </c>
      <c r="K190" t="n">
        <v>0</v>
      </c>
      <c r="L190" t="n">
        <v>0</v>
      </c>
      <c r="M190" t="n">
        <v>0</v>
      </c>
      <c r="N190" t="n">
        <v>0</v>
      </c>
      <c r="O190" t="n">
        <v>0</v>
      </c>
      <c r="P190" t="n">
        <v>0</v>
      </c>
      <c r="Q190" t="n">
        <v>0</v>
      </c>
      <c r="R190" s="2" t="inlineStr"/>
    </row>
    <row r="191" ht="15" customHeight="1">
      <c r="A191" t="inlineStr">
        <is>
          <t>A 2826-2025</t>
        </is>
      </c>
      <c r="B191" s="1" t="n">
        <v>45677.61483796296</v>
      </c>
      <c r="C191" s="1" t="n">
        <v>45907</v>
      </c>
      <c r="D191" t="inlineStr">
        <is>
          <t>NORRBOTTENS LÄN</t>
        </is>
      </c>
      <c r="E191" t="inlineStr">
        <is>
          <t>JOKKMOKK</t>
        </is>
      </c>
      <c r="F191" t="inlineStr">
        <is>
          <t>Övriga statliga verk och myndigheter</t>
        </is>
      </c>
      <c r="G191" t="n">
        <v>10.5</v>
      </c>
      <c r="H191" t="n">
        <v>0</v>
      </c>
      <c r="I191" t="n">
        <v>0</v>
      </c>
      <c r="J191" t="n">
        <v>0</v>
      </c>
      <c r="K191" t="n">
        <v>0</v>
      </c>
      <c r="L191" t="n">
        <v>0</v>
      </c>
      <c r="M191" t="n">
        <v>0</v>
      </c>
      <c r="N191" t="n">
        <v>0</v>
      </c>
      <c r="O191" t="n">
        <v>0</v>
      </c>
      <c r="P191" t="n">
        <v>0</v>
      </c>
      <c r="Q191" t="n">
        <v>0</v>
      </c>
      <c r="R191" s="2" t="inlineStr"/>
    </row>
    <row r="192" ht="15" customHeight="1">
      <c r="A192" t="inlineStr">
        <is>
          <t>A 35876-2022</t>
        </is>
      </c>
      <c r="B192" s="1" t="n">
        <v>44802</v>
      </c>
      <c r="C192" s="1" t="n">
        <v>45907</v>
      </c>
      <c r="D192" t="inlineStr">
        <is>
          <t>NORRBOTTENS LÄN</t>
        </is>
      </c>
      <c r="E192" t="inlineStr">
        <is>
          <t>JOKKMOKK</t>
        </is>
      </c>
      <c r="G192" t="n">
        <v>9.5</v>
      </c>
      <c r="H192" t="n">
        <v>0</v>
      </c>
      <c r="I192" t="n">
        <v>0</v>
      </c>
      <c r="J192" t="n">
        <v>0</v>
      </c>
      <c r="K192" t="n">
        <v>0</v>
      </c>
      <c r="L192" t="n">
        <v>0</v>
      </c>
      <c r="M192" t="n">
        <v>0</v>
      </c>
      <c r="N192" t="n">
        <v>0</v>
      </c>
      <c r="O192" t="n">
        <v>0</v>
      </c>
      <c r="P192" t="n">
        <v>0</v>
      </c>
      <c r="Q192" t="n">
        <v>0</v>
      </c>
      <c r="R192" s="2" t="inlineStr"/>
    </row>
    <row r="193" ht="15" customHeight="1">
      <c r="A193" t="inlineStr">
        <is>
          <t>A 45468-2022</t>
        </is>
      </c>
      <c r="B193" s="1" t="n">
        <v>44841</v>
      </c>
      <c r="C193" s="1" t="n">
        <v>45907</v>
      </c>
      <c r="D193" t="inlineStr">
        <is>
          <t>NORRBOTTENS LÄN</t>
        </is>
      </c>
      <c r="E193" t="inlineStr">
        <is>
          <t>JOKKMOKK</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47208-2022</t>
        </is>
      </c>
      <c r="B194" s="1" t="n">
        <v>44851</v>
      </c>
      <c r="C194" s="1" t="n">
        <v>45907</v>
      </c>
      <c r="D194" t="inlineStr">
        <is>
          <t>NORRBOTTENS LÄN</t>
        </is>
      </c>
      <c r="E194" t="inlineStr">
        <is>
          <t>JOKKMOKK</t>
        </is>
      </c>
      <c r="G194" t="n">
        <v>1.2</v>
      </c>
      <c r="H194" t="n">
        <v>0</v>
      </c>
      <c r="I194" t="n">
        <v>0</v>
      </c>
      <c r="J194" t="n">
        <v>0</v>
      </c>
      <c r="K194" t="n">
        <v>0</v>
      </c>
      <c r="L194" t="n">
        <v>0</v>
      </c>
      <c r="M194" t="n">
        <v>0</v>
      </c>
      <c r="N194" t="n">
        <v>0</v>
      </c>
      <c r="O194" t="n">
        <v>0</v>
      </c>
      <c r="P194" t="n">
        <v>0</v>
      </c>
      <c r="Q194" t="n">
        <v>0</v>
      </c>
      <c r="R194" s="2" t="inlineStr"/>
    </row>
    <row r="195" ht="15" customHeight="1">
      <c r="A195" t="inlineStr">
        <is>
          <t>A 36113-2024</t>
        </is>
      </c>
      <c r="B195" s="1" t="n">
        <v>45534.30302083334</v>
      </c>
      <c r="C195" s="1" t="n">
        <v>45907</v>
      </c>
      <c r="D195" t="inlineStr">
        <is>
          <t>NORRBOTTENS LÄN</t>
        </is>
      </c>
      <c r="E195" t="inlineStr">
        <is>
          <t>JOKKMOKK</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37828-2024</t>
        </is>
      </c>
      <c r="B196" s="1" t="n">
        <v>45544</v>
      </c>
      <c r="C196" s="1" t="n">
        <v>45907</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60164-2023</t>
        </is>
      </c>
      <c r="B197" s="1" t="n">
        <v>45258</v>
      </c>
      <c r="C197" s="1" t="n">
        <v>45907</v>
      </c>
      <c r="D197" t="inlineStr">
        <is>
          <t>NORRBOTTENS LÄN</t>
        </is>
      </c>
      <c r="E197" t="inlineStr">
        <is>
          <t>JOKKMOKK</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60418-2023</t>
        </is>
      </c>
      <c r="B198" s="1" t="n">
        <v>45259.49666666667</v>
      </c>
      <c r="C198" s="1" t="n">
        <v>45907</v>
      </c>
      <c r="D198" t="inlineStr">
        <is>
          <t>NORRBOTTENS LÄN</t>
        </is>
      </c>
      <c r="E198" t="inlineStr">
        <is>
          <t>JOKKMOKK</t>
        </is>
      </c>
      <c r="F198" t="inlineStr">
        <is>
          <t>Allmännings- och besparingsskogar</t>
        </is>
      </c>
      <c r="G198" t="n">
        <v>12.7</v>
      </c>
      <c r="H198" t="n">
        <v>0</v>
      </c>
      <c r="I198" t="n">
        <v>0</v>
      </c>
      <c r="J198" t="n">
        <v>0</v>
      </c>
      <c r="K198" t="n">
        <v>0</v>
      </c>
      <c r="L198" t="n">
        <v>0</v>
      </c>
      <c r="M198" t="n">
        <v>0</v>
      </c>
      <c r="N198" t="n">
        <v>0</v>
      </c>
      <c r="O198" t="n">
        <v>0</v>
      </c>
      <c r="P198" t="n">
        <v>0</v>
      </c>
      <c r="Q198" t="n">
        <v>0</v>
      </c>
      <c r="R198" s="2" t="inlineStr"/>
    </row>
    <row r="199" ht="15" customHeight="1">
      <c r="A199" t="inlineStr">
        <is>
          <t>A 57183-2020</t>
        </is>
      </c>
      <c r="B199" s="1" t="n">
        <v>44138</v>
      </c>
      <c r="C199" s="1" t="n">
        <v>45907</v>
      </c>
      <c r="D199" t="inlineStr">
        <is>
          <t>NORRBOTTENS LÄN</t>
        </is>
      </c>
      <c r="E199" t="inlineStr">
        <is>
          <t>JOKKMOKK</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44145-2024</t>
        </is>
      </c>
      <c r="B200" s="1" t="n">
        <v>45572.66908564815</v>
      </c>
      <c r="C200" s="1" t="n">
        <v>45907</v>
      </c>
      <c r="D200" t="inlineStr">
        <is>
          <t>NORRBOTTENS LÄN</t>
        </is>
      </c>
      <c r="E200" t="inlineStr">
        <is>
          <t>JOKKMOKK</t>
        </is>
      </c>
      <c r="F200" t="inlineStr">
        <is>
          <t>Sveaskog</t>
        </is>
      </c>
      <c r="G200" t="n">
        <v>4.7</v>
      </c>
      <c r="H200" t="n">
        <v>0</v>
      </c>
      <c r="I200" t="n">
        <v>0</v>
      </c>
      <c r="J200" t="n">
        <v>0</v>
      </c>
      <c r="K200" t="n">
        <v>0</v>
      </c>
      <c r="L200" t="n">
        <v>0</v>
      </c>
      <c r="M200" t="n">
        <v>0</v>
      </c>
      <c r="N200" t="n">
        <v>0</v>
      </c>
      <c r="O200" t="n">
        <v>0</v>
      </c>
      <c r="P200" t="n">
        <v>0</v>
      </c>
      <c r="Q200" t="n">
        <v>0</v>
      </c>
      <c r="R200" s="2" t="inlineStr"/>
    </row>
    <row r="201" ht="15" customHeight="1">
      <c r="A201" t="inlineStr">
        <is>
          <t>A 9874-2023</t>
        </is>
      </c>
      <c r="B201" s="1" t="n">
        <v>44984.94069444444</v>
      </c>
      <c r="C201" s="1" t="n">
        <v>45907</v>
      </c>
      <c r="D201" t="inlineStr">
        <is>
          <t>NORRBOTTENS LÄN</t>
        </is>
      </c>
      <c r="E201" t="inlineStr">
        <is>
          <t>JOKKMOKK</t>
        </is>
      </c>
      <c r="G201" t="n">
        <v>1.7</v>
      </c>
      <c r="H201" t="n">
        <v>0</v>
      </c>
      <c r="I201" t="n">
        <v>0</v>
      </c>
      <c r="J201" t="n">
        <v>0</v>
      </c>
      <c r="K201" t="n">
        <v>0</v>
      </c>
      <c r="L201" t="n">
        <v>0</v>
      </c>
      <c r="M201" t="n">
        <v>0</v>
      </c>
      <c r="N201" t="n">
        <v>0</v>
      </c>
      <c r="O201" t="n">
        <v>0</v>
      </c>
      <c r="P201" t="n">
        <v>0</v>
      </c>
      <c r="Q201" t="n">
        <v>0</v>
      </c>
      <c r="R201" s="2" t="inlineStr"/>
    </row>
    <row r="202" ht="15" customHeight="1">
      <c r="A202" t="inlineStr">
        <is>
          <t>A 9875-2023</t>
        </is>
      </c>
      <c r="B202" s="1" t="n">
        <v>44984.94076388889</v>
      </c>
      <c r="C202" s="1" t="n">
        <v>45907</v>
      </c>
      <c r="D202" t="inlineStr">
        <is>
          <t>NORRBOTTENS LÄN</t>
        </is>
      </c>
      <c r="E202" t="inlineStr">
        <is>
          <t>JOKKMOKK</t>
        </is>
      </c>
      <c r="G202" t="n">
        <v>0.6</v>
      </c>
      <c r="H202" t="n">
        <v>0</v>
      </c>
      <c r="I202" t="n">
        <v>0</v>
      </c>
      <c r="J202" t="n">
        <v>0</v>
      </c>
      <c r="K202" t="n">
        <v>0</v>
      </c>
      <c r="L202" t="n">
        <v>0</v>
      </c>
      <c r="M202" t="n">
        <v>0</v>
      </c>
      <c r="N202" t="n">
        <v>0</v>
      </c>
      <c r="O202" t="n">
        <v>0</v>
      </c>
      <c r="P202" t="n">
        <v>0</v>
      </c>
      <c r="Q202" t="n">
        <v>0</v>
      </c>
      <c r="R202" s="2" t="inlineStr"/>
    </row>
    <row r="203" ht="15" customHeight="1">
      <c r="A203" t="inlineStr">
        <is>
          <t>A 55635-2024</t>
        </is>
      </c>
      <c r="B203" s="1" t="n">
        <v>45622</v>
      </c>
      <c r="C203" s="1" t="n">
        <v>45907</v>
      </c>
      <c r="D203" t="inlineStr">
        <is>
          <t>NORRBOTTENS LÄN</t>
        </is>
      </c>
      <c r="E203" t="inlineStr">
        <is>
          <t>JOKKMOKK</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52130-2024</t>
        </is>
      </c>
      <c r="B204" s="1" t="n">
        <v>45608</v>
      </c>
      <c r="C204" s="1" t="n">
        <v>45907</v>
      </c>
      <c r="D204" t="inlineStr">
        <is>
          <t>NORRBOTTENS LÄN</t>
        </is>
      </c>
      <c r="E204" t="inlineStr">
        <is>
          <t>JOKKMOKK</t>
        </is>
      </c>
      <c r="G204" t="n">
        <v>84</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45907</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49953-2024</t>
        </is>
      </c>
      <c r="B206" s="1" t="n">
        <v>45597</v>
      </c>
      <c r="C206" s="1" t="n">
        <v>45907</v>
      </c>
      <c r="D206" t="inlineStr">
        <is>
          <t>NORRBOTTENS LÄN</t>
        </is>
      </c>
      <c r="E206" t="inlineStr">
        <is>
          <t>JOKKMOKK</t>
        </is>
      </c>
      <c r="F206" t="inlineStr">
        <is>
          <t>Allmännings- och besparingsskogar</t>
        </is>
      </c>
      <c r="G206" t="n">
        <v>9.4</v>
      </c>
      <c r="H206" t="n">
        <v>0</v>
      </c>
      <c r="I206" t="n">
        <v>0</v>
      </c>
      <c r="J206" t="n">
        <v>0</v>
      </c>
      <c r="K206" t="n">
        <v>0</v>
      </c>
      <c r="L206" t="n">
        <v>0</v>
      </c>
      <c r="M206" t="n">
        <v>0</v>
      </c>
      <c r="N206" t="n">
        <v>0</v>
      </c>
      <c r="O206" t="n">
        <v>0</v>
      </c>
      <c r="P206" t="n">
        <v>0</v>
      </c>
      <c r="Q206" t="n">
        <v>0</v>
      </c>
      <c r="R206" s="2" t="inlineStr"/>
    </row>
    <row r="207" ht="15" customHeight="1">
      <c r="A207" t="inlineStr">
        <is>
          <t>A 18602-2024</t>
        </is>
      </c>
      <c r="B207" s="1" t="n">
        <v>45425</v>
      </c>
      <c r="C207" s="1" t="n">
        <v>45907</v>
      </c>
      <c r="D207" t="inlineStr">
        <is>
          <t>NORRBOTTENS LÄN</t>
        </is>
      </c>
      <c r="E207" t="inlineStr">
        <is>
          <t>JOKKMOKK</t>
        </is>
      </c>
      <c r="G207" t="n">
        <v>4.6</v>
      </c>
      <c r="H207" t="n">
        <v>0</v>
      </c>
      <c r="I207" t="n">
        <v>0</v>
      </c>
      <c r="J207" t="n">
        <v>0</v>
      </c>
      <c r="K207" t="n">
        <v>0</v>
      </c>
      <c r="L207" t="n">
        <v>0</v>
      </c>
      <c r="M207" t="n">
        <v>0</v>
      </c>
      <c r="N207" t="n">
        <v>0</v>
      </c>
      <c r="O207" t="n">
        <v>0</v>
      </c>
      <c r="P207" t="n">
        <v>0</v>
      </c>
      <c r="Q207" t="n">
        <v>0</v>
      </c>
      <c r="R207" s="2" t="inlineStr"/>
    </row>
    <row r="208" ht="15" customHeight="1">
      <c r="A208" t="inlineStr">
        <is>
          <t>A 49562-2024</t>
        </is>
      </c>
      <c r="B208" s="1" t="n">
        <v>45596</v>
      </c>
      <c r="C208" s="1" t="n">
        <v>45907</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32900-2023</t>
        </is>
      </c>
      <c r="B209" s="1" t="n">
        <v>45124</v>
      </c>
      <c r="C209" s="1" t="n">
        <v>45907</v>
      </c>
      <c r="D209" t="inlineStr">
        <is>
          <t>NORRBOTTENS LÄN</t>
        </is>
      </c>
      <c r="E209" t="inlineStr">
        <is>
          <t>JOKKMOKK</t>
        </is>
      </c>
      <c r="F209" t="inlineStr">
        <is>
          <t>SCA</t>
        </is>
      </c>
      <c r="G209" t="n">
        <v>4.4</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45907</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35675-2024</t>
        </is>
      </c>
      <c r="B211" s="1" t="n">
        <v>45532</v>
      </c>
      <c r="C211" s="1" t="n">
        <v>45907</v>
      </c>
      <c r="D211" t="inlineStr">
        <is>
          <t>NORRBOTTENS LÄN</t>
        </is>
      </c>
      <c r="E211" t="inlineStr">
        <is>
          <t>JOKKMOKK</t>
        </is>
      </c>
      <c r="G211" t="n">
        <v>1.4</v>
      </c>
      <c r="H211" t="n">
        <v>0</v>
      </c>
      <c r="I211" t="n">
        <v>0</v>
      </c>
      <c r="J211" t="n">
        <v>0</v>
      </c>
      <c r="K211" t="n">
        <v>0</v>
      </c>
      <c r="L211" t="n">
        <v>0</v>
      </c>
      <c r="M211" t="n">
        <v>0</v>
      </c>
      <c r="N211" t="n">
        <v>0</v>
      </c>
      <c r="O211" t="n">
        <v>0</v>
      </c>
      <c r="P211" t="n">
        <v>0</v>
      </c>
      <c r="Q211" t="n">
        <v>0</v>
      </c>
      <c r="R211" s="2" t="inlineStr"/>
    </row>
    <row r="212" ht="15" customHeight="1">
      <c r="A212" t="inlineStr">
        <is>
          <t>A 31208-2023</t>
        </is>
      </c>
      <c r="B212" s="1" t="n">
        <v>45113.95083333334</v>
      </c>
      <c r="C212" s="1" t="n">
        <v>45907</v>
      </c>
      <c r="D212" t="inlineStr">
        <is>
          <t>NORRBOTTENS LÄN</t>
        </is>
      </c>
      <c r="E212" t="inlineStr">
        <is>
          <t>JOKKMOKK</t>
        </is>
      </c>
      <c r="F212" t="inlineStr">
        <is>
          <t>SCA</t>
        </is>
      </c>
      <c r="G212" t="n">
        <v>10.3</v>
      </c>
      <c r="H212" t="n">
        <v>0</v>
      </c>
      <c r="I212" t="n">
        <v>0</v>
      </c>
      <c r="J212" t="n">
        <v>0</v>
      </c>
      <c r="K212" t="n">
        <v>0</v>
      </c>
      <c r="L212" t="n">
        <v>0</v>
      </c>
      <c r="M212" t="n">
        <v>0</v>
      </c>
      <c r="N212" t="n">
        <v>0</v>
      </c>
      <c r="O212" t="n">
        <v>0</v>
      </c>
      <c r="P212" t="n">
        <v>0</v>
      </c>
      <c r="Q212" t="n">
        <v>0</v>
      </c>
      <c r="R212" s="2" t="inlineStr"/>
    </row>
    <row r="213" ht="15" customHeight="1">
      <c r="A213" t="inlineStr">
        <is>
          <t>A 61761-2024</t>
        </is>
      </c>
      <c r="B213" s="1" t="n">
        <v>45649</v>
      </c>
      <c r="C213" s="1" t="n">
        <v>45907</v>
      </c>
      <c r="D213" t="inlineStr">
        <is>
          <t>NORRBOTTENS LÄN</t>
        </is>
      </c>
      <c r="E213" t="inlineStr">
        <is>
          <t>JOKKMOKK</t>
        </is>
      </c>
      <c r="F213" t="inlineStr">
        <is>
          <t>Övriga statliga verk och myndigheter</t>
        </is>
      </c>
      <c r="G213" t="n">
        <v>3.7</v>
      </c>
      <c r="H213" t="n">
        <v>0</v>
      </c>
      <c r="I213" t="n">
        <v>0</v>
      </c>
      <c r="J213" t="n">
        <v>0</v>
      </c>
      <c r="K213" t="n">
        <v>0</v>
      </c>
      <c r="L213" t="n">
        <v>0</v>
      </c>
      <c r="M213" t="n">
        <v>0</v>
      </c>
      <c r="N213" t="n">
        <v>0</v>
      </c>
      <c r="O213" t="n">
        <v>0</v>
      </c>
      <c r="P213" t="n">
        <v>0</v>
      </c>
      <c r="Q213" t="n">
        <v>0</v>
      </c>
      <c r="R213" s="2" t="inlineStr"/>
    </row>
    <row r="214" ht="15" customHeight="1">
      <c r="A214" t="inlineStr">
        <is>
          <t>A 65648-2020</t>
        </is>
      </c>
      <c r="B214" s="1" t="n">
        <v>44172</v>
      </c>
      <c r="C214" s="1" t="n">
        <v>45907</v>
      </c>
      <c r="D214" t="inlineStr">
        <is>
          <t>NORRBOTTENS LÄN</t>
        </is>
      </c>
      <c r="E214" t="inlineStr">
        <is>
          <t>JOKKMOKK</t>
        </is>
      </c>
      <c r="G214" t="n">
        <v>1.8</v>
      </c>
      <c r="H214" t="n">
        <v>0</v>
      </c>
      <c r="I214" t="n">
        <v>0</v>
      </c>
      <c r="J214" t="n">
        <v>0</v>
      </c>
      <c r="K214" t="n">
        <v>0</v>
      </c>
      <c r="L214" t="n">
        <v>0</v>
      </c>
      <c r="M214" t="n">
        <v>0</v>
      </c>
      <c r="N214" t="n">
        <v>0</v>
      </c>
      <c r="O214" t="n">
        <v>0</v>
      </c>
      <c r="P214" t="n">
        <v>0</v>
      </c>
      <c r="Q214" t="n">
        <v>0</v>
      </c>
      <c r="R214" s="2" t="inlineStr"/>
    </row>
    <row r="215" ht="15" customHeight="1">
      <c r="A215" t="inlineStr">
        <is>
          <t>A 18493-2025</t>
        </is>
      </c>
      <c r="B215" s="1" t="n">
        <v>45763.34474537037</v>
      </c>
      <c r="C215" s="1" t="n">
        <v>45907</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27685-2025</t>
        </is>
      </c>
      <c r="B216" s="1" t="n">
        <v>45813.65023148148</v>
      </c>
      <c r="C216" s="1" t="n">
        <v>45907</v>
      </c>
      <c r="D216" t="inlineStr">
        <is>
          <t>NORRBOTTENS LÄN</t>
        </is>
      </c>
      <c r="E216" t="inlineStr">
        <is>
          <t>JOKKMOKK</t>
        </is>
      </c>
      <c r="G216" t="n">
        <v>2</v>
      </c>
      <c r="H216" t="n">
        <v>0</v>
      </c>
      <c r="I216" t="n">
        <v>0</v>
      </c>
      <c r="J216" t="n">
        <v>0</v>
      </c>
      <c r="K216" t="n">
        <v>0</v>
      </c>
      <c r="L216" t="n">
        <v>0</v>
      </c>
      <c r="M216" t="n">
        <v>0</v>
      </c>
      <c r="N216" t="n">
        <v>0</v>
      </c>
      <c r="O216" t="n">
        <v>0</v>
      </c>
      <c r="P216" t="n">
        <v>0</v>
      </c>
      <c r="Q216" t="n">
        <v>0</v>
      </c>
      <c r="R216" s="2" t="inlineStr"/>
    </row>
    <row r="217" ht="15" customHeight="1">
      <c r="A217" t="inlineStr">
        <is>
          <t>A 52181-2023</t>
        </is>
      </c>
      <c r="B217" s="1" t="n">
        <v>45224</v>
      </c>
      <c r="C217" s="1" t="n">
        <v>45907</v>
      </c>
      <c r="D217" t="inlineStr">
        <is>
          <t>NORRBOTTENS LÄN</t>
        </is>
      </c>
      <c r="E217" t="inlineStr">
        <is>
          <t>JOKKMOKK</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33323-2024</t>
        </is>
      </c>
      <c r="B218" s="1" t="n">
        <v>45518.97305555556</v>
      </c>
      <c r="C218" s="1" t="n">
        <v>45907</v>
      </c>
      <c r="D218" t="inlineStr">
        <is>
          <t>NORRBOTTENS LÄN</t>
        </is>
      </c>
      <c r="E218" t="inlineStr">
        <is>
          <t>JOKKMOKK</t>
        </is>
      </c>
      <c r="F218" t="inlineStr">
        <is>
          <t>SCA</t>
        </is>
      </c>
      <c r="G218" t="n">
        <v>16.7</v>
      </c>
      <c r="H218" t="n">
        <v>0</v>
      </c>
      <c r="I218" t="n">
        <v>0</v>
      </c>
      <c r="J218" t="n">
        <v>0</v>
      </c>
      <c r="K218" t="n">
        <v>0</v>
      </c>
      <c r="L218" t="n">
        <v>0</v>
      </c>
      <c r="M218" t="n">
        <v>0</v>
      </c>
      <c r="N218" t="n">
        <v>0</v>
      </c>
      <c r="O218" t="n">
        <v>0</v>
      </c>
      <c r="P218" t="n">
        <v>0</v>
      </c>
      <c r="Q218" t="n">
        <v>0</v>
      </c>
      <c r="R218" s="2" t="inlineStr"/>
    </row>
    <row r="219" ht="15" customHeight="1">
      <c r="A219" t="inlineStr">
        <is>
          <t>A 9854-2023</t>
        </is>
      </c>
      <c r="B219" s="1" t="n">
        <v>44984</v>
      </c>
      <c r="C219" s="1" t="n">
        <v>45907</v>
      </c>
      <c r="D219" t="inlineStr">
        <is>
          <t>NORRBOTTENS LÄN</t>
        </is>
      </c>
      <c r="E219" t="inlineStr">
        <is>
          <t>JOKKMOKK</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9859-2023</t>
        </is>
      </c>
      <c r="B220" s="1" t="n">
        <v>44984.93940972222</v>
      </c>
      <c r="C220" s="1" t="n">
        <v>45907</v>
      </c>
      <c r="D220" t="inlineStr">
        <is>
          <t>NORRBOTTENS LÄN</t>
        </is>
      </c>
      <c r="E220" t="inlineStr">
        <is>
          <t>JOKKMOKK</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9864-2023</t>
        </is>
      </c>
      <c r="B221" s="1" t="n">
        <v>44984</v>
      </c>
      <c r="C221" s="1" t="n">
        <v>45907</v>
      </c>
      <c r="D221" t="inlineStr">
        <is>
          <t>NORRBOTTENS LÄN</t>
        </is>
      </c>
      <c r="E221" t="inlineStr">
        <is>
          <t>JOKKMOKK</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27652-2024</t>
        </is>
      </c>
      <c r="B222" s="1" t="n">
        <v>45474.94982638889</v>
      </c>
      <c r="C222" s="1" t="n">
        <v>45907</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457-2025</t>
        </is>
      </c>
      <c r="B223" s="1" t="n">
        <v>45664</v>
      </c>
      <c r="C223" s="1" t="n">
        <v>45907</v>
      </c>
      <c r="D223" t="inlineStr">
        <is>
          <t>NORRBOTTENS LÄN</t>
        </is>
      </c>
      <c r="E223" t="inlineStr">
        <is>
          <t>JOKKMOKK</t>
        </is>
      </c>
      <c r="F223" t="inlineStr">
        <is>
          <t>Övriga statliga verk och myndigheter</t>
        </is>
      </c>
      <c r="G223" t="n">
        <v>8</v>
      </c>
      <c r="H223" t="n">
        <v>0</v>
      </c>
      <c r="I223" t="n">
        <v>0</v>
      </c>
      <c r="J223" t="n">
        <v>0</v>
      </c>
      <c r="K223" t="n">
        <v>0</v>
      </c>
      <c r="L223" t="n">
        <v>0</v>
      </c>
      <c r="M223" t="n">
        <v>0</v>
      </c>
      <c r="N223" t="n">
        <v>0</v>
      </c>
      <c r="O223" t="n">
        <v>0</v>
      </c>
      <c r="P223" t="n">
        <v>0</v>
      </c>
      <c r="Q223" t="n">
        <v>0</v>
      </c>
      <c r="R223" s="2" t="inlineStr"/>
    </row>
    <row r="224" ht="15" customHeight="1">
      <c r="A224" t="inlineStr">
        <is>
          <t>A 458-2025</t>
        </is>
      </c>
      <c r="B224" s="1" t="n">
        <v>45664</v>
      </c>
      <c r="C224" s="1" t="n">
        <v>45907</v>
      </c>
      <c r="D224" t="inlineStr">
        <is>
          <t>NORRBOTTENS LÄN</t>
        </is>
      </c>
      <c r="E224" t="inlineStr">
        <is>
          <t>JOKKMOKK</t>
        </is>
      </c>
      <c r="F224" t="inlineStr">
        <is>
          <t>Övriga statliga verk och myndigheter</t>
        </is>
      </c>
      <c r="G224" t="n">
        <v>10.3</v>
      </c>
      <c r="H224" t="n">
        <v>0</v>
      </c>
      <c r="I224" t="n">
        <v>0</v>
      </c>
      <c r="J224" t="n">
        <v>0</v>
      </c>
      <c r="K224" t="n">
        <v>0</v>
      </c>
      <c r="L224" t="n">
        <v>0</v>
      </c>
      <c r="M224" t="n">
        <v>0</v>
      </c>
      <c r="N224" t="n">
        <v>0</v>
      </c>
      <c r="O224" t="n">
        <v>0</v>
      </c>
      <c r="P224" t="n">
        <v>0</v>
      </c>
      <c r="Q224" t="n">
        <v>0</v>
      </c>
      <c r="R224" s="2" t="inlineStr"/>
    </row>
    <row r="225" ht="15" customHeight="1">
      <c r="A225" t="inlineStr">
        <is>
          <t>A 28591-2025</t>
        </is>
      </c>
      <c r="B225" s="1" t="n">
        <v>45819.59027777778</v>
      </c>
      <c r="C225" s="1" t="n">
        <v>45907</v>
      </c>
      <c r="D225" t="inlineStr">
        <is>
          <t>NORRBOTTENS LÄN</t>
        </is>
      </c>
      <c r="E225" t="inlineStr">
        <is>
          <t>JOKKMOKK</t>
        </is>
      </c>
      <c r="F225" t="inlineStr">
        <is>
          <t>Sveaskog</t>
        </is>
      </c>
      <c r="G225" t="n">
        <v>11.9</v>
      </c>
      <c r="H225" t="n">
        <v>0</v>
      </c>
      <c r="I225" t="n">
        <v>0</v>
      </c>
      <c r="J225" t="n">
        <v>0</v>
      </c>
      <c r="K225" t="n">
        <v>0</v>
      </c>
      <c r="L225" t="n">
        <v>0</v>
      </c>
      <c r="M225" t="n">
        <v>0</v>
      </c>
      <c r="N225" t="n">
        <v>0</v>
      </c>
      <c r="O225" t="n">
        <v>0</v>
      </c>
      <c r="P225" t="n">
        <v>0</v>
      </c>
      <c r="Q225" t="n">
        <v>0</v>
      </c>
      <c r="R225" s="2" t="inlineStr"/>
    </row>
    <row r="226" ht="15" customHeight="1">
      <c r="A226" t="inlineStr">
        <is>
          <t>A 48339-2024</t>
        </is>
      </c>
      <c r="B226" s="1" t="n">
        <v>45590</v>
      </c>
      <c r="C226" s="1" t="n">
        <v>45907</v>
      </c>
      <c r="D226" t="inlineStr">
        <is>
          <t>NORRBOTTENS LÄN</t>
        </is>
      </c>
      <c r="E226" t="inlineStr">
        <is>
          <t>JOKKMOKK</t>
        </is>
      </c>
      <c r="F226" t="inlineStr">
        <is>
          <t>Allmännings- och besparingsskogar</t>
        </is>
      </c>
      <c r="G226" t="n">
        <v>24.9</v>
      </c>
      <c r="H226" t="n">
        <v>0</v>
      </c>
      <c r="I226" t="n">
        <v>0</v>
      </c>
      <c r="J226" t="n">
        <v>0</v>
      </c>
      <c r="K226" t="n">
        <v>0</v>
      </c>
      <c r="L226" t="n">
        <v>0</v>
      </c>
      <c r="M226" t="n">
        <v>0</v>
      </c>
      <c r="N226" t="n">
        <v>0</v>
      </c>
      <c r="O226" t="n">
        <v>0</v>
      </c>
      <c r="P226" t="n">
        <v>0</v>
      </c>
      <c r="Q226" t="n">
        <v>0</v>
      </c>
      <c r="R226" s="2" t="inlineStr"/>
    </row>
    <row r="227" ht="15" customHeight="1">
      <c r="A227" t="inlineStr">
        <is>
          <t>A 28639-2025</t>
        </is>
      </c>
      <c r="B227" s="1" t="n">
        <v>45819.63649305556</v>
      </c>
      <c r="C227" s="1" t="n">
        <v>45907</v>
      </c>
      <c r="D227" t="inlineStr">
        <is>
          <t>NORRBOTTENS LÄN</t>
        </is>
      </c>
      <c r="E227" t="inlineStr">
        <is>
          <t>JOKKMOKK</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28601-2025</t>
        </is>
      </c>
      <c r="B228" s="1" t="n">
        <v>45819.59802083333</v>
      </c>
      <c r="C228" s="1" t="n">
        <v>45907</v>
      </c>
      <c r="D228" t="inlineStr">
        <is>
          <t>NORRBOTTENS LÄN</t>
        </is>
      </c>
      <c r="E228" t="inlineStr">
        <is>
          <t>JOKKMOKK</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29333-2025</t>
        </is>
      </c>
      <c r="B229" s="1" t="n">
        <v>45824</v>
      </c>
      <c r="C229" s="1" t="n">
        <v>45907</v>
      </c>
      <c r="D229" t="inlineStr">
        <is>
          <t>NORRBOTTENS LÄN</t>
        </is>
      </c>
      <c r="E229" t="inlineStr">
        <is>
          <t>JOKKMOKK</t>
        </is>
      </c>
      <c r="G229" t="n">
        <v>17.3</v>
      </c>
      <c r="H229" t="n">
        <v>0</v>
      </c>
      <c r="I229" t="n">
        <v>0</v>
      </c>
      <c r="J229" t="n">
        <v>0</v>
      </c>
      <c r="K229" t="n">
        <v>0</v>
      </c>
      <c r="L229" t="n">
        <v>0</v>
      </c>
      <c r="M229" t="n">
        <v>0</v>
      </c>
      <c r="N229" t="n">
        <v>0</v>
      </c>
      <c r="O229" t="n">
        <v>0</v>
      </c>
      <c r="P229" t="n">
        <v>0</v>
      </c>
      <c r="Q229" t="n">
        <v>0</v>
      </c>
      <c r="R229" s="2" t="inlineStr"/>
    </row>
    <row r="230" ht="15" customHeight="1">
      <c r="A230" t="inlineStr">
        <is>
          <t>A 29446-2025</t>
        </is>
      </c>
      <c r="B230" s="1" t="n">
        <v>45824</v>
      </c>
      <c r="C230" s="1" t="n">
        <v>45907</v>
      </c>
      <c r="D230" t="inlineStr">
        <is>
          <t>NORRBOTTENS LÄN</t>
        </is>
      </c>
      <c r="E230" t="inlineStr">
        <is>
          <t>JOKKMOKK</t>
        </is>
      </c>
      <c r="G230" t="n">
        <v>68.5</v>
      </c>
      <c r="H230" t="n">
        <v>0</v>
      </c>
      <c r="I230" t="n">
        <v>0</v>
      </c>
      <c r="J230" t="n">
        <v>0</v>
      </c>
      <c r="K230" t="n">
        <v>0</v>
      </c>
      <c r="L230" t="n">
        <v>0</v>
      </c>
      <c r="M230" t="n">
        <v>0</v>
      </c>
      <c r="N230" t="n">
        <v>0</v>
      </c>
      <c r="O230" t="n">
        <v>0</v>
      </c>
      <c r="P230" t="n">
        <v>0</v>
      </c>
      <c r="Q230" t="n">
        <v>0</v>
      </c>
      <c r="R230" s="2" t="inlineStr"/>
    </row>
    <row r="231" ht="15" customHeight="1">
      <c r="A231" t="inlineStr">
        <is>
          <t>A 10630-2025</t>
        </is>
      </c>
      <c r="B231" s="1" t="n">
        <v>45721.63606481482</v>
      </c>
      <c r="C231" s="1" t="n">
        <v>45907</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29418-2025</t>
        </is>
      </c>
      <c r="B232" s="1" t="n">
        <v>45824.63607638889</v>
      </c>
      <c r="C232" s="1" t="n">
        <v>45907</v>
      </c>
      <c r="D232" t="inlineStr">
        <is>
          <t>NORRBOTTENS LÄN</t>
        </is>
      </c>
      <c r="E232" t="inlineStr">
        <is>
          <t>JOKKMOKK</t>
        </is>
      </c>
      <c r="G232" t="n">
        <v>17.8</v>
      </c>
      <c r="H232" t="n">
        <v>0</v>
      </c>
      <c r="I232" t="n">
        <v>0</v>
      </c>
      <c r="J232" t="n">
        <v>0</v>
      </c>
      <c r="K232" t="n">
        <v>0</v>
      </c>
      <c r="L232" t="n">
        <v>0</v>
      </c>
      <c r="M232" t="n">
        <v>0</v>
      </c>
      <c r="N232" t="n">
        <v>0</v>
      </c>
      <c r="O232" t="n">
        <v>0</v>
      </c>
      <c r="P232" t="n">
        <v>0</v>
      </c>
      <c r="Q232" t="n">
        <v>0</v>
      </c>
      <c r="R232" s="2" t="inlineStr"/>
    </row>
    <row r="233" ht="15" customHeight="1">
      <c r="A233" t="inlineStr">
        <is>
          <t>A 36168-2025</t>
        </is>
      </c>
      <c r="B233" s="1" t="n">
        <v>45867.38582175926</v>
      </c>
      <c r="C233" s="1" t="n">
        <v>45907</v>
      </c>
      <c r="D233" t="inlineStr">
        <is>
          <t>NORRBOTTENS LÄN</t>
        </is>
      </c>
      <c r="E233" t="inlineStr">
        <is>
          <t>JOKKMOKK</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30178-2025</t>
        </is>
      </c>
      <c r="B234" s="1" t="n">
        <v>45827.34571759259</v>
      </c>
      <c r="C234" s="1" t="n">
        <v>45907</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3206-2025</t>
        </is>
      </c>
      <c r="B235" s="1" t="n">
        <v>45679</v>
      </c>
      <c r="C235" s="1" t="n">
        <v>45907</v>
      </c>
      <c r="D235" t="inlineStr">
        <is>
          <t>NORRBOTTENS LÄN</t>
        </is>
      </c>
      <c r="E235" t="inlineStr">
        <is>
          <t>JOKKMOKK</t>
        </is>
      </c>
      <c r="F235" t="inlineStr">
        <is>
          <t>SCA</t>
        </is>
      </c>
      <c r="G235" t="n">
        <v>9.1</v>
      </c>
      <c r="H235" t="n">
        <v>0</v>
      </c>
      <c r="I235" t="n">
        <v>0</v>
      </c>
      <c r="J235" t="n">
        <v>0</v>
      </c>
      <c r="K235" t="n">
        <v>0</v>
      </c>
      <c r="L235" t="n">
        <v>0</v>
      </c>
      <c r="M235" t="n">
        <v>0</v>
      </c>
      <c r="N235" t="n">
        <v>0</v>
      </c>
      <c r="O235" t="n">
        <v>0</v>
      </c>
      <c r="P235" t="n">
        <v>0</v>
      </c>
      <c r="Q235" t="n">
        <v>0</v>
      </c>
      <c r="R235" s="2" t="inlineStr"/>
    </row>
    <row r="236" ht="15" customHeight="1">
      <c r="A236" t="inlineStr">
        <is>
          <t>A 36325-2025</t>
        </is>
      </c>
      <c r="B236" s="1" t="n">
        <v>45868.40723379629</v>
      </c>
      <c r="C236" s="1" t="n">
        <v>45907</v>
      </c>
      <c r="D236" t="inlineStr">
        <is>
          <t>NORRBOTTENS LÄN</t>
        </is>
      </c>
      <c r="E236" t="inlineStr">
        <is>
          <t>JOKKMOKK</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30174-2025</t>
        </is>
      </c>
      <c r="B237" s="1" t="n">
        <v>45827.34454861111</v>
      </c>
      <c r="C237" s="1" t="n">
        <v>45907</v>
      </c>
      <c r="D237" t="inlineStr">
        <is>
          <t>NORRBOTTENS LÄN</t>
        </is>
      </c>
      <c r="E237" t="inlineStr">
        <is>
          <t>JOKKMOKK</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30177-2025</t>
        </is>
      </c>
      <c r="B238" s="1" t="n">
        <v>45827.34537037037</v>
      </c>
      <c r="C238" s="1" t="n">
        <v>45907</v>
      </c>
      <c r="D238" t="inlineStr">
        <is>
          <t>NORRBOTTENS LÄN</t>
        </is>
      </c>
      <c r="E238" t="inlineStr">
        <is>
          <t>JOKKMOKK</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30185-2025</t>
        </is>
      </c>
      <c r="B239" s="1" t="n">
        <v>45827.34717592593</v>
      </c>
      <c r="C239" s="1" t="n">
        <v>45907</v>
      </c>
      <c r="D239" t="inlineStr">
        <is>
          <t>NORRBOTTENS LÄN</t>
        </is>
      </c>
      <c r="E239" t="inlineStr">
        <is>
          <t>JOKKMOKK</t>
        </is>
      </c>
      <c r="F239" t="inlineStr">
        <is>
          <t>SCA</t>
        </is>
      </c>
      <c r="G239" t="n">
        <v>4</v>
      </c>
      <c r="H239" t="n">
        <v>0</v>
      </c>
      <c r="I239" t="n">
        <v>0</v>
      </c>
      <c r="J239" t="n">
        <v>0</v>
      </c>
      <c r="K239" t="n">
        <v>0</v>
      </c>
      <c r="L239" t="n">
        <v>0</v>
      </c>
      <c r="M239" t="n">
        <v>0</v>
      </c>
      <c r="N239" t="n">
        <v>0</v>
      </c>
      <c r="O239" t="n">
        <v>0</v>
      </c>
      <c r="P239" t="n">
        <v>0</v>
      </c>
      <c r="Q239" t="n">
        <v>0</v>
      </c>
      <c r="R239" s="2" t="inlineStr"/>
    </row>
    <row r="240" ht="15" customHeight="1">
      <c r="A240" t="inlineStr">
        <is>
          <t>A 36357-2025</t>
        </is>
      </c>
      <c r="B240" s="1" t="n">
        <v>45868.5107175926</v>
      </c>
      <c r="C240" s="1" t="n">
        <v>45907</v>
      </c>
      <c r="D240" t="inlineStr">
        <is>
          <t>NORRBOTTENS LÄN</t>
        </is>
      </c>
      <c r="E240" t="inlineStr">
        <is>
          <t>JOKKMOKK</t>
        </is>
      </c>
      <c r="G240" t="n">
        <v>0.5</v>
      </c>
      <c r="H240" t="n">
        <v>0</v>
      </c>
      <c r="I240" t="n">
        <v>0</v>
      </c>
      <c r="J240" t="n">
        <v>0</v>
      </c>
      <c r="K240" t="n">
        <v>0</v>
      </c>
      <c r="L240" t="n">
        <v>0</v>
      </c>
      <c r="M240" t="n">
        <v>0</v>
      </c>
      <c r="N240" t="n">
        <v>0</v>
      </c>
      <c r="O240" t="n">
        <v>0</v>
      </c>
      <c r="P240" t="n">
        <v>0</v>
      </c>
      <c r="Q240" t="n">
        <v>0</v>
      </c>
      <c r="R240" s="2" t="inlineStr"/>
    </row>
    <row r="241" ht="15" customHeight="1">
      <c r="A241" t="inlineStr">
        <is>
          <t>A 30181-2025</t>
        </is>
      </c>
      <c r="B241" s="1" t="n">
        <v>45827.34607638889</v>
      </c>
      <c r="C241" s="1" t="n">
        <v>45907</v>
      </c>
      <c r="D241" t="inlineStr">
        <is>
          <t>NORRBOTTENS LÄN</t>
        </is>
      </c>
      <c r="E241" t="inlineStr">
        <is>
          <t>JOKKMOKK</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30182-2025</t>
        </is>
      </c>
      <c r="B242" s="1" t="n">
        <v>45827.34640046296</v>
      </c>
      <c r="C242" s="1" t="n">
        <v>45907</v>
      </c>
      <c r="D242" t="inlineStr">
        <is>
          <t>NORRBOTTENS LÄN</t>
        </is>
      </c>
      <c r="E242" t="inlineStr">
        <is>
          <t>JOKKMOKK</t>
        </is>
      </c>
      <c r="F242" t="inlineStr">
        <is>
          <t>SCA</t>
        </is>
      </c>
      <c r="G242" t="n">
        <v>9.9</v>
      </c>
      <c r="H242" t="n">
        <v>0</v>
      </c>
      <c r="I242" t="n">
        <v>0</v>
      </c>
      <c r="J242" t="n">
        <v>0</v>
      </c>
      <c r="K242" t="n">
        <v>0</v>
      </c>
      <c r="L242" t="n">
        <v>0</v>
      </c>
      <c r="M242" t="n">
        <v>0</v>
      </c>
      <c r="N242" t="n">
        <v>0</v>
      </c>
      <c r="O242" t="n">
        <v>0</v>
      </c>
      <c r="P242" t="n">
        <v>0</v>
      </c>
      <c r="Q242" t="n">
        <v>0</v>
      </c>
      <c r="R242" s="2" t="inlineStr"/>
    </row>
    <row r="243" ht="15" customHeight="1">
      <c r="A243" t="inlineStr">
        <is>
          <t>A 30184-2025</t>
        </is>
      </c>
      <c r="B243" s="1" t="n">
        <v>45827.34695601852</v>
      </c>
      <c r="C243" s="1" t="n">
        <v>45907</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30189-2025</t>
        </is>
      </c>
      <c r="B244" s="1" t="n">
        <v>45827.34756944444</v>
      </c>
      <c r="C244" s="1" t="n">
        <v>45907</v>
      </c>
      <c r="D244" t="inlineStr">
        <is>
          <t>NORRBOTTENS LÄN</t>
        </is>
      </c>
      <c r="E244" t="inlineStr">
        <is>
          <t>JOKKMOKK</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29853-2025</t>
        </is>
      </c>
      <c r="B245" s="1" t="n">
        <v>45826.34438657408</v>
      </c>
      <c r="C245" s="1" t="n">
        <v>45907</v>
      </c>
      <c r="D245" t="inlineStr">
        <is>
          <t>NORRBOTTENS LÄN</t>
        </is>
      </c>
      <c r="E245" t="inlineStr">
        <is>
          <t>JOKKMOKK</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29857-2025</t>
        </is>
      </c>
      <c r="B246" s="1" t="n">
        <v>45826.3453125</v>
      </c>
      <c r="C246" s="1" t="n">
        <v>45907</v>
      </c>
      <c r="D246" t="inlineStr">
        <is>
          <t>NORRBOTTENS LÄN</t>
        </is>
      </c>
      <c r="E246" t="inlineStr">
        <is>
          <t>JOKKMOKK</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26552-2025</t>
        </is>
      </c>
      <c r="B247" s="1" t="n">
        <v>45807</v>
      </c>
      <c r="C247" s="1" t="n">
        <v>45907</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29856-2025</t>
        </is>
      </c>
      <c r="B248" s="1" t="n">
        <v>45826.345</v>
      </c>
      <c r="C248" s="1" t="n">
        <v>45907</v>
      </c>
      <c r="D248" t="inlineStr">
        <is>
          <t>NORRBOTTENS LÄN</t>
        </is>
      </c>
      <c r="E248" t="inlineStr">
        <is>
          <t>JOKKMOKK</t>
        </is>
      </c>
      <c r="F248" t="inlineStr">
        <is>
          <t>SCA</t>
        </is>
      </c>
      <c r="G248" t="n">
        <v>7.1</v>
      </c>
      <c r="H248" t="n">
        <v>0</v>
      </c>
      <c r="I248" t="n">
        <v>0</v>
      </c>
      <c r="J248" t="n">
        <v>0</v>
      </c>
      <c r="K248" t="n">
        <v>0</v>
      </c>
      <c r="L248" t="n">
        <v>0</v>
      </c>
      <c r="M248" t="n">
        <v>0</v>
      </c>
      <c r="N248" t="n">
        <v>0</v>
      </c>
      <c r="O248" t="n">
        <v>0</v>
      </c>
      <c r="P248" t="n">
        <v>0</v>
      </c>
      <c r="Q248" t="n">
        <v>0</v>
      </c>
      <c r="R248" s="2" t="inlineStr"/>
    </row>
    <row r="249" ht="15" customHeight="1">
      <c r="A249" t="inlineStr">
        <is>
          <t>A 29858-2025</t>
        </is>
      </c>
      <c r="B249" s="1" t="n">
        <v>45826.34565972222</v>
      </c>
      <c r="C249" s="1" t="n">
        <v>45907</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31535-2024</t>
        </is>
      </c>
      <c r="B250" s="1" t="n">
        <v>45505</v>
      </c>
      <c r="C250" s="1" t="n">
        <v>45907</v>
      </c>
      <c r="D250" t="inlineStr">
        <is>
          <t>NORRBOTTENS LÄN</t>
        </is>
      </c>
      <c r="E250" t="inlineStr">
        <is>
          <t>JOKKMOKK</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53172-2024</t>
        </is>
      </c>
      <c r="B251" s="1" t="n">
        <v>45611.65689814815</v>
      </c>
      <c r="C251" s="1" t="n">
        <v>45907</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53100-2022</t>
        </is>
      </c>
      <c r="B252" s="1" t="n">
        <v>44873</v>
      </c>
      <c r="C252" s="1" t="n">
        <v>45907</v>
      </c>
      <c r="D252" t="inlineStr">
        <is>
          <t>NORRBOTTENS LÄN</t>
        </is>
      </c>
      <c r="E252" t="inlineStr">
        <is>
          <t>JOKKMOKK</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5670-2025</t>
        </is>
      </c>
      <c r="B253" s="1" t="n">
        <v>45693</v>
      </c>
      <c r="C253" s="1" t="n">
        <v>45907</v>
      </c>
      <c r="D253" t="inlineStr">
        <is>
          <t>NORRBOTTENS LÄN</t>
        </is>
      </c>
      <c r="E253" t="inlineStr">
        <is>
          <t>JOKKMOKK</t>
        </is>
      </c>
      <c r="G253" t="n">
        <v>2.1</v>
      </c>
      <c r="H253" t="n">
        <v>0</v>
      </c>
      <c r="I253" t="n">
        <v>0</v>
      </c>
      <c r="J253" t="n">
        <v>0</v>
      </c>
      <c r="K253" t="n">
        <v>0</v>
      </c>
      <c r="L253" t="n">
        <v>0</v>
      </c>
      <c r="M253" t="n">
        <v>0</v>
      </c>
      <c r="N253" t="n">
        <v>0</v>
      </c>
      <c r="O253" t="n">
        <v>0</v>
      </c>
      <c r="P253" t="n">
        <v>0</v>
      </c>
      <c r="Q253" t="n">
        <v>0</v>
      </c>
      <c r="R253" s="2" t="inlineStr"/>
    </row>
    <row r="254" ht="15" customHeight="1">
      <c r="A254" t="inlineStr">
        <is>
          <t>A 37120-2025</t>
        </is>
      </c>
      <c r="B254" s="1" t="n">
        <v>45875.51827546296</v>
      </c>
      <c r="C254" s="1" t="n">
        <v>45907</v>
      </c>
      <c r="D254" t="inlineStr">
        <is>
          <t>NORRBOTTENS LÄN</t>
        </is>
      </c>
      <c r="E254" t="inlineStr">
        <is>
          <t>JOKKMOKK</t>
        </is>
      </c>
      <c r="G254" t="n">
        <v>17.6</v>
      </c>
      <c r="H254" t="n">
        <v>0</v>
      </c>
      <c r="I254" t="n">
        <v>0</v>
      </c>
      <c r="J254" t="n">
        <v>0</v>
      </c>
      <c r="K254" t="n">
        <v>0</v>
      </c>
      <c r="L254" t="n">
        <v>0</v>
      </c>
      <c r="M254" t="n">
        <v>0</v>
      </c>
      <c r="N254" t="n">
        <v>0</v>
      </c>
      <c r="O254" t="n">
        <v>0</v>
      </c>
      <c r="P254" t="n">
        <v>0</v>
      </c>
      <c r="Q254" t="n">
        <v>0</v>
      </c>
      <c r="R254" s="2" t="inlineStr"/>
    </row>
    <row r="255" ht="15" customHeight="1">
      <c r="A255" t="inlineStr">
        <is>
          <t>A 42481-2024</t>
        </is>
      </c>
      <c r="B255" s="1" t="n">
        <v>45565.49210648148</v>
      </c>
      <c r="C255" s="1" t="n">
        <v>45907</v>
      </c>
      <c r="D255" t="inlineStr">
        <is>
          <t>NORRBOTTENS LÄN</t>
        </is>
      </c>
      <c r="E255" t="inlineStr">
        <is>
          <t>JOKKMOKK</t>
        </is>
      </c>
      <c r="F255" t="inlineStr">
        <is>
          <t>SCA</t>
        </is>
      </c>
      <c r="G255" t="n">
        <v>25.2</v>
      </c>
      <c r="H255" t="n">
        <v>0</v>
      </c>
      <c r="I255" t="n">
        <v>0</v>
      </c>
      <c r="J255" t="n">
        <v>0</v>
      </c>
      <c r="K255" t="n">
        <v>0</v>
      </c>
      <c r="L255" t="n">
        <v>0</v>
      </c>
      <c r="M255" t="n">
        <v>0</v>
      </c>
      <c r="N255" t="n">
        <v>0</v>
      </c>
      <c r="O255" t="n">
        <v>0</v>
      </c>
      <c r="P255" t="n">
        <v>0</v>
      </c>
      <c r="Q255" t="n">
        <v>0</v>
      </c>
      <c r="R255" s="2" t="inlineStr"/>
    </row>
    <row r="256" ht="15" customHeight="1">
      <c r="A256" t="inlineStr">
        <is>
          <t>A 31918-2025</t>
        </is>
      </c>
      <c r="B256" s="1" t="n">
        <v>45834</v>
      </c>
      <c r="C256" s="1" t="n">
        <v>45907</v>
      </c>
      <c r="D256" t="inlineStr">
        <is>
          <t>NORRBOTTENS LÄN</t>
        </is>
      </c>
      <c r="E256" t="inlineStr">
        <is>
          <t>JOKKMOKK</t>
        </is>
      </c>
      <c r="G256" t="n">
        <v>15.2</v>
      </c>
      <c r="H256" t="n">
        <v>0</v>
      </c>
      <c r="I256" t="n">
        <v>0</v>
      </c>
      <c r="J256" t="n">
        <v>0</v>
      </c>
      <c r="K256" t="n">
        <v>0</v>
      </c>
      <c r="L256" t="n">
        <v>0</v>
      </c>
      <c r="M256" t="n">
        <v>0</v>
      </c>
      <c r="N256" t="n">
        <v>0</v>
      </c>
      <c r="O256" t="n">
        <v>0</v>
      </c>
      <c r="P256" t="n">
        <v>0</v>
      </c>
      <c r="Q256" t="n">
        <v>0</v>
      </c>
      <c r="R256" s="2" t="inlineStr"/>
    </row>
    <row r="257" ht="15" customHeight="1">
      <c r="A257" t="inlineStr">
        <is>
          <t>A 32670-2025</t>
        </is>
      </c>
      <c r="B257" s="1" t="n">
        <v>45838.70071759259</v>
      </c>
      <c r="C257" s="1" t="n">
        <v>45907</v>
      </c>
      <c r="D257" t="inlineStr">
        <is>
          <t>NORRBOTTENS LÄN</t>
        </is>
      </c>
      <c r="E257" t="inlineStr">
        <is>
          <t>JOKKMOKK</t>
        </is>
      </c>
      <c r="F257" t="inlineStr">
        <is>
          <t>Sveaskog</t>
        </is>
      </c>
      <c r="G257" t="n">
        <v>6.8</v>
      </c>
      <c r="H257" t="n">
        <v>0</v>
      </c>
      <c r="I257" t="n">
        <v>0</v>
      </c>
      <c r="J257" t="n">
        <v>0</v>
      </c>
      <c r="K257" t="n">
        <v>0</v>
      </c>
      <c r="L257" t="n">
        <v>0</v>
      </c>
      <c r="M257" t="n">
        <v>0</v>
      </c>
      <c r="N257" t="n">
        <v>0</v>
      </c>
      <c r="O257" t="n">
        <v>0</v>
      </c>
      <c r="P257" t="n">
        <v>0</v>
      </c>
      <c r="Q257" t="n">
        <v>0</v>
      </c>
      <c r="R257" s="2" t="inlineStr"/>
    </row>
    <row r="258" ht="15" customHeight="1">
      <c r="A258" t="inlineStr">
        <is>
          <t>A 37694-2025</t>
        </is>
      </c>
      <c r="B258" s="1" t="n">
        <v>45880.57349537037</v>
      </c>
      <c r="C258" s="1" t="n">
        <v>45907</v>
      </c>
      <c r="D258" t="inlineStr">
        <is>
          <t>NORRBOTTENS LÄN</t>
        </is>
      </c>
      <c r="E258" t="inlineStr">
        <is>
          <t>JOKKMOKK</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37917-2025</t>
        </is>
      </c>
      <c r="B259" s="1" t="n">
        <v>45881.57443287037</v>
      </c>
      <c r="C259" s="1" t="n">
        <v>45907</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33551-2025</t>
        </is>
      </c>
      <c r="B260" s="1" t="n">
        <v>45841.57357638889</v>
      </c>
      <c r="C260" s="1" t="n">
        <v>45907</v>
      </c>
      <c r="D260" t="inlineStr">
        <is>
          <t>NORRBOTTENS LÄN</t>
        </is>
      </c>
      <c r="E260" t="inlineStr">
        <is>
          <t>JOKKMOKK</t>
        </is>
      </c>
      <c r="F260" t="inlineStr">
        <is>
          <t>SCA</t>
        </is>
      </c>
      <c r="G260" t="n">
        <v>7.9</v>
      </c>
      <c r="H260" t="n">
        <v>0</v>
      </c>
      <c r="I260" t="n">
        <v>0</v>
      </c>
      <c r="J260" t="n">
        <v>0</v>
      </c>
      <c r="K260" t="n">
        <v>0</v>
      </c>
      <c r="L260" t="n">
        <v>0</v>
      </c>
      <c r="M260" t="n">
        <v>0</v>
      </c>
      <c r="N260" t="n">
        <v>0</v>
      </c>
      <c r="O260" t="n">
        <v>0</v>
      </c>
      <c r="P260" t="n">
        <v>0</v>
      </c>
      <c r="Q260" t="n">
        <v>0</v>
      </c>
      <c r="R260" s="2" t="inlineStr"/>
    </row>
    <row r="261" ht="15" customHeight="1">
      <c r="A261" t="inlineStr">
        <is>
          <t>A 33515-2025</t>
        </is>
      </c>
      <c r="B261" s="1" t="n">
        <v>45841.53164351852</v>
      </c>
      <c r="C261" s="1" t="n">
        <v>45907</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33523-2025</t>
        </is>
      </c>
      <c r="B262" s="1" t="n">
        <v>45841.54601851852</v>
      </c>
      <c r="C262" s="1" t="n">
        <v>45907</v>
      </c>
      <c r="D262" t="inlineStr">
        <is>
          <t>NORRBOTTENS LÄN</t>
        </is>
      </c>
      <c r="E262" t="inlineStr">
        <is>
          <t>JOKKMOKK</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37206-2025</t>
        </is>
      </c>
      <c r="B263" s="1" t="n">
        <v>45875.69855324074</v>
      </c>
      <c r="C263" s="1" t="n">
        <v>45907</v>
      </c>
      <c r="D263" t="inlineStr">
        <is>
          <t>NORRBOTTENS LÄN</t>
        </is>
      </c>
      <c r="E263" t="inlineStr">
        <is>
          <t>JOKKMOKK</t>
        </is>
      </c>
      <c r="G263" t="n">
        <v>2.9</v>
      </c>
      <c r="H263" t="n">
        <v>0</v>
      </c>
      <c r="I263" t="n">
        <v>0</v>
      </c>
      <c r="J263" t="n">
        <v>0</v>
      </c>
      <c r="K263" t="n">
        <v>0</v>
      </c>
      <c r="L263" t="n">
        <v>0</v>
      </c>
      <c r="M263" t="n">
        <v>0</v>
      </c>
      <c r="N263" t="n">
        <v>0</v>
      </c>
      <c r="O263" t="n">
        <v>0</v>
      </c>
      <c r="P263" t="n">
        <v>0</v>
      </c>
      <c r="Q263" t="n">
        <v>0</v>
      </c>
      <c r="R263" s="2" t="inlineStr"/>
    </row>
    <row r="264" ht="15" customHeight="1">
      <c r="A264" t="inlineStr">
        <is>
          <t>A 50716-2022</t>
        </is>
      </c>
      <c r="B264" s="1" t="n">
        <v>44862</v>
      </c>
      <c r="C264" s="1" t="n">
        <v>45907</v>
      </c>
      <c r="D264" t="inlineStr">
        <is>
          <t>NORRBOTTENS LÄN</t>
        </is>
      </c>
      <c r="E264" t="inlineStr">
        <is>
          <t>JOKKMOKK</t>
        </is>
      </c>
      <c r="G264" t="n">
        <v>30.2</v>
      </c>
      <c r="H264" t="n">
        <v>0</v>
      </c>
      <c r="I264" t="n">
        <v>0</v>
      </c>
      <c r="J264" t="n">
        <v>0</v>
      </c>
      <c r="K264" t="n">
        <v>0</v>
      </c>
      <c r="L264" t="n">
        <v>0</v>
      </c>
      <c r="M264" t="n">
        <v>0</v>
      </c>
      <c r="N264" t="n">
        <v>0</v>
      </c>
      <c r="O264" t="n">
        <v>0</v>
      </c>
      <c r="P264" t="n">
        <v>0</v>
      </c>
      <c r="Q264" t="n">
        <v>0</v>
      </c>
      <c r="R264" s="2" t="inlineStr"/>
    </row>
    <row r="265" ht="15" customHeight="1">
      <c r="A265" t="inlineStr">
        <is>
          <t>A 33554-2025</t>
        </is>
      </c>
      <c r="B265" s="1" t="n">
        <v>45841.57400462963</v>
      </c>
      <c r="C265" s="1" t="n">
        <v>45907</v>
      </c>
      <c r="D265" t="inlineStr">
        <is>
          <t>NORRBOTTENS LÄN</t>
        </is>
      </c>
      <c r="E265" t="inlineStr">
        <is>
          <t>JOKKMOKK</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45883.34521990741</v>
      </c>
      <c r="C266" s="1" t="n">
        <v>45907</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38228-2025</t>
        </is>
      </c>
      <c r="B267" s="1" t="n">
        <v>45883.34554398148</v>
      </c>
      <c r="C267" s="1" t="n">
        <v>45907</v>
      </c>
      <c r="D267" t="inlineStr">
        <is>
          <t>NORRBOTTENS LÄN</t>
        </is>
      </c>
      <c r="E267" t="inlineStr">
        <is>
          <t>JOKKMOKK</t>
        </is>
      </c>
      <c r="F267" t="inlineStr">
        <is>
          <t>SCA</t>
        </is>
      </c>
      <c r="G267" t="n">
        <v>14.5</v>
      </c>
      <c r="H267" t="n">
        <v>0</v>
      </c>
      <c r="I267" t="n">
        <v>0</v>
      </c>
      <c r="J267" t="n">
        <v>0</v>
      </c>
      <c r="K267" t="n">
        <v>0</v>
      </c>
      <c r="L267" t="n">
        <v>0</v>
      </c>
      <c r="M267" t="n">
        <v>0</v>
      </c>
      <c r="N267" t="n">
        <v>0</v>
      </c>
      <c r="O267" t="n">
        <v>0</v>
      </c>
      <c r="P267" t="n">
        <v>0</v>
      </c>
      <c r="Q267" t="n">
        <v>0</v>
      </c>
      <c r="R267" s="2" t="inlineStr"/>
    </row>
    <row r="268" ht="15" customHeight="1">
      <c r="A268" t="inlineStr">
        <is>
          <t>A 33349-2025</t>
        </is>
      </c>
      <c r="B268" s="1" t="n">
        <v>45841.3704050926</v>
      </c>
      <c r="C268" s="1" t="n">
        <v>45907</v>
      </c>
      <c r="D268" t="inlineStr">
        <is>
          <t>NORRBOTTENS LÄN</t>
        </is>
      </c>
      <c r="E268" t="inlineStr">
        <is>
          <t>JOKKMOKK</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32899-2023</t>
        </is>
      </c>
      <c r="B269" s="1" t="n">
        <v>45124</v>
      </c>
      <c r="C269" s="1" t="n">
        <v>45907</v>
      </c>
      <c r="D269" t="inlineStr">
        <is>
          <t>NORRBOTTENS LÄN</t>
        </is>
      </c>
      <c r="E269" t="inlineStr">
        <is>
          <t>JOKKMOKK</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38579-2025</t>
        </is>
      </c>
      <c r="B270" s="1" t="n">
        <v>45884.46925925926</v>
      </c>
      <c r="C270" s="1" t="n">
        <v>45907</v>
      </c>
      <c r="D270" t="inlineStr">
        <is>
          <t>NORRBOTTENS LÄN</t>
        </is>
      </c>
      <c r="E270" t="inlineStr">
        <is>
          <t>JOKKMOKK</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59849-2023</t>
        </is>
      </c>
      <c r="B271" s="1" t="n">
        <v>45257</v>
      </c>
      <c r="C271" s="1" t="n">
        <v>45907</v>
      </c>
      <c r="D271" t="inlineStr">
        <is>
          <t>NORRBOTTENS LÄN</t>
        </is>
      </c>
      <c r="E271" t="inlineStr">
        <is>
          <t>JOKKMOKK</t>
        </is>
      </c>
      <c r="F271" t="inlineStr">
        <is>
          <t>Allmännings- och besparingsskogar</t>
        </is>
      </c>
      <c r="G271" t="n">
        <v>12.7</v>
      </c>
      <c r="H271" t="n">
        <v>0</v>
      </c>
      <c r="I271" t="n">
        <v>0</v>
      </c>
      <c r="J271" t="n">
        <v>0</v>
      </c>
      <c r="K271" t="n">
        <v>0</v>
      </c>
      <c r="L271" t="n">
        <v>0</v>
      </c>
      <c r="M271" t="n">
        <v>0</v>
      </c>
      <c r="N271" t="n">
        <v>0</v>
      </c>
      <c r="O271" t="n">
        <v>0</v>
      </c>
      <c r="P271" t="n">
        <v>0</v>
      </c>
      <c r="Q271" t="n">
        <v>0</v>
      </c>
      <c r="R271" s="2" t="inlineStr"/>
    </row>
    <row r="272" ht="15" customHeight="1">
      <c r="A272" t="inlineStr">
        <is>
          <t>A 30041-2024</t>
        </is>
      </c>
      <c r="B272" s="1" t="n">
        <v>45488</v>
      </c>
      <c r="C272" s="1" t="n">
        <v>45907</v>
      </c>
      <c r="D272" t="inlineStr">
        <is>
          <t>NORRBOTTENS LÄN</t>
        </is>
      </c>
      <c r="E272" t="inlineStr">
        <is>
          <t>JOKKMOKK</t>
        </is>
      </c>
      <c r="G272" t="n">
        <v>19.9</v>
      </c>
      <c r="H272" t="n">
        <v>0</v>
      </c>
      <c r="I272" t="n">
        <v>0</v>
      </c>
      <c r="J272" t="n">
        <v>0</v>
      </c>
      <c r="K272" t="n">
        <v>0</v>
      </c>
      <c r="L272" t="n">
        <v>0</v>
      </c>
      <c r="M272" t="n">
        <v>0</v>
      </c>
      <c r="N272" t="n">
        <v>0</v>
      </c>
      <c r="O272" t="n">
        <v>0</v>
      </c>
      <c r="P272" t="n">
        <v>0</v>
      </c>
      <c r="Q272" t="n">
        <v>0</v>
      </c>
      <c r="R272" s="2" t="inlineStr"/>
    </row>
    <row r="273" ht="15" customHeight="1">
      <c r="A273" t="inlineStr">
        <is>
          <t>A 33740-2025</t>
        </is>
      </c>
      <c r="B273" s="1" t="n">
        <v>45842.34456018519</v>
      </c>
      <c r="C273" s="1" t="n">
        <v>45907</v>
      </c>
      <c r="D273" t="inlineStr">
        <is>
          <t>NORRBOTTENS LÄN</t>
        </is>
      </c>
      <c r="E273" t="inlineStr">
        <is>
          <t>JOKKMOKK</t>
        </is>
      </c>
      <c r="F273" t="inlineStr">
        <is>
          <t>SCA</t>
        </is>
      </c>
      <c r="G273" t="n">
        <v>23.3</v>
      </c>
      <c r="H273" t="n">
        <v>0</v>
      </c>
      <c r="I273" t="n">
        <v>0</v>
      </c>
      <c r="J273" t="n">
        <v>0</v>
      </c>
      <c r="K273" t="n">
        <v>0</v>
      </c>
      <c r="L273" t="n">
        <v>0</v>
      </c>
      <c r="M273" t="n">
        <v>0</v>
      </c>
      <c r="N273" t="n">
        <v>0</v>
      </c>
      <c r="O273" t="n">
        <v>0</v>
      </c>
      <c r="P273" t="n">
        <v>0</v>
      </c>
      <c r="Q273" t="n">
        <v>0</v>
      </c>
      <c r="R273" s="2" t="inlineStr"/>
    </row>
    <row r="274" ht="15" customHeight="1">
      <c r="A274" t="inlineStr">
        <is>
          <t>A 4136-2024</t>
        </is>
      </c>
      <c r="B274" s="1" t="n">
        <v>45323</v>
      </c>
      <c r="C274" s="1" t="n">
        <v>45907</v>
      </c>
      <c r="D274" t="inlineStr">
        <is>
          <t>NORRBOTTENS LÄN</t>
        </is>
      </c>
      <c r="E274" t="inlineStr">
        <is>
          <t>JOKKMOKK</t>
        </is>
      </c>
      <c r="G274" t="n">
        <v>27.3</v>
      </c>
      <c r="H274" t="n">
        <v>0</v>
      </c>
      <c r="I274" t="n">
        <v>0</v>
      </c>
      <c r="J274" t="n">
        <v>0</v>
      </c>
      <c r="K274" t="n">
        <v>0</v>
      </c>
      <c r="L274" t="n">
        <v>0</v>
      </c>
      <c r="M274" t="n">
        <v>0</v>
      </c>
      <c r="N274" t="n">
        <v>0</v>
      </c>
      <c r="O274" t="n">
        <v>0</v>
      </c>
      <c r="P274" t="n">
        <v>0</v>
      </c>
      <c r="Q274" t="n">
        <v>0</v>
      </c>
      <c r="R274" s="2" t="inlineStr"/>
    </row>
    <row r="275" ht="15" customHeight="1">
      <c r="A275" t="inlineStr">
        <is>
          <t>A 33741-2025</t>
        </is>
      </c>
      <c r="B275" s="1" t="n">
        <v>45842.3446875</v>
      </c>
      <c r="C275" s="1" t="n">
        <v>45907</v>
      </c>
      <c r="D275" t="inlineStr">
        <is>
          <t>NORRBOTTENS LÄN</t>
        </is>
      </c>
      <c r="E275" t="inlineStr">
        <is>
          <t>JOKKMOKK</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38595-2025</t>
        </is>
      </c>
      <c r="B276" s="1" t="n">
        <v>45884.49027777778</v>
      </c>
      <c r="C276" s="1" t="n">
        <v>45907</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33014-2023</t>
        </is>
      </c>
      <c r="B277" s="1" t="n">
        <v>45113</v>
      </c>
      <c r="C277" s="1" t="n">
        <v>45907</v>
      </c>
      <c r="D277" t="inlineStr">
        <is>
          <t>NORRBOTTENS LÄN</t>
        </is>
      </c>
      <c r="E277" t="inlineStr">
        <is>
          <t>JOKKMOKK</t>
        </is>
      </c>
      <c r="F277" t="inlineStr">
        <is>
          <t>Övriga statliga verk och myndigheter</t>
        </is>
      </c>
      <c r="G277" t="n">
        <v>7.2</v>
      </c>
      <c r="H277" t="n">
        <v>0</v>
      </c>
      <c r="I277" t="n">
        <v>0</v>
      </c>
      <c r="J277" t="n">
        <v>0</v>
      </c>
      <c r="K277" t="n">
        <v>0</v>
      </c>
      <c r="L277" t="n">
        <v>0</v>
      </c>
      <c r="M277" t="n">
        <v>0</v>
      </c>
      <c r="N277" t="n">
        <v>0</v>
      </c>
      <c r="O277" t="n">
        <v>0</v>
      </c>
      <c r="P277" t="n">
        <v>0</v>
      </c>
      <c r="Q277" t="n">
        <v>0</v>
      </c>
      <c r="R277" s="2" t="inlineStr"/>
    </row>
    <row r="278" ht="15" customHeight="1">
      <c r="A278" t="inlineStr">
        <is>
          <t>A 52901-2023</t>
        </is>
      </c>
      <c r="B278" s="1" t="n">
        <v>45222</v>
      </c>
      <c r="C278" s="1" t="n">
        <v>45907</v>
      </c>
      <c r="D278" t="inlineStr">
        <is>
          <t>NORRBOTTENS LÄN</t>
        </is>
      </c>
      <c r="E278" t="inlineStr">
        <is>
          <t>JOKKMOKK</t>
        </is>
      </c>
      <c r="G278" t="n">
        <v>16.6</v>
      </c>
      <c r="H278" t="n">
        <v>0</v>
      </c>
      <c r="I278" t="n">
        <v>0</v>
      </c>
      <c r="J278" t="n">
        <v>0</v>
      </c>
      <c r="K278" t="n">
        <v>0</v>
      </c>
      <c r="L278" t="n">
        <v>0</v>
      </c>
      <c r="M278" t="n">
        <v>0</v>
      </c>
      <c r="N278" t="n">
        <v>0</v>
      </c>
      <c r="O278" t="n">
        <v>0</v>
      </c>
      <c r="P278" t="n">
        <v>0</v>
      </c>
      <c r="Q278" t="n">
        <v>0</v>
      </c>
      <c r="R278" s="2" t="inlineStr"/>
    </row>
    <row r="279" ht="15" customHeight="1">
      <c r="A279" t="inlineStr">
        <is>
          <t>A 52855-2024</t>
        </is>
      </c>
      <c r="B279" s="1" t="n">
        <v>45610</v>
      </c>
      <c r="C279" s="1" t="n">
        <v>45907</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38223-2025</t>
        </is>
      </c>
      <c r="B280" s="1" t="n">
        <v>45883</v>
      </c>
      <c r="C280" s="1" t="n">
        <v>45907</v>
      </c>
      <c r="D280" t="inlineStr">
        <is>
          <t>NORRBOTTENS LÄN</t>
        </is>
      </c>
      <c r="E280" t="inlineStr">
        <is>
          <t>JOKKMOKK</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40432-2024</t>
        </is>
      </c>
      <c r="B281" s="1" t="n">
        <v>45555.47401620371</v>
      </c>
      <c r="C281" s="1" t="n">
        <v>45907</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10596-2025</t>
        </is>
      </c>
      <c r="B282" s="1" t="n">
        <v>45721</v>
      </c>
      <c r="C282" s="1" t="n">
        <v>45907</v>
      </c>
      <c r="D282" t="inlineStr">
        <is>
          <t>NORRBOTTENS LÄN</t>
        </is>
      </c>
      <c r="E282" t="inlineStr">
        <is>
          <t>JOKKMOKK</t>
        </is>
      </c>
      <c r="G282" t="n">
        <v>17.7</v>
      </c>
      <c r="H282" t="n">
        <v>0</v>
      </c>
      <c r="I282" t="n">
        <v>0</v>
      </c>
      <c r="J282" t="n">
        <v>0</v>
      </c>
      <c r="K282" t="n">
        <v>0</v>
      </c>
      <c r="L282" t="n">
        <v>0</v>
      </c>
      <c r="M282" t="n">
        <v>0</v>
      </c>
      <c r="N282" t="n">
        <v>0</v>
      </c>
      <c r="O282" t="n">
        <v>0</v>
      </c>
      <c r="P282" t="n">
        <v>0</v>
      </c>
      <c r="Q282" t="n">
        <v>0</v>
      </c>
      <c r="R282" s="2" t="inlineStr"/>
    </row>
    <row r="283" ht="15" customHeight="1">
      <c r="A283" t="inlineStr">
        <is>
          <t>A 39850-2025</t>
        </is>
      </c>
      <c r="B283" s="1" t="n">
        <v>45891.58591435185</v>
      </c>
      <c r="C283" s="1" t="n">
        <v>45907</v>
      </c>
      <c r="D283" t="inlineStr">
        <is>
          <t>NORRBOTTENS LÄN</t>
        </is>
      </c>
      <c r="E283" t="inlineStr">
        <is>
          <t>JOKKMOKK</t>
        </is>
      </c>
      <c r="F283" t="inlineStr">
        <is>
          <t>Sveaskog</t>
        </is>
      </c>
      <c r="G283" t="n">
        <v>4.5</v>
      </c>
      <c r="H283" t="n">
        <v>0</v>
      </c>
      <c r="I283" t="n">
        <v>0</v>
      </c>
      <c r="J283" t="n">
        <v>0</v>
      </c>
      <c r="K283" t="n">
        <v>0</v>
      </c>
      <c r="L283" t="n">
        <v>0</v>
      </c>
      <c r="M283" t="n">
        <v>0</v>
      </c>
      <c r="N283" t="n">
        <v>0</v>
      </c>
      <c r="O283" t="n">
        <v>0</v>
      </c>
      <c r="P283" t="n">
        <v>0</v>
      </c>
      <c r="Q283" t="n">
        <v>0</v>
      </c>
      <c r="R283" s="2" t="inlineStr"/>
      <c r="U283">
        <f>HYPERLINK("https://klasma.github.io/Logging_2510/knärot/A 39850-2025 karta knärot.png", "A 39850-2025")</f>
        <v/>
      </c>
      <c r="V283">
        <f>HYPERLINK("https://klasma.github.io/Logging_2510/klagomål/A 39850-2025 FSC-klagomål.docx", "A 39850-2025")</f>
        <v/>
      </c>
      <c r="W283">
        <f>HYPERLINK("https://klasma.github.io/Logging_2510/klagomålsmail/A 39850-2025 FSC-klagomål mail.docx", "A 39850-2025")</f>
        <v/>
      </c>
      <c r="X283">
        <f>HYPERLINK("https://klasma.github.io/Logging_2510/tillsyn/A 39850-2025 tillsynsbegäran.docx", "A 39850-2025")</f>
        <v/>
      </c>
      <c r="Y283">
        <f>HYPERLINK("https://klasma.github.io/Logging_2510/tillsynsmail/A 39850-2025 tillsynsbegäran mail.docx", "A 39850-2025")</f>
        <v/>
      </c>
    </row>
    <row r="284" ht="15" customHeight="1">
      <c r="A284" t="inlineStr">
        <is>
          <t>A 39846-2025</t>
        </is>
      </c>
      <c r="B284" s="1" t="n">
        <v>45891.58376157407</v>
      </c>
      <c r="C284" s="1" t="n">
        <v>45907</v>
      </c>
      <c r="D284" t="inlineStr">
        <is>
          <t>NORRBOTTENS LÄN</t>
        </is>
      </c>
      <c r="E284" t="inlineStr">
        <is>
          <t>JOKKMOKK</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35040-2025</t>
        </is>
      </c>
      <c r="B285" s="1" t="n">
        <v>45852.34420138889</v>
      </c>
      <c r="C285" s="1" t="n">
        <v>45907</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40808-2025</t>
        </is>
      </c>
      <c r="B286" s="1" t="n">
        <v>45897.46922453704</v>
      </c>
      <c r="C286" s="1" t="n">
        <v>45907</v>
      </c>
      <c r="D286" t="inlineStr">
        <is>
          <t>NORRBOTTENS LÄN</t>
        </is>
      </c>
      <c r="E286" t="inlineStr">
        <is>
          <t>JOKKMOKK</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40756-2025</t>
        </is>
      </c>
      <c r="B287" s="1" t="n">
        <v>45897.38686342593</v>
      </c>
      <c r="C287" s="1" t="n">
        <v>45907</v>
      </c>
      <c r="D287" t="inlineStr">
        <is>
          <t>NORRBOTTENS LÄN</t>
        </is>
      </c>
      <c r="E287" t="inlineStr">
        <is>
          <t>JOKKMOKK</t>
        </is>
      </c>
      <c r="G287" t="n">
        <v>24.7</v>
      </c>
      <c r="H287" t="n">
        <v>0</v>
      </c>
      <c r="I287" t="n">
        <v>0</v>
      </c>
      <c r="J287" t="n">
        <v>0</v>
      </c>
      <c r="K287" t="n">
        <v>0</v>
      </c>
      <c r="L287" t="n">
        <v>0</v>
      </c>
      <c r="M287" t="n">
        <v>0</v>
      </c>
      <c r="N287" t="n">
        <v>0</v>
      </c>
      <c r="O287" t="n">
        <v>0</v>
      </c>
      <c r="P287" t="n">
        <v>0</v>
      </c>
      <c r="Q287" t="n">
        <v>0</v>
      </c>
      <c r="R287" s="2" t="inlineStr"/>
    </row>
    <row r="288" ht="15" customHeight="1">
      <c r="A288" t="inlineStr">
        <is>
          <t>A 40779-2025</t>
        </is>
      </c>
      <c r="B288" s="1" t="n">
        <v>45897.43399305556</v>
      </c>
      <c r="C288" s="1" t="n">
        <v>45907</v>
      </c>
      <c r="D288" t="inlineStr">
        <is>
          <t>NORRBOTTENS LÄN</t>
        </is>
      </c>
      <c r="E288" t="inlineStr">
        <is>
          <t>JOKKMOKK</t>
        </is>
      </c>
      <c r="F288" t="inlineStr">
        <is>
          <t>Sveaskog</t>
        </is>
      </c>
      <c r="G288" t="n">
        <v>53.8</v>
      </c>
      <c r="H288" t="n">
        <v>0</v>
      </c>
      <c r="I288" t="n">
        <v>0</v>
      </c>
      <c r="J288" t="n">
        <v>0</v>
      </c>
      <c r="K288" t="n">
        <v>0</v>
      </c>
      <c r="L288" t="n">
        <v>0</v>
      </c>
      <c r="M288" t="n">
        <v>0</v>
      </c>
      <c r="N288" t="n">
        <v>0</v>
      </c>
      <c r="O288" t="n">
        <v>0</v>
      </c>
      <c r="P288" t="n">
        <v>0</v>
      </c>
      <c r="Q288" t="n">
        <v>0</v>
      </c>
      <c r="R288" s="2" t="inlineStr"/>
    </row>
    <row r="289" ht="15" customHeight="1">
      <c r="A289" t="inlineStr">
        <is>
          <t>A 41403-2025</t>
        </is>
      </c>
      <c r="B289" s="1" t="n">
        <v>45901.344375</v>
      </c>
      <c r="C289" s="1" t="n">
        <v>45907</v>
      </c>
      <c r="D289" t="inlineStr">
        <is>
          <t>NORRBOTTENS LÄN</t>
        </is>
      </c>
      <c r="E289" t="inlineStr">
        <is>
          <t>JOKKMOKK</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35511-2025</t>
        </is>
      </c>
      <c r="B290" s="1" t="n">
        <v>45856.36497685185</v>
      </c>
      <c r="C290" s="1" t="n">
        <v>45907</v>
      </c>
      <c r="D290" t="inlineStr">
        <is>
          <t>NORRBOTTENS LÄN</t>
        </is>
      </c>
      <c r="E290" t="inlineStr">
        <is>
          <t>JOKKMOKK</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50568-2022</t>
        </is>
      </c>
      <c r="B291" s="1" t="n">
        <v>44866</v>
      </c>
      <c r="C291" s="1" t="n">
        <v>45907</v>
      </c>
      <c r="D291" t="inlineStr">
        <is>
          <t>NORRBOTTENS LÄN</t>
        </is>
      </c>
      <c r="E291" t="inlineStr">
        <is>
          <t>JOKKMOKK</t>
        </is>
      </c>
      <c r="F291" t="inlineStr">
        <is>
          <t>Sveaskog</t>
        </is>
      </c>
      <c r="G291" t="n">
        <v>6.2</v>
      </c>
      <c r="H291" t="n">
        <v>0</v>
      </c>
      <c r="I291" t="n">
        <v>0</v>
      </c>
      <c r="J291" t="n">
        <v>0</v>
      </c>
      <c r="K291" t="n">
        <v>0</v>
      </c>
      <c r="L291" t="n">
        <v>0</v>
      </c>
      <c r="M291" t="n">
        <v>0</v>
      </c>
      <c r="N291" t="n">
        <v>0</v>
      </c>
      <c r="O291" t="n">
        <v>0</v>
      </c>
      <c r="P291" t="n">
        <v>0</v>
      </c>
      <c r="Q291" t="n">
        <v>0</v>
      </c>
      <c r="R291" s="2" t="inlineStr"/>
    </row>
    <row r="292" ht="15" customHeight="1">
      <c r="A292" t="inlineStr">
        <is>
          <t>A 48210-2024</t>
        </is>
      </c>
      <c r="B292" s="1" t="n">
        <v>45590</v>
      </c>
      <c r="C292" s="1" t="n">
        <v>45907</v>
      </c>
      <c r="D292" t="inlineStr">
        <is>
          <t>NORRBOTTENS LÄN</t>
        </is>
      </c>
      <c r="E292" t="inlineStr">
        <is>
          <t>JOKKMOKK</t>
        </is>
      </c>
      <c r="F292" t="inlineStr">
        <is>
          <t>SCA</t>
        </is>
      </c>
      <c r="G292" t="n">
        <v>6.5</v>
      </c>
      <c r="H292" t="n">
        <v>0</v>
      </c>
      <c r="I292" t="n">
        <v>0</v>
      </c>
      <c r="J292" t="n">
        <v>0</v>
      </c>
      <c r="K292" t="n">
        <v>0</v>
      </c>
      <c r="L292" t="n">
        <v>0</v>
      </c>
      <c r="M292" t="n">
        <v>0</v>
      </c>
      <c r="N292" t="n">
        <v>0</v>
      </c>
      <c r="O292" t="n">
        <v>0</v>
      </c>
      <c r="P292" t="n">
        <v>0</v>
      </c>
      <c r="Q292" t="n">
        <v>0</v>
      </c>
      <c r="R292" s="2" t="inlineStr"/>
    </row>
    <row r="293" ht="15" customHeight="1">
      <c r="A293" t="inlineStr">
        <is>
          <t>A 35805-2025</t>
        </is>
      </c>
      <c r="B293" s="1" t="n">
        <v>45861.4019212963</v>
      </c>
      <c r="C293" s="1" t="n">
        <v>45907</v>
      </c>
      <c r="D293" t="inlineStr">
        <is>
          <t>NORRBOTTENS LÄN</t>
        </is>
      </c>
      <c r="E293" t="inlineStr">
        <is>
          <t>JOKKMOKK</t>
        </is>
      </c>
      <c r="G293" t="n">
        <v>7</v>
      </c>
      <c r="H293" t="n">
        <v>0</v>
      </c>
      <c r="I293" t="n">
        <v>0</v>
      </c>
      <c r="J293" t="n">
        <v>0</v>
      </c>
      <c r="K293" t="n">
        <v>0</v>
      </c>
      <c r="L293" t="n">
        <v>0</v>
      </c>
      <c r="M293" t="n">
        <v>0</v>
      </c>
      <c r="N293" t="n">
        <v>0</v>
      </c>
      <c r="O293" t="n">
        <v>0</v>
      </c>
      <c r="P293" t="n">
        <v>0</v>
      </c>
      <c r="Q293" t="n">
        <v>0</v>
      </c>
      <c r="R293" s="2" t="inlineStr"/>
    </row>
    <row r="294" ht="15" customHeight="1">
      <c r="A294" t="inlineStr">
        <is>
          <t>A 32915-2023</t>
        </is>
      </c>
      <c r="B294" s="1" t="n">
        <v>45124.95214120371</v>
      </c>
      <c r="C294" s="1" t="n">
        <v>45907</v>
      </c>
      <c r="D294" t="inlineStr">
        <is>
          <t>NORRBOTTENS LÄN</t>
        </is>
      </c>
      <c r="E294" t="inlineStr">
        <is>
          <t>JOKKMOKK</t>
        </is>
      </c>
      <c r="F294" t="inlineStr">
        <is>
          <t>SCA</t>
        </is>
      </c>
      <c r="G294" t="n">
        <v>15.1</v>
      </c>
      <c r="H294" t="n">
        <v>0</v>
      </c>
      <c r="I294" t="n">
        <v>0</v>
      </c>
      <c r="J294" t="n">
        <v>0</v>
      </c>
      <c r="K294" t="n">
        <v>0</v>
      </c>
      <c r="L294" t="n">
        <v>0</v>
      </c>
      <c r="M294" t="n">
        <v>0</v>
      </c>
      <c r="N294" t="n">
        <v>0</v>
      </c>
      <c r="O294" t="n">
        <v>0</v>
      </c>
      <c r="P294" t="n">
        <v>0</v>
      </c>
      <c r="Q294" t="n">
        <v>0</v>
      </c>
      <c r="R294" s="2" t="inlineStr"/>
    </row>
    <row r="295" ht="15" customHeight="1">
      <c r="A295" t="inlineStr">
        <is>
          <t>A 35749-2025</t>
        </is>
      </c>
      <c r="B295" s="1" t="n">
        <v>45860</v>
      </c>
      <c r="C295" s="1" t="n">
        <v>45907</v>
      </c>
      <c r="D295" t="inlineStr">
        <is>
          <t>NORRBOTTENS LÄN</t>
        </is>
      </c>
      <c r="E295" t="inlineStr">
        <is>
          <t>JOKKMOKK</t>
        </is>
      </c>
      <c r="G295" t="n">
        <v>4.2</v>
      </c>
      <c r="H295" t="n">
        <v>0</v>
      </c>
      <c r="I295" t="n">
        <v>0</v>
      </c>
      <c r="J295" t="n">
        <v>0</v>
      </c>
      <c r="K295" t="n">
        <v>0</v>
      </c>
      <c r="L295" t="n">
        <v>0</v>
      </c>
      <c r="M295" t="n">
        <v>0</v>
      </c>
      <c r="N295" t="n">
        <v>0</v>
      </c>
      <c r="O295" t="n">
        <v>0</v>
      </c>
      <c r="P295" t="n">
        <v>0</v>
      </c>
      <c r="Q295" t="n">
        <v>0</v>
      </c>
      <c r="R295" s="2" t="inlineStr"/>
    </row>
    <row r="296" ht="15" customHeight="1">
      <c r="A296" t="inlineStr">
        <is>
          <t>A 42095-2025</t>
        </is>
      </c>
      <c r="B296" s="1" t="n">
        <v>45903.71916666667</v>
      </c>
      <c r="C296" s="1" t="n">
        <v>45907</v>
      </c>
      <c r="D296" t="inlineStr">
        <is>
          <t>NORRBOTTENS LÄN</t>
        </is>
      </c>
      <c r="E296" t="inlineStr">
        <is>
          <t>JOKKMOKK</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42126-2025</t>
        </is>
      </c>
      <c r="B297" s="1" t="n">
        <v>45904.34486111111</v>
      </c>
      <c r="C297" s="1" t="n">
        <v>45907</v>
      </c>
      <c r="D297" t="inlineStr">
        <is>
          <t>NORRBOTTENS LÄN</t>
        </is>
      </c>
      <c r="E297" t="inlineStr">
        <is>
          <t>JOKKMOKK</t>
        </is>
      </c>
      <c r="F297" t="inlineStr">
        <is>
          <t>SCA</t>
        </is>
      </c>
      <c r="G297" t="n">
        <v>4.9</v>
      </c>
      <c r="H297" t="n">
        <v>0</v>
      </c>
      <c r="I297" t="n">
        <v>0</v>
      </c>
      <c r="J297" t="n">
        <v>0</v>
      </c>
      <c r="K297" t="n">
        <v>0</v>
      </c>
      <c r="L297" t="n">
        <v>0</v>
      </c>
      <c r="M297" t="n">
        <v>0</v>
      </c>
      <c r="N297" t="n">
        <v>0</v>
      </c>
      <c r="O297" t="n">
        <v>0</v>
      </c>
      <c r="P297" t="n">
        <v>0</v>
      </c>
      <c r="Q297" t="n">
        <v>0</v>
      </c>
      <c r="R297" s="2" t="inlineStr"/>
    </row>
    <row r="298" ht="15" customHeight="1">
      <c r="A298" t="inlineStr">
        <is>
          <t>A 28090-2023</t>
        </is>
      </c>
      <c r="B298" s="1" t="n">
        <v>45099</v>
      </c>
      <c r="C298" s="1" t="n">
        <v>45907</v>
      </c>
      <c r="D298" t="inlineStr">
        <is>
          <t>NORRBOTTENS LÄN</t>
        </is>
      </c>
      <c r="E298" t="inlineStr">
        <is>
          <t>JOKKMOKK</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42575-2025</t>
        </is>
      </c>
      <c r="B299" s="1" t="n">
        <v>45905.61263888889</v>
      </c>
      <c r="C299" s="1" t="n">
        <v>45907</v>
      </c>
      <c r="D299" t="inlineStr">
        <is>
          <t>NORRBOTTENS LÄN</t>
        </is>
      </c>
      <c r="E299" t="inlineStr">
        <is>
          <t>JOKKMOKK</t>
        </is>
      </c>
      <c r="F299" t="inlineStr">
        <is>
          <t>Sveaskog</t>
        </is>
      </c>
      <c r="G299" t="n">
        <v>17.4</v>
      </c>
      <c r="H299" t="n">
        <v>0</v>
      </c>
      <c r="I299" t="n">
        <v>0</v>
      </c>
      <c r="J299" t="n">
        <v>0</v>
      </c>
      <c r="K299" t="n">
        <v>0</v>
      </c>
      <c r="L299" t="n">
        <v>0</v>
      </c>
      <c r="M299" t="n">
        <v>0</v>
      </c>
      <c r="N299" t="n">
        <v>0</v>
      </c>
      <c r="O299" t="n">
        <v>0</v>
      </c>
      <c r="P299" t="n">
        <v>0</v>
      </c>
      <c r="Q299" t="n">
        <v>0</v>
      </c>
      <c r="R299" s="2" t="inlineStr"/>
    </row>
    <row r="300" ht="15" customHeight="1">
      <c r="A300" t="inlineStr">
        <is>
          <t>A 61640-2024</t>
        </is>
      </c>
      <c r="B300" s="1" t="n">
        <v>45646.68362268519</v>
      </c>
      <c r="C300" s="1" t="n">
        <v>45907</v>
      </c>
      <c r="D300" t="inlineStr">
        <is>
          <t>NORRBOTTENS LÄN</t>
        </is>
      </c>
      <c r="E300" t="inlineStr">
        <is>
          <t>JOKKMOKK</t>
        </is>
      </c>
      <c r="G300" t="n">
        <v>10.6</v>
      </c>
      <c r="H300" t="n">
        <v>0</v>
      </c>
      <c r="I300" t="n">
        <v>0</v>
      </c>
      <c r="J300" t="n">
        <v>0</v>
      </c>
      <c r="K300" t="n">
        <v>0</v>
      </c>
      <c r="L300" t="n">
        <v>0</v>
      </c>
      <c r="M300" t="n">
        <v>0</v>
      </c>
      <c r="N300" t="n">
        <v>0</v>
      </c>
      <c r="O300" t="n">
        <v>0</v>
      </c>
      <c r="P300" t="n">
        <v>0</v>
      </c>
      <c r="Q300" t="n">
        <v>0</v>
      </c>
      <c r="R300" s="2" t="inlineStr"/>
    </row>
    <row r="301" ht="15" customHeight="1">
      <c r="A301" t="inlineStr">
        <is>
          <t>A 61641-2024</t>
        </is>
      </c>
      <c r="B301" s="1" t="n">
        <v>45646</v>
      </c>
      <c r="C301" s="1" t="n">
        <v>45907</v>
      </c>
      <c r="D301" t="inlineStr">
        <is>
          <t>NORRBOTTENS LÄN</t>
        </is>
      </c>
      <c r="E301" t="inlineStr">
        <is>
          <t>JOKKMOKK</t>
        </is>
      </c>
      <c r="G301" t="n">
        <v>3.2</v>
      </c>
      <c r="H301" t="n">
        <v>0</v>
      </c>
      <c r="I301" t="n">
        <v>0</v>
      </c>
      <c r="J301" t="n">
        <v>0</v>
      </c>
      <c r="K301" t="n">
        <v>0</v>
      </c>
      <c r="L301" t="n">
        <v>0</v>
      </c>
      <c r="M301" t="n">
        <v>0</v>
      </c>
      <c r="N301" t="n">
        <v>0</v>
      </c>
      <c r="O301" t="n">
        <v>0</v>
      </c>
      <c r="P301" t="n">
        <v>0</v>
      </c>
      <c r="Q301" t="n">
        <v>0</v>
      </c>
      <c r="R301" s="2" t="inlineStr"/>
    </row>
    <row r="302" ht="15" customHeight="1">
      <c r="A302" t="inlineStr">
        <is>
          <t>A 18772-2023</t>
        </is>
      </c>
      <c r="B302" s="1" t="n">
        <v>45043</v>
      </c>
      <c r="C302" s="1" t="n">
        <v>45907</v>
      </c>
      <c r="D302" t="inlineStr">
        <is>
          <t>NORRBOTTENS LÄN</t>
        </is>
      </c>
      <c r="E302" t="inlineStr">
        <is>
          <t>JOKKMOKK</t>
        </is>
      </c>
      <c r="F302" t="inlineStr">
        <is>
          <t>SCA</t>
        </is>
      </c>
      <c r="G302" t="n">
        <v>11.9</v>
      </c>
      <c r="H302" t="n">
        <v>0</v>
      </c>
      <c r="I302" t="n">
        <v>0</v>
      </c>
      <c r="J302" t="n">
        <v>0</v>
      </c>
      <c r="K302" t="n">
        <v>0</v>
      </c>
      <c r="L302" t="n">
        <v>0</v>
      </c>
      <c r="M302" t="n">
        <v>0</v>
      </c>
      <c r="N302" t="n">
        <v>0</v>
      </c>
      <c r="O302" t="n">
        <v>0</v>
      </c>
      <c r="P302" t="n">
        <v>0</v>
      </c>
      <c r="Q302" t="n">
        <v>0</v>
      </c>
      <c r="R302" s="2" t="inlineStr"/>
    </row>
    <row r="303" ht="15" customHeight="1">
      <c r="A303" t="inlineStr">
        <is>
          <t>A 42322-2025</t>
        </is>
      </c>
      <c r="B303" s="1" t="n">
        <v>45904.67839120371</v>
      </c>
      <c r="C303" s="1" t="n">
        <v>45907</v>
      </c>
      <c r="D303" t="inlineStr">
        <is>
          <t>NORRBOTTENS LÄN</t>
        </is>
      </c>
      <c r="E303" t="inlineStr">
        <is>
          <t>JOKKMOKK</t>
        </is>
      </c>
      <c r="G303" t="n">
        <v>3.8</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45907</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24052-2023</t>
        </is>
      </c>
      <c r="B305" s="1" t="n">
        <v>45078</v>
      </c>
      <c r="C305" s="1" t="n">
        <v>45907</v>
      </c>
      <c r="D305" t="inlineStr">
        <is>
          <t>NORRBOTTENS LÄN</t>
        </is>
      </c>
      <c r="E305" t="inlineStr">
        <is>
          <t>JOKKMOKK</t>
        </is>
      </c>
      <c r="F305" t="inlineStr">
        <is>
          <t>Naturvårdsverket</t>
        </is>
      </c>
      <c r="G305" t="n">
        <v>58.1</v>
      </c>
      <c r="H305" t="n">
        <v>0</v>
      </c>
      <c r="I305" t="n">
        <v>0</v>
      </c>
      <c r="J305" t="n">
        <v>0</v>
      </c>
      <c r="K305" t="n">
        <v>0</v>
      </c>
      <c r="L305" t="n">
        <v>0</v>
      </c>
      <c r="M305" t="n">
        <v>0</v>
      </c>
      <c r="N305" t="n">
        <v>0</v>
      </c>
      <c r="O305" t="n">
        <v>0</v>
      </c>
      <c r="P305" t="n">
        <v>0</v>
      </c>
      <c r="Q305" t="n">
        <v>0</v>
      </c>
      <c r="R305" s="2" t="inlineStr"/>
    </row>
    <row r="306" ht="15" customHeight="1">
      <c r="A306" t="inlineStr">
        <is>
          <t>A 32957-2024</t>
        </is>
      </c>
      <c r="B306" s="1" t="n">
        <v>45517.3762037037</v>
      </c>
      <c r="C306" s="1" t="n">
        <v>45907</v>
      </c>
      <c r="D306" t="inlineStr">
        <is>
          <t>NORRBOTTENS LÄN</t>
        </is>
      </c>
      <c r="E306" t="inlineStr">
        <is>
          <t>JOKKMOKK</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2037-2025</t>
        </is>
      </c>
      <c r="B307" s="1" t="n">
        <v>45671</v>
      </c>
      <c r="C307" s="1" t="n">
        <v>45907</v>
      </c>
      <c r="D307" t="inlineStr">
        <is>
          <t>NORRBOTTENS LÄN</t>
        </is>
      </c>
      <c r="E307" t="inlineStr">
        <is>
          <t>JOKKMOKK</t>
        </is>
      </c>
      <c r="G307" t="n">
        <v>5.4</v>
      </c>
      <c r="H307" t="n">
        <v>0</v>
      </c>
      <c r="I307" t="n">
        <v>0</v>
      </c>
      <c r="J307" t="n">
        <v>0</v>
      </c>
      <c r="K307" t="n">
        <v>0</v>
      </c>
      <c r="L307" t="n">
        <v>0</v>
      </c>
      <c r="M307" t="n">
        <v>0</v>
      </c>
      <c r="N307" t="n">
        <v>0</v>
      </c>
      <c r="O307" t="n">
        <v>0</v>
      </c>
      <c r="P307" t="n">
        <v>0</v>
      </c>
      <c r="Q307" t="n">
        <v>0</v>
      </c>
      <c r="R307" s="2" t="inlineStr"/>
    </row>
    <row r="308" ht="15" customHeight="1">
      <c r="A308" t="inlineStr">
        <is>
          <t>A 53232-2024</t>
        </is>
      </c>
      <c r="B308" s="1" t="n">
        <v>45613.67967592592</v>
      </c>
      <c r="C308" s="1" t="n">
        <v>45907</v>
      </c>
      <c r="D308" t="inlineStr">
        <is>
          <t>NORRBOTTENS LÄN</t>
        </is>
      </c>
      <c r="E308" t="inlineStr">
        <is>
          <t>JOKKMOKK</t>
        </is>
      </c>
      <c r="G308" t="n">
        <v>1.9</v>
      </c>
      <c r="H308" t="n">
        <v>0</v>
      </c>
      <c r="I308" t="n">
        <v>0</v>
      </c>
      <c r="J308" t="n">
        <v>0</v>
      </c>
      <c r="K308" t="n">
        <v>0</v>
      </c>
      <c r="L308" t="n">
        <v>0</v>
      </c>
      <c r="M308" t="n">
        <v>0</v>
      </c>
      <c r="N308" t="n">
        <v>0</v>
      </c>
      <c r="O308" t="n">
        <v>0</v>
      </c>
      <c r="P308" t="n">
        <v>0</v>
      </c>
      <c r="Q308" t="n">
        <v>0</v>
      </c>
      <c r="R308" s="2" t="inlineStr"/>
    </row>
    <row r="309" ht="15" customHeight="1">
      <c r="A309" t="inlineStr">
        <is>
          <t>A 52289-2024</t>
        </is>
      </c>
      <c r="B309" s="1" t="n">
        <v>45608.69555555555</v>
      </c>
      <c r="C309" s="1" t="n">
        <v>45907</v>
      </c>
      <c r="D309" t="inlineStr">
        <is>
          <t>NORRBOTTENS LÄN</t>
        </is>
      </c>
      <c r="E309" t="inlineStr">
        <is>
          <t>JOKKMOKK</t>
        </is>
      </c>
      <c r="F309" t="inlineStr">
        <is>
          <t>Allmännings- och besparingsskogar</t>
        </is>
      </c>
      <c r="G309" t="n">
        <v>11.6</v>
      </c>
      <c r="H309" t="n">
        <v>0</v>
      </c>
      <c r="I309" t="n">
        <v>0</v>
      </c>
      <c r="J309" t="n">
        <v>0</v>
      </c>
      <c r="K309" t="n">
        <v>0</v>
      </c>
      <c r="L309" t="n">
        <v>0</v>
      </c>
      <c r="M309" t="n">
        <v>0</v>
      </c>
      <c r="N309" t="n">
        <v>0</v>
      </c>
      <c r="O309" t="n">
        <v>0</v>
      </c>
      <c r="P309" t="n">
        <v>0</v>
      </c>
      <c r="Q309" t="n">
        <v>0</v>
      </c>
      <c r="R309" s="2" t="inlineStr"/>
    </row>
    <row r="310" ht="15" customHeight="1">
      <c r="A310" t="inlineStr">
        <is>
          <t>A 50651-2024</t>
        </is>
      </c>
      <c r="B310" s="1" t="n">
        <v>45601.70364583333</v>
      </c>
      <c r="C310" s="1" t="n">
        <v>45907</v>
      </c>
      <c r="D310" t="inlineStr">
        <is>
          <t>NORRBOTTENS LÄN</t>
        </is>
      </c>
      <c r="E310" t="inlineStr">
        <is>
          <t>JOKKMOKK</t>
        </is>
      </c>
      <c r="F310" t="inlineStr">
        <is>
          <t>Allmännings- och besparingsskogar</t>
        </is>
      </c>
      <c r="G310" t="n">
        <v>6.1</v>
      </c>
      <c r="H310" t="n">
        <v>0</v>
      </c>
      <c r="I310" t="n">
        <v>0</v>
      </c>
      <c r="J310" t="n">
        <v>0</v>
      </c>
      <c r="K310" t="n">
        <v>0</v>
      </c>
      <c r="L310" t="n">
        <v>0</v>
      </c>
      <c r="M310" t="n">
        <v>0</v>
      </c>
      <c r="N310" t="n">
        <v>0</v>
      </c>
      <c r="O310" t="n">
        <v>0</v>
      </c>
      <c r="P310" t="n">
        <v>0</v>
      </c>
      <c r="Q310" t="n">
        <v>0</v>
      </c>
      <c r="R310" s="2" t="inlineStr"/>
    </row>
    <row r="311" ht="15" customHeight="1">
      <c r="A311" t="inlineStr">
        <is>
          <t>A 60390-2023</t>
        </is>
      </c>
      <c r="B311" s="1" t="n">
        <v>45259.43483796297</v>
      </c>
      <c r="C311" s="1" t="n">
        <v>45907</v>
      </c>
      <c r="D311" t="inlineStr">
        <is>
          <t>NORRBOTTENS LÄN</t>
        </is>
      </c>
      <c r="E311" t="inlineStr">
        <is>
          <t>JOKKMOKK</t>
        </is>
      </c>
      <c r="F311" t="inlineStr">
        <is>
          <t>Sveaskog</t>
        </is>
      </c>
      <c r="G311" t="n">
        <v>10.9</v>
      </c>
      <c r="H311" t="n">
        <v>0</v>
      </c>
      <c r="I311" t="n">
        <v>0</v>
      </c>
      <c r="J311" t="n">
        <v>0</v>
      </c>
      <c r="K311" t="n">
        <v>0</v>
      </c>
      <c r="L311" t="n">
        <v>0</v>
      </c>
      <c r="M311" t="n">
        <v>0</v>
      </c>
      <c r="N311" t="n">
        <v>0</v>
      </c>
      <c r="O311" t="n">
        <v>0</v>
      </c>
      <c r="P311" t="n">
        <v>0</v>
      </c>
      <c r="Q311" t="n">
        <v>0</v>
      </c>
      <c r="R311" s="2" t="inlineStr"/>
    </row>
    <row r="312" ht="15" customHeight="1">
      <c r="A312" t="inlineStr">
        <is>
          <t>A 52280-2021</t>
        </is>
      </c>
      <c r="B312" s="1" t="n">
        <v>44462</v>
      </c>
      <c r="C312" s="1" t="n">
        <v>45907</v>
      </c>
      <c r="D312" t="inlineStr">
        <is>
          <t>NORRBOTTENS LÄN</t>
        </is>
      </c>
      <c r="E312" t="inlineStr">
        <is>
          <t>JOKKMOKK</t>
        </is>
      </c>
      <c r="F312" t="inlineStr">
        <is>
          <t>Övriga statliga verk och myndigheter</t>
        </is>
      </c>
      <c r="G312" t="n">
        <v>25.9</v>
      </c>
      <c r="H312" t="n">
        <v>0</v>
      </c>
      <c r="I312" t="n">
        <v>0</v>
      </c>
      <c r="J312" t="n">
        <v>0</v>
      </c>
      <c r="K312" t="n">
        <v>0</v>
      </c>
      <c r="L312" t="n">
        <v>0</v>
      </c>
      <c r="M312" t="n">
        <v>0</v>
      </c>
      <c r="N312" t="n">
        <v>0</v>
      </c>
      <c r="O312" t="n">
        <v>0</v>
      </c>
      <c r="P312" t="n">
        <v>0</v>
      </c>
      <c r="Q312" t="n">
        <v>0</v>
      </c>
      <c r="R312" s="2" t="inlineStr"/>
    </row>
    <row r="313" ht="15" customHeight="1">
      <c r="A313" t="inlineStr">
        <is>
          <t>A 56168-2022</t>
        </is>
      </c>
      <c r="B313" s="1" t="n">
        <v>44889</v>
      </c>
      <c r="C313" s="1" t="n">
        <v>45907</v>
      </c>
      <c r="D313" t="inlineStr">
        <is>
          <t>NORRBOTTENS LÄN</t>
        </is>
      </c>
      <c r="E313" t="inlineStr">
        <is>
          <t>JOKKMOKK</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60275-2023</t>
        </is>
      </c>
      <c r="B314" s="1" t="n">
        <v>45258.67847222222</v>
      </c>
      <c r="C314" s="1" t="n">
        <v>45907</v>
      </c>
      <c r="D314" t="inlineStr">
        <is>
          <t>NORRBOTTENS LÄN</t>
        </is>
      </c>
      <c r="E314" t="inlineStr">
        <is>
          <t>JOKKMOKK</t>
        </is>
      </c>
      <c r="G314" t="n">
        <v>3.2</v>
      </c>
      <c r="H314" t="n">
        <v>0</v>
      </c>
      <c r="I314" t="n">
        <v>0</v>
      </c>
      <c r="J314" t="n">
        <v>0</v>
      </c>
      <c r="K314" t="n">
        <v>0</v>
      </c>
      <c r="L314" t="n">
        <v>0</v>
      </c>
      <c r="M314" t="n">
        <v>0</v>
      </c>
      <c r="N314" t="n">
        <v>0</v>
      </c>
      <c r="O314" t="n">
        <v>0</v>
      </c>
      <c r="P314" t="n">
        <v>0</v>
      </c>
      <c r="Q314" t="n">
        <v>0</v>
      </c>
      <c r="R314" s="2" t="inlineStr"/>
    </row>
    <row r="315" ht="15" customHeight="1">
      <c r="A315" t="inlineStr">
        <is>
          <t>A 16864-2023</t>
        </is>
      </c>
      <c r="B315" s="1" t="n">
        <v>45028</v>
      </c>
      <c r="C315" s="1" t="n">
        <v>45907</v>
      </c>
      <c r="D315" t="inlineStr">
        <is>
          <t>NORRBOTTENS LÄN</t>
        </is>
      </c>
      <c r="E315" t="inlineStr">
        <is>
          <t>JOKKMOKK</t>
        </is>
      </c>
      <c r="G315" t="n">
        <v>4</v>
      </c>
      <c r="H315" t="n">
        <v>0</v>
      </c>
      <c r="I315" t="n">
        <v>0</v>
      </c>
      <c r="J315" t="n">
        <v>0</v>
      </c>
      <c r="K315" t="n">
        <v>0</v>
      </c>
      <c r="L315" t="n">
        <v>0</v>
      </c>
      <c r="M315" t="n">
        <v>0</v>
      </c>
      <c r="N315" t="n">
        <v>0</v>
      </c>
      <c r="O315" t="n">
        <v>0</v>
      </c>
      <c r="P315" t="n">
        <v>0</v>
      </c>
      <c r="Q315" t="n">
        <v>0</v>
      </c>
      <c r="R315" s="2" t="inlineStr"/>
    </row>
    <row r="316" ht="15" customHeight="1">
      <c r="A316" t="inlineStr">
        <is>
          <t>A 26962-2023</t>
        </is>
      </c>
      <c r="B316" s="1" t="n">
        <v>45093</v>
      </c>
      <c r="C316" s="1" t="n">
        <v>45907</v>
      </c>
      <c r="D316" t="inlineStr">
        <is>
          <t>NORRBOTTENS LÄN</t>
        </is>
      </c>
      <c r="E316" t="inlineStr">
        <is>
          <t>JOKKMOKK</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44151-2024</t>
        </is>
      </c>
      <c r="B317" s="1" t="n">
        <v>45572.67773148148</v>
      </c>
      <c r="C317" s="1" t="n">
        <v>45907</v>
      </c>
      <c r="D317" t="inlineStr">
        <is>
          <t>NORRBOTTENS LÄN</t>
        </is>
      </c>
      <c r="E317" t="inlineStr">
        <is>
          <t>JOKKMOKK</t>
        </is>
      </c>
      <c r="F317" t="inlineStr">
        <is>
          <t>Sveaskog</t>
        </is>
      </c>
      <c r="G317" t="n">
        <v>9.4</v>
      </c>
      <c r="H317" t="n">
        <v>0</v>
      </c>
      <c r="I317" t="n">
        <v>0</v>
      </c>
      <c r="J317" t="n">
        <v>0</v>
      </c>
      <c r="K317" t="n">
        <v>0</v>
      </c>
      <c r="L317" t="n">
        <v>0</v>
      </c>
      <c r="M317" t="n">
        <v>0</v>
      </c>
      <c r="N317" t="n">
        <v>0</v>
      </c>
      <c r="O317" t="n">
        <v>0</v>
      </c>
      <c r="P317" t="n">
        <v>0</v>
      </c>
      <c r="Q317" t="n">
        <v>0</v>
      </c>
      <c r="R317" s="2" t="inlineStr"/>
    </row>
    <row r="318" ht="15" customHeight="1">
      <c r="A318" t="inlineStr">
        <is>
          <t>A 49474-2024</t>
        </is>
      </c>
      <c r="B318" s="1" t="n">
        <v>45596.34523148148</v>
      </c>
      <c r="C318" s="1" t="n">
        <v>45907</v>
      </c>
      <c r="D318" t="inlineStr">
        <is>
          <t>NORRBOTTENS LÄN</t>
        </is>
      </c>
      <c r="E318" t="inlineStr">
        <is>
          <t>JOKKMOKK</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49476-2024</t>
        </is>
      </c>
      <c r="B319" s="1" t="n">
        <v>45596.34571759259</v>
      </c>
      <c r="C319" s="1" t="n">
        <v>45907</v>
      </c>
      <c r="D319" t="inlineStr">
        <is>
          <t>NORRBOTTENS LÄN</t>
        </is>
      </c>
      <c r="E319" t="inlineStr">
        <is>
          <t>JOKKMOKK</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45512-2022</t>
        </is>
      </c>
      <c r="B320" s="1" t="n">
        <v>44841</v>
      </c>
      <c r="C320" s="1" t="n">
        <v>45907</v>
      </c>
      <c r="D320" t="inlineStr">
        <is>
          <t>NORRBOTTENS LÄN</t>
        </is>
      </c>
      <c r="E320" t="inlineStr">
        <is>
          <t>JOKKMOKK</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40771-2023</t>
        </is>
      </c>
      <c r="B321" s="1" t="n">
        <v>45170.95657407407</v>
      </c>
      <c r="C321" s="1" t="n">
        <v>45907</v>
      </c>
      <c r="D321" t="inlineStr">
        <is>
          <t>NORRBOTTENS LÄN</t>
        </is>
      </c>
      <c r="E321" t="inlineStr">
        <is>
          <t>JOKKMOKK</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6778-2023</t>
        </is>
      </c>
      <c r="B322" s="1" t="n">
        <v>44966</v>
      </c>
      <c r="C322" s="1" t="n">
        <v>45907</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36607-2021</t>
        </is>
      </c>
      <c r="B323" s="1" t="n">
        <v>44391</v>
      </c>
      <c r="C323" s="1" t="n">
        <v>45907</v>
      </c>
      <c r="D323" t="inlineStr">
        <is>
          <t>NORRBOTTENS LÄN</t>
        </is>
      </c>
      <c r="E323" t="inlineStr">
        <is>
          <t>JOKKMOKK</t>
        </is>
      </c>
      <c r="F323" t="inlineStr">
        <is>
          <t>Allmännings- och besparingsskogar</t>
        </is>
      </c>
      <c r="G323" t="n">
        <v>9.5</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45907</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26969-2024</t>
        </is>
      </c>
      <c r="B325" s="1" t="n">
        <v>45471.27252314815</v>
      </c>
      <c r="C325" s="1" t="n">
        <v>45907</v>
      </c>
      <c r="D325" t="inlineStr">
        <is>
          <t>NORRBOTTENS LÄN</t>
        </is>
      </c>
      <c r="E325" t="inlineStr">
        <is>
          <t>JOKKMOKK</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28319-2021</t>
        </is>
      </c>
      <c r="B326" s="1" t="n">
        <v>44355</v>
      </c>
      <c r="C326" s="1" t="n">
        <v>45907</v>
      </c>
      <c r="D326" t="inlineStr">
        <is>
          <t>NORRBOTTENS LÄN</t>
        </is>
      </c>
      <c r="E326" t="inlineStr">
        <is>
          <t>JOKKMOKK</t>
        </is>
      </c>
      <c r="F326" t="inlineStr">
        <is>
          <t>Övriga statliga verk och myndigheter</t>
        </is>
      </c>
      <c r="G326" t="n">
        <v>40</v>
      </c>
      <c r="H326" t="n">
        <v>0</v>
      </c>
      <c r="I326" t="n">
        <v>0</v>
      </c>
      <c r="J326" t="n">
        <v>0</v>
      </c>
      <c r="K326" t="n">
        <v>0</v>
      </c>
      <c r="L326" t="n">
        <v>0</v>
      </c>
      <c r="M326" t="n">
        <v>0</v>
      </c>
      <c r="N326" t="n">
        <v>0</v>
      </c>
      <c r="O326" t="n">
        <v>0</v>
      </c>
      <c r="P326" t="n">
        <v>0</v>
      </c>
      <c r="Q326" t="n">
        <v>0</v>
      </c>
      <c r="R326" s="2" t="inlineStr"/>
    </row>
    <row r="327" ht="15" customHeight="1">
      <c r="A327" t="inlineStr">
        <is>
          <t>A 9865-2023</t>
        </is>
      </c>
      <c r="B327" s="1" t="n">
        <v>44984</v>
      </c>
      <c r="C327" s="1" t="n">
        <v>45907</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27653-2024</t>
        </is>
      </c>
      <c r="B328" s="1" t="n">
        <v>45474.95037037037</v>
      </c>
      <c r="C328" s="1" t="n">
        <v>45907</v>
      </c>
      <c r="D328" t="inlineStr">
        <is>
          <t>NORRBOTTENS LÄN</t>
        </is>
      </c>
      <c r="E328" t="inlineStr">
        <is>
          <t>JOKKMOKK</t>
        </is>
      </c>
      <c r="F328" t="inlineStr">
        <is>
          <t>SCA</t>
        </is>
      </c>
      <c r="G328" t="n">
        <v>7.1</v>
      </c>
      <c r="H328" t="n">
        <v>0</v>
      </c>
      <c r="I328" t="n">
        <v>0</v>
      </c>
      <c r="J328" t="n">
        <v>0</v>
      </c>
      <c r="K328" t="n">
        <v>0</v>
      </c>
      <c r="L328" t="n">
        <v>0</v>
      </c>
      <c r="M328" t="n">
        <v>0</v>
      </c>
      <c r="N328" t="n">
        <v>0</v>
      </c>
      <c r="O328" t="n">
        <v>0</v>
      </c>
      <c r="P328" t="n">
        <v>0</v>
      </c>
      <c r="Q328" t="n">
        <v>0</v>
      </c>
      <c r="R328" s="2" t="inlineStr"/>
    </row>
    <row r="329" ht="15" customHeight="1">
      <c r="A329" t="inlineStr">
        <is>
          <t>A 27654-2024</t>
        </is>
      </c>
      <c r="B329" s="1" t="n">
        <v>45474</v>
      </c>
      <c r="C329" s="1" t="n">
        <v>45907</v>
      </c>
      <c r="D329" t="inlineStr">
        <is>
          <t>NORRBOTTENS LÄN</t>
        </is>
      </c>
      <c r="E329" t="inlineStr">
        <is>
          <t>JOKKMOKK</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27656-2024</t>
        </is>
      </c>
      <c r="B330" s="1" t="n">
        <v>45474</v>
      </c>
      <c r="C330" s="1" t="n">
        <v>45907</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45907</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45907</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45907</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9863-2023</t>
        </is>
      </c>
      <c r="B334" s="1" t="n">
        <v>44984</v>
      </c>
      <c r="C334" s="1" t="n">
        <v>45907</v>
      </c>
      <c r="D334" t="inlineStr">
        <is>
          <t>NORRBOTTENS LÄN</t>
        </is>
      </c>
      <c r="E334" t="inlineStr">
        <is>
          <t>JOKKMOKK</t>
        </is>
      </c>
      <c r="F334" t="inlineStr">
        <is>
          <t>SCA</t>
        </is>
      </c>
      <c r="G334" t="n">
        <v>14.4</v>
      </c>
      <c r="H334" t="n">
        <v>0</v>
      </c>
      <c r="I334" t="n">
        <v>0</v>
      </c>
      <c r="J334" t="n">
        <v>0</v>
      </c>
      <c r="K334" t="n">
        <v>0</v>
      </c>
      <c r="L334" t="n">
        <v>0</v>
      </c>
      <c r="M334" t="n">
        <v>0</v>
      </c>
      <c r="N334" t="n">
        <v>0</v>
      </c>
      <c r="O334" t="n">
        <v>0</v>
      </c>
      <c r="P334" t="n">
        <v>0</v>
      </c>
      <c r="Q334" t="n">
        <v>0</v>
      </c>
      <c r="R334" s="2" t="inlineStr"/>
    </row>
    <row r="335" ht="15" customHeight="1">
      <c r="A335" t="inlineStr">
        <is>
          <t>A 9872-2023</t>
        </is>
      </c>
      <c r="B335" s="1" t="n">
        <v>44984</v>
      </c>
      <c r="C335" s="1" t="n">
        <v>45907</v>
      </c>
      <c r="D335" t="inlineStr">
        <is>
          <t>NORRBOTTENS LÄN</t>
        </is>
      </c>
      <c r="E335" t="inlineStr">
        <is>
          <t>JOKKMOKK</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9873-2023</t>
        </is>
      </c>
      <c r="B336" s="1" t="n">
        <v>44984</v>
      </c>
      <c r="C336" s="1" t="n">
        <v>45907</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9877-2023</t>
        </is>
      </c>
      <c r="B337" s="1" t="n">
        <v>44984.94033564815</v>
      </c>
      <c r="C337" s="1" t="n">
        <v>45907</v>
      </c>
      <c r="D337" t="inlineStr">
        <is>
          <t>NORRBOTTENS LÄN</t>
        </is>
      </c>
      <c r="E337" t="inlineStr">
        <is>
          <t>JOKKMOKK</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13863-2025</t>
        </is>
      </c>
      <c r="B338" s="1" t="n">
        <v>45737.57435185185</v>
      </c>
      <c r="C338" s="1" t="n">
        <v>45907</v>
      </c>
      <c r="D338" t="inlineStr">
        <is>
          <t>NORRBOTTENS LÄN</t>
        </is>
      </c>
      <c r="E338" t="inlineStr">
        <is>
          <t>JOKKMOKK</t>
        </is>
      </c>
      <c r="G338" t="n">
        <v>0.9</v>
      </c>
      <c r="H338" t="n">
        <v>0</v>
      </c>
      <c r="I338" t="n">
        <v>0</v>
      </c>
      <c r="J338" t="n">
        <v>0</v>
      </c>
      <c r="K338" t="n">
        <v>0</v>
      </c>
      <c r="L338" t="n">
        <v>0</v>
      </c>
      <c r="M338" t="n">
        <v>0</v>
      </c>
      <c r="N338" t="n">
        <v>0</v>
      </c>
      <c r="O338" t="n">
        <v>0</v>
      </c>
      <c r="P338" t="n">
        <v>0</v>
      </c>
      <c r="Q338" t="n">
        <v>0</v>
      </c>
      <c r="R338" s="2" t="inlineStr"/>
    </row>
    <row r="339" ht="15" customHeight="1">
      <c r="A339" t="inlineStr">
        <is>
          <t>A 13864-2025</t>
        </is>
      </c>
      <c r="B339" s="1" t="n">
        <v>45737.57438657407</v>
      </c>
      <c r="C339" s="1" t="n">
        <v>45907</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30313-2024</t>
        </is>
      </c>
      <c r="B340" s="1" t="n">
        <v>45490</v>
      </c>
      <c r="C340" s="1" t="n">
        <v>45907</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18903-2025</t>
        </is>
      </c>
      <c r="B341" s="1" t="n">
        <v>45764.46019675926</v>
      </c>
      <c r="C341" s="1" t="n">
        <v>45907</v>
      </c>
      <c r="D341" t="inlineStr">
        <is>
          <t>NORRBOTTENS LÄN</t>
        </is>
      </c>
      <c r="E341" t="inlineStr">
        <is>
          <t>JOKKMOKK</t>
        </is>
      </c>
      <c r="G341" t="n">
        <v>9.1</v>
      </c>
      <c r="H341" t="n">
        <v>0</v>
      </c>
      <c r="I341" t="n">
        <v>0</v>
      </c>
      <c r="J341" t="n">
        <v>0</v>
      </c>
      <c r="K341" t="n">
        <v>0</v>
      </c>
      <c r="L341" t="n">
        <v>0</v>
      </c>
      <c r="M341" t="n">
        <v>0</v>
      </c>
      <c r="N341" t="n">
        <v>0</v>
      </c>
      <c r="O341" t="n">
        <v>0</v>
      </c>
      <c r="P341" t="n">
        <v>0</v>
      </c>
      <c r="Q341" t="n">
        <v>0</v>
      </c>
      <c r="R341" s="2" t="inlineStr"/>
    </row>
    <row r="342" ht="15" customHeight="1">
      <c r="A342" t="inlineStr">
        <is>
          <t>A 50436-2024</t>
        </is>
      </c>
      <c r="B342" s="1" t="n">
        <v>45601.4096875</v>
      </c>
      <c r="C342" s="1" t="n">
        <v>45907</v>
      </c>
      <c r="D342" t="inlineStr">
        <is>
          <t>NORRBOTTENS LÄN</t>
        </is>
      </c>
      <c r="E342" t="inlineStr">
        <is>
          <t>JOKKMOKK</t>
        </is>
      </c>
      <c r="F342" t="inlineStr">
        <is>
          <t>Allmännings- och besparingsskogar</t>
        </is>
      </c>
      <c r="G342" t="n">
        <v>6.5</v>
      </c>
      <c r="H342" t="n">
        <v>0</v>
      </c>
      <c r="I342" t="n">
        <v>0</v>
      </c>
      <c r="J342" t="n">
        <v>0</v>
      </c>
      <c r="K342" t="n">
        <v>0</v>
      </c>
      <c r="L342" t="n">
        <v>0</v>
      </c>
      <c r="M342" t="n">
        <v>0</v>
      </c>
      <c r="N342" t="n">
        <v>0</v>
      </c>
      <c r="O342" t="n">
        <v>0</v>
      </c>
      <c r="P342" t="n">
        <v>0</v>
      </c>
      <c r="Q342" t="n">
        <v>0</v>
      </c>
      <c r="R342" s="2" t="inlineStr"/>
    </row>
    <row r="343" ht="15" customHeight="1">
      <c r="A343" t="inlineStr">
        <is>
          <t>A 59793-2024</t>
        </is>
      </c>
      <c r="B343" s="1" t="n">
        <v>45639.58967592593</v>
      </c>
      <c r="C343" s="1" t="n">
        <v>45907</v>
      </c>
      <c r="D343" t="inlineStr">
        <is>
          <t>NORRBOTTENS LÄN</t>
        </is>
      </c>
      <c r="E343" t="inlineStr">
        <is>
          <t>JOKKMOKK</t>
        </is>
      </c>
      <c r="F343" t="inlineStr">
        <is>
          <t>Sveaskog</t>
        </is>
      </c>
      <c r="G343" t="n">
        <v>10.8</v>
      </c>
      <c r="H343" t="n">
        <v>0</v>
      </c>
      <c r="I343" t="n">
        <v>0</v>
      </c>
      <c r="J343" t="n">
        <v>0</v>
      </c>
      <c r="K343" t="n">
        <v>0</v>
      </c>
      <c r="L343" t="n">
        <v>0</v>
      </c>
      <c r="M343" t="n">
        <v>0</v>
      </c>
      <c r="N343" t="n">
        <v>0</v>
      </c>
      <c r="O343" t="n">
        <v>0</v>
      </c>
      <c r="P343" t="n">
        <v>0</v>
      </c>
      <c r="Q343" t="n">
        <v>0</v>
      </c>
      <c r="R343" s="2" t="inlineStr"/>
    </row>
    <row r="344" ht="15" customHeight="1">
      <c r="A344" t="inlineStr">
        <is>
          <t>A 52812-2024</t>
        </is>
      </c>
      <c r="B344" s="1" t="n">
        <v>45610.58070601852</v>
      </c>
      <c r="C344" s="1" t="n">
        <v>45907</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50496-2024</t>
        </is>
      </c>
      <c r="B345" s="1" t="n">
        <v>45601.51266203704</v>
      </c>
      <c r="C345" s="1" t="n">
        <v>45907</v>
      </c>
      <c r="D345" t="inlineStr">
        <is>
          <t>NORRBOTTENS LÄN</t>
        </is>
      </c>
      <c r="E345" t="inlineStr">
        <is>
          <t>JOKKMOKK</t>
        </is>
      </c>
      <c r="F345" t="inlineStr">
        <is>
          <t>Allmännings- och besparingsskogar</t>
        </is>
      </c>
      <c r="G345" t="n">
        <v>2.1</v>
      </c>
      <c r="H345" t="n">
        <v>0</v>
      </c>
      <c r="I345" t="n">
        <v>0</v>
      </c>
      <c r="J345" t="n">
        <v>0</v>
      </c>
      <c r="K345" t="n">
        <v>0</v>
      </c>
      <c r="L345" t="n">
        <v>0</v>
      </c>
      <c r="M345" t="n">
        <v>0</v>
      </c>
      <c r="N345" t="n">
        <v>0</v>
      </c>
      <c r="O345" t="n">
        <v>0</v>
      </c>
      <c r="P345" t="n">
        <v>0</v>
      </c>
      <c r="Q345" t="n">
        <v>0</v>
      </c>
      <c r="R345" s="2" t="inlineStr"/>
    </row>
    <row r="346" ht="15" customHeight="1">
      <c r="A346" t="inlineStr">
        <is>
          <t>A 16336-2023</t>
        </is>
      </c>
      <c r="B346" s="1" t="n">
        <v>45022</v>
      </c>
      <c r="C346" s="1" t="n">
        <v>45907</v>
      </c>
      <c r="D346" t="inlineStr">
        <is>
          <t>NORRBOTTENS LÄN</t>
        </is>
      </c>
      <c r="E346" t="inlineStr">
        <is>
          <t>JOKKMOKK</t>
        </is>
      </c>
      <c r="F346" t="inlineStr">
        <is>
          <t>Övriga statliga verk och myndigheter</t>
        </is>
      </c>
      <c r="G346" t="n">
        <v>130.2</v>
      </c>
      <c r="H346" t="n">
        <v>0</v>
      </c>
      <c r="I346" t="n">
        <v>0</v>
      </c>
      <c r="J346" t="n">
        <v>0</v>
      </c>
      <c r="K346" t="n">
        <v>0</v>
      </c>
      <c r="L346" t="n">
        <v>0</v>
      </c>
      <c r="M346" t="n">
        <v>0</v>
      </c>
      <c r="N346" t="n">
        <v>0</v>
      </c>
      <c r="O346" t="n">
        <v>0</v>
      </c>
      <c r="P346" t="n">
        <v>0</v>
      </c>
      <c r="Q346" t="n">
        <v>0</v>
      </c>
      <c r="R346" s="2" t="inlineStr"/>
    </row>
    <row r="347" ht="15" customHeight="1">
      <c r="A347" t="inlineStr">
        <is>
          <t>A 30399-2024</t>
        </is>
      </c>
      <c r="B347" s="1" t="n">
        <v>45491</v>
      </c>
      <c r="C347" s="1" t="n">
        <v>45907</v>
      </c>
      <c r="D347" t="inlineStr">
        <is>
          <t>NORRBOTTENS LÄN</t>
        </is>
      </c>
      <c r="E347" t="inlineStr">
        <is>
          <t>JOKKMOKK</t>
        </is>
      </c>
      <c r="G347" t="n">
        <v>4.6</v>
      </c>
      <c r="H347" t="n">
        <v>0</v>
      </c>
      <c r="I347" t="n">
        <v>0</v>
      </c>
      <c r="J347" t="n">
        <v>0</v>
      </c>
      <c r="K347" t="n">
        <v>0</v>
      </c>
      <c r="L347" t="n">
        <v>0</v>
      </c>
      <c r="M347" t="n">
        <v>0</v>
      </c>
      <c r="N347" t="n">
        <v>0</v>
      </c>
      <c r="O347" t="n">
        <v>0</v>
      </c>
      <c r="P347" t="n">
        <v>0</v>
      </c>
      <c r="Q347" t="n">
        <v>0</v>
      </c>
      <c r="R347" s="2" t="inlineStr"/>
    </row>
    <row r="348" ht="15" customHeight="1">
      <c r="A348" t="inlineStr">
        <is>
          <t>A 425-2025</t>
        </is>
      </c>
      <c r="B348" s="1" t="n">
        <v>45664.34549768519</v>
      </c>
      <c r="C348" s="1" t="n">
        <v>45907</v>
      </c>
      <c r="D348" t="inlineStr">
        <is>
          <t>NORRBOTTENS LÄN</t>
        </is>
      </c>
      <c r="E348" t="inlineStr">
        <is>
          <t>JOKKMOKK</t>
        </is>
      </c>
      <c r="F348" t="inlineStr">
        <is>
          <t>Övriga statliga verk och myndigheter</t>
        </is>
      </c>
      <c r="G348" t="n">
        <v>36.5</v>
      </c>
      <c r="H348" t="n">
        <v>0</v>
      </c>
      <c r="I348" t="n">
        <v>0</v>
      </c>
      <c r="J348" t="n">
        <v>0</v>
      </c>
      <c r="K348" t="n">
        <v>0</v>
      </c>
      <c r="L348" t="n">
        <v>0</v>
      </c>
      <c r="M348" t="n">
        <v>0</v>
      </c>
      <c r="N348" t="n">
        <v>0</v>
      </c>
      <c r="O348" t="n">
        <v>0</v>
      </c>
      <c r="P348" t="n">
        <v>0</v>
      </c>
      <c r="Q348" t="n">
        <v>0</v>
      </c>
      <c r="R348" s="2" t="inlineStr"/>
    </row>
    <row r="349" ht="15" customHeight="1">
      <c r="A349" t="inlineStr">
        <is>
          <t>A 51261-2024</t>
        </is>
      </c>
      <c r="B349" s="1" t="n">
        <v>45603.69465277778</v>
      </c>
      <c r="C349" s="1" t="n">
        <v>45907</v>
      </c>
      <c r="D349" t="inlineStr">
        <is>
          <t>NORRBOTTENS LÄN</t>
        </is>
      </c>
      <c r="E349" t="inlineStr">
        <is>
          <t>JOKKMOKK</t>
        </is>
      </c>
      <c r="F349" t="inlineStr">
        <is>
          <t>Allmännings- och besparingsskogar</t>
        </is>
      </c>
      <c r="G349" t="n">
        <v>11</v>
      </c>
      <c r="H349" t="n">
        <v>0</v>
      </c>
      <c r="I349" t="n">
        <v>0</v>
      </c>
      <c r="J349" t="n">
        <v>0</v>
      </c>
      <c r="K349" t="n">
        <v>0</v>
      </c>
      <c r="L349" t="n">
        <v>0</v>
      </c>
      <c r="M349" t="n">
        <v>0</v>
      </c>
      <c r="N349" t="n">
        <v>0</v>
      </c>
      <c r="O349" t="n">
        <v>0</v>
      </c>
      <c r="P349" t="n">
        <v>0</v>
      </c>
      <c r="Q349" t="n">
        <v>0</v>
      </c>
      <c r="R349" s="2" t="inlineStr"/>
    </row>
    <row r="350" ht="15" customHeight="1">
      <c r="A350" t="inlineStr">
        <is>
          <t>A 45333-2024</t>
        </is>
      </c>
      <c r="B350" s="1" t="n">
        <v>45576</v>
      </c>
      <c r="C350" s="1" t="n">
        <v>45907</v>
      </c>
      <c r="D350" t="inlineStr">
        <is>
          <t>NORRBOTTENS LÄN</t>
        </is>
      </c>
      <c r="E350" t="inlineStr">
        <is>
          <t>JOKKMOKK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16972-2025</t>
        </is>
      </c>
      <c r="B351" s="1" t="n">
        <v>45755.46942129629</v>
      </c>
      <c r="C351" s="1" t="n">
        <v>45907</v>
      </c>
      <c r="D351" t="inlineStr">
        <is>
          <t>NORRBOTTENS LÄN</t>
        </is>
      </c>
      <c r="E351" t="inlineStr">
        <is>
          <t>JOKKMOKK</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51269-2024</t>
        </is>
      </c>
      <c r="B352" s="1" t="n">
        <v>45603.71284722222</v>
      </c>
      <c r="C352" s="1" t="n">
        <v>45907</v>
      </c>
      <c r="D352" t="inlineStr">
        <is>
          <t>NORRBOTTENS LÄN</t>
        </is>
      </c>
      <c r="E352" t="inlineStr">
        <is>
          <t>JOKKMOKK</t>
        </is>
      </c>
      <c r="F352" t="inlineStr">
        <is>
          <t>Allmännings- och besparingsskogar</t>
        </is>
      </c>
      <c r="G352" t="n">
        <v>4.4</v>
      </c>
      <c r="H352" t="n">
        <v>0</v>
      </c>
      <c r="I352" t="n">
        <v>0</v>
      </c>
      <c r="J352" t="n">
        <v>0</v>
      </c>
      <c r="K352" t="n">
        <v>0</v>
      </c>
      <c r="L352" t="n">
        <v>0</v>
      </c>
      <c r="M352" t="n">
        <v>0</v>
      </c>
      <c r="N352" t="n">
        <v>0</v>
      </c>
      <c r="O352" t="n">
        <v>0</v>
      </c>
      <c r="P352" t="n">
        <v>0</v>
      </c>
      <c r="Q352" t="n">
        <v>0</v>
      </c>
      <c r="R352" s="2" t="inlineStr"/>
    </row>
    <row r="353" ht="15" customHeight="1">
      <c r="A353" t="inlineStr">
        <is>
          <t>A 59849-2021</t>
        </is>
      </c>
      <c r="B353" s="1" t="n">
        <v>44493</v>
      </c>
      <c r="C353" s="1" t="n">
        <v>45907</v>
      </c>
      <c r="D353" t="inlineStr">
        <is>
          <t>NORRBOTTENS LÄN</t>
        </is>
      </c>
      <c r="E353" t="inlineStr">
        <is>
          <t>JOKKMOKK</t>
        </is>
      </c>
      <c r="F353" t="inlineStr">
        <is>
          <t>Övriga Aktiebolag</t>
        </is>
      </c>
      <c r="G353" t="n">
        <v>11.7</v>
      </c>
      <c r="H353" t="n">
        <v>0</v>
      </c>
      <c r="I353" t="n">
        <v>0</v>
      </c>
      <c r="J353" t="n">
        <v>0</v>
      </c>
      <c r="K353" t="n">
        <v>0</v>
      </c>
      <c r="L353" t="n">
        <v>0</v>
      </c>
      <c r="M353" t="n">
        <v>0</v>
      </c>
      <c r="N353" t="n">
        <v>0</v>
      </c>
      <c r="O353" t="n">
        <v>0</v>
      </c>
      <c r="P353" t="n">
        <v>0</v>
      </c>
      <c r="Q353" t="n">
        <v>0</v>
      </c>
      <c r="R353" s="2" t="inlineStr"/>
    </row>
    <row r="354" ht="15" customHeight="1">
      <c r="A354" t="inlineStr">
        <is>
          <t>A 7273-2021</t>
        </is>
      </c>
      <c r="B354" s="1" t="n">
        <v>44238</v>
      </c>
      <c r="C354" s="1" t="n">
        <v>45907</v>
      </c>
      <c r="D354" t="inlineStr">
        <is>
          <t>NORRBOTTENS LÄN</t>
        </is>
      </c>
      <c r="E354" t="inlineStr">
        <is>
          <t>JOKKMOKK</t>
        </is>
      </c>
      <c r="F354" t="inlineStr">
        <is>
          <t>Övriga statliga verk och myndigheter</t>
        </is>
      </c>
      <c r="G354" t="n">
        <v>19.8</v>
      </c>
      <c r="H354" t="n">
        <v>0</v>
      </c>
      <c r="I354" t="n">
        <v>0</v>
      </c>
      <c r="J354" t="n">
        <v>0</v>
      </c>
      <c r="K354" t="n">
        <v>0</v>
      </c>
      <c r="L354" t="n">
        <v>0</v>
      </c>
      <c r="M354" t="n">
        <v>0</v>
      </c>
      <c r="N354" t="n">
        <v>0</v>
      </c>
      <c r="O354" t="n">
        <v>0</v>
      </c>
      <c r="P354" t="n">
        <v>0</v>
      </c>
      <c r="Q354" t="n">
        <v>0</v>
      </c>
      <c r="R354" s="2" t="inlineStr"/>
    </row>
    <row r="355" ht="15" customHeight="1">
      <c r="A355" t="inlineStr">
        <is>
          <t>A 36361-2024</t>
        </is>
      </c>
      <c r="B355" s="1" t="n">
        <v>45534.64626157407</v>
      </c>
      <c r="C355" s="1" t="n">
        <v>45907</v>
      </c>
      <c r="D355" t="inlineStr">
        <is>
          <t>NORRBOTTENS LÄN</t>
        </is>
      </c>
      <c r="E355" t="inlineStr">
        <is>
          <t>JOKKMOKK</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34598-2024</t>
        </is>
      </c>
      <c r="B356" s="1" t="n">
        <v>45526.39714120371</v>
      </c>
      <c r="C356" s="1" t="n">
        <v>45907</v>
      </c>
      <c r="D356" t="inlineStr">
        <is>
          <t>NORRBOTTENS LÄN</t>
        </is>
      </c>
      <c r="E356" t="inlineStr">
        <is>
          <t>JOKKMOKK</t>
        </is>
      </c>
      <c r="G356" t="n">
        <v>2.5</v>
      </c>
      <c r="H356" t="n">
        <v>0</v>
      </c>
      <c r="I356" t="n">
        <v>0</v>
      </c>
      <c r="J356" t="n">
        <v>0</v>
      </c>
      <c r="K356" t="n">
        <v>0</v>
      </c>
      <c r="L356" t="n">
        <v>0</v>
      </c>
      <c r="M356" t="n">
        <v>0</v>
      </c>
      <c r="N356" t="n">
        <v>0</v>
      </c>
      <c r="O356" t="n">
        <v>0</v>
      </c>
      <c r="P356" t="n">
        <v>0</v>
      </c>
      <c r="Q356" t="n">
        <v>0</v>
      </c>
      <c r="R356" s="2" t="inlineStr"/>
    </row>
    <row r="357" ht="15" customHeight="1">
      <c r="A357" t="inlineStr">
        <is>
          <t>A 31902-2021</t>
        </is>
      </c>
      <c r="B357" s="1" t="n">
        <v>44370</v>
      </c>
      <c r="C357" s="1" t="n">
        <v>45907</v>
      </c>
      <c r="D357" t="inlineStr">
        <is>
          <t>NORRBOTTENS LÄN</t>
        </is>
      </c>
      <c r="E357" t="inlineStr">
        <is>
          <t>JOKKMOKK</t>
        </is>
      </c>
      <c r="G357" t="n">
        <v>20</v>
      </c>
      <c r="H357" t="n">
        <v>0</v>
      </c>
      <c r="I357" t="n">
        <v>0</v>
      </c>
      <c r="J357" t="n">
        <v>0</v>
      </c>
      <c r="K357" t="n">
        <v>0</v>
      </c>
      <c r="L357" t="n">
        <v>0</v>
      </c>
      <c r="M357" t="n">
        <v>0</v>
      </c>
      <c r="N357" t="n">
        <v>0</v>
      </c>
      <c r="O357" t="n">
        <v>0</v>
      </c>
      <c r="P357" t="n">
        <v>0</v>
      </c>
      <c r="Q357" t="n">
        <v>0</v>
      </c>
      <c r="R357" s="2" t="inlineStr"/>
    </row>
    <row r="358" ht="15" customHeight="1">
      <c r="A358" t="inlineStr">
        <is>
          <t>A 30291-2023</t>
        </is>
      </c>
      <c r="B358" s="1" t="n">
        <v>45110.92523148148</v>
      </c>
      <c r="C358" s="1" t="n">
        <v>45907</v>
      </c>
      <c r="D358" t="inlineStr">
        <is>
          <t>NORRBOTTENS LÄN</t>
        </is>
      </c>
      <c r="E358" t="inlineStr">
        <is>
          <t>JOKKMOKK</t>
        </is>
      </c>
      <c r="G358" t="n">
        <v>1.6</v>
      </c>
      <c r="H358" t="n">
        <v>0</v>
      </c>
      <c r="I358" t="n">
        <v>0</v>
      </c>
      <c r="J358" t="n">
        <v>0</v>
      </c>
      <c r="K358" t="n">
        <v>0</v>
      </c>
      <c r="L358" t="n">
        <v>0</v>
      </c>
      <c r="M358" t="n">
        <v>0</v>
      </c>
      <c r="N358" t="n">
        <v>0</v>
      </c>
      <c r="O358" t="n">
        <v>0</v>
      </c>
      <c r="P358" t="n">
        <v>0</v>
      </c>
      <c r="Q358" t="n">
        <v>0</v>
      </c>
      <c r="R358" s="2" t="inlineStr"/>
    </row>
    <row r="359" ht="15" customHeight="1">
      <c r="A359" t="inlineStr">
        <is>
          <t>A 19280-2024</t>
        </is>
      </c>
      <c r="B359" s="1" t="n">
        <v>45428</v>
      </c>
      <c r="C359" s="1" t="n">
        <v>45907</v>
      </c>
      <c r="D359" t="inlineStr">
        <is>
          <t>NORRBOTTENS LÄN</t>
        </is>
      </c>
      <c r="E359" t="inlineStr">
        <is>
          <t>JOKKMOKK</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60142-2020</t>
        </is>
      </c>
      <c r="B360" s="1" t="n">
        <v>44151</v>
      </c>
      <c r="C360" s="1" t="n">
        <v>45907</v>
      </c>
      <c r="D360" t="inlineStr">
        <is>
          <t>NORRBOTTENS LÄN</t>
        </is>
      </c>
      <c r="E360" t="inlineStr">
        <is>
          <t>JOKKMOKK</t>
        </is>
      </c>
      <c r="F360" t="inlineStr">
        <is>
          <t>Övriga Aktiebolag</t>
        </is>
      </c>
      <c r="G360" t="n">
        <v>0.9</v>
      </c>
      <c r="H360" t="n">
        <v>0</v>
      </c>
      <c r="I360" t="n">
        <v>0</v>
      </c>
      <c r="J360" t="n">
        <v>0</v>
      </c>
      <c r="K360" t="n">
        <v>0</v>
      </c>
      <c r="L360" t="n">
        <v>0</v>
      </c>
      <c r="M360" t="n">
        <v>0</v>
      </c>
      <c r="N360" t="n">
        <v>0</v>
      </c>
      <c r="O360" t="n">
        <v>0</v>
      </c>
      <c r="P360" t="n">
        <v>0</v>
      </c>
      <c r="Q360" t="n">
        <v>0</v>
      </c>
      <c r="R360" s="2" t="inlineStr"/>
    </row>
    <row r="361" ht="15" customHeight="1">
      <c r="A361" t="inlineStr">
        <is>
          <t>A 50258-2023</t>
        </is>
      </c>
      <c r="B361" s="1" t="n">
        <v>45216</v>
      </c>
      <c r="C361" s="1" t="n">
        <v>45907</v>
      </c>
      <c r="D361" t="inlineStr">
        <is>
          <t>NORRBOTTENS LÄN</t>
        </is>
      </c>
      <c r="E361" t="inlineStr">
        <is>
          <t>JOKKMOKK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40345-2024</t>
        </is>
      </c>
      <c r="B362" s="1" t="n">
        <v>45555.344375</v>
      </c>
      <c r="C362" s="1" t="n">
        <v>45907</v>
      </c>
      <c r="D362" t="inlineStr">
        <is>
          <t>NORRBOTTENS LÄN</t>
        </is>
      </c>
      <c r="E362" t="inlineStr">
        <is>
          <t>JOKKMOKK</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16847-2023</t>
        </is>
      </c>
      <c r="B363" s="1" t="n">
        <v>45028</v>
      </c>
      <c r="C363" s="1" t="n">
        <v>45907</v>
      </c>
      <c r="D363" t="inlineStr">
        <is>
          <t>NORRBOTTENS LÄN</t>
        </is>
      </c>
      <c r="E363" t="inlineStr">
        <is>
          <t>JOKKMOKK</t>
        </is>
      </c>
      <c r="G363" t="n">
        <v>7.3</v>
      </c>
      <c r="H363" t="n">
        <v>0</v>
      </c>
      <c r="I363" t="n">
        <v>0</v>
      </c>
      <c r="J363" t="n">
        <v>0</v>
      </c>
      <c r="K363" t="n">
        <v>0</v>
      </c>
      <c r="L363" t="n">
        <v>0</v>
      </c>
      <c r="M363" t="n">
        <v>0</v>
      </c>
      <c r="N363" t="n">
        <v>0</v>
      </c>
      <c r="O363" t="n">
        <v>0</v>
      </c>
      <c r="P363" t="n">
        <v>0</v>
      </c>
      <c r="Q363" t="n">
        <v>0</v>
      </c>
      <c r="R363" s="2" t="inlineStr"/>
    </row>
    <row r="364" ht="15" customHeight="1">
      <c r="A364" t="inlineStr">
        <is>
          <t>A 60215-2023</t>
        </is>
      </c>
      <c r="B364" s="1" t="n">
        <v>45258.60766203704</v>
      </c>
      <c r="C364" s="1" t="n">
        <v>45907</v>
      </c>
      <c r="D364" t="inlineStr">
        <is>
          <t>NORRBOTTENS LÄN</t>
        </is>
      </c>
      <c r="E364" t="inlineStr">
        <is>
          <t>JOKKMOKK</t>
        </is>
      </c>
      <c r="F364" t="inlineStr">
        <is>
          <t>Allmännings- och besparingsskogar</t>
        </is>
      </c>
      <c r="G364" t="n">
        <v>7.8</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45907</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68636-2020</t>
        </is>
      </c>
      <c r="B366" s="1" t="n">
        <v>44186</v>
      </c>
      <c r="C366" s="1" t="n">
        <v>45907</v>
      </c>
      <c r="D366" t="inlineStr">
        <is>
          <t>NORRBOTTENS LÄN</t>
        </is>
      </c>
      <c r="E366" t="inlineStr">
        <is>
          <t>JOKKMOKK</t>
        </is>
      </c>
      <c r="F366" t="inlineStr">
        <is>
          <t>SCA</t>
        </is>
      </c>
      <c r="G366" t="n">
        <v>42.3</v>
      </c>
      <c r="H366" t="n">
        <v>0</v>
      </c>
      <c r="I366" t="n">
        <v>0</v>
      </c>
      <c r="J366" t="n">
        <v>0</v>
      </c>
      <c r="K366" t="n">
        <v>0</v>
      </c>
      <c r="L366" t="n">
        <v>0</v>
      </c>
      <c r="M366" t="n">
        <v>0</v>
      </c>
      <c r="N366" t="n">
        <v>0</v>
      </c>
      <c r="O366" t="n">
        <v>0</v>
      </c>
      <c r="P366" t="n">
        <v>0</v>
      </c>
      <c r="Q366" t="n">
        <v>0</v>
      </c>
      <c r="R366" s="2" t="inlineStr"/>
    </row>
    <row r="367" ht="15" customHeight="1">
      <c r="A367" t="inlineStr">
        <is>
          <t>A 12664-2025</t>
        </is>
      </c>
      <c r="B367" s="1" t="n">
        <v>45733</v>
      </c>
      <c r="C367" s="1" t="n">
        <v>45907</v>
      </c>
      <c r="D367" t="inlineStr">
        <is>
          <t>NORRBOTTENS LÄN</t>
        </is>
      </c>
      <c r="E367" t="inlineStr">
        <is>
          <t>JOKKMOKK</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30305-2024</t>
        </is>
      </c>
      <c r="B368" s="1" t="n">
        <v>45490</v>
      </c>
      <c r="C368" s="1" t="n">
        <v>45907</v>
      </c>
      <c r="D368" t="inlineStr">
        <is>
          <t>NORRBOTTENS LÄN</t>
        </is>
      </c>
      <c r="E368" t="inlineStr">
        <is>
          <t>JOKKMOKK</t>
        </is>
      </c>
      <c r="G368" t="n">
        <v>1.5</v>
      </c>
      <c r="H368" t="n">
        <v>0</v>
      </c>
      <c r="I368" t="n">
        <v>0</v>
      </c>
      <c r="J368" t="n">
        <v>0</v>
      </c>
      <c r="K368" t="n">
        <v>0</v>
      </c>
      <c r="L368" t="n">
        <v>0</v>
      </c>
      <c r="M368" t="n">
        <v>0</v>
      </c>
      <c r="N368" t="n">
        <v>0</v>
      </c>
      <c r="O368" t="n">
        <v>0</v>
      </c>
      <c r="P368" t="n">
        <v>0</v>
      </c>
      <c r="Q368" t="n">
        <v>0</v>
      </c>
      <c r="R368" s="2" t="inlineStr"/>
    </row>
    <row r="369" ht="15" customHeight="1">
      <c r="A369" t="inlineStr">
        <is>
          <t>A 30308-2024</t>
        </is>
      </c>
      <c r="B369" s="1" t="n">
        <v>45490</v>
      </c>
      <c r="C369" s="1" t="n">
        <v>45907</v>
      </c>
      <c r="D369" t="inlineStr">
        <is>
          <t>NORRBOTTENS LÄN</t>
        </is>
      </c>
      <c r="E369" t="inlineStr">
        <is>
          <t>JOKKMOKK</t>
        </is>
      </c>
      <c r="G369" t="n">
        <v>2.2</v>
      </c>
      <c r="H369" t="n">
        <v>0</v>
      </c>
      <c r="I369" t="n">
        <v>0</v>
      </c>
      <c r="J369" t="n">
        <v>0</v>
      </c>
      <c r="K369" t="n">
        <v>0</v>
      </c>
      <c r="L369" t="n">
        <v>0</v>
      </c>
      <c r="M369" t="n">
        <v>0</v>
      </c>
      <c r="N369" t="n">
        <v>0</v>
      </c>
      <c r="O369" t="n">
        <v>0</v>
      </c>
      <c r="P369" t="n">
        <v>0</v>
      </c>
      <c r="Q369" t="n">
        <v>0</v>
      </c>
      <c r="R369" s="2" t="inlineStr"/>
    </row>
    <row r="370" ht="15" customHeight="1">
      <c r="A370" t="inlineStr">
        <is>
          <t>A 30310-2024</t>
        </is>
      </c>
      <c r="B370" s="1" t="n">
        <v>45490</v>
      </c>
      <c r="C370" s="1" t="n">
        <v>45907</v>
      </c>
      <c r="D370" t="inlineStr">
        <is>
          <t>NORRBOTTENS LÄN</t>
        </is>
      </c>
      <c r="E370" t="inlineStr">
        <is>
          <t>JOKKMOKK</t>
        </is>
      </c>
      <c r="G370" t="n">
        <v>2.3</v>
      </c>
      <c r="H370" t="n">
        <v>0</v>
      </c>
      <c r="I370" t="n">
        <v>0</v>
      </c>
      <c r="J370" t="n">
        <v>0</v>
      </c>
      <c r="K370" t="n">
        <v>0</v>
      </c>
      <c r="L370" t="n">
        <v>0</v>
      </c>
      <c r="M370" t="n">
        <v>0</v>
      </c>
      <c r="N370" t="n">
        <v>0</v>
      </c>
      <c r="O370" t="n">
        <v>0</v>
      </c>
      <c r="P370" t="n">
        <v>0</v>
      </c>
      <c r="Q370" t="n">
        <v>0</v>
      </c>
      <c r="R370" s="2" t="inlineStr"/>
    </row>
    <row r="371" ht="15" customHeight="1">
      <c r="A371" t="inlineStr">
        <is>
          <t>A 30312-2024</t>
        </is>
      </c>
      <c r="B371" s="1" t="n">
        <v>45490</v>
      </c>
      <c r="C371" s="1" t="n">
        <v>45907</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45907</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45907</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44646-2021</t>
        </is>
      </c>
      <c r="B374" s="1" t="n">
        <v>44437</v>
      </c>
      <c r="C374" s="1" t="n">
        <v>45907</v>
      </c>
      <c r="D374" t="inlineStr">
        <is>
          <t>NORRBOTTENS LÄN</t>
        </is>
      </c>
      <c r="E374" t="inlineStr">
        <is>
          <t>JOKKMOKK</t>
        </is>
      </c>
      <c r="G374" t="n">
        <v>10</v>
      </c>
      <c r="H374" t="n">
        <v>0</v>
      </c>
      <c r="I374" t="n">
        <v>0</v>
      </c>
      <c r="J374" t="n">
        <v>0</v>
      </c>
      <c r="K374" t="n">
        <v>0</v>
      </c>
      <c r="L374" t="n">
        <v>0</v>
      </c>
      <c r="M374" t="n">
        <v>0</v>
      </c>
      <c r="N374" t="n">
        <v>0</v>
      </c>
      <c r="O374" t="n">
        <v>0</v>
      </c>
      <c r="P374" t="n">
        <v>0</v>
      </c>
      <c r="Q374" t="n">
        <v>0</v>
      </c>
      <c r="R374" s="2" t="inlineStr"/>
    </row>
    <row r="375" ht="15" customHeight="1">
      <c r="A375" t="inlineStr">
        <is>
          <t>A 9878-2023</t>
        </is>
      </c>
      <c r="B375" s="1" t="n">
        <v>44984</v>
      </c>
      <c r="C375" s="1" t="n">
        <v>45907</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37827-2024</t>
        </is>
      </c>
      <c r="B376" s="1" t="n">
        <v>45544</v>
      </c>
      <c r="C376" s="1" t="n">
        <v>45907</v>
      </c>
      <c r="D376" t="inlineStr">
        <is>
          <t>NORRBOTTENS LÄN</t>
        </is>
      </c>
      <c r="E376" t="inlineStr">
        <is>
          <t>JOKKMOKK</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45907</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45907</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45907</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23023-2023</t>
        </is>
      </c>
      <c r="B380" s="1" t="n">
        <v>45073</v>
      </c>
      <c r="C380" s="1" t="n">
        <v>45907</v>
      </c>
      <c r="D380" t="inlineStr">
        <is>
          <t>NORRBOTTENS LÄN</t>
        </is>
      </c>
      <c r="E380" t="inlineStr">
        <is>
          <t>JOKKMOKK</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55491-2024</t>
        </is>
      </c>
      <c r="B381" s="1" t="n">
        <v>45622</v>
      </c>
      <c r="C381" s="1" t="n">
        <v>45907</v>
      </c>
      <c r="D381" t="inlineStr">
        <is>
          <t>NORRBOTTENS LÄN</t>
        </is>
      </c>
      <c r="E381" t="inlineStr">
        <is>
          <t>JOKKMOKK</t>
        </is>
      </c>
      <c r="F381" t="inlineStr">
        <is>
          <t>Allmännings- och besparingsskogar</t>
        </is>
      </c>
      <c r="G381" t="n">
        <v>25.2</v>
      </c>
      <c r="H381" t="n">
        <v>0</v>
      </c>
      <c r="I381" t="n">
        <v>0</v>
      </c>
      <c r="J381" t="n">
        <v>0</v>
      </c>
      <c r="K381" t="n">
        <v>0</v>
      </c>
      <c r="L381" t="n">
        <v>0</v>
      </c>
      <c r="M381" t="n">
        <v>0</v>
      </c>
      <c r="N381" t="n">
        <v>0</v>
      </c>
      <c r="O381" t="n">
        <v>0</v>
      </c>
      <c r="P381" t="n">
        <v>0</v>
      </c>
      <c r="Q381" t="n">
        <v>0</v>
      </c>
      <c r="R381" s="2" t="inlineStr"/>
    </row>
    <row r="382" ht="15" customHeight="1">
      <c r="A382" t="inlineStr">
        <is>
          <t>A 42639-2024</t>
        </is>
      </c>
      <c r="B382" s="1" t="n">
        <v>45565.91135416667</v>
      </c>
      <c r="C382" s="1" t="n">
        <v>45907</v>
      </c>
      <c r="D382" t="inlineStr">
        <is>
          <t>NORRBOTTENS LÄN</t>
        </is>
      </c>
      <c r="E382" t="inlineStr">
        <is>
          <t>JOKKMOKK</t>
        </is>
      </c>
      <c r="G382" t="n">
        <v>34.5</v>
      </c>
      <c r="H382" t="n">
        <v>0</v>
      </c>
      <c r="I382" t="n">
        <v>0</v>
      </c>
      <c r="J382" t="n">
        <v>0</v>
      </c>
      <c r="K382" t="n">
        <v>0</v>
      </c>
      <c r="L382" t="n">
        <v>0</v>
      </c>
      <c r="M382" t="n">
        <v>0</v>
      </c>
      <c r="N382" t="n">
        <v>0</v>
      </c>
      <c r="O382" t="n">
        <v>0</v>
      </c>
      <c r="P382" t="n">
        <v>0</v>
      </c>
      <c r="Q382" t="n">
        <v>0</v>
      </c>
      <c r="R382" s="2" t="inlineStr"/>
    </row>
    <row r="383" ht="15" customHeight="1">
      <c r="A383" t="inlineStr">
        <is>
          <t>A 61500-2024</t>
        </is>
      </c>
      <c r="B383" s="1" t="n">
        <v>45645</v>
      </c>
      <c r="C383" s="1" t="n">
        <v>45907</v>
      </c>
      <c r="D383" t="inlineStr">
        <is>
          <t>NORRBOTTENS LÄN</t>
        </is>
      </c>
      <c r="E383" t="inlineStr">
        <is>
          <t>JOKKMOKK</t>
        </is>
      </c>
      <c r="G383" t="n">
        <v>39.8</v>
      </c>
      <c r="H383" t="n">
        <v>0</v>
      </c>
      <c r="I383" t="n">
        <v>0</v>
      </c>
      <c r="J383" t="n">
        <v>0</v>
      </c>
      <c r="K383" t="n">
        <v>0</v>
      </c>
      <c r="L383" t="n">
        <v>0</v>
      </c>
      <c r="M383" t="n">
        <v>0</v>
      </c>
      <c r="N383" t="n">
        <v>0</v>
      </c>
      <c r="O383" t="n">
        <v>0</v>
      </c>
      <c r="P383" t="n">
        <v>0</v>
      </c>
      <c r="Q383" t="n">
        <v>0</v>
      </c>
      <c r="R383" s="2" t="inlineStr"/>
    </row>
    <row r="384" ht="15" customHeight="1">
      <c r="A384" t="inlineStr">
        <is>
          <t>A 11657-2024</t>
        </is>
      </c>
      <c r="B384" s="1" t="n">
        <v>45373</v>
      </c>
      <c r="C384" s="1" t="n">
        <v>45907</v>
      </c>
      <c r="D384" t="inlineStr">
        <is>
          <t>NORRBOTTENS LÄN</t>
        </is>
      </c>
      <c r="E384" t="inlineStr">
        <is>
          <t>JOKKMOKK</t>
        </is>
      </c>
      <c r="G384" t="n">
        <v>14.3</v>
      </c>
      <c r="H384" t="n">
        <v>0</v>
      </c>
      <c r="I384" t="n">
        <v>0</v>
      </c>
      <c r="J384" t="n">
        <v>0</v>
      </c>
      <c r="K384" t="n">
        <v>0</v>
      </c>
      <c r="L384" t="n">
        <v>0</v>
      </c>
      <c r="M384" t="n">
        <v>0</v>
      </c>
      <c r="N384" t="n">
        <v>0</v>
      </c>
      <c r="O384" t="n">
        <v>0</v>
      </c>
      <c r="P384" t="n">
        <v>0</v>
      </c>
      <c r="Q384" t="n">
        <v>0</v>
      </c>
      <c r="R384" s="2" t="inlineStr"/>
    </row>
    <row r="385" ht="15" customHeight="1">
      <c r="A385" t="inlineStr">
        <is>
          <t>A 30511-2023</t>
        </is>
      </c>
      <c r="B385" s="1" t="n">
        <v>45111</v>
      </c>
      <c r="C385" s="1" t="n">
        <v>45907</v>
      </c>
      <c r="D385" t="inlineStr">
        <is>
          <t>NORRBOTTENS LÄN</t>
        </is>
      </c>
      <c r="E385" t="inlineStr">
        <is>
          <t>JOKKMOKK</t>
        </is>
      </c>
      <c r="G385" t="n">
        <v>0.9</v>
      </c>
      <c r="H385" t="n">
        <v>0</v>
      </c>
      <c r="I385" t="n">
        <v>0</v>
      </c>
      <c r="J385" t="n">
        <v>0</v>
      </c>
      <c r="K385" t="n">
        <v>0</v>
      </c>
      <c r="L385" t="n">
        <v>0</v>
      </c>
      <c r="M385" t="n">
        <v>0</v>
      </c>
      <c r="N385" t="n">
        <v>0</v>
      </c>
      <c r="O385" t="n">
        <v>0</v>
      </c>
      <c r="P385" t="n">
        <v>0</v>
      </c>
      <c r="Q385" t="n">
        <v>0</v>
      </c>
      <c r="R385" s="2" t="inlineStr"/>
    </row>
    <row r="386" ht="15" customHeight="1">
      <c r="A386" t="inlineStr">
        <is>
          <t>A 32853-2024</t>
        </is>
      </c>
      <c r="B386" s="1" t="n">
        <v>45516.63964120371</v>
      </c>
      <c r="C386" s="1" t="n">
        <v>45907</v>
      </c>
      <c r="D386" t="inlineStr">
        <is>
          <t>NORRBOTTENS LÄN</t>
        </is>
      </c>
      <c r="E386" t="inlineStr">
        <is>
          <t>JOKKMOKK</t>
        </is>
      </c>
      <c r="F386" t="inlineStr">
        <is>
          <t>Sveaskog</t>
        </is>
      </c>
      <c r="G386" t="n">
        <v>40.4</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45907</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2031-2025</t>
        </is>
      </c>
      <c r="B388" s="1" t="n">
        <v>45672</v>
      </c>
      <c r="C388" s="1" t="n">
        <v>45907</v>
      </c>
      <c r="D388" t="inlineStr">
        <is>
          <t>NORRBOTTENS LÄN</t>
        </is>
      </c>
      <c r="E388" t="inlineStr">
        <is>
          <t>JOKKMOKK</t>
        </is>
      </c>
      <c r="F388" t="inlineStr">
        <is>
          <t>Övriga statliga verk och myndigheter</t>
        </is>
      </c>
      <c r="G388" t="n">
        <v>7.5</v>
      </c>
      <c r="H388" t="n">
        <v>0</v>
      </c>
      <c r="I388" t="n">
        <v>0</v>
      </c>
      <c r="J388" t="n">
        <v>0</v>
      </c>
      <c r="K388" t="n">
        <v>0</v>
      </c>
      <c r="L388" t="n">
        <v>0</v>
      </c>
      <c r="M388" t="n">
        <v>0</v>
      </c>
      <c r="N388" t="n">
        <v>0</v>
      </c>
      <c r="O388" t="n">
        <v>0</v>
      </c>
      <c r="P388" t="n">
        <v>0</v>
      </c>
      <c r="Q388" t="n">
        <v>0</v>
      </c>
      <c r="R388" s="2" t="inlineStr"/>
    </row>
    <row r="389" ht="15" customHeight="1">
      <c r="A389" t="inlineStr">
        <is>
          <t>A 46418-2023</t>
        </is>
      </c>
      <c r="B389" s="1" t="n">
        <v>45197</v>
      </c>
      <c r="C389" s="1" t="n">
        <v>45907</v>
      </c>
      <c r="D389" t="inlineStr">
        <is>
          <t>NORRBOTTENS LÄN</t>
        </is>
      </c>
      <c r="E389" t="inlineStr">
        <is>
          <t>JOKKMOKK</t>
        </is>
      </c>
      <c r="G389" t="n">
        <v>7.4</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45907</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56412-2021</t>
        </is>
      </c>
      <c r="B391" s="1" t="n">
        <v>44477</v>
      </c>
      <c r="C391" s="1" t="n">
        <v>45907</v>
      </c>
      <c r="D391" t="inlineStr">
        <is>
          <t>NORRBOTTENS LÄN</t>
        </is>
      </c>
      <c r="E391" t="inlineStr">
        <is>
          <t>JOKKMOKK</t>
        </is>
      </c>
      <c r="G391" t="n">
        <v>2.5</v>
      </c>
      <c r="H391" t="n">
        <v>0</v>
      </c>
      <c r="I391" t="n">
        <v>0</v>
      </c>
      <c r="J391" t="n">
        <v>0</v>
      </c>
      <c r="K391" t="n">
        <v>0</v>
      </c>
      <c r="L391" t="n">
        <v>0</v>
      </c>
      <c r="M391" t="n">
        <v>0</v>
      </c>
      <c r="N391" t="n">
        <v>0</v>
      </c>
      <c r="O391" t="n">
        <v>0</v>
      </c>
      <c r="P391" t="n">
        <v>0</v>
      </c>
      <c r="Q391" t="n">
        <v>0</v>
      </c>
      <c r="R391" s="2" t="inlineStr"/>
    </row>
    <row r="392" ht="15" customHeight="1">
      <c r="A392" t="inlineStr">
        <is>
          <t>A 56199-2021</t>
        </is>
      </c>
      <c r="B392" s="1" t="n">
        <v>44477</v>
      </c>
      <c r="C392" s="1" t="n">
        <v>45907</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16018-2024</t>
        </is>
      </c>
      <c r="B393" s="1" t="n">
        <v>45405.67028935185</v>
      </c>
      <c r="C393" s="1" t="n">
        <v>45907</v>
      </c>
      <c r="D393" t="inlineStr">
        <is>
          <t>NORRBOTTENS LÄN</t>
        </is>
      </c>
      <c r="E393" t="inlineStr">
        <is>
          <t>JOKKMOKK</t>
        </is>
      </c>
      <c r="G393" t="n">
        <v>1.8</v>
      </c>
      <c r="H393" t="n">
        <v>0</v>
      </c>
      <c r="I393" t="n">
        <v>0</v>
      </c>
      <c r="J393" t="n">
        <v>0</v>
      </c>
      <c r="K393" t="n">
        <v>0</v>
      </c>
      <c r="L393" t="n">
        <v>0</v>
      </c>
      <c r="M393" t="n">
        <v>0</v>
      </c>
      <c r="N393" t="n">
        <v>0</v>
      </c>
      <c r="O393" t="n">
        <v>0</v>
      </c>
      <c r="P393" t="n">
        <v>0</v>
      </c>
      <c r="Q393" t="n">
        <v>0</v>
      </c>
      <c r="R393" s="2" t="inlineStr"/>
    </row>
    <row r="394" ht="15" customHeight="1">
      <c r="A394" t="inlineStr">
        <is>
          <t>A 14869-2025</t>
        </is>
      </c>
      <c r="B394" s="1" t="n">
        <v>45743.44828703703</v>
      </c>
      <c r="C394" s="1" t="n">
        <v>45907</v>
      </c>
      <c r="D394" t="inlineStr">
        <is>
          <t>NORRBOTTENS LÄN</t>
        </is>
      </c>
      <c r="E394" t="inlineStr">
        <is>
          <t>JOKKMOKK</t>
        </is>
      </c>
      <c r="G394" t="n">
        <v>4.9</v>
      </c>
      <c r="H394" t="n">
        <v>0</v>
      </c>
      <c r="I394" t="n">
        <v>0</v>
      </c>
      <c r="J394" t="n">
        <v>0</v>
      </c>
      <c r="K394" t="n">
        <v>0</v>
      </c>
      <c r="L394" t="n">
        <v>0</v>
      </c>
      <c r="M394" t="n">
        <v>0</v>
      </c>
      <c r="N394" t="n">
        <v>0</v>
      </c>
      <c r="O394" t="n">
        <v>0</v>
      </c>
      <c r="P394" t="n">
        <v>0</v>
      </c>
      <c r="Q394" t="n">
        <v>0</v>
      </c>
      <c r="R394" s="2" t="inlineStr"/>
    </row>
    <row r="395" ht="15" customHeight="1">
      <c r="A395" t="inlineStr">
        <is>
          <t>A 43997-2024</t>
        </is>
      </c>
      <c r="B395" s="1" t="n">
        <v>45572.54165509259</v>
      </c>
      <c r="C395" s="1" t="n">
        <v>45907</v>
      </c>
      <c r="D395" t="inlineStr">
        <is>
          <t>NORRBOTTENS LÄN</t>
        </is>
      </c>
      <c r="E395" t="inlineStr">
        <is>
          <t>JOKKMOKK</t>
        </is>
      </c>
      <c r="F395" t="inlineStr">
        <is>
          <t>Sveaskog</t>
        </is>
      </c>
      <c r="G395" t="n">
        <v>17.4</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45907</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52564-2024</t>
        </is>
      </c>
      <c r="B397" s="1" t="n">
        <v>45609</v>
      </c>
      <c r="C397" s="1" t="n">
        <v>45907</v>
      </c>
      <c r="D397" t="inlineStr">
        <is>
          <t>NORRBOTTENS LÄN</t>
        </is>
      </c>
      <c r="E397" t="inlineStr">
        <is>
          <t>JOKKMOKK</t>
        </is>
      </c>
      <c r="F397" t="inlineStr">
        <is>
          <t>Allmännings- och besparingsskogar</t>
        </is>
      </c>
      <c r="G397" t="n">
        <v>16.5</v>
      </c>
      <c r="H397" t="n">
        <v>0</v>
      </c>
      <c r="I397" t="n">
        <v>0</v>
      </c>
      <c r="J397" t="n">
        <v>0</v>
      </c>
      <c r="K397" t="n">
        <v>0</v>
      </c>
      <c r="L397" t="n">
        <v>0</v>
      </c>
      <c r="M397" t="n">
        <v>0</v>
      </c>
      <c r="N397" t="n">
        <v>0</v>
      </c>
      <c r="O397" t="n">
        <v>0</v>
      </c>
      <c r="P397" t="n">
        <v>0</v>
      </c>
      <c r="Q397" t="n">
        <v>0</v>
      </c>
      <c r="R397" s="2" t="inlineStr"/>
    </row>
    <row r="398">
      <c r="A398" t="inlineStr">
        <is>
          <t>A 31209-2023</t>
        </is>
      </c>
      <c r="B398" s="1" t="n">
        <v>45113.95096064815</v>
      </c>
      <c r="C398" s="1" t="n">
        <v>45907</v>
      </c>
      <c r="D398" t="inlineStr">
        <is>
          <t>NORRBOTTENS LÄN</t>
        </is>
      </c>
      <c r="E398" t="inlineStr">
        <is>
          <t>JOKKMOKK</t>
        </is>
      </c>
      <c r="F398" t="inlineStr">
        <is>
          <t>SCA</t>
        </is>
      </c>
      <c r="G398" t="n">
        <v>5.7</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2025-09-07T09:00:31Z</dcterms:created>
  <dcterms:modified xmlns:dcterms="http://purl.org/dc/terms/" xmlns:xsi="http://www.w3.org/2001/XMLSchema-instance" xsi:type="dcterms:W3CDTF">2025-09-07T09:00:31Z</dcterms:modified>
</cp:coreProperties>
</file>