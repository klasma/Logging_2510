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46279</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46279</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46279</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46279</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46279</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46279</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46279</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46279</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32992-2026</t>
        </is>
      </c>
      <c r="B10" t="inlineStr">
        <is>
          <t>avverkningsanmälan</t>
        </is>
      </c>
      <c r="C10" t="inlineStr">
        <is>
          <t>Föryngringsavverkning</t>
        </is>
      </c>
      <c r="D10" s="1" t="n">
        <v>46244</v>
      </c>
      <c r="E10" s="1" t="n">
        <v>46279</v>
      </c>
      <c r="F10" t="inlineStr">
        <is>
          <t>NORRBOTTENS LÄN</t>
        </is>
      </c>
      <c r="G10" t="inlineStr">
        <is>
          <t>JOKKMOKK</t>
        </is>
      </c>
      <c r="H10" t="inlineStr">
        <is>
          <t>Sveaskog</t>
        </is>
      </c>
      <c r="I10" t="n">
        <v>13.7</v>
      </c>
      <c r="J10" t="n">
        <v>2</v>
      </c>
      <c r="K10" t="n">
        <v>0</v>
      </c>
      <c r="L10" t="n">
        <v>16</v>
      </c>
      <c r="M10" t="n">
        <v>5</v>
      </c>
      <c r="N10" t="n">
        <v>0</v>
      </c>
      <c r="O10" t="n">
        <v>0</v>
      </c>
      <c r="P10" t="n">
        <v>0</v>
      </c>
      <c r="Q10" t="n">
        <v>21</v>
      </c>
      <c r="R10" t="n">
        <v>5</v>
      </c>
      <c r="S10" t="n">
        <v>22</v>
      </c>
      <c r="T10" t="n">
        <v>105</v>
      </c>
      <c r="U10" t="n">
        <v>97</v>
      </c>
      <c r="V10"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53217-2023</t>
        </is>
      </c>
      <c r="B11" t="inlineStr">
        <is>
          <t>avverkningsanmälan</t>
        </is>
      </c>
      <c r="C11" t="inlineStr">
        <is>
          <t>Föryngringsavverkning</t>
        </is>
      </c>
      <c r="D11" s="1" t="n">
        <v>45222</v>
      </c>
      <c r="E11" s="1" t="n">
        <v>46279</v>
      </c>
      <c r="F11" t="inlineStr">
        <is>
          <t>NORRBOTTENS LÄN</t>
        </is>
      </c>
      <c r="G11" t="inlineStr">
        <is>
          <t>JOKKMOKK</t>
        </is>
      </c>
      <c r="H11" t="inlineStr">
        <is>
          <t>Övriga statliga verk och myndigheter</t>
        </is>
      </c>
      <c r="I11" t="n">
        <v>7.6</v>
      </c>
      <c r="J11" t="n">
        <v>6</v>
      </c>
      <c r="K11" t="n">
        <v>3</v>
      </c>
      <c r="L11" t="n">
        <v>12</v>
      </c>
      <c r="M11" t="n">
        <v>5</v>
      </c>
      <c r="N11" t="n">
        <v>1</v>
      </c>
      <c r="O11" t="n">
        <v>0</v>
      </c>
      <c r="P11" t="n">
        <v>0</v>
      </c>
      <c r="Q11" t="n">
        <v>18</v>
      </c>
      <c r="R11" t="n">
        <v>6</v>
      </c>
      <c r="S11" t="n">
        <v>21</v>
      </c>
      <c r="T11" t="n">
        <v>30</v>
      </c>
      <c r="U11" t="n">
        <v>27</v>
      </c>
      <c r="V1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1">
        <f>HYPERLINK("https://klasma.github.io/Logging_2510/artfynd/A 53217-2023 artfynd.xlsx", "A 53217-2023")</f>
        <v/>
      </c>
      <c r="X11">
        <f>HYPERLINK("https://klasma.github.io/Logging_2510/kartor/A 53217-2023 karta.png", "A 53217-2023")</f>
        <v/>
      </c>
      <c r="Y11">
        <f>HYPERLINK("https://klasma.github.io/Logging_2510/kartor_geotiff/A 53217-2023 georefererad karta.tif", "A 53217-2023")</f>
        <v/>
      </c>
      <c r="Z11">
        <f>HYPERLINK("https://klasma.github.io/Logging_2510/knärot/A 53217-2023 karta knärot.png", "A 53217-2023")</f>
        <v/>
      </c>
      <c r="AA11">
        <f>HYPERLINK("https://klasma.github.io/Logging_2510/klagomål/A 53217-2023 FSC-klagomål.docx", "A 53217-2023")</f>
        <v/>
      </c>
      <c r="AB11">
        <f>HYPERLINK("https://klasma.github.io/Logging_2510/klagomålsmail/A 53217-2023 FSC-klagomål mail.docx", "A 53217-2023")</f>
        <v/>
      </c>
      <c r="AC11">
        <f>HYPERLINK("https://klasma.github.io/Logging_2510/tillsyn/A 53217-2023 tillsynsbegäran.docx", "A 53217-2023")</f>
        <v/>
      </c>
      <c r="AD11">
        <f>HYPERLINK("https://klasma.github.io/Logging_2510/tillsynsmail/A 53217-2023 tillsynsbegäran mail.docx", "A 53217-2023")</f>
        <v/>
      </c>
      <c r="AE11">
        <f>HYPERLINK("https://klasma.github.io/Logging_2510/fåglar/A 53217-2023 prioriterade fågelarter.docx", "A 53217-2023")</f>
        <v/>
      </c>
    </row>
    <row r="12" ht="15" customHeight="1">
      <c r="A12" t="inlineStr">
        <is>
          <t>A 3821-2026</t>
        </is>
      </c>
      <c r="B12" t="inlineStr">
        <is>
          <t>avverkningsanmälan</t>
        </is>
      </c>
      <c r="C12" t="inlineStr">
        <is>
          <t>Föryngringsavverkning</t>
        </is>
      </c>
      <c r="D12" s="1" t="n">
        <v>46043</v>
      </c>
      <c r="E12" s="1" t="n">
        <v>46279</v>
      </c>
      <c r="F12" t="inlineStr">
        <is>
          <t>NORRBOTTENS LÄN</t>
        </is>
      </c>
      <c r="G12" t="inlineStr">
        <is>
          <t>JOKKMOKK</t>
        </is>
      </c>
      <c r="I12" t="n">
        <v>15.7</v>
      </c>
      <c r="J12" t="n">
        <v>2</v>
      </c>
      <c r="K12" t="n">
        <v>4</v>
      </c>
      <c r="L12" t="n">
        <v>14</v>
      </c>
      <c r="M12" t="n">
        <v>3</v>
      </c>
      <c r="N12" t="n">
        <v>0</v>
      </c>
      <c r="O12" t="n">
        <v>0</v>
      </c>
      <c r="P12" t="n">
        <v>0</v>
      </c>
      <c r="Q12" t="n">
        <v>17</v>
      </c>
      <c r="R12" t="n">
        <v>3</v>
      </c>
      <c r="S12" t="n">
        <v>21</v>
      </c>
      <c r="T12" t="n">
        <v>60</v>
      </c>
      <c r="U12" t="n">
        <v>60</v>
      </c>
      <c r="V12"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2">
        <f>HYPERLINK("https://klasma.github.io/Logging_2510/artfynd/A 3821-2026 artfynd.xlsx", "A 3821-2026")</f>
        <v/>
      </c>
      <c r="X12">
        <f>HYPERLINK("https://klasma.github.io/Logging_2510/kartor/A 3821-2026 karta.png", "A 3821-2026")</f>
        <v/>
      </c>
      <c r="Y12">
        <f>HYPERLINK("https://klasma.github.io/Logging_2510/kartor_geotiff/A 3821-2026 georefererad karta.tif", "A 3821-2026")</f>
        <v/>
      </c>
      <c r="AA12">
        <f>HYPERLINK("https://klasma.github.io/Logging_2510/klagomål/A 3821-2026 FSC-klagomål.docx", "A 3821-2026")</f>
        <v/>
      </c>
      <c r="AB12">
        <f>HYPERLINK("https://klasma.github.io/Logging_2510/klagomålsmail/A 3821-2026 FSC-klagomål mail.docx", "A 3821-2026")</f>
        <v/>
      </c>
      <c r="AC12">
        <f>HYPERLINK("https://klasma.github.io/Logging_2510/tillsyn/A 3821-2026 tillsynsbegäran.docx", "A 3821-2026")</f>
        <v/>
      </c>
      <c r="AD12">
        <f>HYPERLINK("https://klasma.github.io/Logging_2510/tillsynsmail/A 3821-2026 tillsynsbegäran mail.docx", "A 3821-2026")</f>
        <v/>
      </c>
      <c r="AE12">
        <f>HYPERLINK("https://klasma.github.io/Logging_2510/fåglar/A 3821-2026 prioriterade fågelarter.docx", "A 3821-2026")</f>
        <v/>
      </c>
    </row>
    <row r="13" ht="15" customHeight="1">
      <c r="A13" t="inlineStr">
        <is>
          <t>A 2025-2025</t>
        </is>
      </c>
      <c r="B13" t="inlineStr">
        <is>
          <t>avverkningsanmälan</t>
        </is>
      </c>
      <c r="C13" t="inlineStr">
        <is>
          <t>Föryngringsavverkning</t>
        </is>
      </c>
      <c r="D13" s="1" t="n">
        <v>45672</v>
      </c>
      <c r="E13" s="1" t="n">
        <v>46279</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46279</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46279</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28063-2024</t>
        </is>
      </c>
      <c r="B16" t="inlineStr">
        <is>
          <t>avverkningsanmälan</t>
        </is>
      </c>
      <c r="C16" t="inlineStr">
        <is>
          <t>Föryngringsavverkning</t>
        </is>
      </c>
      <c r="D16" s="1" t="n">
        <v>45476</v>
      </c>
      <c r="E16" s="1" t="n">
        <v>46279</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58410-2025</t>
        </is>
      </c>
      <c r="B17" t="inlineStr">
        <is>
          <t>avverkningsanmälan</t>
        </is>
      </c>
      <c r="C17" t="inlineStr">
        <is>
          <t>Avverkning för att bevara och utveckla /försöksver</t>
        </is>
      </c>
      <c r="D17" s="1" t="n">
        <v>45985</v>
      </c>
      <c r="E17" s="1" t="n">
        <v>46279</v>
      </c>
      <c r="F17" t="inlineStr">
        <is>
          <t>NORRBOTTENS LÄN</t>
        </is>
      </c>
      <c r="G17" t="inlineStr">
        <is>
          <t>JOKKMOKK</t>
        </is>
      </c>
      <c r="H17" t="inlineStr">
        <is>
          <t>SCA</t>
        </is>
      </c>
      <c r="I17" t="n">
        <v>31.4</v>
      </c>
      <c r="J17" t="n">
        <v>0</v>
      </c>
      <c r="K17" t="n">
        <v>1</v>
      </c>
      <c r="L17" t="n">
        <v>8</v>
      </c>
      <c r="M17" t="n">
        <v>9</v>
      </c>
      <c r="N17" t="n">
        <v>0</v>
      </c>
      <c r="O17" t="n">
        <v>0</v>
      </c>
      <c r="P17" t="n">
        <v>0</v>
      </c>
      <c r="Q17" t="n">
        <v>17</v>
      </c>
      <c r="R17" t="n">
        <v>9</v>
      </c>
      <c r="S17" t="n">
        <v>18</v>
      </c>
      <c r="T17" t="n">
        <v>104</v>
      </c>
      <c r="U17" t="n">
        <v>1</v>
      </c>
      <c r="V1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7">
        <f>HYPERLINK("https://klasma.github.io/Logging_2510/artfynd/A 58410-2025 artfynd.xlsx", "A 58410-2025")</f>
        <v/>
      </c>
      <c r="X17">
        <f>HYPERLINK("https://klasma.github.io/Logging_2510/kartor/A 58410-2025 karta.png", "A 58410-2025")</f>
        <v/>
      </c>
      <c r="Y17">
        <f>HYPERLINK("https://klasma.github.io/Logging_2510/kartor_geotiff/A 58410-2025 georefererad karta.tif", "A 58410-2025")</f>
        <v/>
      </c>
      <c r="AA17">
        <f>HYPERLINK("https://klasma.github.io/Logging_2510/klagomål/A 58410-2025 FSC-klagomål.docx", "A 58410-2025")</f>
        <v/>
      </c>
      <c r="AB17">
        <f>HYPERLINK("https://klasma.github.io/Logging_2510/klagomålsmail/A 58410-2025 FSC-klagomål mail.docx", "A 58410-2025")</f>
        <v/>
      </c>
      <c r="AC17">
        <f>HYPERLINK("https://klasma.github.io/Logging_2510/tillsyn/A 58410-2025 tillsynsbegäran.docx", "A 58410-2025")</f>
        <v/>
      </c>
      <c r="AD17">
        <f>HYPERLINK("https://klasma.github.io/Logging_2510/tillsynsmail/A 58410-2025 tillsynsbegäran mail.docx", "A 58410-2025")</f>
        <v/>
      </c>
    </row>
    <row r="18" ht="15" customHeight="1">
      <c r="A18" t="inlineStr">
        <is>
          <t>A 55330-2023</t>
        </is>
      </c>
      <c r="B18" t="inlineStr">
        <is>
          <t>avverkningsanmälan</t>
        </is>
      </c>
      <c r="C18" t="inlineStr">
        <is>
          <t>Föryngringsavverkning</t>
        </is>
      </c>
      <c r="D18" s="1" t="n">
        <v>45237</v>
      </c>
      <c r="E18" s="1" t="n">
        <v>46279</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61760-2024</t>
        </is>
      </c>
      <c r="B19" t="inlineStr">
        <is>
          <t>avverkningsanmälan</t>
        </is>
      </c>
      <c r="C19" t="inlineStr">
        <is>
          <t>Föryngringsavverkning</t>
        </is>
      </c>
      <c r="D19" s="1" t="n">
        <v>45649</v>
      </c>
      <c r="E19" s="1" t="n">
        <v>46279</v>
      </c>
      <c r="F19" t="inlineStr">
        <is>
          <t>NORRBOTTENS LÄN</t>
        </is>
      </c>
      <c r="G19" t="inlineStr">
        <is>
          <t>JOKKMOKK</t>
        </is>
      </c>
      <c r="H19" t="inlineStr">
        <is>
          <t>Övriga statliga verk och myndigheter</t>
        </is>
      </c>
      <c r="I19" t="n">
        <v>19.3</v>
      </c>
      <c r="J19" t="n">
        <v>3</v>
      </c>
      <c r="K19" t="n">
        <v>2</v>
      </c>
      <c r="L19" t="n">
        <v>11</v>
      </c>
      <c r="M19" t="n">
        <v>3</v>
      </c>
      <c r="N19" t="n">
        <v>0</v>
      </c>
      <c r="O19" t="n">
        <v>0</v>
      </c>
      <c r="P19" t="n">
        <v>0</v>
      </c>
      <c r="Q19" t="n">
        <v>14</v>
      </c>
      <c r="R19" t="n">
        <v>3</v>
      </c>
      <c r="S19" t="n">
        <v>16</v>
      </c>
      <c r="T19" t="n">
        <v>44</v>
      </c>
      <c r="U19" t="n">
        <v>44</v>
      </c>
      <c r="V19" s="2" t="inlineStr">
        <is>
          <t>Fläckporing
Gräddporing
Gränsticka
Blanksvart spiklav
Dropptaggsvamp
Kolflarnlav
Lavskrika
Mörk kolflarnlav
Nordtagging
Talltagel
Tretåig hackspett
Vaddporing
Vedflamlav
Vedskivlav
Blodticka
Plattlummer</t>
        </is>
      </c>
      <c r="W19">
        <f>HYPERLINK("https://klasma.github.io/Logging_2510/artfynd/A 61760-2024 artfynd.xlsx", "A 61760-2024")</f>
        <v/>
      </c>
      <c r="X19">
        <f>HYPERLINK("https://klasma.github.io/Logging_2510/kartor/A 61760-2024 karta.png", "A 61760-2024")</f>
        <v/>
      </c>
      <c r="Y19">
        <f>HYPERLINK("https://klasma.github.io/Logging_2510/kartor_geotiff/A 61760-2024 georefererad karta.tif", "A 61760-2024")</f>
        <v/>
      </c>
      <c r="AA19">
        <f>HYPERLINK("https://klasma.github.io/Logging_2510/klagomål/A 61760-2024 FSC-klagomål.docx", "A 61760-2024")</f>
        <v/>
      </c>
      <c r="AB19">
        <f>HYPERLINK("https://klasma.github.io/Logging_2510/klagomålsmail/A 61760-2024 FSC-klagomål mail.docx", "A 61760-2024")</f>
        <v/>
      </c>
      <c r="AC19">
        <f>HYPERLINK("https://klasma.github.io/Logging_2510/tillsyn/A 61760-2024 tillsynsbegäran.docx", "A 61760-2024")</f>
        <v/>
      </c>
      <c r="AD19">
        <f>HYPERLINK("https://klasma.github.io/Logging_2510/tillsynsmail/A 61760-2024 tillsynsbegäran mail.docx", "A 61760-2024")</f>
        <v/>
      </c>
      <c r="AE19">
        <f>HYPERLINK("https://klasma.github.io/Logging_2510/fåglar/A 61760-2024 prioriterade fågelarter.docx", "A 61760-2024")</f>
        <v/>
      </c>
    </row>
    <row r="20" ht="15" customHeight="1">
      <c r="A20" t="inlineStr">
        <is>
          <t>A 63190-2025</t>
        </is>
      </c>
      <c r="B20" t="inlineStr">
        <is>
          <t>avverkningsanmälan</t>
        </is>
      </c>
      <c r="C20" t="inlineStr">
        <is>
          <t>Föryngringsavverkning</t>
        </is>
      </c>
      <c r="D20" s="1" t="n">
        <v>46010</v>
      </c>
      <c r="E20" s="1" t="n">
        <v>46279</v>
      </c>
      <c r="F20" t="inlineStr">
        <is>
          <t>NORRBOTTENS LÄN</t>
        </is>
      </c>
      <c r="G20" t="inlineStr">
        <is>
          <t>JOKKMOKK</t>
        </is>
      </c>
      <c r="I20" t="n">
        <v>11.4</v>
      </c>
      <c r="J20" t="n">
        <v>3</v>
      </c>
      <c r="K20" t="n">
        <v>1</v>
      </c>
      <c r="L20" t="n">
        <v>11</v>
      </c>
      <c r="M20" t="n">
        <v>3</v>
      </c>
      <c r="N20" t="n">
        <v>0</v>
      </c>
      <c r="O20" t="n">
        <v>0</v>
      </c>
      <c r="P20" t="n">
        <v>0</v>
      </c>
      <c r="Q20" t="n">
        <v>14</v>
      </c>
      <c r="R20" t="n">
        <v>3</v>
      </c>
      <c r="S20" t="n">
        <v>16</v>
      </c>
      <c r="T20" t="n">
        <v>31</v>
      </c>
      <c r="U20" t="n">
        <v>31</v>
      </c>
      <c r="V20" s="2" t="inlineStr">
        <is>
          <t>Gräddporing
Smalfotad taggsvamp
Tajgataggsvamp
Blå taggsvamp
Dropptaggsvamp
Dvärgbägarlav
Mjölsvärting
Skarp dropptaggsvamp
Svartvit taggsvamp
Talltaggsvamp
Talltita
Vaxspindling
Vedskivlav
Vitplätt
Plattlummer
Tjäder</t>
        </is>
      </c>
      <c r="W20">
        <f>HYPERLINK("https://klasma.github.io/Logging_2510/artfynd/A 63190-2025 artfynd.xlsx", "A 63190-2025")</f>
        <v/>
      </c>
      <c r="X20">
        <f>HYPERLINK("https://klasma.github.io/Logging_2510/kartor/A 63190-2025 karta.png", "A 63190-2025")</f>
        <v/>
      </c>
      <c r="Y20">
        <f>HYPERLINK("https://klasma.github.io/Logging_2510/kartor_geotiff/A 63190-2025 georefererad karta.tif", "A 63190-2025")</f>
        <v/>
      </c>
      <c r="AA20">
        <f>HYPERLINK("https://klasma.github.io/Logging_2510/klagomål/A 63190-2025 FSC-klagomål.docx", "A 63190-2025")</f>
        <v/>
      </c>
      <c r="AB20">
        <f>HYPERLINK("https://klasma.github.io/Logging_2510/klagomålsmail/A 63190-2025 FSC-klagomål mail.docx", "A 63190-2025")</f>
        <v/>
      </c>
      <c r="AC20">
        <f>HYPERLINK("https://klasma.github.io/Logging_2510/tillsyn/A 63190-2025 tillsynsbegäran.docx", "A 63190-2025")</f>
        <v/>
      </c>
      <c r="AD20">
        <f>HYPERLINK("https://klasma.github.io/Logging_2510/tillsynsmail/A 63190-2025 tillsynsbegäran mail.docx", "A 63190-2025")</f>
        <v/>
      </c>
      <c r="AE20">
        <f>HYPERLINK("https://klasma.github.io/Logging_2510/fåglar/A 63190-2025 prioriterade fågelarter.docx", "A 63190-2025")</f>
        <v/>
      </c>
    </row>
    <row r="21" ht="15" customHeight="1">
      <c r="A21" t="inlineStr">
        <is>
          <t>A 60025-2025</t>
        </is>
      </c>
      <c r="B21" t="inlineStr">
        <is>
          <t>avverkningsanmälan</t>
        </is>
      </c>
      <c r="C21" t="inlineStr">
        <is>
          <t>Föryngringsavverkning</t>
        </is>
      </c>
      <c r="D21" s="1" t="n">
        <v>45993</v>
      </c>
      <c r="E21" s="1" t="n">
        <v>46279</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46279</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54960-2021</t>
        </is>
      </c>
      <c r="B23" t="inlineStr">
        <is>
          <t>avverkningsanmälan</t>
        </is>
      </c>
      <c r="C23" t="inlineStr">
        <is>
          <t>Föryngringsavverkning</t>
        </is>
      </c>
      <c r="D23" s="1" t="n">
        <v>44474</v>
      </c>
      <c r="E23" s="1" t="n">
        <v>46279</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24072-2022</t>
        </is>
      </c>
      <c r="B24" t="inlineStr">
        <is>
          <t>avverkningsanmälan</t>
        </is>
      </c>
      <c r="C24" t="inlineStr">
        <is>
          <t>Föryngringsavverkning</t>
        </is>
      </c>
      <c r="D24" s="1" t="n">
        <v>44722</v>
      </c>
      <c r="E24" s="1" t="n">
        <v>46279</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46279</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46279</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46279</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46279</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60161-2025</t>
        </is>
      </c>
      <c r="B29" t="inlineStr">
        <is>
          <t>avverkningsanmälan</t>
        </is>
      </c>
      <c r="C29" t="inlineStr">
        <is>
          <t>Föryngringsavverkning</t>
        </is>
      </c>
      <c r="D29" s="1" t="n">
        <v>45994</v>
      </c>
      <c r="E29" s="1" t="n">
        <v>46279</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58565-2025</t>
        </is>
      </c>
      <c r="B30" t="inlineStr">
        <is>
          <t>avverkningsanmälan</t>
        </is>
      </c>
      <c r="C30" t="inlineStr">
        <is>
          <t>Avverkning för att bevara och utveckla /försöksver</t>
        </is>
      </c>
      <c r="D30" s="1" t="n">
        <v>45986</v>
      </c>
      <c r="E30" s="1" t="n">
        <v>46279</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49479-2024</t>
        </is>
      </c>
      <c r="B31" t="inlineStr">
        <is>
          <t>avverkningsanmälan</t>
        </is>
      </c>
      <c r="C31" t="inlineStr">
        <is>
          <t>Föryngringsavverkning</t>
        </is>
      </c>
      <c r="D31" s="1" t="n">
        <v>45596</v>
      </c>
      <c r="E31" s="1" t="n">
        <v>46279</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28052-2024</t>
        </is>
      </c>
      <c r="B32" t="inlineStr">
        <is>
          <t>avverkningsanmälan</t>
        </is>
      </c>
      <c r="C32" t="inlineStr">
        <is>
          <t>Föryngringsavverkning</t>
        </is>
      </c>
      <c r="D32" s="1" t="n">
        <v>45476</v>
      </c>
      <c r="E32" s="1" t="n">
        <v>46279</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46279</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30</v>
      </c>
      <c r="U33" t="n">
        <v>29</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46279</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46279</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3509-2026</t>
        </is>
      </c>
      <c r="B36" t="inlineStr">
        <is>
          <t>avverkningsanmälan</t>
        </is>
      </c>
      <c r="C36" t="inlineStr">
        <is>
          <t>Föryngringsavverkning</t>
        </is>
      </c>
      <c r="D36" s="1" t="n">
        <v>46042</v>
      </c>
      <c r="E36" s="1" t="n">
        <v>46279</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46279</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46279</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24068-2022</t>
        </is>
      </c>
      <c r="B39" t="inlineStr">
        <is>
          <t>avverkningsanmälan</t>
        </is>
      </c>
      <c r="C39" t="inlineStr">
        <is>
          <t>Föryngringsavverkning</t>
        </is>
      </c>
      <c r="D39" s="1" t="n">
        <v>44722</v>
      </c>
      <c r="E39" s="1" t="n">
        <v>46279</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46279</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46279</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46279</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46279</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46279</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46279</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46279</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16707-2026</t>
        </is>
      </c>
      <c r="B47" t="inlineStr">
        <is>
          <t>avverkningsanmälan</t>
        </is>
      </c>
      <c r="C47" t="inlineStr">
        <is>
          <t>Föryngringsavverkning</t>
        </is>
      </c>
      <c r="D47" s="1" t="n">
        <v>46113</v>
      </c>
      <c r="E47" s="1" t="n">
        <v>46279</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40466-2023</t>
        </is>
      </c>
      <c r="B48" t="inlineStr">
        <is>
          <t>avverkningsanmälan</t>
        </is>
      </c>
      <c r="C48" t="inlineStr">
        <is>
          <t>Avverkning för annat ändamål</t>
        </is>
      </c>
      <c r="D48" s="1" t="n">
        <v>45170</v>
      </c>
      <c r="E48" s="1" t="n">
        <v>46279</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46279</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30064-2026</t>
        </is>
      </c>
      <c r="B50" t="inlineStr">
        <is>
          <t>avverkningsanmälan</t>
        </is>
      </c>
      <c r="C50" t="inlineStr">
        <is>
          <t>Föryngringsavverkning</t>
        </is>
      </c>
      <c r="D50" s="1" t="n">
        <v>46206</v>
      </c>
      <c r="E50" s="1" t="n">
        <v>46279</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46279</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33994-2023</t>
        </is>
      </c>
      <c r="B52" t="inlineStr">
        <is>
          <t>avverkningsanmälan</t>
        </is>
      </c>
      <c r="C52" t="inlineStr">
        <is>
          <t>Föryngringsavverkning</t>
        </is>
      </c>
      <c r="D52" s="1" t="n">
        <v>45134</v>
      </c>
      <c r="E52" s="1" t="n">
        <v>46279</v>
      </c>
      <c r="F52" t="inlineStr">
        <is>
          <t>NORRBOTTENS LÄN</t>
        </is>
      </c>
      <c r="G52" t="inlineStr">
        <is>
          <t>JOKKMOKK</t>
        </is>
      </c>
      <c r="I52" t="n">
        <v>9.1</v>
      </c>
      <c r="J52" t="n">
        <v>1</v>
      </c>
      <c r="K52" t="n">
        <v>1</v>
      </c>
      <c r="L52" t="n">
        <v>1</v>
      </c>
      <c r="M52" t="n">
        <v>1</v>
      </c>
      <c r="N52" t="n">
        <v>0</v>
      </c>
      <c r="O52" t="n">
        <v>0</v>
      </c>
      <c r="P52" t="n">
        <v>0</v>
      </c>
      <c r="Q52" t="n">
        <v>2</v>
      </c>
      <c r="R52" t="n">
        <v>1</v>
      </c>
      <c r="S52" t="n">
        <v>3</v>
      </c>
      <c r="T52" t="n">
        <v>5</v>
      </c>
      <c r="U52" t="n">
        <v>0</v>
      </c>
      <c r="V52" s="2" t="inlineStr">
        <is>
          <t>Doftticka
Lunglav
Skinnlav</t>
        </is>
      </c>
      <c r="W52">
        <f>HYPERLINK("https://klasma.github.io/Logging_2510/artfynd/A 33994-2023 artfynd.xlsx", "A 33994-2023")</f>
        <v/>
      </c>
      <c r="X52">
        <f>HYPERLINK("https://klasma.github.io/Logging_2510/kartor/A 33994-2023 karta.png", "A 33994-2023")</f>
        <v/>
      </c>
      <c r="Y52">
        <f>HYPERLINK("https://klasma.github.io/Logging_2510/kartor_geotiff/A 33994-2023 georefererad karta.tif", "A 33994-2023")</f>
        <v/>
      </c>
      <c r="AA52">
        <f>HYPERLINK("https://klasma.github.io/Logging_2510/klagomål/A 33994-2023 FSC-klagomål.docx", "A 33994-2023")</f>
        <v/>
      </c>
      <c r="AB52">
        <f>HYPERLINK("https://klasma.github.io/Logging_2510/klagomålsmail/A 33994-2023 FSC-klagomål mail.docx", "A 33994-2023")</f>
        <v/>
      </c>
      <c r="AC52">
        <f>HYPERLINK("https://klasma.github.io/Logging_2510/tillsyn/A 33994-2023 tillsynsbegäran.docx", "A 33994-2023")</f>
        <v/>
      </c>
      <c r="AD52">
        <f>HYPERLINK("https://klasma.github.io/Logging_2510/tillsynsmail/A 33994-2023 tillsynsbegäran mail.docx", "A 33994-2023")</f>
        <v/>
      </c>
    </row>
    <row r="53" ht="15" customHeight="1">
      <c r="A53" t="inlineStr">
        <is>
          <t>A 61761-2024</t>
        </is>
      </c>
      <c r="B53" t="inlineStr">
        <is>
          <t>avverkningsanmälan</t>
        </is>
      </c>
      <c r="C53" t="inlineStr">
        <is>
          <t>Föryngringsavverkning</t>
        </is>
      </c>
      <c r="D53" s="1" t="n">
        <v>45649</v>
      </c>
      <c r="E53" s="1" t="n">
        <v>46279</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63444-2025</t>
        </is>
      </c>
      <c r="B54" t="inlineStr">
        <is>
          <t>avverkningsanmälan</t>
        </is>
      </c>
      <c r="C54" t="inlineStr">
        <is>
          <t>Föryngringsavverkning</t>
        </is>
      </c>
      <c r="D54" s="1" t="n">
        <v>46013</v>
      </c>
      <c r="E54" s="1" t="n">
        <v>46279</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72477-2021</t>
        </is>
      </c>
      <c r="B55" t="inlineStr">
        <is>
          <t>avverkningsanmälan</t>
        </is>
      </c>
      <c r="C55" t="inlineStr">
        <is>
          <t>Föryngringsavverkning</t>
        </is>
      </c>
      <c r="D55" s="1" t="n">
        <v>44545</v>
      </c>
      <c r="E55" s="1" t="n">
        <v>46279</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A 15827-2025</t>
        </is>
      </c>
      <c r="B56" t="inlineStr">
        <is>
          <t>avverkningsanmälan</t>
        </is>
      </c>
      <c r="C56" t="inlineStr">
        <is>
          <t>Föryngringsavverkning</t>
        </is>
      </c>
      <c r="D56" s="1" t="n">
        <v>45748</v>
      </c>
      <c r="E56" s="1" t="n">
        <v>46279</v>
      </c>
      <c r="F56" t="inlineStr">
        <is>
          <t>NORRBOTTENS LÄN</t>
        </is>
      </c>
      <c r="G56" t="inlineStr">
        <is>
          <t>JOKKMOKK</t>
        </is>
      </c>
      <c r="I56" t="n">
        <v>23</v>
      </c>
      <c r="J56" t="n">
        <v>0</v>
      </c>
      <c r="K56" t="n">
        <v>0</v>
      </c>
      <c r="L56" t="n">
        <v>3</v>
      </c>
      <c r="M56" t="n">
        <v>0</v>
      </c>
      <c r="N56" t="n">
        <v>0</v>
      </c>
      <c r="O56" t="n">
        <v>0</v>
      </c>
      <c r="P56" t="n">
        <v>0</v>
      </c>
      <c r="Q56" t="n">
        <v>3</v>
      </c>
      <c r="R56" t="n">
        <v>0</v>
      </c>
      <c r="S56" t="n">
        <v>3</v>
      </c>
      <c r="T56" t="n">
        <v>4</v>
      </c>
      <c r="U56" t="n">
        <v>0</v>
      </c>
      <c r="V56" s="2" t="inlineStr">
        <is>
          <t>Dvärgbägarlav
Tallticka
Vaddporing</t>
        </is>
      </c>
      <c r="W56">
        <f>HYPERLINK("https://klasma.github.io/Logging_2510/artfynd/A 15827-2025 artfynd.xlsx", "A 15827-2025")</f>
        <v/>
      </c>
      <c r="X56">
        <f>HYPERLINK("https://klasma.github.io/Logging_2510/kartor/A 15827-2025 karta.png", "A 15827-2025")</f>
        <v/>
      </c>
      <c r="Y56">
        <f>HYPERLINK("https://klasma.github.io/Logging_2510/kartor_geotiff/A 15827-2025 georefererad karta.tif", "A 15827-2025")</f>
        <v/>
      </c>
      <c r="AA56">
        <f>HYPERLINK("https://klasma.github.io/Logging_2510/klagomål/A 15827-2025 FSC-klagomål.docx", "A 15827-2025")</f>
        <v/>
      </c>
      <c r="AB56">
        <f>HYPERLINK("https://klasma.github.io/Logging_2510/klagomålsmail/A 15827-2025 FSC-klagomål mail.docx", "A 15827-2025")</f>
        <v/>
      </c>
      <c r="AC56">
        <f>HYPERLINK("https://klasma.github.io/Logging_2510/tillsyn/A 15827-2025 tillsynsbegäran.docx", "A 15827-2025")</f>
        <v/>
      </c>
      <c r="AD56">
        <f>HYPERLINK("https://klasma.github.io/Logging_2510/tillsynsmail/A 15827-2025 tillsynsbegäran mail.docx", "A 15827-2025")</f>
        <v/>
      </c>
    </row>
    <row r="57" ht="15" customHeight="1">
      <c r="A57" t="inlineStr">
        <is>
          <t>S 1074-2023</t>
        </is>
      </c>
      <c r="B57" t="inlineStr">
        <is>
          <t>samrådsanmälan</t>
        </is>
      </c>
      <c r="C57" t="inlineStr">
        <is>
          <t>Skogsgödsling</t>
        </is>
      </c>
      <c r="D57" s="1" t="n">
        <v>45012</v>
      </c>
      <c r="E57" s="1" t="n">
        <v>46279</v>
      </c>
      <c r="F57" t="inlineStr">
        <is>
          <t>NORRBOTTENS LÄN</t>
        </is>
      </c>
      <c r="G57" t="inlineStr">
        <is>
          <t>JOKKMOKK</t>
        </is>
      </c>
      <c r="I57" t="n">
        <v>20</v>
      </c>
      <c r="J57" t="n">
        <v>0</v>
      </c>
      <c r="K57" t="n">
        <v>0</v>
      </c>
      <c r="L57" t="n">
        <v>1</v>
      </c>
      <c r="M57" t="n">
        <v>2</v>
      </c>
      <c r="N57" t="n">
        <v>0</v>
      </c>
      <c r="O57" t="n">
        <v>0</v>
      </c>
      <c r="P57" t="n">
        <v>0</v>
      </c>
      <c r="Q57" t="n">
        <v>3</v>
      </c>
      <c r="R57" t="n">
        <v>2</v>
      </c>
      <c r="S57" t="n">
        <v>3</v>
      </c>
      <c r="T57" t="n">
        <v>3</v>
      </c>
      <c r="U57" t="n">
        <v>0</v>
      </c>
      <c r="V57" s="2" t="inlineStr">
        <is>
          <t>Fläckporing
Lappticka
Lunglav</t>
        </is>
      </c>
      <c r="W57">
        <f>HYPERLINK("https://klasma.github.io/Logging_2510/artfynd/S 1074-2023 artfynd.xlsx", "S 1074-2023")</f>
        <v/>
      </c>
      <c r="X57">
        <f>HYPERLINK("https://klasma.github.io/Logging_2510/kartor/S 1074-2023 karta.png", "S 1074-2023")</f>
        <v/>
      </c>
      <c r="Y57">
        <f>HYPERLINK("https://klasma.github.io/Logging_2510/kartor_geotiff/S 1074-2023 georefererad karta.tif", "S 1074-2023")</f>
        <v/>
      </c>
      <c r="AA57">
        <f>HYPERLINK("https://klasma.github.io/Logging_2510/klagomål/S 1074-2023 FSC-klagomål.docx", "S 1074-2023")</f>
        <v/>
      </c>
      <c r="AB57">
        <f>HYPERLINK("https://klasma.github.io/Logging_2510/klagomålsmail/S 1074-2023 FSC-klagomål mail.docx", "S 1074-2023")</f>
        <v/>
      </c>
      <c r="AC57">
        <f>HYPERLINK("https://klasma.github.io/Logging_2510/tillsyn/S 1074-2023 tillsynsbegäran.docx", "S 1074-2023")</f>
        <v/>
      </c>
      <c r="AD57">
        <f>HYPERLINK("https://klasma.github.io/Logging_2510/tillsynsmail/S 1074-2023 tillsynsbegäran mail.docx", "S 1074-2023")</f>
        <v/>
      </c>
    </row>
    <row r="58" ht="15" customHeight="1">
      <c r="A58" t="inlineStr">
        <is>
          <t>S 5256-2022</t>
        </is>
      </c>
      <c r="B58" t="inlineStr">
        <is>
          <t>samrådsanmälan</t>
        </is>
      </c>
      <c r="C58" t="inlineStr">
        <is>
          <t>Annan skogsbruksåtgärd</t>
        </is>
      </c>
      <c r="D58" s="1" t="n">
        <v>44825</v>
      </c>
      <c r="E58" s="1" t="n">
        <v>46279</v>
      </c>
      <c r="F58" t="inlineStr">
        <is>
          <t>NORRBOTTENS LÄN</t>
        </is>
      </c>
      <c r="G58" t="inlineStr">
        <is>
          <t>JOKKMOKK</t>
        </is>
      </c>
      <c r="H58" t="inlineStr">
        <is>
          <t>Övriga Aktiebolag</t>
        </is>
      </c>
      <c r="I58" t="n">
        <v>478.4</v>
      </c>
      <c r="J58" t="n">
        <v>1</v>
      </c>
      <c r="K58" t="n">
        <v>1</v>
      </c>
      <c r="L58" t="n">
        <v>2</v>
      </c>
      <c r="M58" t="n">
        <v>0</v>
      </c>
      <c r="N58" t="n">
        <v>0</v>
      </c>
      <c r="O58" t="n">
        <v>0</v>
      </c>
      <c r="P58" t="n">
        <v>0</v>
      </c>
      <c r="Q58" t="n">
        <v>2</v>
      </c>
      <c r="R58" t="n">
        <v>0</v>
      </c>
      <c r="S58" t="n">
        <v>3</v>
      </c>
      <c r="T58" t="n">
        <v>3</v>
      </c>
      <c r="U58" t="n">
        <v>0</v>
      </c>
      <c r="V58" s="2" t="inlineStr">
        <is>
          <t>Lappmes
Reliktbock
Grovticka</t>
        </is>
      </c>
      <c r="W58">
        <f>HYPERLINK("https://klasma.github.io/Logging_2510/artfynd/S 5256-2022 artfynd.xlsx", "S 5256-2022")</f>
        <v/>
      </c>
      <c r="X58">
        <f>HYPERLINK("https://klasma.github.io/Logging_2510/kartor/S 5256-2022 karta.png", "S 5256-2022")</f>
        <v/>
      </c>
      <c r="Y58">
        <f>HYPERLINK("https://klasma.github.io/Logging_2510/kartor_geotiff/S 5256-2022 georefererad karta.tif", "S 5256-2022")</f>
        <v/>
      </c>
      <c r="AA58">
        <f>HYPERLINK("https://klasma.github.io/Logging_2510/klagomål/S 5256-2022 FSC-klagomål.docx", "S 5256-2022")</f>
        <v/>
      </c>
      <c r="AB58">
        <f>HYPERLINK("https://klasma.github.io/Logging_2510/klagomålsmail/S 5256-2022 FSC-klagomål mail.docx", "S 5256-2022")</f>
        <v/>
      </c>
      <c r="AC58">
        <f>HYPERLINK("https://klasma.github.io/Logging_2510/tillsyn/S 5256-2022 tillsynsbegäran.docx", "S 5256-2022")</f>
        <v/>
      </c>
      <c r="AD58">
        <f>HYPERLINK("https://klasma.github.io/Logging_2510/tillsynsmail/S 5256-2022 tillsynsbegäran mail.docx", "S 5256-2022")</f>
        <v/>
      </c>
      <c r="AE58">
        <f>HYPERLINK("https://klasma.github.io/Logging_2510/fåglar/S 5256-2022 prioriterade fågelarter.docx", "S 5256-2022")</f>
        <v/>
      </c>
    </row>
    <row r="59" ht="15" customHeight="1">
      <c r="A59" t="inlineStr">
        <is>
          <t>A 37798-2022</t>
        </is>
      </c>
      <c r="B59" t="inlineStr">
        <is>
          <t>avverkningsanmälan</t>
        </is>
      </c>
      <c r="C59" t="inlineStr">
        <is>
          <t>Föryngringsavverkning</t>
        </is>
      </c>
      <c r="D59" s="1" t="n">
        <v>44810</v>
      </c>
      <c r="E59" s="1" t="n">
        <v>46279</v>
      </c>
      <c r="F59" t="inlineStr">
        <is>
          <t>NORRBOTTENS LÄN</t>
        </is>
      </c>
      <c r="G59" t="inlineStr">
        <is>
          <t>JOKKMOKK</t>
        </is>
      </c>
      <c r="I59" t="n">
        <v>0.3</v>
      </c>
      <c r="J59" t="n">
        <v>2</v>
      </c>
      <c r="K59" t="n">
        <v>0</v>
      </c>
      <c r="L59" t="n">
        <v>0</v>
      </c>
      <c r="M59" t="n">
        <v>0</v>
      </c>
      <c r="N59" t="n">
        <v>0</v>
      </c>
      <c r="O59" t="n">
        <v>0</v>
      </c>
      <c r="P59" t="n">
        <v>0</v>
      </c>
      <c r="Q59" t="n">
        <v>0</v>
      </c>
      <c r="R59" t="n">
        <v>0</v>
      </c>
      <c r="S59" t="n">
        <v>2</v>
      </c>
      <c r="T59" t="n">
        <v>2</v>
      </c>
      <c r="U59" t="n">
        <v>0</v>
      </c>
      <c r="V59" s="2" t="inlineStr">
        <is>
          <t>Järpe
Stenfalk</t>
        </is>
      </c>
      <c r="W59">
        <f>HYPERLINK("https://klasma.github.io/Logging_2510/artfynd/A 37798-2022 artfynd.xlsx", "A 37798-2022")</f>
        <v/>
      </c>
      <c r="X59">
        <f>HYPERLINK("https://klasma.github.io/Logging_2510/kartor/A 37798-2022 karta.png", "A 37798-2022")</f>
        <v/>
      </c>
      <c r="Y59">
        <f>HYPERLINK("https://klasma.github.io/Logging_2510/kartor_geotiff/A 37798-2022 georefererad karta.tif", "A 37798-2022")</f>
        <v/>
      </c>
      <c r="AA59">
        <f>HYPERLINK("https://klasma.github.io/Logging_2510/klagomål/A 37798-2022 FSC-klagomål.docx", "A 37798-2022")</f>
        <v/>
      </c>
      <c r="AB59">
        <f>HYPERLINK("https://klasma.github.io/Logging_2510/klagomålsmail/A 37798-2022 FSC-klagomål mail.docx", "A 37798-2022")</f>
        <v/>
      </c>
      <c r="AC59">
        <f>HYPERLINK("https://klasma.github.io/Logging_2510/tillsyn/A 37798-2022 tillsynsbegäran.docx", "A 37798-2022")</f>
        <v/>
      </c>
      <c r="AD59">
        <f>HYPERLINK("https://klasma.github.io/Logging_2510/tillsynsmail/A 37798-2022 tillsynsbegäran mail.docx", "A 37798-2022")</f>
        <v/>
      </c>
      <c r="AE59">
        <f>HYPERLINK("https://klasma.github.io/Logging_2510/fåglar/A 37798-2022 prioriterade fågelarter.docx", "A 37798-2022")</f>
        <v/>
      </c>
    </row>
    <row r="60" ht="15" customHeight="1">
      <c r="A60" t="inlineStr">
        <is>
          <t>A 24408-2022</t>
        </is>
      </c>
      <c r="B60" t="inlineStr">
        <is>
          <t>avverkningsanmälan</t>
        </is>
      </c>
      <c r="C60" t="inlineStr">
        <is>
          <t>Föryngringsavverkning</t>
        </is>
      </c>
      <c r="D60" s="1" t="n">
        <v>44726</v>
      </c>
      <c r="E60" s="1" t="n">
        <v>46279</v>
      </c>
      <c r="F60" t="inlineStr">
        <is>
          <t>NORRBOTTENS LÄN</t>
        </is>
      </c>
      <c r="G60" t="inlineStr">
        <is>
          <t>JOKKMOKK</t>
        </is>
      </c>
      <c r="H60" t="inlineStr">
        <is>
          <t>Övriga statliga verk och myndigheter</t>
        </is>
      </c>
      <c r="I60" t="n">
        <v>4.8</v>
      </c>
      <c r="J60" t="n">
        <v>0</v>
      </c>
      <c r="K60" t="n">
        <v>0</v>
      </c>
      <c r="L60" t="n">
        <v>2</v>
      </c>
      <c r="M60" t="n">
        <v>0</v>
      </c>
      <c r="N60" t="n">
        <v>0</v>
      </c>
      <c r="O60" t="n">
        <v>0</v>
      </c>
      <c r="P60" t="n">
        <v>0</v>
      </c>
      <c r="Q60" t="n">
        <v>2</v>
      </c>
      <c r="R60" t="n">
        <v>0</v>
      </c>
      <c r="S60" t="n">
        <v>2</v>
      </c>
      <c r="T60" t="n">
        <v>3</v>
      </c>
      <c r="U60" t="n">
        <v>3</v>
      </c>
      <c r="V60" s="2" t="inlineStr">
        <is>
          <t>Gammelgransskål
Knottrig blåslav</t>
        </is>
      </c>
      <c r="W60">
        <f>HYPERLINK("https://klasma.github.io/Logging_2510/artfynd/A 24408-2022 artfynd.xlsx", "A 24408-2022")</f>
        <v/>
      </c>
      <c r="X60">
        <f>HYPERLINK("https://klasma.github.io/Logging_2510/kartor/A 24408-2022 karta.png", "A 24408-2022")</f>
        <v/>
      </c>
      <c r="Y60">
        <f>HYPERLINK("https://klasma.github.io/Logging_2510/kartor_geotiff/A 24408-2022 georefererad karta.tif", "A 24408-2022")</f>
        <v/>
      </c>
      <c r="AA60">
        <f>HYPERLINK("https://klasma.github.io/Logging_2510/klagomål/A 24408-2022 FSC-klagomål.docx", "A 24408-2022")</f>
        <v/>
      </c>
      <c r="AB60">
        <f>HYPERLINK("https://klasma.github.io/Logging_2510/klagomålsmail/A 24408-2022 FSC-klagomål mail.docx", "A 24408-2022")</f>
        <v/>
      </c>
      <c r="AC60">
        <f>HYPERLINK("https://klasma.github.io/Logging_2510/tillsyn/A 24408-2022 tillsynsbegäran.docx", "A 24408-2022")</f>
        <v/>
      </c>
      <c r="AD60">
        <f>HYPERLINK("https://klasma.github.io/Logging_2510/tillsynsmail/A 24408-2022 tillsynsbegäran mail.docx", "A 24408-2022")</f>
        <v/>
      </c>
    </row>
    <row r="61" ht="15" customHeight="1">
      <c r="A61" t="inlineStr">
        <is>
          <t>A 40836-2022</t>
        </is>
      </c>
      <c r="B61" t="inlineStr">
        <is>
          <t>avverkningsanmälan</t>
        </is>
      </c>
      <c r="C61" t="inlineStr">
        <is>
          <t>Föryngringsavverkning</t>
        </is>
      </c>
      <c r="D61" s="1" t="n">
        <v>44824</v>
      </c>
      <c r="E61" s="1" t="n">
        <v>46279</v>
      </c>
      <c r="F61" t="inlineStr">
        <is>
          <t>NORRBOTTENS LÄN</t>
        </is>
      </c>
      <c r="G61" t="inlineStr">
        <is>
          <t>JOKKMOKK</t>
        </is>
      </c>
      <c r="H61" t="inlineStr">
        <is>
          <t>SCA</t>
        </is>
      </c>
      <c r="I61" t="n">
        <v>229.8</v>
      </c>
      <c r="J61" t="n">
        <v>0</v>
      </c>
      <c r="K61" t="n">
        <v>0</v>
      </c>
      <c r="L61" t="n">
        <v>1</v>
      </c>
      <c r="M61" t="n">
        <v>1</v>
      </c>
      <c r="N61" t="n">
        <v>0</v>
      </c>
      <c r="O61" t="n">
        <v>0</v>
      </c>
      <c r="P61" t="n">
        <v>0</v>
      </c>
      <c r="Q61" t="n">
        <v>2</v>
      </c>
      <c r="R61" t="n">
        <v>1</v>
      </c>
      <c r="S61" t="n">
        <v>2</v>
      </c>
      <c r="T61" t="n">
        <v>2</v>
      </c>
      <c r="U61" t="n">
        <v>2</v>
      </c>
      <c r="V61" s="2" t="inlineStr">
        <is>
          <t>Garnlav
Gammelgransskål</t>
        </is>
      </c>
      <c r="W61">
        <f>HYPERLINK("https://klasma.github.io/Logging_2510/artfynd/A 40836-2022 artfynd.xlsx", "A 40836-2022")</f>
        <v/>
      </c>
      <c r="X61">
        <f>HYPERLINK("https://klasma.github.io/Logging_2510/kartor/A 40836-2022 karta.png", "A 40836-2022")</f>
        <v/>
      </c>
      <c r="Y61">
        <f>HYPERLINK("https://klasma.github.io/Logging_2510/kartor_geotiff/A 40836-2022 georefererad karta.tif", "A 40836-2022")</f>
        <v/>
      </c>
      <c r="AA61">
        <f>HYPERLINK("https://klasma.github.io/Logging_2510/klagomål/A 40836-2022 FSC-klagomål.docx", "A 40836-2022")</f>
        <v/>
      </c>
      <c r="AB61">
        <f>HYPERLINK("https://klasma.github.io/Logging_2510/klagomålsmail/A 40836-2022 FSC-klagomål mail.docx", "A 40836-2022")</f>
        <v/>
      </c>
      <c r="AC61">
        <f>HYPERLINK("https://klasma.github.io/Logging_2510/tillsyn/A 40836-2022 tillsynsbegäran.docx", "A 40836-2022")</f>
        <v/>
      </c>
      <c r="AD61">
        <f>HYPERLINK("https://klasma.github.io/Logging_2510/tillsynsmail/A 40836-2022 tillsynsbegäran mail.docx", "A 40836-2022")</f>
        <v/>
      </c>
    </row>
    <row r="62" ht="15" customHeight="1">
      <c r="A62" t="inlineStr">
        <is>
          <t>A 39846-2025</t>
        </is>
      </c>
      <c r="B62" t="inlineStr">
        <is>
          <t>avverkningsanmälan</t>
        </is>
      </c>
      <c r="C62" t="inlineStr">
        <is>
          <t>Föryngringsavverkning</t>
        </is>
      </c>
      <c r="D62" s="1" t="n">
        <v>45891</v>
      </c>
      <c r="E62" s="1" t="n">
        <v>46279</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46279</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46279</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51721-2025</t>
        </is>
      </c>
      <c r="B65" t="inlineStr">
        <is>
          <t>avverkningsanmälan</t>
        </is>
      </c>
      <c r="C65" t="inlineStr">
        <is>
          <t>Föryngringsavverkning</t>
        </is>
      </c>
      <c r="D65" s="1" t="n">
        <v>45951</v>
      </c>
      <c r="E65" s="1" t="n">
        <v>46279</v>
      </c>
      <c r="F65" t="inlineStr">
        <is>
          <t>NORRBOTTENS LÄN</t>
        </is>
      </c>
      <c r="G65" t="inlineStr">
        <is>
          <t>JOKKMOKK</t>
        </is>
      </c>
      <c r="H65" t="inlineStr">
        <is>
          <t>Övriga statliga verk och myndigheter</t>
        </is>
      </c>
      <c r="I65" t="n">
        <v>16.3</v>
      </c>
      <c r="J65" t="n">
        <v>0</v>
      </c>
      <c r="K65" t="n">
        <v>0</v>
      </c>
      <c r="L65" t="n">
        <v>2</v>
      </c>
      <c r="M65" t="n">
        <v>0</v>
      </c>
      <c r="N65" t="n">
        <v>0</v>
      </c>
      <c r="O65" t="n">
        <v>0</v>
      </c>
      <c r="P65" t="n">
        <v>0</v>
      </c>
      <c r="Q65" t="n">
        <v>2</v>
      </c>
      <c r="R65" t="n">
        <v>0</v>
      </c>
      <c r="S65" t="n">
        <v>2</v>
      </c>
      <c r="T65" t="n">
        <v>2</v>
      </c>
      <c r="U65" t="n">
        <v>0</v>
      </c>
      <c r="V65" s="2" t="inlineStr">
        <is>
          <t>Tallticka
Violmussling</t>
        </is>
      </c>
      <c r="W65">
        <f>HYPERLINK("https://klasma.github.io/Logging_2510/artfynd/A 51721-2025 artfynd.xlsx", "A 51721-2025")</f>
        <v/>
      </c>
      <c r="X65">
        <f>HYPERLINK("https://klasma.github.io/Logging_2510/kartor/A 51721-2025 karta.png", "A 51721-2025")</f>
        <v/>
      </c>
      <c r="Y65">
        <f>HYPERLINK("https://klasma.github.io/Logging_2510/kartor_geotiff/A 51721-2025 georefererad karta.tif", "A 51721-2025")</f>
        <v/>
      </c>
      <c r="AA65">
        <f>HYPERLINK("https://klasma.github.io/Logging_2510/klagomål/A 51721-2025 FSC-klagomål.docx", "A 51721-2025")</f>
        <v/>
      </c>
      <c r="AB65">
        <f>HYPERLINK("https://klasma.github.io/Logging_2510/klagomålsmail/A 51721-2025 FSC-klagomål mail.docx", "A 51721-2025")</f>
        <v/>
      </c>
      <c r="AC65">
        <f>HYPERLINK("https://klasma.github.io/Logging_2510/tillsyn/A 51721-2025 tillsynsbegäran.docx", "A 51721-2025")</f>
        <v/>
      </c>
      <c r="AD65">
        <f>HYPERLINK("https://klasma.github.io/Logging_2510/tillsynsmail/A 51721-2025 tillsynsbegäran mail.docx", "A 51721-2025")</f>
        <v/>
      </c>
    </row>
    <row r="66" ht="15" customHeight="1">
      <c r="A66" t="inlineStr">
        <is>
          <t>A 59787-2025</t>
        </is>
      </c>
      <c r="B66" t="inlineStr">
        <is>
          <t>avverkningsanmälan</t>
        </is>
      </c>
      <c r="C66" t="inlineStr">
        <is>
          <t>Föryngringsavverkning</t>
        </is>
      </c>
      <c r="D66" s="1" t="n">
        <v>45992</v>
      </c>
      <c r="E66" s="1" t="n">
        <v>46279</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25670-2026</t>
        </is>
      </c>
      <c r="B67" t="inlineStr">
        <is>
          <t>avverkningsanmälan</t>
        </is>
      </c>
      <c r="C67" t="inlineStr">
        <is>
          <t>Föryngringsavverkning</t>
        </is>
      </c>
      <c r="D67" s="1" t="n">
        <v>46178</v>
      </c>
      <c r="E67" s="1" t="n">
        <v>46279</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26672-2026</t>
        </is>
      </c>
      <c r="B68" t="inlineStr">
        <is>
          <t>avverkningsanmälan</t>
        </is>
      </c>
      <c r="C68" t="inlineStr">
        <is>
          <t>Föryngringsavverkning</t>
        </is>
      </c>
      <c r="D68" s="1" t="n">
        <v>46184</v>
      </c>
      <c r="E68" s="1" t="n">
        <v>46279</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32982-2023</t>
        </is>
      </c>
      <c r="B69" t="inlineStr">
        <is>
          <t>avverkningsanmälan</t>
        </is>
      </c>
      <c r="C69" t="inlineStr">
        <is>
          <t>Föryngringsavverkning</t>
        </is>
      </c>
      <c r="D69" s="1" t="n">
        <v>45113</v>
      </c>
      <c r="E69" s="1" t="n">
        <v>46279</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26679-2026</t>
        </is>
      </c>
      <c r="B70" t="inlineStr">
        <is>
          <t>avverkningsanmälan</t>
        </is>
      </c>
      <c r="C70" t="inlineStr">
        <is>
          <t>Föryngringsavverkning</t>
        </is>
      </c>
      <c r="D70" s="1" t="n">
        <v>46184</v>
      </c>
      <c r="E70" s="1" t="n">
        <v>46279</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46279</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46279</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46279</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52537-2023</t>
        </is>
      </c>
      <c r="B74" t="inlineStr">
        <is>
          <t>avverkningsanmälan</t>
        </is>
      </c>
      <c r="C74" t="inlineStr">
        <is>
          <t>Föryngringsavverkning</t>
        </is>
      </c>
      <c r="D74" s="1" t="n">
        <v>45225</v>
      </c>
      <c r="E74" s="1" t="n">
        <v>46279</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52901-2023</t>
        </is>
      </c>
      <c r="B75" t="inlineStr">
        <is>
          <t>avverkningsanmälan</t>
        </is>
      </c>
      <c r="C75" t="inlineStr">
        <is>
          <t>Föryngringsavverkning</t>
        </is>
      </c>
      <c r="D75" s="1" t="n">
        <v>45222</v>
      </c>
      <c r="E75" s="1" t="n">
        <v>46279</v>
      </c>
      <c r="F75" t="inlineStr">
        <is>
          <t>NORRBOTTENS LÄN</t>
        </is>
      </c>
      <c r="G75" t="inlineStr">
        <is>
          <t>JOKKMOKK</t>
        </is>
      </c>
      <c r="I75" t="n">
        <v>16.6</v>
      </c>
      <c r="J75" t="n">
        <v>0</v>
      </c>
      <c r="K75" t="n">
        <v>0</v>
      </c>
      <c r="L75" t="n">
        <v>1</v>
      </c>
      <c r="M75" t="n">
        <v>0</v>
      </c>
      <c r="N75" t="n">
        <v>0</v>
      </c>
      <c r="O75" t="n">
        <v>0</v>
      </c>
      <c r="P75" t="n">
        <v>0</v>
      </c>
      <c r="Q75" t="n">
        <v>1</v>
      </c>
      <c r="R75" t="n">
        <v>0</v>
      </c>
      <c r="S75" t="n">
        <v>1</v>
      </c>
      <c r="T75" t="n">
        <v>1</v>
      </c>
      <c r="U75" t="n">
        <v>1</v>
      </c>
      <c r="V75" s="2" t="inlineStr">
        <is>
          <t>Skrovlig flatbagge</t>
        </is>
      </c>
      <c r="W75">
        <f>HYPERLINK("https://klasma.github.io/Logging_2510/artfynd/A 52901-2023 artfynd.xlsx", "A 52901-2023")</f>
        <v/>
      </c>
      <c r="X75">
        <f>HYPERLINK("https://klasma.github.io/Logging_2510/kartor/A 52901-2023 karta.png", "A 52901-2023")</f>
        <v/>
      </c>
      <c r="Y75">
        <f>HYPERLINK("https://klasma.github.io/Logging_2510/kartor_geotiff/A 52901-2023 georefererad karta.tif", "A 52901-2023")</f>
        <v/>
      </c>
      <c r="AA75">
        <f>HYPERLINK("https://klasma.github.io/Logging_2510/klagomål/A 52901-2023 FSC-klagomål.docx", "A 52901-2023")</f>
        <v/>
      </c>
      <c r="AB75">
        <f>HYPERLINK("https://klasma.github.io/Logging_2510/klagomålsmail/A 52901-2023 FSC-klagomål mail.docx", "A 52901-2023")</f>
        <v/>
      </c>
      <c r="AC75">
        <f>HYPERLINK("https://klasma.github.io/Logging_2510/tillsyn/A 52901-2023 tillsynsbegäran.docx", "A 52901-2023")</f>
        <v/>
      </c>
      <c r="AD75">
        <f>HYPERLINK("https://klasma.github.io/Logging_2510/tillsynsmail/A 52901-2023 tillsynsbegäran mail.docx", "A 52901-2023")</f>
        <v/>
      </c>
    </row>
    <row r="76" ht="15" customHeight="1">
      <c r="A76" t="inlineStr">
        <is>
          <t>A 28591-2025</t>
        </is>
      </c>
      <c r="B76" t="inlineStr">
        <is>
          <t>avverkningsanmälan</t>
        </is>
      </c>
      <c r="C76" t="inlineStr">
        <is>
          <t>Föryngringsavverkning</t>
        </is>
      </c>
      <c r="D76" s="1" t="n">
        <v>45819</v>
      </c>
      <c r="E76" s="1" t="n">
        <v>46279</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46279</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32669-2025</t>
        </is>
      </c>
      <c r="B78" t="inlineStr">
        <is>
          <t>avverkningsanmälan</t>
        </is>
      </c>
      <c r="C78" t="inlineStr">
        <is>
          <t>Föryngringsavverkning</t>
        </is>
      </c>
      <c r="D78" s="1" t="n">
        <v>45838</v>
      </c>
      <c r="E78" s="1" t="n">
        <v>46279</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44147-2024</t>
        </is>
      </c>
      <c r="B79" t="inlineStr">
        <is>
          <t>avverkningsanmälan</t>
        </is>
      </c>
      <c r="C79" t="inlineStr">
        <is>
          <t>Föryngringsavverkning</t>
        </is>
      </c>
      <c r="D79" s="1" t="n">
        <v>45572</v>
      </c>
      <c r="E79" s="1" t="n">
        <v>46279</v>
      </c>
      <c r="F79" t="inlineStr">
        <is>
          <t>NORRBOTTENS LÄN</t>
        </is>
      </c>
      <c r="G79" t="inlineStr">
        <is>
          <t>JOKKMOKK</t>
        </is>
      </c>
      <c r="H79" t="inlineStr">
        <is>
          <t>Sveaskog</t>
        </is>
      </c>
      <c r="I79" t="n">
        <v>6.2</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44147-2024 artfynd.xlsx", "A 44147-2024")</f>
        <v/>
      </c>
      <c r="X79">
        <f>HYPERLINK("https://klasma.github.io/Logging_2510/kartor/A 44147-2024 karta.png", "A 44147-2024")</f>
        <v/>
      </c>
      <c r="Y79">
        <f>HYPERLINK("https://klasma.github.io/Logging_2510/kartor_geotiff/A 44147-2024 georefererad karta.tif", "A 44147-2024")</f>
        <v/>
      </c>
      <c r="AA79">
        <f>HYPERLINK("https://klasma.github.io/Logging_2510/klagomål/A 44147-2024 FSC-klagomål.docx", "A 44147-2024")</f>
        <v/>
      </c>
      <c r="AB79">
        <f>HYPERLINK("https://klasma.github.io/Logging_2510/klagomålsmail/A 44147-2024 FSC-klagomål mail.docx", "A 44147-2024")</f>
        <v/>
      </c>
      <c r="AC79">
        <f>HYPERLINK("https://klasma.github.io/Logging_2510/tillsyn/A 44147-2024 tillsynsbegäran.docx", "A 44147-2024")</f>
        <v/>
      </c>
      <c r="AD79">
        <f>HYPERLINK("https://klasma.github.io/Logging_2510/tillsynsmail/A 44147-2024 tillsynsbegäran mail.docx", "A 44147-2024")</f>
        <v/>
      </c>
    </row>
    <row r="80" ht="15" customHeight="1">
      <c r="A80" t="inlineStr">
        <is>
          <t>A 44842-2025</t>
        </is>
      </c>
      <c r="B80" t="inlineStr">
        <is>
          <t>avverkningsanmälan</t>
        </is>
      </c>
      <c r="C80" t="inlineStr">
        <is>
          <t>Föryngringsavverkning</t>
        </is>
      </c>
      <c r="D80" s="1" t="n">
        <v>45918</v>
      </c>
      <c r="E80" s="1" t="n">
        <v>46279</v>
      </c>
      <c r="F80" t="inlineStr">
        <is>
          <t>NORRBOTTENS LÄN</t>
        </is>
      </c>
      <c r="G80" t="inlineStr">
        <is>
          <t>JOKKMOKK</t>
        </is>
      </c>
      <c r="I80" t="n">
        <v>7.7</v>
      </c>
      <c r="J80" t="n">
        <v>0</v>
      </c>
      <c r="K80" t="n">
        <v>0</v>
      </c>
      <c r="L80" t="n">
        <v>0</v>
      </c>
      <c r="M80" t="n">
        <v>1</v>
      </c>
      <c r="N80" t="n">
        <v>0</v>
      </c>
      <c r="O80" t="n">
        <v>0</v>
      </c>
      <c r="P80" t="n">
        <v>0</v>
      </c>
      <c r="Q80" t="n">
        <v>1</v>
      </c>
      <c r="R80" t="n">
        <v>1</v>
      </c>
      <c r="S80" t="n">
        <v>1</v>
      </c>
      <c r="T80" t="n">
        <v>1</v>
      </c>
      <c r="U80" t="n">
        <v>0</v>
      </c>
      <c r="V80" s="2" t="inlineStr">
        <is>
          <t>Goliatmusseron</t>
        </is>
      </c>
      <c r="W80">
        <f>HYPERLINK("https://klasma.github.io/Logging_2510/artfynd/A 44842-2025 artfynd.xlsx", "A 44842-2025")</f>
        <v/>
      </c>
      <c r="X80">
        <f>HYPERLINK("https://klasma.github.io/Logging_2510/kartor/A 44842-2025 karta.png", "A 44842-2025")</f>
        <v/>
      </c>
      <c r="Y80">
        <f>HYPERLINK("https://klasma.github.io/Logging_2510/kartor_geotiff/A 44842-2025 georefererad karta.tif", "A 44842-2025")</f>
        <v/>
      </c>
      <c r="AA80">
        <f>HYPERLINK("https://klasma.github.io/Logging_2510/klagomål/A 44842-2025 FSC-klagomål.docx", "A 44842-2025")</f>
        <v/>
      </c>
      <c r="AB80">
        <f>HYPERLINK("https://klasma.github.io/Logging_2510/klagomålsmail/A 44842-2025 FSC-klagomål mail.docx", "A 44842-2025")</f>
        <v/>
      </c>
      <c r="AC80">
        <f>HYPERLINK("https://klasma.github.io/Logging_2510/tillsyn/A 44842-2025 tillsynsbegäran.docx", "A 44842-2025")</f>
        <v/>
      </c>
      <c r="AD80">
        <f>HYPERLINK("https://klasma.github.io/Logging_2510/tillsynsmail/A 44842-2025 tillsynsbegäran mail.docx", "A 44842-2025")</f>
        <v/>
      </c>
    </row>
    <row r="81" ht="15" customHeight="1">
      <c r="A81" t="inlineStr">
        <is>
          <t>A 45201-2025</t>
        </is>
      </c>
      <c r="B81" t="inlineStr">
        <is>
          <t>avverkningsanmälan</t>
        </is>
      </c>
      <c r="C81" t="inlineStr">
        <is>
          <t>Föryngringsavverkning</t>
        </is>
      </c>
      <c r="D81" s="1" t="n">
        <v>45919</v>
      </c>
      <c r="E81" s="1" t="n">
        <v>46279</v>
      </c>
      <c r="F81" t="inlineStr">
        <is>
          <t>NORRBOTTENS LÄN</t>
        </is>
      </c>
      <c r="G81" t="inlineStr">
        <is>
          <t>JOKKMOKK</t>
        </is>
      </c>
      <c r="H81" t="inlineStr">
        <is>
          <t>Sveaskog</t>
        </is>
      </c>
      <c r="I81" t="n">
        <v>21.8</v>
      </c>
      <c r="J81" t="n">
        <v>0</v>
      </c>
      <c r="K81" t="n">
        <v>0</v>
      </c>
      <c r="L81" t="n">
        <v>1</v>
      </c>
      <c r="M81" t="n">
        <v>0</v>
      </c>
      <c r="N81" t="n">
        <v>0</v>
      </c>
      <c r="O81" t="n">
        <v>0</v>
      </c>
      <c r="P81" t="n">
        <v>0</v>
      </c>
      <c r="Q81" t="n">
        <v>1</v>
      </c>
      <c r="R81" t="n">
        <v>0</v>
      </c>
      <c r="S81" t="n">
        <v>1</v>
      </c>
      <c r="T81" t="n">
        <v>1</v>
      </c>
      <c r="U81" t="n">
        <v>1</v>
      </c>
      <c r="V81" s="2" t="inlineStr">
        <is>
          <t>Skarp dropptaggsvamp</t>
        </is>
      </c>
      <c r="W81">
        <f>HYPERLINK("https://klasma.github.io/Logging_2510/artfynd/A 45201-2025 artfynd.xlsx", "A 45201-2025")</f>
        <v/>
      </c>
      <c r="X81">
        <f>HYPERLINK("https://klasma.github.io/Logging_2510/kartor/A 45201-2025 karta.png", "A 45201-2025")</f>
        <v/>
      </c>
      <c r="Y81">
        <f>HYPERLINK("https://klasma.github.io/Logging_2510/kartor_geotiff/A 45201-2025 georefererad karta.tif", "A 45201-2025")</f>
        <v/>
      </c>
      <c r="AA81">
        <f>HYPERLINK("https://klasma.github.io/Logging_2510/klagomål/A 45201-2025 FSC-klagomål.docx", "A 45201-2025")</f>
        <v/>
      </c>
      <c r="AB81">
        <f>HYPERLINK("https://klasma.github.io/Logging_2510/klagomålsmail/A 45201-2025 FSC-klagomål mail.docx", "A 45201-2025")</f>
        <v/>
      </c>
      <c r="AC81">
        <f>HYPERLINK("https://klasma.github.io/Logging_2510/tillsyn/A 45201-2025 tillsynsbegäran.docx", "A 45201-2025")</f>
        <v/>
      </c>
      <c r="AD81">
        <f>HYPERLINK("https://klasma.github.io/Logging_2510/tillsynsmail/A 45201-2025 tillsynsbegäran mail.docx", "A 45201-2025")</f>
        <v/>
      </c>
    </row>
    <row r="82" ht="15" customHeight="1">
      <c r="A82" t="inlineStr">
        <is>
          <t>A 37252-2025</t>
        </is>
      </c>
      <c r="B82" t="inlineStr">
        <is>
          <t>avverkningsanmälan</t>
        </is>
      </c>
      <c r="C82" t="inlineStr">
        <is>
          <t>Föryngringsavverkning</t>
        </is>
      </c>
      <c r="D82" s="1" t="n">
        <v>45876</v>
      </c>
      <c r="E82" s="1" t="n">
        <v>46279</v>
      </c>
      <c r="F82" t="inlineStr">
        <is>
          <t>NORRBOTTENS LÄN</t>
        </is>
      </c>
      <c r="G82" t="inlineStr">
        <is>
          <t>JOKKMOKK</t>
        </is>
      </c>
      <c r="H82" t="inlineStr">
        <is>
          <t>Sveaskog</t>
        </is>
      </c>
      <c r="I82" t="n">
        <v>4.5</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HYPERLINK("https://klasma.github.io/Logging_2510/artfynd/A 37252-2025 artfynd.xlsx", "A 37252-2025")</f>
        <v/>
      </c>
      <c r="X82">
        <f>HYPERLINK("https://klasma.github.io/Logging_2510/kartor/A 37252-2025 karta.png", "A 37252-2025")</f>
        <v/>
      </c>
      <c r="Y82">
        <f>HYPERLINK("https://klasma.github.io/Logging_2510/kartor_geotiff/A 37252-2025 georefererad karta.tif", "A 37252-2025")</f>
        <v/>
      </c>
      <c r="AA82">
        <f>HYPERLINK("https://klasma.github.io/Logging_2510/klagomål/A 37252-2025 FSC-klagomål.docx", "A 37252-2025")</f>
        <v/>
      </c>
      <c r="AB82">
        <f>HYPERLINK("https://klasma.github.io/Logging_2510/klagomålsmail/A 37252-2025 FSC-klagomål mail.docx", "A 37252-2025")</f>
        <v/>
      </c>
      <c r="AC82">
        <f>HYPERLINK("https://klasma.github.io/Logging_2510/tillsyn/A 37252-2025 tillsynsbegäran.docx", "A 37252-2025")</f>
        <v/>
      </c>
      <c r="AD82">
        <f>HYPERLINK("https://klasma.github.io/Logging_2510/tillsynsmail/A 37252-2025 tillsynsbegäran mail.docx", "A 37252-2025")</f>
        <v/>
      </c>
    </row>
    <row r="83" ht="15" customHeight="1">
      <c r="A83" t="inlineStr">
        <is>
          <t>A 72480-2021</t>
        </is>
      </c>
      <c r="B83" t="inlineStr">
        <is>
          <t>avverkningsanmälan</t>
        </is>
      </c>
      <c r="C83" t="inlineStr">
        <is>
          <t>Föryngringsavverkning</t>
        </is>
      </c>
      <c r="D83" s="1" t="n">
        <v>44545</v>
      </c>
      <c r="E83" s="1" t="n">
        <v>46279</v>
      </c>
      <c r="F83" t="inlineStr">
        <is>
          <t>NORRBOTTENS LÄN</t>
        </is>
      </c>
      <c r="G83" t="inlineStr">
        <is>
          <t>JOKKMOKK</t>
        </is>
      </c>
      <c r="I83" t="n">
        <v>8.800000000000001</v>
      </c>
      <c r="J83" t="n">
        <v>0</v>
      </c>
      <c r="K83" t="n">
        <v>0</v>
      </c>
      <c r="L83" t="n">
        <v>1</v>
      </c>
      <c r="M83" t="n">
        <v>0</v>
      </c>
      <c r="N83" t="n">
        <v>0</v>
      </c>
      <c r="O83" t="n">
        <v>0</v>
      </c>
      <c r="P83" t="n">
        <v>0</v>
      </c>
      <c r="Q83" t="n">
        <v>1</v>
      </c>
      <c r="R83" t="n">
        <v>0</v>
      </c>
      <c r="S83" t="n">
        <v>1</v>
      </c>
      <c r="T83" t="n">
        <v>1</v>
      </c>
      <c r="U83" t="n">
        <v>0</v>
      </c>
      <c r="V83" s="2" t="inlineStr">
        <is>
          <t>Dvärgbägarlav</t>
        </is>
      </c>
      <c r="W83">
        <f>HYPERLINK("https://klasma.github.io/Logging_2510/artfynd/A 72480-2021 artfynd.xlsx", "A 72480-2021")</f>
        <v/>
      </c>
      <c r="X83">
        <f>HYPERLINK("https://klasma.github.io/Logging_2510/kartor/A 72480-2021 karta.png", "A 72480-2021")</f>
        <v/>
      </c>
      <c r="Y83">
        <f>HYPERLINK("https://klasma.github.io/Logging_2510/kartor_geotiff/A 72480-2021 georefererad karta.tif", "A 72480-2021")</f>
        <v/>
      </c>
      <c r="AA83">
        <f>HYPERLINK("https://klasma.github.io/Logging_2510/klagomål/A 72480-2021 FSC-klagomål.docx", "A 72480-2021")</f>
        <v/>
      </c>
      <c r="AB83">
        <f>HYPERLINK("https://klasma.github.io/Logging_2510/klagomålsmail/A 72480-2021 FSC-klagomål mail.docx", "A 72480-2021")</f>
        <v/>
      </c>
      <c r="AC83">
        <f>HYPERLINK("https://klasma.github.io/Logging_2510/tillsyn/A 72480-2021 tillsynsbegäran.docx", "A 72480-2021")</f>
        <v/>
      </c>
      <c r="AD83">
        <f>HYPERLINK("https://klasma.github.io/Logging_2510/tillsynsmail/A 72480-2021 tillsynsbegäran mail.docx", "A 72480-2021")</f>
        <v/>
      </c>
    </row>
    <row r="84" ht="15" customHeight="1">
      <c r="A84" t="inlineStr">
        <is>
          <t>A 50391-2025</t>
        </is>
      </c>
      <c r="B84" t="inlineStr">
        <is>
          <t>avverkningsanmälan</t>
        </is>
      </c>
      <c r="C84" t="inlineStr">
        <is>
          <t>Föryngringsavverkning</t>
        </is>
      </c>
      <c r="D84" s="1" t="n">
        <v>45944</v>
      </c>
      <c r="E84" s="1" t="n">
        <v>46279</v>
      </c>
      <c r="F84" t="inlineStr">
        <is>
          <t>NORRBOTTENS LÄN</t>
        </is>
      </c>
      <c r="G84" t="inlineStr">
        <is>
          <t>JOKKMOKK</t>
        </is>
      </c>
      <c r="H84" t="inlineStr">
        <is>
          <t>Sveaskog</t>
        </is>
      </c>
      <c r="I84" t="n">
        <v>7.6</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50391-2025 artfynd.xlsx", "A 50391-2025")</f>
        <v/>
      </c>
      <c r="X84">
        <f>HYPERLINK("https://klasma.github.io/Logging_2510/kartor/A 50391-2025 karta.png", "A 50391-2025")</f>
        <v/>
      </c>
      <c r="Y84">
        <f>HYPERLINK("https://klasma.github.io/Logging_2510/kartor_geotiff/A 50391-2025 georefererad karta.tif", "A 50391-2025")</f>
        <v/>
      </c>
      <c r="AA84">
        <f>HYPERLINK("https://klasma.github.io/Logging_2510/klagomål/A 50391-2025 FSC-klagomål.docx", "A 50391-2025")</f>
        <v/>
      </c>
      <c r="AB84">
        <f>HYPERLINK("https://klasma.github.io/Logging_2510/klagomålsmail/A 50391-2025 FSC-klagomål mail.docx", "A 50391-2025")</f>
        <v/>
      </c>
      <c r="AC84">
        <f>HYPERLINK("https://klasma.github.io/Logging_2510/tillsyn/A 50391-2025 tillsynsbegäran.docx", "A 50391-2025")</f>
        <v/>
      </c>
      <c r="AD84">
        <f>HYPERLINK("https://klasma.github.io/Logging_2510/tillsynsmail/A 50391-2025 tillsynsbegäran mail.docx", "A 50391-2025")</f>
        <v/>
      </c>
    </row>
    <row r="85" ht="15" customHeight="1">
      <c r="A85" t="inlineStr">
        <is>
          <t>A 51718-2025</t>
        </is>
      </c>
      <c r="B85" t="inlineStr">
        <is>
          <t>avverkningsanmälan</t>
        </is>
      </c>
      <c r="C85" t="inlineStr">
        <is>
          <t>Föryngringsavverkning</t>
        </is>
      </c>
      <c r="D85" s="1" t="n">
        <v>45951</v>
      </c>
      <c r="E85" s="1" t="n">
        <v>46279</v>
      </c>
      <c r="F85" t="inlineStr">
        <is>
          <t>NORRBOTTENS LÄN</t>
        </is>
      </c>
      <c r="G85" t="inlineStr">
        <is>
          <t>JOKKMOKK</t>
        </is>
      </c>
      <c r="H85" t="inlineStr">
        <is>
          <t>Övriga statliga verk och myndigheter</t>
        </is>
      </c>
      <c r="I85" t="n">
        <v>31.9</v>
      </c>
      <c r="J85" t="n">
        <v>0</v>
      </c>
      <c r="K85" t="n">
        <v>0</v>
      </c>
      <c r="L85" t="n">
        <v>1</v>
      </c>
      <c r="M85" t="n">
        <v>0</v>
      </c>
      <c r="N85" t="n">
        <v>0</v>
      </c>
      <c r="O85" t="n">
        <v>0</v>
      </c>
      <c r="P85" t="n">
        <v>0</v>
      </c>
      <c r="Q85" t="n">
        <v>1</v>
      </c>
      <c r="R85" t="n">
        <v>0</v>
      </c>
      <c r="S85" t="n">
        <v>1</v>
      </c>
      <c r="T85" t="n">
        <v>1</v>
      </c>
      <c r="U85" t="n">
        <v>0</v>
      </c>
      <c r="V85" s="2" t="inlineStr">
        <is>
          <t>Violmussling</t>
        </is>
      </c>
      <c r="W85">
        <f>HYPERLINK("https://klasma.github.io/Logging_2510/artfynd/A 51718-2025 artfynd.xlsx", "A 51718-2025")</f>
        <v/>
      </c>
      <c r="X85">
        <f>HYPERLINK("https://klasma.github.io/Logging_2510/kartor/A 51718-2025 karta.png", "A 51718-2025")</f>
        <v/>
      </c>
      <c r="Y85">
        <f>HYPERLINK("https://klasma.github.io/Logging_2510/kartor_geotiff/A 51718-2025 georefererad karta.tif", "A 51718-2025")</f>
        <v/>
      </c>
      <c r="AA85">
        <f>HYPERLINK("https://klasma.github.io/Logging_2510/klagomål/A 51718-2025 FSC-klagomål.docx", "A 51718-2025")</f>
        <v/>
      </c>
      <c r="AB85">
        <f>HYPERLINK("https://klasma.github.io/Logging_2510/klagomålsmail/A 51718-2025 FSC-klagomål mail.docx", "A 51718-2025")</f>
        <v/>
      </c>
      <c r="AC85">
        <f>HYPERLINK("https://klasma.github.io/Logging_2510/tillsyn/A 51718-2025 tillsynsbegäran.docx", "A 51718-2025")</f>
        <v/>
      </c>
      <c r="AD85">
        <f>HYPERLINK("https://klasma.github.io/Logging_2510/tillsynsmail/A 51718-2025 tillsynsbegäran mail.docx", "A 51718-2025")</f>
        <v/>
      </c>
    </row>
    <row r="86" ht="15" customHeight="1">
      <c r="A86" t="inlineStr">
        <is>
          <t>A 53035-2025</t>
        </is>
      </c>
      <c r="B86" t="inlineStr">
        <is>
          <t>avverkningsanmälan</t>
        </is>
      </c>
      <c r="C86" t="inlineStr">
        <is>
          <t>Föryngringsavverkning</t>
        </is>
      </c>
      <c r="D86" s="1" t="n">
        <v>45958</v>
      </c>
      <c r="E86" s="1" t="n">
        <v>46279</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56324-2025</t>
        </is>
      </c>
      <c r="B87" t="inlineStr">
        <is>
          <t>avverkningsanmälan</t>
        </is>
      </c>
      <c r="C87" t="inlineStr">
        <is>
          <t>Föryngringsavverkning</t>
        </is>
      </c>
      <c r="D87" s="1" t="n">
        <v>45974</v>
      </c>
      <c r="E87" s="1" t="n">
        <v>46279</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46279</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2031-2025</t>
        </is>
      </c>
      <c r="B89" t="inlineStr">
        <is>
          <t>avverkningsanmälan</t>
        </is>
      </c>
      <c r="C89" t="inlineStr">
        <is>
          <t>Föryngringsavverkning</t>
        </is>
      </c>
      <c r="D89" s="1" t="n">
        <v>45672</v>
      </c>
      <c r="E89" s="1" t="n">
        <v>46279</v>
      </c>
      <c r="F89" t="inlineStr">
        <is>
          <t>NORRBOTTENS LÄN</t>
        </is>
      </c>
      <c r="G89" t="inlineStr">
        <is>
          <t>JOKKMOKK</t>
        </is>
      </c>
      <c r="H89" t="inlineStr">
        <is>
          <t>Övriga statliga verk och myndigheter</t>
        </is>
      </c>
      <c r="I89" t="n">
        <v>7.5</v>
      </c>
      <c r="J89" t="n">
        <v>0</v>
      </c>
      <c r="K89" t="n">
        <v>0</v>
      </c>
      <c r="L89" t="n">
        <v>1</v>
      </c>
      <c r="M89" t="n">
        <v>0</v>
      </c>
      <c r="N89" t="n">
        <v>0</v>
      </c>
      <c r="O89" t="n">
        <v>0</v>
      </c>
      <c r="P89" t="n">
        <v>0</v>
      </c>
      <c r="Q89" t="n">
        <v>1</v>
      </c>
      <c r="R89" t="n">
        <v>0</v>
      </c>
      <c r="S89" t="n">
        <v>1</v>
      </c>
      <c r="T89" t="n">
        <v>1</v>
      </c>
      <c r="U89" t="n">
        <v>1</v>
      </c>
      <c r="V89" s="2" t="inlineStr">
        <is>
          <t>Vitplätt</t>
        </is>
      </c>
      <c r="W89">
        <f>HYPERLINK("https://klasma.github.io/Logging_2510/artfynd/A 2031-2025 artfynd.xlsx", "A 2031-2025")</f>
        <v/>
      </c>
      <c r="X89">
        <f>HYPERLINK("https://klasma.github.io/Logging_2510/kartor/A 2031-2025 karta.png", "A 2031-2025")</f>
        <v/>
      </c>
      <c r="Y89">
        <f>HYPERLINK("https://klasma.github.io/Logging_2510/kartor_geotiff/A 2031-2025 georefererad karta.tif", "A 2031-2025")</f>
        <v/>
      </c>
      <c r="AA89">
        <f>HYPERLINK("https://klasma.github.io/Logging_2510/klagomål/A 2031-2025 FSC-klagomål.docx", "A 2031-2025")</f>
        <v/>
      </c>
      <c r="AB89">
        <f>HYPERLINK("https://klasma.github.io/Logging_2510/klagomålsmail/A 2031-2025 FSC-klagomål mail.docx", "A 2031-2025")</f>
        <v/>
      </c>
      <c r="AC89">
        <f>HYPERLINK("https://klasma.github.io/Logging_2510/tillsyn/A 2031-2025 tillsynsbegäran.docx", "A 2031-2025")</f>
        <v/>
      </c>
      <c r="AD89">
        <f>HYPERLINK("https://klasma.github.io/Logging_2510/tillsynsmail/A 2031-2025 tillsynsbegäran mail.docx", "A 2031-2025")</f>
        <v/>
      </c>
    </row>
    <row r="90" ht="15" customHeight="1">
      <c r="A90" t="inlineStr">
        <is>
          <t>A 50237-2022</t>
        </is>
      </c>
      <c r="B90" t="inlineStr">
        <is>
          <t>avverkningsanmälan</t>
        </is>
      </c>
      <c r="C90" t="inlineStr">
        <is>
          <t>Föryngringsavverkning</t>
        </is>
      </c>
      <c r="D90" s="1" t="n">
        <v>44865</v>
      </c>
      <c r="E90" s="1" t="n">
        <v>46279</v>
      </c>
      <c r="F90" t="inlineStr">
        <is>
          <t>NORRBOTTENS LÄN</t>
        </is>
      </c>
      <c r="G90" t="inlineStr">
        <is>
          <t>JOKKMOKK</t>
        </is>
      </c>
      <c r="H90" t="inlineStr">
        <is>
          <t>Sveaskog</t>
        </is>
      </c>
      <c r="I90" t="n">
        <v>13.4</v>
      </c>
      <c r="J90" t="n">
        <v>1</v>
      </c>
      <c r="K90" t="n">
        <v>0</v>
      </c>
      <c r="L90" t="n">
        <v>1</v>
      </c>
      <c r="M90" t="n">
        <v>0</v>
      </c>
      <c r="N90" t="n">
        <v>0</v>
      </c>
      <c r="O90" t="n">
        <v>0</v>
      </c>
      <c r="P90" t="n">
        <v>0</v>
      </c>
      <c r="Q90" t="n">
        <v>1</v>
      </c>
      <c r="R90" t="n">
        <v>0</v>
      </c>
      <c r="S90" t="n">
        <v>1</v>
      </c>
      <c r="T90" t="n">
        <v>1</v>
      </c>
      <c r="U90" t="n">
        <v>1</v>
      </c>
      <c r="V90" s="2" t="inlineStr">
        <is>
          <t>Lavskrika</t>
        </is>
      </c>
      <c r="W90">
        <f>HYPERLINK("https://klasma.github.io/Logging_2510/artfynd/A 50237-2022 artfynd.xlsx", "A 50237-2022")</f>
        <v/>
      </c>
      <c r="X90">
        <f>HYPERLINK("https://klasma.github.io/Logging_2510/kartor/A 50237-2022 karta.png", "A 50237-2022")</f>
        <v/>
      </c>
      <c r="Y90">
        <f>HYPERLINK("https://klasma.github.io/Logging_2510/kartor_geotiff/A 50237-2022 georefererad karta.tif", "A 50237-2022")</f>
        <v/>
      </c>
      <c r="AA90">
        <f>HYPERLINK("https://klasma.github.io/Logging_2510/klagomål/A 50237-2022 FSC-klagomål.docx", "A 50237-2022")</f>
        <v/>
      </c>
      <c r="AB90">
        <f>HYPERLINK("https://klasma.github.io/Logging_2510/klagomålsmail/A 50237-2022 FSC-klagomål mail.docx", "A 50237-2022")</f>
        <v/>
      </c>
      <c r="AC90">
        <f>HYPERLINK("https://klasma.github.io/Logging_2510/tillsyn/A 50237-2022 tillsynsbegäran.docx", "A 50237-2022")</f>
        <v/>
      </c>
      <c r="AD90">
        <f>HYPERLINK("https://klasma.github.io/Logging_2510/tillsynsmail/A 50237-2022 tillsynsbegäran mail.docx", "A 50237-2022")</f>
        <v/>
      </c>
      <c r="AE90">
        <f>HYPERLINK("https://klasma.github.io/Logging_2510/fåglar/A 50237-2022 prioriterade fågelarter.docx", "A 50237-2022")</f>
        <v/>
      </c>
    </row>
    <row r="91" ht="15" customHeight="1">
      <c r="A91" t="inlineStr">
        <is>
          <t>A 58133-2025</t>
        </is>
      </c>
      <c r="B91" t="inlineStr">
        <is>
          <t>avverkningsanmälan</t>
        </is>
      </c>
      <c r="C91" t="inlineStr">
        <is>
          <t>Föryngringsavverkning</t>
        </is>
      </c>
      <c r="D91" s="1" t="n">
        <v>45982</v>
      </c>
      <c r="E91" s="1" t="n">
        <v>46279</v>
      </c>
      <c r="F91" t="inlineStr">
        <is>
          <t>NORRBOTTENS LÄN</t>
        </is>
      </c>
      <c r="G91" t="inlineStr">
        <is>
          <t>JOKKMOKK</t>
        </is>
      </c>
      <c r="H91" t="inlineStr">
        <is>
          <t>Sveaskog</t>
        </is>
      </c>
      <c r="I91" t="n">
        <v>1.2</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58133-2025 artfynd.xlsx", "A 58133-2025")</f>
        <v/>
      </c>
      <c r="X91">
        <f>HYPERLINK("https://klasma.github.io/Logging_2510/kartor/A 58133-2025 karta.png", "A 58133-2025")</f>
        <v/>
      </c>
      <c r="Y91">
        <f>HYPERLINK("https://klasma.github.io/Logging_2510/kartor_geotiff/A 58133-2025 georefererad karta.tif", "A 58133-2025")</f>
        <v/>
      </c>
      <c r="AA91">
        <f>HYPERLINK("https://klasma.github.io/Logging_2510/klagomål/A 58133-2025 FSC-klagomål.docx", "A 58133-2025")</f>
        <v/>
      </c>
      <c r="AB91">
        <f>HYPERLINK("https://klasma.github.io/Logging_2510/klagomålsmail/A 58133-2025 FSC-klagomål mail.docx", "A 58133-2025")</f>
        <v/>
      </c>
      <c r="AC91">
        <f>HYPERLINK("https://klasma.github.io/Logging_2510/tillsyn/A 58133-2025 tillsynsbegäran.docx", "A 58133-2025")</f>
        <v/>
      </c>
      <c r="AD91">
        <f>HYPERLINK("https://klasma.github.io/Logging_2510/tillsynsmail/A 58133-2025 tillsynsbegäran mail.docx", "A 58133-2025")</f>
        <v/>
      </c>
      <c r="AE91">
        <f>HYPERLINK("https://klasma.github.io/Logging_2510/fåglar/A 58133-2025 prioriterade fågelarter.docx", "A 58133-2025")</f>
        <v/>
      </c>
    </row>
    <row r="92" ht="15" customHeight="1">
      <c r="A92" t="inlineStr">
        <is>
          <t>A 58418-2025</t>
        </is>
      </c>
      <c r="B92" t="inlineStr">
        <is>
          <t>avverkningsanmälan</t>
        </is>
      </c>
      <c r="C92" t="inlineStr">
        <is>
          <t>Föryngringsavverkning</t>
        </is>
      </c>
      <c r="D92" s="1" t="n">
        <v>45985</v>
      </c>
      <c r="E92" s="1" t="n">
        <v>46279</v>
      </c>
      <c r="F92" t="inlineStr">
        <is>
          <t>NORRBOTTENS LÄN</t>
        </is>
      </c>
      <c r="G92" t="inlineStr">
        <is>
          <t>JOKKMOKK</t>
        </is>
      </c>
      <c r="H92" t="inlineStr">
        <is>
          <t>Övriga statliga verk och myndigheter</t>
        </is>
      </c>
      <c r="I92" t="n">
        <v>18.1</v>
      </c>
      <c r="J92" t="n">
        <v>1</v>
      </c>
      <c r="K92" t="n">
        <v>1</v>
      </c>
      <c r="L92" t="n">
        <v>0</v>
      </c>
      <c r="M92" t="n">
        <v>0</v>
      </c>
      <c r="N92" t="n">
        <v>0</v>
      </c>
      <c r="O92" t="n">
        <v>0</v>
      </c>
      <c r="P92" t="n">
        <v>0</v>
      </c>
      <c r="Q92" t="n">
        <v>0</v>
      </c>
      <c r="R92" t="n">
        <v>0</v>
      </c>
      <c r="S92" t="n">
        <v>1</v>
      </c>
      <c r="T92" t="n">
        <v>1</v>
      </c>
      <c r="U92" t="n">
        <v>0</v>
      </c>
      <c r="V92" s="2" t="inlineStr">
        <is>
          <t>Lappranunkel</t>
        </is>
      </c>
      <c r="W92">
        <f>HYPERLINK("https://klasma.github.io/Logging_2510/artfynd/A 58418-2025 artfynd.xlsx", "A 58418-2025")</f>
        <v/>
      </c>
      <c r="X92">
        <f>HYPERLINK("https://klasma.github.io/Logging_2510/kartor/A 58418-2025 karta.png", "A 58418-2025")</f>
        <v/>
      </c>
      <c r="Y92">
        <f>HYPERLINK("https://klasma.github.io/Logging_2510/kartor_geotiff/A 58418-2025 georefererad karta.tif", "A 58418-2025")</f>
        <v/>
      </c>
      <c r="AA92">
        <f>HYPERLINK("https://klasma.github.io/Logging_2510/klagomål/A 58418-2025 FSC-klagomål.docx", "A 58418-2025")</f>
        <v/>
      </c>
      <c r="AB92">
        <f>HYPERLINK("https://klasma.github.io/Logging_2510/klagomålsmail/A 58418-2025 FSC-klagomål mail.docx", "A 58418-2025")</f>
        <v/>
      </c>
      <c r="AC92">
        <f>HYPERLINK("https://klasma.github.io/Logging_2510/tillsyn/A 58418-2025 tillsynsbegäran.docx", "A 58418-2025")</f>
        <v/>
      </c>
      <c r="AD92">
        <f>HYPERLINK("https://klasma.github.io/Logging_2510/tillsynsmail/A 58418-2025 tillsynsbegäran mail.docx", "A 58418-2025")</f>
        <v/>
      </c>
    </row>
    <row r="93" ht="15" customHeight="1">
      <c r="A93" t="inlineStr">
        <is>
          <t>A 388-2026</t>
        </is>
      </c>
      <c r="B93" t="inlineStr">
        <is>
          <t>avverkningsanmälan</t>
        </is>
      </c>
      <c r="C93" t="inlineStr">
        <is>
          <t>Föryngringsavverkning</t>
        </is>
      </c>
      <c r="D93" s="1" t="n">
        <v>46027</v>
      </c>
      <c r="E93" s="1" t="n">
        <v>46279</v>
      </c>
      <c r="F93" t="inlineStr">
        <is>
          <t>NORRBOTTENS LÄN</t>
        </is>
      </c>
      <c r="G93" t="inlineStr">
        <is>
          <t>JOKKMOKK</t>
        </is>
      </c>
      <c r="I93" t="n">
        <v>15.5</v>
      </c>
      <c r="J93" t="n">
        <v>1</v>
      </c>
      <c r="K93" t="n">
        <v>0</v>
      </c>
      <c r="L93" t="n">
        <v>0</v>
      </c>
      <c r="M93" t="n">
        <v>1</v>
      </c>
      <c r="N93" t="n">
        <v>0</v>
      </c>
      <c r="O93" t="n">
        <v>0</v>
      </c>
      <c r="P93" t="n">
        <v>0</v>
      </c>
      <c r="Q93" t="n">
        <v>1</v>
      </c>
      <c r="R93" t="n">
        <v>1</v>
      </c>
      <c r="S93" t="n">
        <v>1</v>
      </c>
      <c r="T93" t="n">
        <v>20</v>
      </c>
      <c r="U93" t="n">
        <v>0</v>
      </c>
      <c r="V93" s="2" t="inlineStr">
        <is>
          <t>Norna</t>
        </is>
      </c>
      <c r="W93">
        <f>HYPERLINK("https://klasma.github.io/Logging_2510/artfynd/A 388-2026 artfynd.xlsx", "A 388-2026")</f>
        <v/>
      </c>
      <c r="X93">
        <f>HYPERLINK("https://klasma.github.io/Logging_2510/kartor/A 388-2026 karta.png", "A 388-2026")</f>
        <v/>
      </c>
      <c r="Y93">
        <f>HYPERLINK("https://klasma.github.io/Logging_2510/kartor_geotiff/A 388-2026 georefererad karta.tif", "A 388-2026")</f>
        <v/>
      </c>
      <c r="AA93">
        <f>HYPERLINK("https://klasma.github.io/Logging_2510/klagomål/A 388-2026 FSC-klagomål.docx", "A 388-2026")</f>
        <v/>
      </c>
      <c r="AB93">
        <f>HYPERLINK("https://klasma.github.io/Logging_2510/klagomålsmail/A 388-2026 FSC-klagomål mail.docx", "A 388-2026")</f>
        <v/>
      </c>
      <c r="AC93">
        <f>HYPERLINK("https://klasma.github.io/Logging_2510/tillsyn/A 388-2026 tillsynsbegäran.docx", "A 388-2026")</f>
        <v/>
      </c>
      <c r="AD93">
        <f>HYPERLINK("https://klasma.github.io/Logging_2510/tillsynsmail/A 388-2026 tillsynsbegäran mail.docx", "A 388-2026")</f>
        <v/>
      </c>
    </row>
    <row r="94" ht="15" customHeight="1">
      <c r="A94" t="inlineStr">
        <is>
          <t>A 20141-2026</t>
        </is>
      </c>
      <c r="B94" t="inlineStr">
        <is>
          <t>avverkningsanmälan</t>
        </is>
      </c>
      <c r="C94" t="inlineStr">
        <is>
          <t>Föryngringsavverkning</t>
        </is>
      </c>
      <c r="D94" s="1" t="n">
        <v>46137</v>
      </c>
      <c r="E94" s="1" t="n">
        <v>46279</v>
      </c>
      <c r="F94" t="inlineStr">
        <is>
          <t>NORRBOTTENS LÄN</t>
        </is>
      </c>
      <c r="G94" t="inlineStr">
        <is>
          <t>JOKKMOKK</t>
        </is>
      </c>
      <c r="H94" t="inlineStr">
        <is>
          <t>SCA</t>
        </is>
      </c>
      <c r="I94" t="n">
        <v>17.4</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HYPERLINK("https://klasma.github.io/Logging_2510/artfynd/A 20141-2026 artfynd.xlsx", "A 20141-2026")</f>
        <v/>
      </c>
      <c r="X94">
        <f>HYPERLINK("https://klasma.github.io/Logging_2510/kartor/A 20141-2026 karta.png", "A 20141-2026")</f>
        <v/>
      </c>
      <c r="Y94">
        <f>HYPERLINK("https://klasma.github.io/Logging_2510/kartor_geotiff/A 20141-2026 georefererad karta.tif", "A 20141-2026")</f>
        <v/>
      </c>
      <c r="AA94">
        <f>HYPERLINK("https://klasma.github.io/Logging_2510/klagomål/A 20141-2026 FSC-klagomål.docx", "A 20141-2026")</f>
        <v/>
      </c>
      <c r="AB94">
        <f>HYPERLINK("https://klasma.github.io/Logging_2510/klagomålsmail/A 20141-2026 FSC-klagomål mail.docx", "A 20141-2026")</f>
        <v/>
      </c>
      <c r="AC94">
        <f>HYPERLINK("https://klasma.github.io/Logging_2510/tillsyn/A 20141-2026 tillsynsbegäran.docx", "A 20141-2026")</f>
        <v/>
      </c>
      <c r="AD94">
        <f>HYPERLINK("https://klasma.github.io/Logging_2510/tillsynsmail/A 20141-2026 tillsynsbegäran mail.docx", "A 20141-2026")</f>
        <v/>
      </c>
    </row>
    <row r="95" ht="15" customHeight="1">
      <c r="A95" t="inlineStr">
        <is>
          <t>A 52260-2024</t>
        </is>
      </c>
      <c r="B95" t="inlineStr">
        <is>
          <t>avverkningsanmälan</t>
        </is>
      </c>
      <c r="C95" t="inlineStr">
        <is>
          <t>Föryngringsavverkning</t>
        </is>
      </c>
      <c r="D95" s="1" t="n">
        <v>45608</v>
      </c>
      <c r="E95" s="1" t="n">
        <v>46279</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46279</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46279</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46279</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28985-2026</t>
        </is>
      </c>
      <c r="B99" t="inlineStr">
        <is>
          <t>avverkningsanmälan</t>
        </is>
      </c>
      <c r="C99" t="inlineStr">
        <is>
          <t>Föryngringsavverkning</t>
        </is>
      </c>
      <c r="D99" s="1" t="n">
        <v>46199</v>
      </c>
      <c r="E99" s="1" t="n">
        <v>46279</v>
      </c>
      <c r="F99" t="inlineStr">
        <is>
          <t>NORRBOTTENS LÄN</t>
        </is>
      </c>
      <c r="G99" t="inlineStr">
        <is>
          <t>JOKKMOKK</t>
        </is>
      </c>
      <c r="H99" t="inlineStr">
        <is>
          <t>SCA</t>
        </is>
      </c>
      <c r="I99" t="n">
        <v>4.3</v>
      </c>
      <c r="J99" t="n">
        <v>0</v>
      </c>
      <c r="K99" t="n">
        <v>0</v>
      </c>
      <c r="L99" t="n">
        <v>1</v>
      </c>
      <c r="M99" t="n">
        <v>0</v>
      </c>
      <c r="N99" t="n">
        <v>0</v>
      </c>
      <c r="O99" t="n">
        <v>0</v>
      </c>
      <c r="P99" t="n">
        <v>0</v>
      </c>
      <c r="Q99" t="n">
        <v>1</v>
      </c>
      <c r="R99" t="n">
        <v>0</v>
      </c>
      <c r="S99" t="n">
        <v>1</v>
      </c>
      <c r="T99" t="n">
        <v>2</v>
      </c>
      <c r="U99" t="n">
        <v>2</v>
      </c>
      <c r="V99" s="2" t="inlineStr">
        <is>
          <t>Vaddporing</t>
        </is>
      </c>
      <c r="W99">
        <f>HYPERLINK("https://klasma.github.io/Logging_2510/artfynd/A 28985-2026 artfynd.xlsx", "A 28985-2026")</f>
        <v/>
      </c>
      <c r="X99">
        <f>HYPERLINK("https://klasma.github.io/Logging_2510/kartor/A 28985-2026 karta.png", "A 28985-2026")</f>
        <v/>
      </c>
      <c r="Y99">
        <f>HYPERLINK("https://klasma.github.io/Logging_2510/kartor_geotiff/A 28985-2026 georefererad karta.tif", "A 28985-2026")</f>
        <v/>
      </c>
      <c r="AA99">
        <f>HYPERLINK("https://klasma.github.io/Logging_2510/klagomål/A 28985-2026 FSC-klagomål.docx", "A 28985-2026")</f>
        <v/>
      </c>
      <c r="AB99">
        <f>HYPERLINK("https://klasma.github.io/Logging_2510/klagomålsmail/A 28985-2026 FSC-klagomål mail.docx", "A 28985-2026")</f>
        <v/>
      </c>
      <c r="AC99">
        <f>HYPERLINK("https://klasma.github.io/Logging_2510/tillsyn/A 28985-2026 tillsynsbegäran.docx", "A 28985-2026")</f>
        <v/>
      </c>
      <c r="AD99">
        <f>HYPERLINK("https://klasma.github.io/Logging_2510/tillsynsmail/A 28985-2026 tillsynsbegäran mail.docx", "A 28985-2026")</f>
        <v/>
      </c>
    </row>
    <row r="100" ht="15" customHeight="1">
      <c r="A100" t="inlineStr">
        <is>
          <t>A 28987-2026</t>
        </is>
      </c>
      <c r="B100" t="inlineStr">
        <is>
          <t>avverkningsanmälan</t>
        </is>
      </c>
      <c r="C100" t="inlineStr">
        <is>
          <t>Föryngringsavverkning</t>
        </is>
      </c>
      <c r="D100" s="1" t="n">
        <v>46199</v>
      </c>
      <c r="E100" s="1" t="n">
        <v>46279</v>
      </c>
      <c r="F100" t="inlineStr">
        <is>
          <t>NORRBOTTENS LÄN</t>
        </is>
      </c>
      <c r="G100" t="inlineStr">
        <is>
          <t>JOKKMOKK</t>
        </is>
      </c>
      <c r="H100" t="inlineStr">
        <is>
          <t>SCA</t>
        </is>
      </c>
      <c r="I100" t="n">
        <v>3.2</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HYPERLINK("https://klasma.github.io/Logging_2510/artfynd/A 28987-2026 artfynd.xlsx", "A 28987-2026")</f>
        <v/>
      </c>
      <c r="X100">
        <f>HYPERLINK("https://klasma.github.io/Logging_2510/kartor/A 28987-2026 karta.png", "A 28987-2026")</f>
        <v/>
      </c>
      <c r="Y100">
        <f>HYPERLINK("https://klasma.github.io/Logging_2510/kartor_geotiff/A 28987-2026 georefererad karta.tif", "A 28987-2026")</f>
        <v/>
      </c>
      <c r="AA100">
        <f>HYPERLINK("https://klasma.github.io/Logging_2510/klagomål/A 28987-2026 FSC-klagomål.docx", "A 28987-2026")</f>
        <v/>
      </c>
      <c r="AB100">
        <f>HYPERLINK("https://klasma.github.io/Logging_2510/klagomålsmail/A 28987-2026 FSC-klagomål mail.docx", "A 28987-2026")</f>
        <v/>
      </c>
      <c r="AC100">
        <f>HYPERLINK("https://klasma.github.io/Logging_2510/tillsyn/A 28987-2026 tillsynsbegäran.docx", "A 28987-2026")</f>
        <v/>
      </c>
      <c r="AD100">
        <f>HYPERLINK("https://klasma.github.io/Logging_2510/tillsynsmail/A 28987-2026 tillsynsbegäran mail.docx", "A 28987-2026")</f>
        <v/>
      </c>
    </row>
    <row r="101" ht="15" customHeight="1">
      <c r="A101" t="inlineStr">
        <is>
          <t>A 44234-2025</t>
        </is>
      </c>
      <c r="B101" t="inlineStr">
        <is>
          <t>avverkningsanmälan</t>
        </is>
      </c>
      <c r="C101" t="inlineStr">
        <is>
          <t>Föryngringsavverkning</t>
        </is>
      </c>
      <c r="D101" s="1" t="n">
        <v>45915</v>
      </c>
      <c r="E101" s="1" t="n">
        <v>46279</v>
      </c>
      <c r="F101" t="inlineStr">
        <is>
          <t>NORRBOTTENS LÄN</t>
        </is>
      </c>
      <c r="G101" t="inlineStr">
        <is>
          <t>JOKKMOKK</t>
        </is>
      </c>
      <c r="H101" t="inlineStr">
        <is>
          <t>Sveaskog</t>
        </is>
      </c>
      <c r="I101" t="n">
        <v>1.6</v>
      </c>
      <c r="J101" t="n">
        <v>0</v>
      </c>
      <c r="K101" t="n">
        <v>0</v>
      </c>
      <c r="L101" t="n">
        <v>1</v>
      </c>
      <c r="M101" t="n">
        <v>0</v>
      </c>
      <c r="N101" t="n">
        <v>0</v>
      </c>
      <c r="O101" t="n">
        <v>0</v>
      </c>
      <c r="P101" t="n">
        <v>0</v>
      </c>
      <c r="Q101" t="n">
        <v>1</v>
      </c>
      <c r="R101" t="n">
        <v>0</v>
      </c>
      <c r="S101" t="n">
        <v>1</v>
      </c>
      <c r="T101" t="n">
        <v>1</v>
      </c>
      <c r="U101" t="n">
        <v>0</v>
      </c>
      <c r="V101" s="2" t="inlineStr">
        <is>
          <t>Vedflamlav</t>
        </is>
      </c>
      <c r="W101">
        <f>HYPERLINK("https://klasma.github.io/Logging_2510/artfynd/A 44234-2025 artfynd.xlsx", "A 44234-2025")</f>
        <v/>
      </c>
      <c r="X101">
        <f>HYPERLINK("https://klasma.github.io/Logging_2510/kartor/A 44234-2025 karta.png", "A 44234-2025")</f>
        <v/>
      </c>
      <c r="Y101">
        <f>HYPERLINK("https://klasma.github.io/Logging_2510/kartor_geotiff/A 44234-2025 georefererad karta.tif", "A 44234-2025")</f>
        <v/>
      </c>
      <c r="AA101">
        <f>HYPERLINK("https://klasma.github.io/Logging_2510/klagomål/A 44234-2025 FSC-klagomål.docx", "A 44234-2025")</f>
        <v/>
      </c>
      <c r="AB101">
        <f>HYPERLINK("https://klasma.github.io/Logging_2510/klagomålsmail/A 44234-2025 FSC-klagomål mail.docx", "A 44234-2025")</f>
        <v/>
      </c>
      <c r="AC101">
        <f>HYPERLINK("https://klasma.github.io/Logging_2510/tillsyn/A 44234-2025 tillsynsbegäran.docx", "A 44234-2025")</f>
        <v/>
      </c>
      <c r="AD101">
        <f>HYPERLINK("https://klasma.github.io/Logging_2510/tillsynsmail/A 44234-2025 tillsynsbegäran mail.docx", "A 44234-2025")</f>
        <v/>
      </c>
    </row>
    <row r="102" ht="15" customHeight="1">
      <c r="A102" t="inlineStr">
        <is>
          <t>A 36844-2026</t>
        </is>
      </c>
      <c r="B102" t="inlineStr">
        <is>
          <t>avverkningsanmälan</t>
        </is>
      </c>
      <c r="C102" t="inlineStr">
        <is>
          <t>Föryngringsavverkning</t>
        </is>
      </c>
      <c r="D102" s="1" t="n">
        <v>46272</v>
      </c>
      <c r="E102" s="1" t="n">
        <v>46279</v>
      </c>
      <c r="F102" t="inlineStr">
        <is>
          <t>NORRBOTTENS LÄN</t>
        </is>
      </c>
      <c r="G102" t="inlineStr">
        <is>
          <t>JOKKMOKK</t>
        </is>
      </c>
      <c r="H102" t="inlineStr">
        <is>
          <t>SCA</t>
        </is>
      </c>
      <c r="I102" t="n">
        <v>29.6</v>
      </c>
      <c r="J102" t="n">
        <v>1</v>
      </c>
      <c r="K102" t="n">
        <v>1</v>
      </c>
      <c r="L102" t="n">
        <v>0</v>
      </c>
      <c r="M102" t="n">
        <v>0</v>
      </c>
      <c r="N102" t="n">
        <v>0</v>
      </c>
      <c r="O102" t="n">
        <v>0</v>
      </c>
      <c r="P102" t="n">
        <v>0</v>
      </c>
      <c r="Q102" t="n">
        <v>0</v>
      </c>
      <c r="R102" t="n">
        <v>0</v>
      </c>
      <c r="S102" t="n">
        <v>1</v>
      </c>
      <c r="T102" t="n">
        <v>1</v>
      </c>
      <c r="U102" t="n">
        <v>0</v>
      </c>
      <c r="V102" s="2" t="inlineStr">
        <is>
          <t>Spindelblomster</t>
        </is>
      </c>
      <c r="W102">
        <f>HYPERLINK("https://klasma.github.io/Logging_2510/artfynd/A 36844-2026 artfynd.xlsx", "A 36844-2026")</f>
        <v/>
      </c>
      <c r="X102">
        <f>HYPERLINK("https://klasma.github.io/Logging_2510/kartor/A 36844-2026 karta.png", "A 36844-2026")</f>
        <v/>
      </c>
      <c r="Y102">
        <f>HYPERLINK("https://klasma.github.io/Logging_2510/kartor_geotiff/A 36844-2026 georefererad karta.tif", "A 36844-2026")</f>
        <v/>
      </c>
      <c r="AA102">
        <f>HYPERLINK("https://klasma.github.io/Logging_2510/klagomål/A 36844-2026 FSC-klagomål.docx", "A 36844-2026")</f>
        <v/>
      </c>
      <c r="AB102">
        <f>HYPERLINK("https://klasma.github.io/Logging_2510/klagomålsmail/A 36844-2026 FSC-klagomål mail.docx", "A 36844-2026")</f>
        <v/>
      </c>
      <c r="AC102">
        <f>HYPERLINK("https://klasma.github.io/Logging_2510/tillsyn/A 36844-2026 tillsynsbegäran.docx", "A 36844-2026")</f>
        <v/>
      </c>
      <c r="AD102">
        <f>HYPERLINK("https://klasma.github.io/Logging_2510/tillsynsmail/A 36844-2026 tillsynsbegäran mail.docx", "A 36844-2026")</f>
        <v/>
      </c>
    </row>
    <row r="103" ht="15" customHeight="1">
      <c r="A103" t="inlineStr">
        <is>
          <t>A 37621-2026</t>
        </is>
      </c>
      <c r="B103" t="inlineStr">
        <is>
          <t>avverkningsanmälan</t>
        </is>
      </c>
      <c r="C103" t="inlineStr">
        <is>
          <t>Föryngringsavverkning</t>
        </is>
      </c>
      <c r="D103" s="1" t="n">
        <v>46276</v>
      </c>
      <c r="E103" s="1" t="n">
        <v>46279</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24746-2025</t>
        </is>
      </c>
      <c r="B104" t="inlineStr">
        <is>
          <t>avverkningsanmälan</t>
        </is>
      </c>
      <c r="C104" t="inlineStr">
        <is>
          <t>Föryngringsavverkning</t>
        </is>
      </c>
      <c r="D104" s="1" t="n">
        <v>45799</v>
      </c>
      <c r="E104" s="1" t="n">
        <v>46279</v>
      </c>
      <c r="F104" t="inlineStr">
        <is>
          <t>NORRBOTTENS LÄN</t>
        </is>
      </c>
      <c r="G104" t="inlineStr">
        <is>
          <t>JOKKMOKK</t>
        </is>
      </c>
      <c r="H104" t="inlineStr">
        <is>
          <t>SCA</t>
        </is>
      </c>
      <c r="I104" t="n">
        <v>6.1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HYPERLINK("https://klasma.github.io/Logging_2510/artfynd/A 24746-2025 artfynd.xlsx", "A 24746-2025")</f>
        <v/>
      </c>
      <c r="X104">
        <f>HYPERLINK("https://klasma.github.io/Logging_2510/kartor/A 24746-2025 karta.png", "A 24746-2025")</f>
        <v/>
      </c>
      <c r="Y104">
        <f>HYPERLINK("https://klasma.github.io/Logging_2510/kartor_geotiff/A 24746-2025 georefererad karta.tif", "A 24746-2025")</f>
        <v/>
      </c>
      <c r="AA104">
        <f>HYPERLINK("https://klasma.github.io/Logging_2510/klagomål/A 24746-2025 FSC-klagomål.docx", "A 24746-2025")</f>
        <v/>
      </c>
      <c r="AB104">
        <f>HYPERLINK("https://klasma.github.io/Logging_2510/klagomålsmail/A 24746-2025 FSC-klagomål mail.docx", "A 24746-2025")</f>
        <v/>
      </c>
      <c r="AC104">
        <f>HYPERLINK("https://klasma.github.io/Logging_2510/tillsyn/A 24746-2025 tillsynsbegäran.docx", "A 24746-2025")</f>
        <v/>
      </c>
      <c r="AD104">
        <f>HYPERLINK("https://klasma.github.io/Logging_2510/tillsynsmail/A 24746-2025 tillsynsbegäran mail.docx", "A 24746-2025")</f>
        <v/>
      </c>
      <c r="AE104">
        <f>HYPERLINK("https://klasma.github.io/Logging_2510/fåglar/A 24746-2025 prioriterade fågelarter.docx", "A 24746-2025")</f>
        <v/>
      </c>
    </row>
    <row r="105" ht="15" customHeight="1">
      <c r="A105" t="inlineStr">
        <is>
          <t>S 530-2023</t>
        </is>
      </c>
      <c r="B105" t="inlineStr">
        <is>
          <t>samrådsanmälan</t>
        </is>
      </c>
      <c r="C105" t="inlineStr">
        <is>
          <t>Skogsgödsling</t>
        </is>
      </c>
      <c r="D105" s="1" t="n">
        <v>44967</v>
      </c>
      <c r="E105" s="1" t="n">
        <v>46279</v>
      </c>
      <c r="F105" t="inlineStr">
        <is>
          <t>NORRBOTTENS LÄN</t>
        </is>
      </c>
      <c r="G105" t="inlineStr">
        <is>
          <t>JOKKMOKK</t>
        </is>
      </c>
      <c r="H105" t="inlineStr">
        <is>
          <t>SCA</t>
        </is>
      </c>
      <c r="I105" t="n">
        <v>142.9</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HYPERLINK("https://klasma.github.io/Logging_2510/artfynd/S 530-2023 artfynd.xlsx", "S 530-2023")</f>
        <v/>
      </c>
      <c r="X105">
        <f>HYPERLINK("https://klasma.github.io/Logging_2510/kartor/S 530-2023 karta.png", "S 530-2023")</f>
        <v/>
      </c>
      <c r="Y105">
        <f>HYPERLINK("https://klasma.github.io/Logging_2510/kartor_geotiff/S 530-2023 georefererad karta.tif", "S 530-2023")</f>
        <v/>
      </c>
      <c r="AA105">
        <f>HYPERLINK("https://klasma.github.io/Logging_2510/klagomål/S 530-2023 FSC-klagomål.docx", "S 530-2023")</f>
        <v/>
      </c>
      <c r="AB105">
        <f>HYPERLINK("https://klasma.github.io/Logging_2510/klagomålsmail/S 530-2023 FSC-klagomål mail.docx", "S 530-2023")</f>
        <v/>
      </c>
      <c r="AC105">
        <f>HYPERLINK("https://klasma.github.io/Logging_2510/tillsyn/S 530-2023 tillsynsbegäran.docx", "S 530-2023")</f>
        <v/>
      </c>
      <c r="AD105">
        <f>HYPERLINK("https://klasma.github.io/Logging_2510/tillsynsmail/S 530-2023 tillsynsbegäran mail.docx", "S 530-2023")</f>
        <v/>
      </c>
    </row>
    <row r="106" ht="15" customHeight="1">
      <c r="A106" t="inlineStr">
        <is>
          <t>S 683-2024</t>
        </is>
      </c>
      <c r="B106" t="inlineStr">
        <is>
          <t>samrådsanmälan</t>
        </is>
      </c>
      <c r="C106" t="inlineStr">
        <is>
          <t>Skogsgödsling</t>
        </is>
      </c>
      <c r="D106" s="1" t="n">
        <v>45358</v>
      </c>
      <c r="E106" s="1" t="n">
        <v>46279</v>
      </c>
      <c r="F106" t="inlineStr">
        <is>
          <t>NORRBOTTENS LÄN</t>
        </is>
      </c>
      <c r="G106" t="inlineStr">
        <is>
          <t>JOKKMOKK</t>
        </is>
      </c>
      <c r="I106" t="n">
        <v>26.9</v>
      </c>
      <c r="J106" t="n">
        <v>0</v>
      </c>
      <c r="K106" t="n">
        <v>0</v>
      </c>
      <c r="L106" t="n">
        <v>1</v>
      </c>
      <c r="M106" t="n">
        <v>0</v>
      </c>
      <c r="N106" t="n">
        <v>0</v>
      </c>
      <c r="O106" t="n">
        <v>0</v>
      </c>
      <c r="P106" t="n">
        <v>0</v>
      </c>
      <c r="Q106" t="n">
        <v>1</v>
      </c>
      <c r="R106" t="n">
        <v>0</v>
      </c>
      <c r="S106" t="n">
        <v>1</v>
      </c>
      <c r="T106" t="n">
        <v>1</v>
      </c>
      <c r="U106" t="n">
        <v>0</v>
      </c>
      <c r="V106" s="2" t="inlineStr">
        <is>
          <t>Knottrig blåslav</t>
        </is>
      </c>
      <c r="W106">
        <f>HYPERLINK("https://klasma.github.io/Logging_2510/artfynd/S 683-2024 artfynd.xlsx", "S 683-2024")</f>
        <v/>
      </c>
      <c r="X106">
        <f>HYPERLINK("https://klasma.github.io/Logging_2510/kartor/S 683-2024 karta.png", "S 683-2024")</f>
        <v/>
      </c>
      <c r="Y106">
        <f>HYPERLINK("https://klasma.github.io/Logging_2510/kartor_geotiff/S 683-2024 georefererad karta.tif", "S 683-2024")</f>
        <v/>
      </c>
      <c r="AA106">
        <f>HYPERLINK("https://klasma.github.io/Logging_2510/klagomål/S 683-2024 FSC-klagomål.docx", "S 683-2024")</f>
        <v/>
      </c>
      <c r="AB106">
        <f>HYPERLINK("https://klasma.github.io/Logging_2510/klagomålsmail/S 683-2024 FSC-klagomål mail.docx", "S 683-2024")</f>
        <v/>
      </c>
      <c r="AC106">
        <f>HYPERLINK("https://klasma.github.io/Logging_2510/tillsyn/S 683-2024 tillsynsbegäran.docx", "S 683-2024")</f>
        <v/>
      </c>
      <c r="AD106">
        <f>HYPERLINK("https://klasma.github.io/Logging_2510/tillsynsmail/S 683-2024 tillsynsbegäran mail.docx", "S 683-2024")</f>
        <v/>
      </c>
    </row>
    <row r="107" ht="15" customHeight="1">
      <c r="A107" t="inlineStr">
        <is>
          <t>A 40248-2022</t>
        </is>
      </c>
      <c r="B107" t="inlineStr">
        <is>
          <t>avverkningsanmälan</t>
        </is>
      </c>
      <c r="C107" t="inlineStr">
        <is>
          <t>Föryngringsavverkning</t>
        </is>
      </c>
      <c r="D107" s="1" t="n">
        <v>44820</v>
      </c>
      <c r="E107" s="1" t="n">
        <v>46279</v>
      </c>
      <c r="F107" t="inlineStr">
        <is>
          <t>NORRBOTTENS LÄN</t>
        </is>
      </c>
      <c r="G107" t="inlineStr">
        <is>
          <t>JOKKMOKK</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17000-2022</t>
        </is>
      </c>
      <c r="B108" t="inlineStr">
        <is>
          <t>avverkningsanmälan</t>
        </is>
      </c>
      <c r="C108" t="inlineStr">
        <is>
          <t>Föryngringsavverkning</t>
        </is>
      </c>
      <c r="D108" s="1" t="n">
        <v>44676</v>
      </c>
      <c r="E108" s="1" t="n">
        <v>46279</v>
      </c>
      <c r="F108" t="inlineStr">
        <is>
          <t>NORRBOTTENS LÄN</t>
        </is>
      </c>
      <c r="G108" t="inlineStr">
        <is>
          <t>JOKKMOKK</t>
        </is>
      </c>
      <c r="I108" t="n">
        <v>36.6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71950-2021</t>
        </is>
      </c>
      <c r="B109" t="inlineStr">
        <is>
          <t>avverkningsanmälan</t>
        </is>
      </c>
      <c r="C109" t="inlineStr">
        <is>
          <t>Föryngringsavverkning</t>
        </is>
      </c>
      <c r="D109" s="1" t="n">
        <v>44543</v>
      </c>
      <c r="E109" s="1" t="n">
        <v>46279</v>
      </c>
      <c r="F109" t="inlineStr">
        <is>
          <t>NORRBOTTENS LÄN</t>
        </is>
      </c>
      <c r="G109" t="inlineStr">
        <is>
          <t>JOKKMOKK</t>
        </is>
      </c>
      <c r="H109" t="inlineStr">
        <is>
          <t>Naturvårdsverket</t>
        </is>
      </c>
      <c r="I109" t="n">
        <v>13.3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71921-2021</t>
        </is>
      </c>
      <c r="B110" t="inlineStr">
        <is>
          <t>avverkningsanmälan</t>
        </is>
      </c>
      <c r="C110" t="inlineStr">
        <is>
          <t>Föryngringsavverkning</t>
        </is>
      </c>
      <c r="D110" s="1" t="n">
        <v>44543</v>
      </c>
      <c r="E110" s="1" t="n">
        <v>46279</v>
      </c>
      <c r="F110" t="inlineStr">
        <is>
          <t>NORRBOTTENS LÄN</t>
        </is>
      </c>
      <c r="G110" t="inlineStr">
        <is>
          <t>JOKKMOKK</t>
        </is>
      </c>
      <c r="H110" t="inlineStr">
        <is>
          <t>SCA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71944-2021</t>
        </is>
      </c>
      <c r="B111" t="inlineStr">
        <is>
          <t>avverkningsanmälan</t>
        </is>
      </c>
      <c r="C111" t="inlineStr">
        <is>
          <t>Föryngringsavverkning</t>
        </is>
      </c>
      <c r="D111" s="1" t="n">
        <v>44543</v>
      </c>
      <c r="E111" s="1" t="n">
        <v>46279</v>
      </c>
      <c r="F111" t="inlineStr">
        <is>
          <t>NORRBOTTENS LÄN</t>
        </is>
      </c>
      <c r="G111" t="inlineStr">
        <is>
          <t>JOKKMOKK</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3772-2022</t>
        </is>
      </c>
      <c r="B112" t="inlineStr">
        <is>
          <t>avverkningsanmälan</t>
        </is>
      </c>
      <c r="C112" t="inlineStr">
        <is>
          <t>Föryngringsavverkning</t>
        </is>
      </c>
      <c r="D112" s="1" t="n">
        <v>44586</v>
      </c>
      <c r="E112" s="1" t="n">
        <v>46279</v>
      </c>
      <c r="F112" t="inlineStr">
        <is>
          <t>NORRBOTTENS LÄN</t>
        </is>
      </c>
      <c r="G112" t="inlineStr">
        <is>
          <t>JOKKMOKK</t>
        </is>
      </c>
      <c r="H112" t="inlineStr">
        <is>
          <t>SCA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3776-2022</t>
        </is>
      </c>
      <c r="B113" t="inlineStr">
        <is>
          <t>avverkningsanmälan</t>
        </is>
      </c>
      <c r="C113" t="inlineStr">
        <is>
          <t>Föryngringsavverkning</t>
        </is>
      </c>
      <c r="D113" s="1" t="n">
        <v>44586</v>
      </c>
      <c r="E113" s="1" t="n">
        <v>46279</v>
      </c>
      <c r="F113" t="inlineStr">
        <is>
          <t>NORRBOTTENS LÄN</t>
        </is>
      </c>
      <c r="G113" t="inlineStr">
        <is>
          <t>JOKKMOKK</t>
        </is>
      </c>
      <c r="H113" t="inlineStr">
        <is>
          <t>SCA</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15714-2022</t>
        </is>
      </c>
      <c r="B114" t="inlineStr">
        <is>
          <t>avverkningsanmälan</t>
        </is>
      </c>
      <c r="C114" t="inlineStr">
        <is>
          <t>Föryngringsavverkning</t>
        </is>
      </c>
      <c r="D114" s="1" t="n">
        <v>44663</v>
      </c>
      <c r="E114" s="1" t="n">
        <v>46279</v>
      </c>
      <c r="F114" t="inlineStr">
        <is>
          <t>NORRBOTTENS LÄN</t>
        </is>
      </c>
      <c r="G114" t="inlineStr">
        <is>
          <t>JOKKMOKK</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18248-2022</t>
        </is>
      </c>
      <c r="B115" t="inlineStr">
        <is>
          <t>avverkningsanmälan</t>
        </is>
      </c>
      <c r="C115" t="inlineStr">
        <is>
          <t>Avverkning för annat ändamål</t>
        </is>
      </c>
      <c r="D115" s="1" t="n">
        <v>44685</v>
      </c>
      <c r="E115" s="1" t="n">
        <v>46279</v>
      </c>
      <c r="F115" t="inlineStr">
        <is>
          <t>NORRBOTTENS LÄN</t>
        </is>
      </c>
      <c r="G115" t="inlineStr">
        <is>
          <t>JOKKMOKK</t>
        </is>
      </c>
      <c r="H115" t="inlineStr">
        <is>
          <t>Övriga statliga verk och myndigheter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71368-2021</t>
        </is>
      </c>
      <c r="B116" t="inlineStr">
        <is>
          <t>avverkningsanmälan</t>
        </is>
      </c>
      <c r="C116" t="inlineStr">
        <is>
          <t>Föryngringsavverkning</t>
        </is>
      </c>
      <c r="D116" s="1" t="n">
        <v>44539</v>
      </c>
      <c r="E116" s="1" t="n">
        <v>46279</v>
      </c>
      <c r="F116" t="inlineStr">
        <is>
          <t>NORRBOTTENS LÄN</t>
        </is>
      </c>
      <c r="G116" t="inlineStr">
        <is>
          <t>JOKKMOKK</t>
        </is>
      </c>
      <c r="H116" t="inlineStr">
        <is>
          <t>SCA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71947-2021</t>
        </is>
      </c>
      <c r="B117" t="inlineStr">
        <is>
          <t>avverkningsanmälan</t>
        </is>
      </c>
      <c r="C117" t="inlineStr">
        <is>
          <t>Föryngringsavverkning</t>
        </is>
      </c>
      <c r="D117" s="1" t="n">
        <v>44543</v>
      </c>
      <c r="E117" s="1" t="n">
        <v>46279</v>
      </c>
      <c r="F117" t="inlineStr">
        <is>
          <t>NORRBOTTENS LÄN</t>
        </is>
      </c>
      <c r="G117" t="inlineStr">
        <is>
          <t>JOKKMOKK</t>
        </is>
      </c>
      <c r="H117" t="inlineStr">
        <is>
          <t>SCA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71922-2021</t>
        </is>
      </c>
      <c r="B118" t="inlineStr">
        <is>
          <t>avverkningsanmälan</t>
        </is>
      </c>
      <c r="C118" t="inlineStr">
        <is>
          <t>Föryngringsavverkning</t>
        </is>
      </c>
      <c r="D118" s="1" t="n">
        <v>44543</v>
      </c>
      <c r="E118" s="1" t="n">
        <v>46279</v>
      </c>
      <c r="F118" t="inlineStr">
        <is>
          <t>NORRBOTTENS LÄN</t>
        </is>
      </c>
      <c r="G118" t="inlineStr">
        <is>
          <t>JOKKMOKK</t>
        </is>
      </c>
      <c r="H118" t="inlineStr">
        <is>
          <t>SCA</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12576-2022</t>
        </is>
      </c>
      <c r="B119" t="inlineStr">
        <is>
          <t>avverkningsanmälan</t>
        </is>
      </c>
      <c r="C119" t="inlineStr">
        <is>
          <t>Föryngringsavverkning</t>
        </is>
      </c>
      <c r="D119" s="1" t="n">
        <v>44638</v>
      </c>
      <c r="E119" s="1" t="n">
        <v>46279</v>
      </c>
      <c r="F119" t="inlineStr">
        <is>
          <t>NORRBOTTENS LÄN</t>
        </is>
      </c>
      <c r="G119" t="inlineStr">
        <is>
          <t>JOKKMOKK</t>
        </is>
      </c>
      <c r="H119" t="inlineStr">
        <is>
          <t>SCA</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27781-2022</t>
        </is>
      </c>
      <c r="B120" t="inlineStr">
        <is>
          <t>avverkningsanmälan</t>
        </is>
      </c>
      <c r="C120" t="inlineStr">
        <is>
          <t>Avverkning för annat ändamål</t>
        </is>
      </c>
      <c r="D120" s="1" t="n">
        <v>44743</v>
      </c>
      <c r="E120" s="1" t="n">
        <v>46279</v>
      </c>
      <c r="F120" t="inlineStr">
        <is>
          <t>NORRBOTTENS LÄN</t>
        </is>
      </c>
      <c r="G120" t="inlineStr">
        <is>
          <t>JOKKMOKK</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71937-2021</t>
        </is>
      </c>
      <c r="B121" t="inlineStr">
        <is>
          <t>avverkningsanmälan</t>
        </is>
      </c>
      <c r="C121" t="inlineStr">
        <is>
          <t>Föryngringsavverkning</t>
        </is>
      </c>
      <c r="D121" s="1" t="n">
        <v>44543</v>
      </c>
      <c r="E121" s="1" t="n">
        <v>46279</v>
      </c>
      <c r="F121" t="inlineStr">
        <is>
          <t>NORRBOTTENS LÄN</t>
        </is>
      </c>
      <c r="G121" t="inlineStr">
        <is>
          <t>JOKKMOKK</t>
        </is>
      </c>
      <c r="H121" t="inlineStr">
        <is>
          <t>Naturvårdsverket</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3771-2022</t>
        </is>
      </c>
      <c r="B122" t="inlineStr">
        <is>
          <t>avverkningsanmälan</t>
        </is>
      </c>
      <c r="C122" t="inlineStr">
        <is>
          <t>Föryngringsavverkning</t>
        </is>
      </c>
      <c r="D122" s="1" t="n">
        <v>44586</v>
      </c>
      <c r="E122" s="1" t="n">
        <v>46279</v>
      </c>
      <c r="F122" t="inlineStr">
        <is>
          <t>NORRBOTTENS LÄN</t>
        </is>
      </c>
      <c r="G122" t="inlineStr">
        <is>
          <t>JOKKMOKK</t>
        </is>
      </c>
      <c r="H122" t="inlineStr">
        <is>
          <t>SCA</t>
        </is>
      </c>
      <c r="I122" t="n">
        <v>10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1631-2022</t>
        </is>
      </c>
      <c r="B123" t="inlineStr">
        <is>
          <t>avverkningsanmälan</t>
        </is>
      </c>
      <c r="C123" t="inlineStr">
        <is>
          <t>Föryngringsavverkning</t>
        </is>
      </c>
      <c r="D123" s="1" t="n">
        <v>44573</v>
      </c>
      <c r="E123" s="1" t="n">
        <v>46279</v>
      </c>
      <c r="F123" t="inlineStr">
        <is>
          <t>NORRBOTTENS LÄN</t>
        </is>
      </c>
      <c r="G123" t="inlineStr">
        <is>
          <t>JOKKMOKK</t>
        </is>
      </c>
      <c r="H123" t="inlineStr">
        <is>
          <t>SCA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40129-2022</t>
        </is>
      </c>
      <c r="B124" t="inlineStr">
        <is>
          <t>avverkningsanmälan</t>
        </is>
      </c>
      <c r="C124" t="inlineStr">
        <is>
          <t>Avverkning för att bevara och utveckla /försöksver</t>
        </is>
      </c>
      <c r="D124" s="1" t="n">
        <v>44820</v>
      </c>
      <c r="E124" s="1" t="n">
        <v>46279</v>
      </c>
      <c r="F124" t="inlineStr">
        <is>
          <t>NORRBOTTENS LÄN</t>
        </is>
      </c>
      <c r="G124" t="inlineStr">
        <is>
          <t>JOKKMOKK</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46279</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69883-2021</t>
        </is>
      </c>
      <c r="B126" t="inlineStr">
        <is>
          <t>avverkningsanmälan</t>
        </is>
      </c>
      <c r="C126" t="inlineStr">
        <is>
          <t>Föryngringsavverkning</t>
        </is>
      </c>
      <c r="D126" s="1" t="n">
        <v>44532</v>
      </c>
      <c r="E126" s="1" t="n">
        <v>46279</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51220-2022</t>
        </is>
      </c>
      <c r="B127" t="inlineStr">
        <is>
          <t>avverkningsanmälan</t>
        </is>
      </c>
      <c r="C127" t="inlineStr">
        <is>
          <t>Avverkning för annat ändamål</t>
        </is>
      </c>
      <c r="D127" s="1" t="n">
        <v>44868</v>
      </c>
      <c r="E127" s="1" t="n">
        <v>46279</v>
      </c>
      <c r="F127" t="inlineStr">
        <is>
          <t>NORRBOTTENS LÄN</t>
        </is>
      </c>
      <c r="G127" t="inlineStr">
        <is>
          <t>JOKKMOKK</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26131-2023</t>
        </is>
      </c>
      <c r="B128" t="inlineStr">
        <is>
          <t>avverkningsanmälan</t>
        </is>
      </c>
      <c r="C128" t="inlineStr">
        <is>
          <t>Föryngringsavverkning</t>
        </is>
      </c>
      <c r="D128" s="1" t="n">
        <v>45086</v>
      </c>
      <c r="E128" s="1" t="n">
        <v>46279</v>
      </c>
      <c r="F128" t="inlineStr">
        <is>
          <t>NORRBOTTENS LÄN</t>
        </is>
      </c>
      <c r="G128" t="inlineStr">
        <is>
          <t>JOKKMOKK</t>
        </is>
      </c>
      <c r="I128" t="n">
        <v>35.6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48586-2022</t>
        </is>
      </c>
      <c r="B129" t="inlineStr">
        <is>
          <t>avverkningsanmälan</t>
        </is>
      </c>
      <c r="C129" t="inlineStr">
        <is>
          <t>Föryngringsavverkning</t>
        </is>
      </c>
      <c r="D129" s="1" t="n">
        <v>44854</v>
      </c>
      <c r="E129" s="1" t="n">
        <v>46279</v>
      </c>
      <c r="F129" t="inlineStr">
        <is>
          <t>NORRBOTTENS LÄN</t>
        </is>
      </c>
      <c r="G129" t="inlineStr">
        <is>
          <t>JOKKMOKK</t>
        </is>
      </c>
      <c r="H129" t="inlineStr">
        <is>
          <t>Övriga statliga verk och myndigheter</t>
        </is>
      </c>
      <c r="I129" t="n">
        <v>26.1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45510-2022</t>
        </is>
      </c>
      <c r="B130" t="inlineStr">
        <is>
          <t>avverkningsanmälan</t>
        </is>
      </c>
      <c r="C130" t="inlineStr">
        <is>
          <t>Föryngringsavverkning</t>
        </is>
      </c>
      <c r="D130" s="1" t="n">
        <v>44841</v>
      </c>
      <c r="E130" s="1" t="n">
        <v>46279</v>
      </c>
      <c r="F130" t="inlineStr">
        <is>
          <t>NORRBOTTENS LÄN</t>
        </is>
      </c>
      <c r="G130" t="inlineStr">
        <is>
          <t>JOKKMOKK</t>
        </is>
      </c>
      <c r="H130" t="inlineStr">
        <is>
          <t>Övriga Aktiebolag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50716-2022</t>
        </is>
      </c>
      <c r="B131" t="inlineStr">
        <is>
          <t>avverkningsanmälan</t>
        </is>
      </c>
      <c r="C131" t="inlineStr">
        <is>
          <t>Föryngringsavverkning</t>
        </is>
      </c>
      <c r="D131" s="1" t="n">
        <v>44862</v>
      </c>
      <c r="E131" s="1" t="n">
        <v>46279</v>
      </c>
      <c r="F131" t="inlineStr">
        <is>
          <t>NORRBOTTENS LÄN</t>
        </is>
      </c>
      <c r="G131" t="inlineStr">
        <is>
          <t>JOKKMOKK</t>
        </is>
      </c>
      <c r="I131" t="n">
        <v>30.2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53100-2022</t>
        </is>
      </c>
      <c r="B132" t="inlineStr">
        <is>
          <t>avverkningsanmälan</t>
        </is>
      </c>
      <c r="C132" t="inlineStr">
        <is>
          <t>Föryngringsavverkning</t>
        </is>
      </c>
      <c r="D132" s="1" t="n">
        <v>44873</v>
      </c>
      <c r="E132" s="1" t="n">
        <v>46279</v>
      </c>
      <c r="F132" t="inlineStr">
        <is>
          <t>NORRBOTTENS LÄN</t>
        </is>
      </c>
      <c r="G132" t="inlineStr">
        <is>
          <t>JOKKMOKK</t>
        </is>
      </c>
      <c r="H132" t="inlineStr">
        <is>
          <t>Övriga statliga verk och myndigheter</t>
        </is>
      </c>
      <c r="I132" t="n">
        <v>37.1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31208-2023</t>
        </is>
      </c>
      <c r="B133" t="inlineStr">
        <is>
          <t>avverkningsanmälan</t>
        </is>
      </c>
      <c r="C133" t="inlineStr">
        <is>
          <t>Föryngringsavverkning</t>
        </is>
      </c>
      <c r="D133" s="1" t="n">
        <v>45113</v>
      </c>
      <c r="E133" s="1" t="n">
        <v>46279</v>
      </c>
      <c r="F133" t="inlineStr">
        <is>
          <t>NORRBOTTENS LÄN</t>
        </is>
      </c>
      <c r="G133" t="inlineStr">
        <is>
          <t>JOKKMOKK</t>
        </is>
      </c>
      <c r="H133" t="inlineStr">
        <is>
          <t>SCA</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50568-2022</t>
        </is>
      </c>
      <c r="B134" t="inlineStr">
        <is>
          <t>avverkningsanmälan</t>
        </is>
      </c>
      <c r="C134" t="inlineStr">
        <is>
          <t>Föryngringsavverkning</t>
        </is>
      </c>
      <c r="D134" s="1" t="n">
        <v>44866</v>
      </c>
      <c r="E134" s="1" t="n">
        <v>46279</v>
      </c>
      <c r="F134" t="inlineStr">
        <is>
          <t>NORRBOTTENS LÄN</t>
        </is>
      </c>
      <c r="G134" t="inlineStr">
        <is>
          <t>JOKKMOKK</t>
        </is>
      </c>
      <c r="H134" t="inlineStr">
        <is>
          <t>Sveaskog</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29625-2023</t>
        </is>
      </c>
      <c r="B135" t="inlineStr">
        <is>
          <t>avverkningsanmälan</t>
        </is>
      </c>
      <c r="C135" t="inlineStr">
        <is>
          <t>Föryngringsavverkning</t>
        </is>
      </c>
      <c r="D135" s="1" t="n">
        <v>45106</v>
      </c>
      <c r="E135" s="1" t="n">
        <v>46279</v>
      </c>
      <c r="F135" t="inlineStr">
        <is>
          <t>NORRBOTTENS LÄN</t>
        </is>
      </c>
      <c r="G135" t="inlineStr">
        <is>
          <t>JOKKMOKK</t>
        </is>
      </c>
      <c r="H135" t="inlineStr">
        <is>
          <t>SCA</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51304-2022</t>
        </is>
      </c>
      <c r="B136" t="inlineStr">
        <is>
          <t>avverkningsanmälan</t>
        </is>
      </c>
      <c r="C136" t="inlineStr">
        <is>
          <t>Avverkning för annat ändamål</t>
        </is>
      </c>
      <c r="D136" s="1" t="n">
        <v>44868</v>
      </c>
      <c r="E136" s="1" t="n">
        <v>46279</v>
      </c>
      <c r="F136" t="inlineStr">
        <is>
          <t>NORRBOTTENS LÄN</t>
        </is>
      </c>
      <c r="G136" t="inlineStr">
        <is>
          <t>JOKKMOKK</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27657-2024</t>
        </is>
      </c>
      <c r="B137" t="inlineStr">
        <is>
          <t>avverkningsanmälan</t>
        </is>
      </c>
      <c r="C137" t="inlineStr">
        <is>
          <t>Avverkning för att bevara och utveckla /försöksver</t>
        </is>
      </c>
      <c r="D137" s="1" t="n">
        <v>45474</v>
      </c>
      <c r="E137" s="1" t="n">
        <v>46279</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27658-2024</t>
        </is>
      </c>
      <c r="B138" t="inlineStr">
        <is>
          <t>avverkningsanmälan</t>
        </is>
      </c>
      <c r="C138" t="inlineStr">
        <is>
          <t>Avverkning för att bevara och utveckla /försöksver</t>
        </is>
      </c>
      <c r="D138" s="1" t="n">
        <v>45474</v>
      </c>
      <c r="E138" s="1" t="n">
        <v>46279</v>
      </c>
      <c r="F138" t="inlineStr">
        <is>
          <t>NORRBOTTENS LÄN</t>
        </is>
      </c>
      <c r="G138" t="inlineStr">
        <is>
          <t>JOKKMOKK</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27653-2024</t>
        </is>
      </c>
      <c r="B139" t="inlineStr">
        <is>
          <t>avverkningsanmälan</t>
        </is>
      </c>
      <c r="C139" t="inlineStr">
        <is>
          <t>Föryngringsavverkning</t>
        </is>
      </c>
      <c r="D139" s="1" t="n">
        <v>45474</v>
      </c>
      <c r="E139" s="1" t="n">
        <v>46279</v>
      </c>
      <c r="F139" t="inlineStr">
        <is>
          <t>NORRBOTTENS LÄN</t>
        </is>
      </c>
      <c r="G139" t="inlineStr">
        <is>
          <t>JOKKMOKK</t>
        </is>
      </c>
      <c r="H139" t="inlineStr">
        <is>
          <t>SCA</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27654-2024</t>
        </is>
      </c>
      <c r="B140" t="inlineStr">
        <is>
          <t>avverkningsanmälan</t>
        </is>
      </c>
      <c r="C140" t="inlineStr">
        <is>
          <t>Föryngringsavverkning</t>
        </is>
      </c>
      <c r="D140" s="1" t="n">
        <v>45474</v>
      </c>
      <c r="E140" s="1" t="n">
        <v>46279</v>
      </c>
      <c r="F140" t="inlineStr">
        <is>
          <t>NORRBOTTENS LÄN</t>
        </is>
      </c>
      <c r="G140" t="inlineStr">
        <is>
          <t>JOKKMOKK</t>
        </is>
      </c>
      <c r="H140" t="inlineStr">
        <is>
          <t>SCA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27656-2024</t>
        </is>
      </c>
      <c r="B141" t="inlineStr">
        <is>
          <t>avverkningsanmälan</t>
        </is>
      </c>
      <c r="C141" t="inlineStr">
        <is>
          <t>Föryngringsavverkning</t>
        </is>
      </c>
      <c r="D141" s="1" t="n">
        <v>45474</v>
      </c>
      <c r="E141" s="1" t="n">
        <v>46279</v>
      </c>
      <c r="F141" t="inlineStr">
        <is>
          <t>NORRBOTTENS LÄN</t>
        </is>
      </c>
      <c r="G141" t="inlineStr">
        <is>
          <t>JOKKMOKK</t>
        </is>
      </c>
      <c r="H141" t="inlineStr">
        <is>
          <t>SCA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25715-2024</t>
        </is>
      </c>
      <c r="B142" t="inlineStr">
        <is>
          <t>avverkningsanmälan</t>
        </is>
      </c>
      <c r="C142" t="inlineStr">
        <is>
          <t>Föryngringsavverkning</t>
        </is>
      </c>
      <c r="D142" s="1" t="n">
        <v>45463</v>
      </c>
      <c r="E142" s="1" t="n">
        <v>46279</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26969-2024</t>
        </is>
      </c>
      <c r="B143" t="inlineStr">
        <is>
          <t>avverkningsanmälan</t>
        </is>
      </c>
      <c r="C143" t="inlineStr">
        <is>
          <t>Föryngringsavverkning</t>
        </is>
      </c>
      <c r="D143" s="1" t="n">
        <v>45471</v>
      </c>
      <c r="E143" s="1" t="n">
        <v>46279</v>
      </c>
      <c r="F143" t="inlineStr">
        <is>
          <t>NORRBOTTENS LÄN</t>
        </is>
      </c>
      <c r="G143" t="inlineStr">
        <is>
          <t>JOKKMOKK</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31535-2024</t>
        </is>
      </c>
      <c r="B144" t="inlineStr">
        <is>
          <t>avverkningsanmälan</t>
        </is>
      </c>
      <c r="C144" t="inlineStr">
        <is>
          <t>Föryngringsavverkning</t>
        </is>
      </c>
      <c r="D144" s="1" t="n">
        <v>45505</v>
      </c>
      <c r="E144" s="1" t="n">
        <v>46279</v>
      </c>
      <c r="F144" t="inlineStr">
        <is>
          <t>NORRBOTTENS LÄN</t>
        </is>
      </c>
      <c r="G144" t="inlineStr">
        <is>
          <t>JOKKMOKK</t>
        </is>
      </c>
      <c r="H144" t="inlineStr">
        <is>
          <t>SCA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56412-2021</t>
        </is>
      </c>
      <c r="B145" t="inlineStr">
        <is>
          <t>avverkningsanmälan</t>
        </is>
      </c>
      <c r="C145" t="inlineStr">
        <is>
          <t>Föryngringsavverkning</t>
        </is>
      </c>
      <c r="D145" s="1" t="n">
        <v>44477</v>
      </c>
      <c r="E145" s="1" t="n">
        <v>46279</v>
      </c>
      <c r="F145" t="inlineStr">
        <is>
          <t>NORRBOTTENS LÄN</t>
        </is>
      </c>
      <c r="G145" t="inlineStr">
        <is>
          <t>JOKKMOKK</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9878-2023</t>
        </is>
      </c>
      <c r="B146" t="inlineStr">
        <is>
          <t>avverkningsanmälan</t>
        </is>
      </c>
      <c r="C146" t="inlineStr">
        <is>
          <t>Föryngringsavverkning</t>
        </is>
      </c>
      <c r="D146" s="1" t="n">
        <v>44984</v>
      </c>
      <c r="E146" s="1" t="n">
        <v>46279</v>
      </c>
      <c r="F146" t="inlineStr">
        <is>
          <t>NORRBOTTENS LÄN</t>
        </is>
      </c>
      <c r="G146" t="inlineStr">
        <is>
          <t>JOKKMOKK</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45512-2022</t>
        </is>
      </c>
      <c r="B147" t="inlineStr">
        <is>
          <t>avverkningsanmälan</t>
        </is>
      </c>
      <c r="C147" t="inlineStr">
        <is>
          <t>Föryngringsavverkning</t>
        </is>
      </c>
      <c r="D147" s="1" t="n">
        <v>44841</v>
      </c>
      <c r="E147" s="1" t="n">
        <v>46279</v>
      </c>
      <c r="F147" t="inlineStr">
        <is>
          <t>NORRBOTTENS LÄN</t>
        </is>
      </c>
      <c r="G147" t="inlineStr">
        <is>
          <t>JOKKMOKK</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23023-2023</t>
        </is>
      </c>
      <c r="B148" t="inlineStr">
        <is>
          <t>avverkningsanmälan</t>
        </is>
      </c>
      <c r="C148" t="inlineStr">
        <is>
          <t>Föryngringsavverkning</t>
        </is>
      </c>
      <c r="D148" s="1" t="n">
        <v>45073</v>
      </c>
      <c r="E148" s="1" t="n">
        <v>46279</v>
      </c>
      <c r="F148" t="inlineStr">
        <is>
          <t>NORRBOTTENS LÄN</t>
        </is>
      </c>
      <c r="G148" t="inlineStr">
        <is>
          <t>JOKKMOKK</t>
        </is>
      </c>
      <c r="H148" t="inlineStr">
        <is>
          <t>SCA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30399-2024</t>
        </is>
      </c>
      <c r="B149" t="inlineStr">
        <is>
          <t>avverkningsanmälan</t>
        </is>
      </c>
      <c r="C149" t="inlineStr">
        <is>
          <t>Föryngringsavverkning</t>
        </is>
      </c>
      <c r="D149" s="1" t="n">
        <v>45491</v>
      </c>
      <c r="E149" s="1" t="n">
        <v>46279</v>
      </c>
      <c r="F149" t="inlineStr">
        <is>
          <t>NORRBOTTENS LÄN</t>
        </is>
      </c>
      <c r="G149" t="inlineStr">
        <is>
          <t>JOKKMOKK</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61641-2024</t>
        </is>
      </c>
      <c r="B150" t="inlineStr">
        <is>
          <t>avverkningsanmälan</t>
        </is>
      </c>
      <c r="C150" t="inlineStr">
        <is>
          <t>Föryngringsavverkning</t>
        </is>
      </c>
      <c r="D150" s="1" t="n">
        <v>45646</v>
      </c>
      <c r="E150" s="1" t="n">
        <v>46279</v>
      </c>
      <c r="F150" t="inlineStr">
        <is>
          <t>NORRBOTTENS LÄN</t>
        </is>
      </c>
      <c r="G150" t="inlineStr">
        <is>
          <t>JOKKMOKK</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40658-2024</t>
        </is>
      </c>
      <c r="B151" t="inlineStr">
        <is>
          <t>avverkningsanmälan</t>
        </is>
      </c>
      <c r="C151" t="inlineStr">
        <is>
          <t>Föryngringsavverkning</t>
        </is>
      </c>
      <c r="D151" s="1" t="n">
        <v>45558</v>
      </c>
      <c r="E151" s="1" t="n">
        <v>46279</v>
      </c>
      <c r="F151" t="inlineStr">
        <is>
          <t>NORRBOTTENS LÄN</t>
        </is>
      </c>
      <c r="G151" t="inlineStr">
        <is>
          <t>JOKKMOKK</t>
        </is>
      </c>
      <c r="H151" t="inlineStr">
        <is>
          <t>SCA</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30401-2024</t>
        </is>
      </c>
      <c r="B152" t="inlineStr">
        <is>
          <t>avverkningsanmälan</t>
        </is>
      </c>
      <c r="C152" t="inlineStr">
        <is>
          <t>Föryngringsavverkning</t>
        </is>
      </c>
      <c r="D152" s="1" t="n">
        <v>45491</v>
      </c>
      <c r="E152" s="1" t="n">
        <v>46279</v>
      </c>
      <c r="F152" t="inlineStr">
        <is>
          <t>NORRBOTTENS LÄN</t>
        </is>
      </c>
      <c r="G152" t="inlineStr">
        <is>
          <t>JOKKMOKK</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425-2025</t>
        </is>
      </c>
      <c r="B153" t="inlineStr">
        <is>
          <t>avverkningsanmälan</t>
        </is>
      </c>
      <c r="C153" t="inlineStr">
        <is>
          <t>Föryngringsavverkning</t>
        </is>
      </c>
      <c r="D153" s="1" t="n">
        <v>45664</v>
      </c>
      <c r="E153" s="1" t="n">
        <v>46279</v>
      </c>
      <c r="F153" t="inlineStr">
        <is>
          <t>NORRBOTTENS LÄN</t>
        </is>
      </c>
      <c r="G153" t="inlineStr">
        <is>
          <t>JOKKMOKK</t>
        </is>
      </c>
      <c r="H153" t="inlineStr">
        <is>
          <t>Övriga statliga verk och myndigheter</t>
        </is>
      </c>
      <c r="I153" t="n">
        <v>36.5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457-2025</t>
        </is>
      </c>
      <c r="B154" t="inlineStr">
        <is>
          <t>avverkningsanmälan</t>
        </is>
      </c>
      <c r="C154" t="inlineStr">
        <is>
          <t>Föryngringsavverkning</t>
        </is>
      </c>
      <c r="D154" s="1" t="n">
        <v>45664</v>
      </c>
      <c r="E154" s="1" t="n">
        <v>46279</v>
      </c>
      <c r="F154" t="inlineStr">
        <is>
          <t>NORRBOTTENS LÄN</t>
        </is>
      </c>
      <c r="G154" t="inlineStr">
        <is>
          <t>JOKKMOKK</t>
        </is>
      </c>
      <c r="H154" t="inlineStr">
        <is>
          <t>Övriga statliga verk och myndigheter</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44145-2024</t>
        </is>
      </c>
      <c r="B155" t="inlineStr">
        <is>
          <t>avverkningsanmälan</t>
        </is>
      </c>
      <c r="C155" t="inlineStr">
        <is>
          <t>Föryngringsavverkning</t>
        </is>
      </c>
      <c r="D155" s="1" t="n">
        <v>45572</v>
      </c>
      <c r="E155" s="1" t="n">
        <v>46279</v>
      </c>
      <c r="F155" t="inlineStr">
        <is>
          <t>NORRBOTTENS LÄN</t>
        </is>
      </c>
      <c r="G155" t="inlineStr">
        <is>
          <t>JOKKMOKK</t>
        </is>
      </c>
      <c r="H155" t="inlineStr">
        <is>
          <t>Sveaskog</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458-2025</t>
        </is>
      </c>
      <c r="B156" t="inlineStr">
        <is>
          <t>avverkningsanmälan</t>
        </is>
      </c>
      <c r="C156" t="inlineStr">
        <is>
          <t>Föryngringsavverkning</t>
        </is>
      </c>
      <c r="D156" s="1" t="n">
        <v>45664</v>
      </c>
      <c r="E156" s="1" t="n">
        <v>46279</v>
      </c>
      <c r="F156" t="inlineStr">
        <is>
          <t>NORRBOTTENS LÄN</t>
        </is>
      </c>
      <c r="G156" t="inlineStr">
        <is>
          <t>JOKKMOKK</t>
        </is>
      </c>
      <c r="H156" t="inlineStr">
        <is>
          <t>Övriga statliga verk och myndigheter</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16847-2023</t>
        </is>
      </c>
      <c r="B157" t="inlineStr">
        <is>
          <t>avverkningsanmälan</t>
        </is>
      </c>
      <c r="C157" t="inlineStr">
        <is>
          <t>Föryngringsavverkning</t>
        </is>
      </c>
      <c r="D157" s="1" t="n">
        <v>45028</v>
      </c>
      <c r="E157" s="1" t="n">
        <v>46279</v>
      </c>
      <c r="F157" t="inlineStr">
        <is>
          <t>NORRBOTTENS LÄN</t>
        </is>
      </c>
      <c r="G157" t="inlineStr">
        <is>
          <t>JOKKMOKK</t>
        </is>
      </c>
      <c r="I157" t="n">
        <v>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6777-2023</t>
        </is>
      </c>
      <c r="B158" t="inlineStr">
        <is>
          <t>avverkningsanmälan</t>
        </is>
      </c>
      <c r="C158" t="inlineStr">
        <is>
          <t>Föryngringsavverkning</t>
        </is>
      </c>
      <c r="D158" s="1" t="n">
        <v>44966</v>
      </c>
      <c r="E158" s="1" t="n">
        <v>46279</v>
      </c>
      <c r="F158" t="inlineStr">
        <is>
          <t>NORRBOTTENS LÄN</t>
        </is>
      </c>
      <c r="G158" t="inlineStr">
        <is>
          <t>JOKKMOKK</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28601-2025</t>
        </is>
      </c>
      <c r="B159" t="inlineStr">
        <is>
          <t>avverkningsanmälan</t>
        </is>
      </c>
      <c r="C159" t="inlineStr">
        <is>
          <t>Föryngringsavverkning</t>
        </is>
      </c>
      <c r="D159" s="1" t="n">
        <v>45819</v>
      </c>
      <c r="E159" s="1" t="n">
        <v>46279</v>
      </c>
      <c r="F159" t="inlineStr">
        <is>
          <t>NORRBOTTENS LÄN</t>
        </is>
      </c>
      <c r="G159" t="inlineStr">
        <is>
          <t>JOKKMOKK</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29418-2025</t>
        </is>
      </c>
      <c r="B160" t="inlineStr">
        <is>
          <t>avverkningsanmälan</t>
        </is>
      </c>
      <c r="C160" t="inlineStr">
        <is>
          <t>Föryngringsavverkning</t>
        </is>
      </c>
      <c r="D160" s="1" t="n">
        <v>45824</v>
      </c>
      <c r="E160" s="1" t="n">
        <v>46279</v>
      </c>
      <c r="F160" t="inlineStr">
        <is>
          <t>NORRBOTTENS LÄN</t>
        </is>
      </c>
      <c r="G160" t="inlineStr">
        <is>
          <t>JOKKMOKK</t>
        </is>
      </c>
      <c r="I160" t="n">
        <v>17.8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29853-2025</t>
        </is>
      </c>
      <c r="B161" t="inlineStr">
        <is>
          <t>avverkningsanmälan</t>
        </is>
      </c>
      <c r="C161" t="inlineStr">
        <is>
          <t>Föryngringsavverkning</t>
        </is>
      </c>
      <c r="D161" s="1" t="n">
        <v>45826</v>
      </c>
      <c r="E161" s="1" t="n">
        <v>46279</v>
      </c>
      <c r="F161" t="inlineStr">
        <is>
          <t>NORRBOTTENS LÄN</t>
        </is>
      </c>
      <c r="G161" t="inlineStr">
        <is>
          <t>JOKKMOKK</t>
        </is>
      </c>
      <c r="H161" t="inlineStr">
        <is>
          <t>SCA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38579-2025</t>
        </is>
      </c>
      <c r="B162" t="inlineStr">
        <is>
          <t>avverkningsanmälan</t>
        </is>
      </c>
      <c r="C162" t="inlineStr">
        <is>
          <t>Föryngringsavverkning</t>
        </is>
      </c>
      <c r="D162" s="1" t="n">
        <v>45884</v>
      </c>
      <c r="E162" s="1" t="n">
        <v>46279</v>
      </c>
      <c r="F162" t="inlineStr">
        <is>
          <t>NORRBOTTENS LÄN</t>
        </is>
      </c>
      <c r="G162" t="inlineStr">
        <is>
          <t>JOKKMOKK</t>
        </is>
      </c>
      <c r="H162" t="inlineStr">
        <is>
          <t>SCA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9859-2023</t>
        </is>
      </c>
      <c r="B163" t="inlineStr">
        <is>
          <t>avverkningsanmälan</t>
        </is>
      </c>
      <c r="C163" t="inlineStr">
        <is>
          <t>Föryngringsavverkning</t>
        </is>
      </c>
      <c r="D163" s="1" t="n">
        <v>44984</v>
      </c>
      <c r="E163" s="1" t="n">
        <v>46279</v>
      </c>
      <c r="F163" t="inlineStr">
        <is>
          <t>NORRBOTTENS LÄN</t>
        </is>
      </c>
      <c r="G163" t="inlineStr">
        <is>
          <t>JOKKMOKK</t>
        </is>
      </c>
      <c r="H163" t="inlineStr">
        <is>
          <t>SCA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9864-2023</t>
        </is>
      </c>
      <c r="B164" t="inlineStr">
        <is>
          <t>avverkningsanmälan</t>
        </is>
      </c>
      <c r="C164" t="inlineStr">
        <is>
          <t>Föryngringsavverkning</t>
        </is>
      </c>
      <c r="D164" s="1" t="n">
        <v>44984</v>
      </c>
      <c r="E164" s="1" t="n">
        <v>46279</v>
      </c>
      <c r="F164" t="inlineStr">
        <is>
          <t>NORRBOTTENS LÄN</t>
        </is>
      </c>
      <c r="G164" t="inlineStr">
        <is>
          <t>JOKKMOKK</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30177-2025</t>
        </is>
      </c>
      <c r="B165" t="inlineStr">
        <is>
          <t>avverkningsanmälan</t>
        </is>
      </c>
      <c r="C165" t="inlineStr">
        <is>
          <t>Föryngringsavverkning</t>
        </is>
      </c>
      <c r="D165" s="1" t="n">
        <v>45827</v>
      </c>
      <c r="E165" s="1" t="n">
        <v>46279</v>
      </c>
      <c r="F165" t="inlineStr">
        <is>
          <t>NORRBOTTENS LÄN</t>
        </is>
      </c>
      <c r="G165" t="inlineStr">
        <is>
          <t>JOKKMOKK</t>
        </is>
      </c>
      <c r="H165" t="inlineStr">
        <is>
          <t>SCA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9874-2023</t>
        </is>
      </c>
      <c r="B166" t="inlineStr">
        <is>
          <t>avverkningsanmälan</t>
        </is>
      </c>
      <c r="C166" t="inlineStr">
        <is>
          <t>Föryngringsavverkning</t>
        </is>
      </c>
      <c r="D166" s="1" t="n">
        <v>44984</v>
      </c>
      <c r="E166" s="1" t="n">
        <v>46279</v>
      </c>
      <c r="F166" t="inlineStr">
        <is>
          <t>NORRBOTTENS LÄN</t>
        </is>
      </c>
      <c r="G166" t="inlineStr">
        <is>
          <t>JOKKMOKK</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9875-2023</t>
        </is>
      </c>
      <c r="B167" t="inlineStr">
        <is>
          <t>avverkningsanmälan</t>
        </is>
      </c>
      <c r="C167" t="inlineStr">
        <is>
          <t>Föryngringsavverkning</t>
        </is>
      </c>
      <c r="D167" s="1" t="n">
        <v>44984</v>
      </c>
      <c r="E167" s="1" t="n">
        <v>46279</v>
      </c>
      <c r="F167" t="inlineStr">
        <is>
          <t>NORRBOTTENS LÄN</t>
        </is>
      </c>
      <c r="G167" t="inlineStr">
        <is>
          <t>JOKKMOKK</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34639-2024</t>
        </is>
      </c>
      <c r="B168" t="inlineStr">
        <is>
          <t>avverkningsanmälan</t>
        </is>
      </c>
      <c r="C168" t="inlineStr">
        <is>
          <t>Föryngringsavverkning</t>
        </is>
      </c>
      <c r="D168" s="1" t="n">
        <v>45526</v>
      </c>
      <c r="E168" s="1" t="n">
        <v>46279</v>
      </c>
      <c r="F168" t="inlineStr">
        <is>
          <t>NORRBOTTENS LÄN</t>
        </is>
      </c>
      <c r="G168" t="inlineStr">
        <is>
          <t>JOKKMOKK</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47157-2024</t>
        </is>
      </c>
      <c r="B169" t="inlineStr">
        <is>
          <t>avverkningsanmälan</t>
        </is>
      </c>
      <c r="C169" t="inlineStr">
        <is>
          <t>Föryngringsavverkning</t>
        </is>
      </c>
      <c r="D169" s="1" t="n">
        <v>45586</v>
      </c>
      <c r="E169" s="1" t="n">
        <v>46279</v>
      </c>
      <c r="F169" t="inlineStr">
        <is>
          <t>NORRBOTTENS LÄN</t>
        </is>
      </c>
      <c r="G169" t="inlineStr">
        <is>
          <t>JOKKMOKK</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38223-2025</t>
        </is>
      </c>
      <c r="B170" t="inlineStr">
        <is>
          <t>avverkningsanmälan</t>
        </is>
      </c>
      <c r="C170" t="inlineStr">
        <is>
          <t>Föryngringsavverkning</t>
        </is>
      </c>
      <c r="D170" s="1" t="n">
        <v>45883</v>
      </c>
      <c r="E170" s="1" t="n">
        <v>46279</v>
      </c>
      <c r="F170" t="inlineStr">
        <is>
          <t>NORRBOTTENS LÄN</t>
        </is>
      </c>
      <c r="G170" t="inlineStr">
        <is>
          <t>JOKKMOKK</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32670-2025</t>
        </is>
      </c>
      <c r="B171" t="inlineStr">
        <is>
          <t>avverkningsanmälan</t>
        </is>
      </c>
      <c r="C171" t="inlineStr">
        <is>
          <t>Föryngringsavverkning</t>
        </is>
      </c>
      <c r="D171" s="1" t="n">
        <v>45838</v>
      </c>
      <c r="E171" s="1" t="n">
        <v>46279</v>
      </c>
      <c r="F171" t="inlineStr">
        <is>
          <t>NORRBOTTENS LÄN</t>
        </is>
      </c>
      <c r="G171" t="inlineStr">
        <is>
          <t>JOKKMOKK</t>
        </is>
      </c>
      <c r="H171" t="inlineStr">
        <is>
          <t>Sveaskog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46279</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48210-2024</t>
        </is>
      </c>
      <c r="B173" t="inlineStr">
        <is>
          <t>avverkningsanmälan</t>
        </is>
      </c>
      <c r="C173" t="inlineStr">
        <is>
          <t>Föryngringsavverkning</t>
        </is>
      </c>
      <c r="D173" s="1" t="n">
        <v>45590</v>
      </c>
      <c r="E173" s="1" t="n">
        <v>46279</v>
      </c>
      <c r="F173" t="inlineStr">
        <is>
          <t>NORRBOTTENS LÄN</t>
        </is>
      </c>
      <c r="G173" t="inlineStr">
        <is>
          <t>JOKKMOKK</t>
        </is>
      </c>
      <c r="H173" t="inlineStr">
        <is>
          <t>SCA</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49478-2024</t>
        </is>
      </c>
      <c r="B174" t="inlineStr">
        <is>
          <t>avverkningsanmälan</t>
        </is>
      </c>
      <c r="C174" t="inlineStr">
        <is>
          <t>Föryngringsavverkning</t>
        </is>
      </c>
      <c r="D174" s="1" t="n">
        <v>45596</v>
      </c>
      <c r="E174" s="1" t="n">
        <v>46279</v>
      </c>
      <c r="F174" t="inlineStr">
        <is>
          <t>NORRBOTTENS LÄN</t>
        </is>
      </c>
      <c r="G174" t="inlineStr">
        <is>
          <t>JOKKMOKK</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41403-2025</t>
        </is>
      </c>
      <c r="B175" t="inlineStr">
        <is>
          <t>avverkningsanmälan</t>
        </is>
      </c>
      <c r="C175" t="inlineStr">
        <is>
          <t>Föryngringsavverkning</t>
        </is>
      </c>
      <c r="D175" s="1" t="n">
        <v>45901</v>
      </c>
      <c r="E175" s="1" t="n">
        <v>46279</v>
      </c>
      <c r="F175" t="inlineStr">
        <is>
          <t>NORRBOTTENS LÄN</t>
        </is>
      </c>
      <c r="G175" t="inlineStr">
        <is>
          <t>JOKKMOKK</t>
        </is>
      </c>
      <c r="H175" t="inlineStr">
        <is>
          <t>SCA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42126-2025</t>
        </is>
      </c>
      <c r="B176" t="inlineStr">
        <is>
          <t>avverkningsanmälan</t>
        </is>
      </c>
      <c r="C176" t="inlineStr">
        <is>
          <t>Föryngringsavverkning</t>
        </is>
      </c>
      <c r="D176" s="1" t="n">
        <v>45904</v>
      </c>
      <c r="E176" s="1" t="n">
        <v>46279</v>
      </c>
      <c r="F176" t="inlineStr">
        <is>
          <t>NORRBOTTENS LÄN</t>
        </is>
      </c>
      <c r="G176" t="inlineStr">
        <is>
          <t>JOKKMOKK</t>
        </is>
      </c>
      <c r="H176" t="inlineStr">
        <is>
          <t>SCA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42664-2025</t>
        </is>
      </c>
      <c r="B177" t="inlineStr">
        <is>
          <t>avverkningsanmälan</t>
        </is>
      </c>
      <c r="C177" t="inlineStr">
        <is>
          <t>Avverkning för annat ändamål</t>
        </is>
      </c>
      <c r="D177" s="1" t="n">
        <v>45907</v>
      </c>
      <c r="E177" s="1" t="n">
        <v>46279</v>
      </c>
      <c r="F177" t="inlineStr">
        <is>
          <t>NORRBOTTENS LÄN</t>
        </is>
      </c>
      <c r="G177" t="inlineStr">
        <is>
          <t>JOKKMOKK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10590-2026</t>
        </is>
      </c>
      <c r="B178" t="inlineStr">
        <is>
          <t>avverkningsanmälan</t>
        </is>
      </c>
      <c r="C178" t="inlineStr">
        <is>
          <t>Föryngringsavverkning</t>
        </is>
      </c>
      <c r="D178" s="1" t="n">
        <v>46077</v>
      </c>
      <c r="E178" s="1" t="n">
        <v>46279</v>
      </c>
      <c r="F178" t="inlineStr">
        <is>
          <t>NORRBOTTENS LÄN</t>
        </is>
      </c>
      <c r="G178" t="inlineStr">
        <is>
          <t>JOKKMOKK</t>
        </is>
      </c>
      <c r="H178" t="inlineStr">
        <is>
          <t>SCA</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10593-2026</t>
        </is>
      </c>
      <c r="B179" t="inlineStr">
        <is>
          <t>avverkningsanmälan</t>
        </is>
      </c>
      <c r="C179" t="inlineStr">
        <is>
          <t>Föryngringsavverkning</t>
        </is>
      </c>
      <c r="D179" s="1" t="n">
        <v>46077</v>
      </c>
      <c r="E179" s="1" t="n">
        <v>46279</v>
      </c>
      <c r="F179" t="inlineStr">
        <is>
          <t>NORRBOTTENS LÄN</t>
        </is>
      </c>
      <c r="G179" t="inlineStr">
        <is>
          <t>JOKKMOKK</t>
        </is>
      </c>
      <c r="H179" t="inlineStr">
        <is>
          <t>SCA</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26552-2025</t>
        </is>
      </c>
      <c r="B180" t="inlineStr">
        <is>
          <t>avverkningsanmälan</t>
        </is>
      </c>
      <c r="C180" t="inlineStr">
        <is>
          <t>Föryngringsavverkning</t>
        </is>
      </c>
      <c r="D180" s="1" t="n">
        <v>45807</v>
      </c>
      <c r="E180" s="1" t="n">
        <v>46279</v>
      </c>
      <c r="F180" t="inlineStr">
        <is>
          <t>NORRBOTTENS LÄN</t>
        </is>
      </c>
      <c r="G180" t="inlineStr">
        <is>
          <t>JOKKMOKK</t>
        </is>
      </c>
      <c r="H180" t="inlineStr">
        <is>
          <t>SCA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36357-2025</t>
        </is>
      </c>
      <c r="B181" t="inlineStr">
        <is>
          <t>avverkningsanmälan</t>
        </is>
      </c>
      <c r="C181" t="inlineStr">
        <is>
          <t>Föryngringsavverkning</t>
        </is>
      </c>
      <c r="D181" s="1" t="n">
        <v>45868</v>
      </c>
      <c r="E181" s="1" t="n">
        <v>46279</v>
      </c>
      <c r="F181" t="inlineStr">
        <is>
          <t>NORRBOTTENS LÄN</t>
        </is>
      </c>
      <c r="G181" t="inlineStr">
        <is>
          <t>JOKKMOKK</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43658-2025</t>
        </is>
      </c>
      <c r="B182" t="inlineStr">
        <is>
          <t>avverkningsanmälan</t>
        </is>
      </c>
      <c r="C182" t="inlineStr">
        <is>
          <t>Föryngringsavverkning</t>
        </is>
      </c>
      <c r="D182" s="1" t="n">
        <v>45912</v>
      </c>
      <c r="E182" s="1" t="n">
        <v>46279</v>
      </c>
      <c r="F182" t="inlineStr">
        <is>
          <t>NORRBOTTENS LÄN</t>
        </is>
      </c>
      <c r="G182" t="inlineStr">
        <is>
          <t>JOKKMOKK</t>
        </is>
      </c>
      <c r="H182" t="inlineStr">
        <is>
          <t>SCA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10592-2026</t>
        </is>
      </c>
      <c r="B183" t="inlineStr">
        <is>
          <t>avverkningsanmälan</t>
        </is>
      </c>
      <c r="C183" t="inlineStr">
        <is>
          <t>Föryngringsavverkning</t>
        </is>
      </c>
      <c r="D183" s="1" t="n">
        <v>46077</v>
      </c>
      <c r="E183" s="1" t="n">
        <v>46279</v>
      </c>
      <c r="F183" t="inlineStr">
        <is>
          <t>NORRBOTTENS LÄN</t>
        </is>
      </c>
      <c r="G183" t="inlineStr">
        <is>
          <t>JOKKMOKK</t>
        </is>
      </c>
      <c r="H183" t="inlineStr">
        <is>
          <t>SCA</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10591-2026</t>
        </is>
      </c>
      <c r="B184" t="inlineStr">
        <is>
          <t>avverkningsanmälan</t>
        </is>
      </c>
      <c r="C184" t="inlineStr">
        <is>
          <t>Föryngringsavverkning</t>
        </is>
      </c>
      <c r="D184" s="1" t="n">
        <v>46077</v>
      </c>
      <c r="E184" s="1" t="n">
        <v>46279</v>
      </c>
      <c r="F184" t="inlineStr">
        <is>
          <t>NORRBOTTENS LÄN</t>
        </is>
      </c>
      <c r="G184" t="inlineStr">
        <is>
          <t>JOKKMOKK</t>
        </is>
      </c>
      <c r="H184" t="inlineStr">
        <is>
          <t>SCA</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44958-2025</t>
        </is>
      </c>
      <c r="B185" t="inlineStr">
        <is>
          <t>avverkningsanmälan</t>
        </is>
      </c>
      <c r="C185" t="inlineStr">
        <is>
          <t>Föryngringsavverkning</t>
        </is>
      </c>
      <c r="D185" s="1" t="n">
        <v>45918</v>
      </c>
      <c r="E185" s="1" t="n">
        <v>46279</v>
      </c>
      <c r="F185" t="inlineStr">
        <is>
          <t>NORRBOTTENS LÄN</t>
        </is>
      </c>
      <c r="G185" t="inlineStr">
        <is>
          <t>JOKKMOKK</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37120-2025</t>
        </is>
      </c>
      <c r="B186" t="inlineStr">
        <is>
          <t>avverkningsanmälan</t>
        </is>
      </c>
      <c r="C186" t="inlineStr">
        <is>
          <t>Föryngringsavverkning</t>
        </is>
      </c>
      <c r="D186" s="1" t="n">
        <v>45875</v>
      </c>
      <c r="E186" s="1" t="n">
        <v>46279</v>
      </c>
      <c r="F186" t="inlineStr">
        <is>
          <t>NORRBOTTENS LÄN</t>
        </is>
      </c>
      <c r="G186" t="inlineStr">
        <is>
          <t>JOKKMOKK</t>
        </is>
      </c>
      <c r="I186" t="n">
        <v>17.6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42481-2024</t>
        </is>
      </c>
      <c r="B187" t="inlineStr">
        <is>
          <t>avverkningsanmälan</t>
        </is>
      </c>
      <c r="C187" t="inlineStr">
        <is>
          <t>Föryngringsavverkning</t>
        </is>
      </c>
      <c r="D187" s="1" t="n">
        <v>45565</v>
      </c>
      <c r="E187" s="1" t="n">
        <v>46279</v>
      </c>
      <c r="F187" t="inlineStr">
        <is>
          <t>NORRBOTTENS LÄN</t>
        </is>
      </c>
      <c r="G187" t="inlineStr">
        <is>
          <t>JOKKMOKK</t>
        </is>
      </c>
      <c r="H187" t="inlineStr">
        <is>
          <t>SCA</t>
        </is>
      </c>
      <c r="I187" t="n">
        <v>25.2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37694-2025</t>
        </is>
      </c>
      <c r="B188" t="inlineStr">
        <is>
          <t>avverkningsanmälan</t>
        </is>
      </c>
      <c r="C188" t="inlineStr">
        <is>
          <t>Föryngringsavverkning</t>
        </is>
      </c>
      <c r="D188" s="1" t="n">
        <v>45880</v>
      </c>
      <c r="E188" s="1" t="n">
        <v>46279</v>
      </c>
      <c r="F188" t="inlineStr">
        <is>
          <t>NORRBOTTENS LÄN</t>
        </is>
      </c>
      <c r="G188" t="inlineStr">
        <is>
          <t>JOKKMOKK</t>
        </is>
      </c>
      <c r="H188" t="inlineStr">
        <is>
          <t>SCA</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10576-2026</t>
        </is>
      </c>
      <c r="B189" t="inlineStr">
        <is>
          <t>avverkningsanmälan</t>
        </is>
      </c>
      <c r="C189" t="inlineStr">
        <is>
          <t>Föryngringsavverkning</t>
        </is>
      </c>
      <c r="D189" s="1" t="n">
        <v>46077</v>
      </c>
      <c r="E189" s="1" t="n">
        <v>46279</v>
      </c>
      <c r="F189" t="inlineStr">
        <is>
          <t>NORRBOTTENS LÄN</t>
        </is>
      </c>
      <c r="G189" t="inlineStr">
        <is>
          <t>JOKKMOKK</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453-2025</t>
        </is>
      </c>
      <c r="B190" t="inlineStr">
        <is>
          <t>avverkningsanmälan</t>
        </is>
      </c>
      <c r="C190" t="inlineStr">
        <is>
          <t>Föryngringsavverkning</t>
        </is>
      </c>
      <c r="D190" s="1" t="n">
        <v>45664</v>
      </c>
      <c r="E190" s="1" t="n">
        <v>46279</v>
      </c>
      <c r="F190" t="inlineStr">
        <is>
          <t>NORRBOTTENS LÄN</t>
        </is>
      </c>
      <c r="G190" t="inlineStr">
        <is>
          <t>JOKKMOKK</t>
        </is>
      </c>
      <c r="H190" t="inlineStr">
        <is>
          <t>Övriga statliga verk och myndigheter</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56523-2021</t>
        </is>
      </c>
      <c r="B191" t="inlineStr">
        <is>
          <t>avverkningsanmälan</t>
        </is>
      </c>
      <c r="C191" t="inlineStr">
        <is>
          <t>Föryngringsavverkning</t>
        </is>
      </c>
      <c r="D191" s="1" t="n">
        <v>44477</v>
      </c>
      <c r="E191" s="1" t="n">
        <v>46279</v>
      </c>
      <c r="F191" t="inlineStr">
        <is>
          <t>NORRBOTTENS LÄN</t>
        </is>
      </c>
      <c r="G191" t="inlineStr">
        <is>
          <t>JOKKMOKK</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46837-2025</t>
        </is>
      </c>
      <c r="B192" t="inlineStr">
        <is>
          <t>avverkningsanmälan</t>
        </is>
      </c>
      <c r="C192" t="inlineStr">
        <is>
          <t>Föryngringsavverkning</t>
        </is>
      </c>
      <c r="D192" s="1" t="n">
        <v>45928</v>
      </c>
      <c r="E192" s="1" t="n">
        <v>46279</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30511-2023</t>
        </is>
      </c>
      <c r="B193" t="inlineStr">
        <is>
          <t>avverkningsanmälan</t>
        </is>
      </c>
      <c r="C193" t="inlineStr">
        <is>
          <t>Föryngringsavverkning</t>
        </is>
      </c>
      <c r="D193" s="1" t="n">
        <v>45111</v>
      </c>
      <c r="E193" s="1" t="n">
        <v>46279</v>
      </c>
      <c r="F193" t="inlineStr">
        <is>
          <t>NORRBOTTENS LÄN</t>
        </is>
      </c>
      <c r="G193" t="inlineStr">
        <is>
          <t>JOKKMOKK</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38928-2025</t>
        </is>
      </c>
      <c r="B194" t="inlineStr">
        <is>
          <t>avverkningsanmälan</t>
        </is>
      </c>
      <c r="C194" t="inlineStr">
        <is>
          <t>Föryngringsavverkning</t>
        </is>
      </c>
      <c r="D194" s="1" t="n">
        <v>45887</v>
      </c>
      <c r="E194" s="1" t="n">
        <v>46279</v>
      </c>
      <c r="F194" t="inlineStr">
        <is>
          <t>NORRBOTTENS LÄN</t>
        </is>
      </c>
      <c r="G194" t="inlineStr">
        <is>
          <t>JOKKMOKK</t>
        </is>
      </c>
      <c r="H194" t="inlineStr">
        <is>
          <t>SCA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35876-2022</t>
        </is>
      </c>
      <c r="B195" t="inlineStr">
        <is>
          <t>avverkningsanmälan</t>
        </is>
      </c>
      <c r="C195" t="inlineStr">
        <is>
          <t>Föryngringsavverkning</t>
        </is>
      </c>
      <c r="D195" s="1" t="n">
        <v>44802</v>
      </c>
      <c r="E195" s="1" t="n">
        <v>46279</v>
      </c>
      <c r="F195" t="inlineStr">
        <is>
          <t>NORRBOTTENS LÄN</t>
        </is>
      </c>
      <c r="G195" t="inlineStr">
        <is>
          <t>JOKKMOKK</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49856-2025</t>
        </is>
      </c>
      <c r="B196" t="inlineStr">
        <is>
          <t>avverkningsanmälan</t>
        </is>
      </c>
      <c r="C196" t="inlineStr">
        <is>
          <t>Föryngringsavverkning</t>
        </is>
      </c>
      <c r="D196" s="1" t="n">
        <v>45940</v>
      </c>
      <c r="E196" s="1" t="n">
        <v>46279</v>
      </c>
      <c r="F196" t="inlineStr">
        <is>
          <t>NORRBOTTENS LÄN</t>
        </is>
      </c>
      <c r="G196" t="inlineStr">
        <is>
          <t>JOKKMOKK</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50185-2025</t>
        </is>
      </c>
      <c r="B197" t="inlineStr">
        <is>
          <t>avverkningsanmälan</t>
        </is>
      </c>
      <c r="C197" t="inlineStr">
        <is>
          <t>Föryngringsavverkning</t>
        </is>
      </c>
      <c r="D197" s="1" t="n">
        <v>45943</v>
      </c>
      <c r="E197" s="1" t="n">
        <v>46279</v>
      </c>
      <c r="F197" t="inlineStr">
        <is>
          <t>NORRBOTTENS LÄN</t>
        </is>
      </c>
      <c r="G197" t="inlineStr">
        <is>
          <t>JOKKMOKK</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49976-2025</t>
        </is>
      </c>
      <c r="B198" t="inlineStr">
        <is>
          <t>avverkningsanmälan</t>
        </is>
      </c>
      <c r="C198" t="inlineStr">
        <is>
          <t>Föryngringsavverkning</t>
        </is>
      </c>
      <c r="D198" s="1" t="n">
        <v>45942</v>
      </c>
      <c r="E198" s="1" t="n">
        <v>46279</v>
      </c>
      <c r="F198" t="inlineStr">
        <is>
          <t>NORRBOTTENS LÄN</t>
        </is>
      </c>
      <c r="G198" t="inlineStr">
        <is>
          <t>JOKKMOKK</t>
        </is>
      </c>
      <c r="H198" t="inlineStr">
        <is>
          <t>SCA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49978-2025</t>
        </is>
      </c>
      <c r="B199" t="inlineStr">
        <is>
          <t>avverkningsanmälan</t>
        </is>
      </c>
      <c r="C199" t="inlineStr">
        <is>
          <t>Föryngringsavverkning</t>
        </is>
      </c>
      <c r="D199" s="1" t="n">
        <v>45942</v>
      </c>
      <c r="E199" s="1" t="n">
        <v>46279</v>
      </c>
      <c r="F199" t="inlineStr">
        <is>
          <t>NORRBOTTENS LÄN</t>
        </is>
      </c>
      <c r="G199" t="inlineStr">
        <is>
          <t>JOKKMOKK</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12862-2026</t>
        </is>
      </c>
      <c r="B200" t="inlineStr">
        <is>
          <t>avverkningsanmälan</t>
        </is>
      </c>
      <c r="C200" t="inlineStr">
        <is>
          <t>Föryngringsavverkning</t>
        </is>
      </c>
      <c r="D200" s="1" t="n">
        <v>46092</v>
      </c>
      <c r="E200" s="1" t="n">
        <v>46279</v>
      </c>
      <c r="F200" t="inlineStr">
        <is>
          <t>NORRBOTTENS LÄN</t>
        </is>
      </c>
      <c r="G200" t="inlineStr">
        <is>
          <t>JOKKMOKK</t>
        </is>
      </c>
      <c r="H200" t="inlineStr">
        <is>
          <t>SCA</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12863-2026</t>
        </is>
      </c>
      <c r="B201" t="inlineStr">
        <is>
          <t>avverkningsanmälan</t>
        </is>
      </c>
      <c r="C201" t="inlineStr">
        <is>
          <t>Föryngringsavverkning</t>
        </is>
      </c>
      <c r="D201" s="1" t="n">
        <v>46092</v>
      </c>
      <c r="E201" s="1" t="n">
        <v>46279</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50717-2025</t>
        </is>
      </c>
      <c r="B202" t="inlineStr">
        <is>
          <t>avverkningsanmälan</t>
        </is>
      </c>
      <c r="C202" t="inlineStr">
        <is>
          <t>Föryngringsavverkning</t>
        </is>
      </c>
      <c r="D202" s="1" t="n">
        <v>45946</v>
      </c>
      <c r="E202" s="1" t="n">
        <v>46279</v>
      </c>
      <c r="F202" t="inlineStr">
        <is>
          <t>NORRBOTTENS LÄN</t>
        </is>
      </c>
      <c r="G202" t="inlineStr">
        <is>
          <t>JOKKMOKK</t>
        </is>
      </c>
      <c r="H202" t="inlineStr">
        <is>
          <t>SCA</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12867-2026</t>
        </is>
      </c>
      <c r="B203" t="inlineStr">
        <is>
          <t>avverkningsanmälan</t>
        </is>
      </c>
      <c r="C203" t="inlineStr">
        <is>
          <t>Föryngringsavverkning</t>
        </is>
      </c>
      <c r="D203" s="1" t="n">
        <v>46092</v>
      </c>
      <c r="E203" s="1" t="n">
        <v>46279</v>
      </c>
      <c r="F203" t="inlineStr">
        <is>
          <t>NORRBOTTENS LÄN</t>
        </is>
      </c>
      <c r="G203" t="inlineStr">
        <is>
          <t>JOKKMOKK</t>
        </is>
      </c>
      <c r="H203" t="inlineStr">
        <is>
          <t>SCA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12861-2026</t>
        </is>
      </c>
      <c r="B204" t="inlineStr">
        <is>
          <t>avverkningsanmälan</t>
        </is>
      </c>
      <c r="C204" t="inlineStr">
        <is>
          <t>Föryngringsavverkning</t>
        </is>
      </c>
      <c r="D204" s="1" t="n">
        <v>46092</v>
      </c>
      <c r="E204" s="1" t="n">
        <v>46279</v>
      </c>
      <c r="F204" t="inlineStr">
        <is>
          <t>NORRBOTTENS LÄN</t>
        </is>
      </c>
      <c r="G204" t="inlineStr">
        <is>
          <t>JOKKMOKK</t>
        </is>
      </c>
      <c r="H204" t="inlineStr">
        <is>
          <t>SCA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51499-2025</t>
        </is>
      </c>
      <c r="B205" t="inlineStr">
        <is>
          <t>avverkningsanmälan</t>
        </is>
      </c>
      <c r="C205" t="inlineStr">
        <is>
          <t>Föryngringsavverkning</t>
        </is>
      </c>
      <c r="D205" s="1" t="n">
        <v>45950</v>
      </c>
      <c r="E205" s="1" t="n">
        <v>46279</v>
      </c>
      <c r="F205" t="inlineStr">
        <is>
          <t>NORRBOTTENS LÄN</t>
        </is>
      </c>
      <c r="G205" t="inlineStr">
        <is>
          <t>JOKKMOKK</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51500-2025</t>
        </is>
      </c>
      <c r="B206" t="inlineStr">
        <is>
          <t>avverkningsanmälan</t>
        </is>
      </c>
      <c r="C206" t="inlineStr">
        <is>
          <t>Föryngringsavverkning</t>
        </is>
      </c>
      <c r="D206" s="1" t="n">
        <v>45950</v>
      </c>
      <c r="E206" s="1" t="n">
        <v>46279</v>
      </c>
      <c r="F206" t="inlineStr">
        <is>
          <t>NORRBOTTENS LÄN</t>
        </is>
      </c>
      <c r="G206" t="inlineStr">
        <is>
          <t>JOKKMOKK</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51707-2025</t>
        </is>
      </c>
      <c r="B207" t="inlineStr">
        <is>
          <t>avverkningsanmälan</t>
        </is>
      </c>
      <c r="C207" t="inlineStr">
        <is>
          <t>Föryngringsavverkning</t>
        </is>
      </c>
      <c r="D207" s="1" t="n">
        <v>45951</v>
      </c>
      <c r="E207" s="1" t="n">
        <v>46279</v>
      </c>
      <c r="F207" t="inlineStr">
        <is>
          <t>NORRBOTTENS LÄN</t>
        </is>
      </c>
      <c r="G207" t="inlineStr">
        <is>
          <t>JOKKMOKK</t>
        </is>
      </c>
      <c r="H207" t="inlineStr">
        <is>
          <t>Övriga statliga verk och myndigheter</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51717-2025</t>
        </is>
      </c>
      <c r="B208" t="inlineStr">
        <is>
          <t>avverkningsanmälan</t>
        </is>
      </c>
      <c r="C208" t="inlineStr">
        <is>
          <t>Föryngringsavverkning</t>
        </is>
      </c>
      <c r="D208" s="1" t="n">
        <v>45951</v>
      </c>
      <c r="E208" s="1" t="n">
        <v>46279</v>
      </c>
      <c r="F208" t="inlineStr">
        <is>
          <t>NORRBOTTENS LÄN</t>
        </is>
      </c>
      <c r="G208" t="inlineStr">
        <is>
          <t>JOKKMOKK</t>
        </is>
      </c>
      <c r="H208" t="inlineStr">
        <is>
          <t>Övriga statliga verk och myndigheter</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32915-2023</t>
        </is>
      </c>
      <c r="B209" t="inlineStr">
        <is>
          <t>avverkningsanmälan</t>
        </is>
      </c>
      <c r="C209" t="inlineStr">
        <is>
          <t>Föryngringsavverkning</t>
        </is>
      </c>
      <c r="D209" s="1" t="n">
        <v>45124</v>
      </c>
      <c r="E209" s="1" t="n">
        <v>46279</v>
      </c>
      <c r="F209" t="inlineStr">
        <is>
          <t>NORRBOTTENS LÄN</t>
        </is>
      </c>
      <c r="G209" t="inlineStr">
        <is>
          <t>JOKKMOKK</t>
        </is>
      </c>
      <c r="H209" t="inlineStr">
        <is>
          <t>SCA</t>
        </is>
      </c>
      <c r="I209" t="n">
        <v>15.1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51576-2025</t>
        </is>
      </c>
      <c r="B210" t="inlineStr">
        <is>
          <t>avverkningsanmälan</t>
        </is>
      </c>
      <c r="C210" t="inlineStr">
        <is>
          <t>Föryngringsavverkning</t>
        </is>
      </c>
      <c r="D210" s="1" t="n">
        <v>45951</v>
      </c>
      <c r="E210" s="1" t="n">
        <v>46279</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51577-2025</t>
        </is>
      </c>
      <c r="B211" t="inlineStr">
        <is>
          <t>avverkningsanmälan</t>
        </is>
      </c>
      <c r="C211" t="inlineStr">
        <is>
          <t>Föryngringsavverkning</t>
        </is>
      </c>
      <c r="D211" s="1" t="n">
        <v>45951</v>
      </c>
      <c r="E211" s="1" t="n">
        <v>46279</v>
      </c>
      <c r="F211" t="inlineStr">
        <is>
          <t>NORRBOTTENS LÄN</t>
        </is>
      </c>
      <c r="G211" t="inlineStr">
        <is>
          <t>JOKKMOKK</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9852-2023</t>
        </is>
      </c>
      <c r="B212" t="inlineStr">
        <is>
          <t>avverkningsanmälan</t>
        </is>
      </c>
      <c r="C212" t="inlineStr">
        <is>
          <t>Föryngringsavverkning</t>
        </is>
      </c>
      <c r="D212" s="1" t="n">
        <v>44984</v>
      </c>
      <c r="E212" s="1" t="n">
        <v>46279</v>
      </c>
      <c r="F212" t="inlineStr">
        <is>
          <t>NORRBOTTENS LÄN</t>
        </is>
      </c>
      <c r="G212" t="inlineStr">
        <is>
          <t>JOKKMOKK</t>
        </is>
      </c>
      <c r="H212" t="inlineStr">
        <is>
          <t>SCA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51679-2025</t>
        </is>
      </c>
      <c r="B213" t="inlineStr">
        <is>
          <t>avverkningsanmälan</t>
        </is>
      </c>
      <c r="C213" t="inlineStr">
        <is>
          <t>Föryngringsavverkning</t>
        </is>
      </c>
      <c r="D213" s="1" t="n">
        <v>45951</v>
      </c>
      <c r="E213" s="1" t="n">
        <v>46279</v>
      </c>
      <c r="F213" t="inlineStr">
        <is>
          <t>NORRBOTTENS LÄN</t>
        </is>
      </c>
      <c r="G213" t="inlineStr">
        <is>
          <t>JOKKMOKK</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51700-2025</t>
        </is>
      </c>
      <c r="B214" t="inlineStr">
        <is>
          <t>avverkningsanmälan</t>
        </is>
      </c>
      <c r="C214" t="inlineStr">
        <is>
          <t>Föryngringsavverkning</t>
        </is>
      </c>
      <c r="D214" s="1" t="n">
        <v>45951</v>
      </c>
      <c r="E214" s="1" t="n">
        <v>46279</v>
      </c>
      <c r="F214" t="inlineStr">
        <is>
          <t>NORRBOTTENS LÄN</t>
        </is>
      </c>
      <c r="G214" t="inlineStr">
        <is>
          <t>JOKKMOKK</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46279</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30041-2024</t>
        </is>
      </c>
      <c r="B216" t="inlineStr">
        <is>
          <t>avverkningsanmälan</t>
        </is>
      </c>
      <c r="C216" t="inlineStr">
        <is>
          <t>Föryngringsavverkning</t>
        </is>
      </c>
      <c r="D216" s="1" t="n">
        <v>45488</v>
      </c>
      <c r="E216" s="1" t="n">
        <v>46279</v>
      </c>
      <c r="F216" t="inlineStr">
        <is>
          <t>NORRBOTTENS LÄN</t>
        </is>
      </c>
      <c r="G216" t="inlineStr">
        <is>
          <t>JOKKMOKK</t>
        </is>
      </c>
      <c r="I216" t="n">
        <v>19.9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52294-2025</t>
        </is>
      </c>
      <c r="B217" t="inlineStr">
        <is>
          <t>avverkningsanmälan</t>
        </is>
      </c>
      <c r="C217" t="inlineStr">
        <is>
          <t>Föryngringsavverkning</t>
        </is>
      </c>
      <c r="D217" s="1" t="n">
        <v>45953</v>
      </c>
      <c r="E217" s="1" t="n">
        <v>46279</v>
      </c>
      <c r="F217" t="inlineStr">
        <is>
          <t>NORRBOTTENS LÄN</t>
        </is>
      </c>
      <c r="G217" t="inlineStr">
        <is>
          <t>JOKKMOKK</t>
        </is>
      </c>
      <c r="H217" t="inlineStr">
        <is>
          <t>Övriga statliga verk och myndigheter</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52288-2025</t>
        </is>
      </c>
      <c r="B218" t="inlineStr">
        <is>
          <t>avverkningsanmälan</t>
        </is>
      </c>
      <c r="C218" t="inlineStr">
        <is>
          <t>Föryngringsavverkning</t>
        </is>
      </c>
      <c r="D218" s="1" t="n">
        <v>45953</v>
      </c>
      <c r="E218" s="1" t="n">
        <v>46279</v>
      </c>
      <c r="F218" t="inlineStr">
        <is>
          <t>NORRBOTTENS LÄN</t>
        </is>
      </c>
      <c r="G218" t="inlineStr">
        <is>
          <t>JOKKMOKK</t>
        </is>
      </c>
      <c r="H218" t="inlineStr">
        <is>
          <t>Övriga statliga verk och myndigheter</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52293-2025</t>
        </is>
      </c>
      <c r="B219" t="inlineStr">
        <is>
          <t>avverkningsanmälan</t>
        </is>
      </c>
      <c r="C219" t="inlineStr">
        <is>
          <t>Föryngringsavverkning</t>
        </is>
      </c>
      <c r="D219" s="1" t="n">
        <v>45953</v>
      </c>
      <c r="E219" s="1" t="n">
        <v>46279</v>
      </c>
      <c r="F219" t="inlineStr">
        <is>
          <t>NORRBOTTENS LÄN</t>
        </is>
      </c>
      <c r="G219" t="inlineStr">
        <is>
          <t>JOKKMOKK</t>
        </is>
      </c>
      <c r="H219" t="inlineStr">
        <is>
          <t>Övriga statliga verk och myndigheter</t>
        </is>
      </c>
      <c r="I219" t="n">
        <v>65.09999999999999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52291-2025</t>
        </is>
      </c>
      <c r="B220" t="inlineStr">
        <is>
          <t>avverkningsanmälan</t>
        </is>
      </c>
      <c r="C220" t="inlineStr">
        <is>
          <t>Föryngringsavverkning</t>
        </is>
      </c>
      <c r="D220" s="1" t="n">
        <v>45953</v>
      </c>
      <c r="E220" s="1" t="n">
        <v>46279</v>
      </c>
      <c r="F220" t="inlineStr">
        <is>
          <t>NORRBOTTENS LÄN</t>
        </is>
      </c>
      <c r="G220" t="inlineStr">
        <is>
          <t>JOKKMOKK</t>
        </is>
      </c>
      <c r="H220" t="inlineStr">
        <is>
          <t>Övriga statliga verk och myndigheter</t>
        </is>
      </c>
      <c r="I220" t="n">
        <v>41.2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16864-2023</t>
        </is>
      </c>
      <c r="B221" t="inlineStr">
        <is>
          <t>avverkningsanmälan</t>
        </is>
      </c>
      <c r="C221" t="inlineStr">
        <is>
          <t>Föryngringsavverkning</t>
        </is>
      </c>
      <c r="D221" s="1" t="n">
        <v>45028</v>
      </c>
      <c r="E221" s="1" t="n">
        <v>46279</v>
      </c>
      <c r="F221" t="inlineStr">
        <is>
          <t>NORRBOTTENS LÄN</t>
        </is>
      </c>
      <c r="G221" t="inlineStr">
        <is>
          <t>JOKKMOKK</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53513-2025</t>
        </is>
      </c>
      <c r="B222" t="inlineStr">
        <is>
          <t>avverkningsanmälan</t>
        </is>
      </c>
      <c r="C222" t="inlineStr">
        <is>
          <t>Föryngringsavverkning</t>
        </is>
      </c>
      <c r="D222" s="1" t="n">
        <v>45960</v>
      </c>
      <c r="E222" s="1" t="n">
        <v>46279</v>
      </c>
      <c r="F222" t="inlineStr">
        <is>
          <t>NORRBOTTENS LÄN</t>
        </is>
      </c>
      <c r="G222" t="inlineStr">
        <is>
          <t>JOKKMOKK</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15385-2026</t>
        </is>
      </c>
      <c r="B223" t="inlineStr">
        <is>
          <t>avverkningsanmälan</t>
        </is>
      </c>
      <c r="C223" t="inlineStr">
        <is>
          <t>Föryngringsavverkning</t>
        </is>
      </c>
      <c r="D223" s="1" t="n">
        <v>46106</v>
      </c>
      <c r="E223" s="1" t="n">
        <v>46279</v>
      </c>
      <c r="F223" t="inlineStr">
        <is>
          <t>NORRBOTTENS LÄN</t>
        </is>
      </c>
      <c r="G223" t="inlineStr">
        <is>
          <t>JOKKMOKK</t>
        </is>
      </c>
      <c r="H223" t="inlineStr">
        <is>
          <t>SCA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15386-2026</t>
        </is>
      </c>
      <c r="B224" t="inlineStr">
        <is>
          <t>avverkningsanmälan</t>
        </is>
      </c>
      <c r="C224" t="inlineStr">
        <is>
          <t>Föryngringsavverkning</t>
        </is>
      </c>
      <c r="D224" s="1" t="n">
        <v>46106</v>
      </c>
      <c r="E224" s="1" t="n">
        <v>46279</v>
      </c>
      <c r="F224" t="inlineStr">
        <is>
          <t>NORRBOTTENS LÄN</t>
        </is>
      </c>
      <c r="G224" t="inlineStr">
        <is>
          <t>JOKKMOKK</t>
        </is>
      </c>
      <c r="H224" t="inlineStr">
        <is>
          <t>SCA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45468-2022</t>
        </is>
      </c>
      <c r="B225" t="inlineStr">
        <is>
          <t>avverkningsanmälan</t>
        </is>
      </c>
      <c r="C225" t="inlineStr">
        <is>
          <t>Föryngringsavverkning</t>
        </is>
      </c>
      <c r="D225" s="1" t="n">
        <v>44841</v>
      </c>
      <c r="E225" s="1" t="n">
        <v>46279</v>
      </c>
      <c r="F225" t="inlineStr">
        <is>
          <t>NORRBOTTENS LÄN</t>
        </is>
      </c>
      <c r="G225" t="inlineStr">
        <is>
          <t>JOKKMOKK</t>
        </is>
      </c>
      <c r="H225" t="inlineStr">
        <is>
          <t>Övriga Aktiebolag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15383-2026</t>
        </is>
      </c>
      <c r="B226" t="inlineStr">
        <is>
          <t>avverkningsanmälan</t>
        </is>
      </c>
      <c r="C226" t="inlineStr">
        <is>
          <t>Föryngringsavverkning</t>
        </is>
      </c>
      <c r="D226" s="1" t="n">
        <v>46106</v>
      </c>
      <c r="E226" s="1" t="n">
        <v>46279</v>
      </c>
      <c r="F226" t="inlineStr">
        <is>
          <t>NORRBOTTENS LÄN</t>
        </is>
      </c>
      <c r="G226" t="inlineStr">
        <is>
          <t>JOKKMOKK</t>
        </is>
      </c>
      <c r="H226" t="inlineStr">
        <is>
          <t>SCA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54270-2025</t>
        </is>
      </c>
      <c r="B227" t="inlineStr">
        <is>
          <t>avverkningsanmälan</t>
        </is>
      </c>
      <c r="C227" t="inlineStr">
        <is>
          <t>Föryngringsavverkning</t>
        </is>
      </c>
      <c r="D227" s="1" t="n">
        <v>45964</v>
      </c>
      <c r="E227" s="1" t="n">
        <v>46279</v>
      </c>
      <c r="F227" t="inlineStr">
        <is>
          <t>NORRBOTTENS LÄN</t>
        </is>
      </c>
      <c r="G227" t="inlineStr">
        <is>
          <t>JOKKMOKK</t>
        </is>
      </c>
      <c r="H227" t="inlineStr">
        <is>
          <t>Allmännings- och besparingsskogar</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15968-2026</t>
        </is>
      </c>
      <c r="B228" t="inlineStr">
        <is>
          <t>avverkningsanmälan</t>
        </is>
      </c>
      <c r="C228" t="inlineStr">
        <is>
          <t>Föryngringsavverkning</t>
        </is>
      </c>
      <c r="D228" s="1" t="n">
        <v>46108</v>
      </c>
      <c r="E228" s="1" t="n">
        <v>46279</v>
      </c>
      <c r="F228" t="inlineStr">
        <is>
          <t>NORRBOTTENS LÄN</t>
        </is>
      </c>
      <c r="G228" t="inlineStr">
        <is>
          <t>JOKKMOKK</t>
        </is>
      </c>
      <c r="H228" t="inlineStr">
        <is>
          <t>SCA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15972-2026</t>
        </is>
      </c>
      <c r="B229" t="inlineStr">
        <is>
          <t>avverkningsanmälan</t>
        </is>
      </c>
      <c r="C229" t="inlineStr">
        <is>
          <t>Föryngringsavverkning</t>
        </is>
      </c>
      <c r="D229" s="1" t="n">
        <v>46108</v>
      </c>
      <c r="E229" s="1" t="n">
        <v>46279</v>
      </c>
      <c r="F229" t="inlineStr">
        <is>
          <t>NORRBOTTENS LÄN</t>
        </is>
      </c>
      <c r="G229" t="inlineStr">
        <is>
          <t>JOKKMOKK</t>
        </is>
      </c>
      <c r="H229" t="inlineStr">
        <is>
          <t>SCA</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54546-2025</t>
        </is>
      </c>
      <c r="B230" t="inlineStr">
        <is>
          <t>avverkningsanmälan</t>
        </is>
      </c>
      <c r="C230" t="inlineStr">
        <is>
          <t>Föryngringsavverkning</t>
        </is>
      </c>
      <c r="D230" s="1" t="n">
        <v>45965</v>
      </c>
      <c r="E230" s="1" t="n">
        <v>46279</v>
      </c>
      <c r="F230" t="inlineStr">
        <is>
          <t>NORRBOTTENS LÄN</t>
        </is>
      </c>
      <c r="G230" t="inlineStr">
        <is>
          <t>JOKKMOKK</t>
        </is>
      </c>
      <c r="H230" t="inlineStr">
        <is>
          <t>Allmännings- och besparingsskogar</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15969-2026</t>
        </is>
      </c>
      <c r="B231" t="inlineStr">
        <is>
          <t>avverkningsanmälan</t>
        </is>
      </c>
      <c r="C231" t="inlineStr">
        <is>
          <t>Föryngringsavverkning</t>
        </is>
      </c>
      <c r="D231" s="1" t="n">
        <v>46108</v>
      </c>
      <c r="E231" s="1" t="n">
        <v>46279</v>
      </c>
      <c r="F231" t="inlineStr">
        <is>
          <t>NORRBOTTENS LÄN</t>
        </is>
      </c>
      <c r="G231" t="inlineStr">
        <is>
          <t>JOKKMOKK</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54585-2025</t>
        </is>
      </c>
      <c r="B232" t="inlineStr">
        <is>
          <t>avverkningsanmälan</t>
        </is>
      </c>
      <c r="C232" t="inlineStr">
        <is>
          <t>Föryngringsavverkning</t>
        </is>
      </c>
      <c r="D232" s="1" t="n">
        <v>45965</v>
      </c>
      <c r="E232" s="1" t="n">
        <v>46279</v>
      </c>
      <c r="F232" t="inlineStr">
        <is>
          <t>NORRBOTTENS LÄN</t>
        </is>
      </c>
      <c r="G232" t="inlineStr">
        <is>
          <t>JOKKMOKK</t>
        </is>
      </c>
      <c r="H232" t="inlineStr">
        <is>
          <t>Allmännings- och besparingsskogar</t>
        </is>
      </c>
      <c r="I232" t="n">
        <v>10.2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55195-2025</t>
        </is>
      </c>
      <c r="B233" t="inlineStr">
        <is>
          <t>avverkningsanmälan</t>
        </is>
      </c>
      <c r="C233" t="inlineStr">
        <is>
          <t>Föryngringsavverkning</t>
        </is>
      </c>
      <c r="D233" s="1" t="n">
        <v>45968</v>
      </c>
      <c r="E233" s="1" t="n">
        <v>46279</v>
      </c>
      <c r="F233" t="inlineStr">
        <is>
          <t>NORRBOTTENS LÄN</t>
        </is>
      </c>
      <c r="G233" t="inlineStr">
        <is>
          <t>JOKKMOKK</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16711-2026</t>
        </is>
      </c>
      <c r="B234" t="inlineStr">
        <is>
          <t>avverkningsanmälan</t>
        </is>
      </c>
      <c r="C234" t="inlineStr">
        <is>
          <t>Föryngringsavverkning</t>
        </is>
      </c>
      <c r="D234" s="1" t="n">
        <v>46113</v>
      </c>
      <c r="E234" s="1" t="n">
        <v>46279</v>
      </c>
      <c r="F234" t="inlineStr">
        <is>
          <t>NORRBOTTENS LÄN</t>
        </is>
      </c>
      <c r="G234" t="inlineStr">
        <is>
          <t>JOKKMOKK</t>
        </is>
      </c>
      <c r="H234" t="inlineStr">
        <is>
          <t>SCA</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16757-2026</t>
        </is>
      </c>
      <c r="B235" t="inlineStr">
        <is>
          <t>avverkningsanmälan</t>
        </is>
      </c>
      <c r="C235" t="inlineStr">
        <is>
          <t>Föryngringsavverkning</t>
        </is>
      </c>
      <c r="D235" s="1" t="n">
        <v>46113</v>
      </c>
      <c r="E235" s="1" t="n">
        <v>46279</v>
      </c>
      <c r="F235" t="inlineStr">
        <is>
          <t>NORRBOTTENS LÄN</t>
        </is>
      </c>
      <c r="G235" t="inlineStr">
        <is>
          <t>JOKKMOKK</t>
        </is>
      </c>
      <c r="H235" t="inlineStr">
        <is>
          <t>SCA</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55015-2025</t>
        </is>
      </c>
      <c r="B236" t="inlineStr">
        <is>
          <t>avverkningsanmälan</t>
        </is>
      </c>
      <c r="C236" t="inlineStr">
        <is>
          <t>Föryngringsavverkning</t>
        </is>
      </c>
      <c r="D236" s="1" t="n">
        <v>45967</v>
      </c>
      <c r="E236" s="1" t="n">
        <v>46279</v>
      </c>
      <c r="F236" t="inlineStr">
        <is>
          <t>NORRBOTTENS LÄN</t>
        </is>
      </c>
      <c r="G236" t="inlineStr">
        <is>
          <t>JOKKMOKK</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16710-2026</t>
        </is>
      </c>
      <c r="B237" t="inlineStr">
        <is>
          <t>avverkningsanmälan</t>
        </is>
      </c>
      <c r="C237" t="inlineStr">
        <is>
          <t>Föryngringsavverkning</t>
        </is>
      </c>
      <c r="D237" s="1" t="n">
        <v>46113</v>
      </c>
      <c r="E237" s="1" t="n">
        <v>46279</v>
      </c>
      <c r="F237" t="inlineStr">
        <is>
          <t>NORRBOTTENS LÄN</t>
        </is>
      </c>
      <c r="G237" t="inlineStr">
        <is>
          <t>JOKKMOKK</t>
        </is>
      </c>
      <c r="H237" t="inlineStr">
        <is>
          <t>SCA</t>
        </is>
      </c>
      <c r="I237" t="n">
        <v>18.9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16716-2026</t>
        </is>
      </c>
      <c r="B238" t="inlineStr">
        <is>
          <t>avverkningsanmälan</t>
        </is>
      </c>
      <c r="C238" t="inlineStr">
        <is>
          <t>Föryngringsavverkning</t>
        </is>
      </c>
      <c r="D238" s="1" t="n">
        <v>46113</v>
      </c>
      <c r="E238" s="1" t="n">
        <v>46279</v>
      </c>
      <c r="F238" t="inlineStr">
        <is>
          <t>NORRBOTTENS LÄN</t>
        </is>
      </c>
      <c r="G238" t="inlineStr">
        <is>
          <t>JOKKMOKK</t>
        </is>
      </c>
      <c r="H238" t="inlineStr">
        <is>
          <t>SCA</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16708-2026</t>
        </is>
      </c>
      <c r="B239" t="inlineStr">
        <is>
          <t>avverkningsanmälan</t>
        </is>
      </c>
      <c r="C239" t="inlineStr">
        <is>
          <t>Föryngringsavverkning</t>
        </is>
      </c>
      <c r="D239" s="1" t="n">
        <v>46113</v>
      </c>
      <c r="E239" s="1" t="n">
        <v>46279</v>
      </c>
      <c r="F239" t="inlineStr">
        <is>
          <t>NORRBOTTENS LÄN</t>
        </is>
      </c>
      <c r="G239" t="inlineStr">
        <is>
          <t>JOKKMOKK</t>
        </is>
      </c>
      <c r="H239" t="inlineStr">
        <is>
          <t>SCA</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16709-2026</t>
        </is>
      </c>
      <c r="B240" t="inlineStr">
        <is>
          <t>avverkningsanmälan</t>
        </is>
      </c>
      <c r="C240" t="inlineStr">
        <is>
          <t>Föryngringsavverkning</t>
        </is>
      </c>
      <c r="D240" s="1" t="n">
        <v>46113</v>
      </c>
      <c r="E240" s="1" t="n">
        <v>46279</v>
      </c>
      <c r="F240" t="inlineStr">
        <is>
          <t>NORRBOTTENS LÄN</t>
        </is>
      </c>
      <c r="G240" t="inlineStr">
        <is>
          <t>JOKKMOKK</t>
        </is>
      </c>
      <c r="H240" t="inlineStr">
        <is>
          <t>SCA</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16714-2026</t>
        </is>
      </c>
      <c r="B241" t="inlineStr">
        <is>
          <t>avverkningsanmälan</t>
        </is>
      </c>
      <c r="C241" t="inlineStr">
        <is>
          <t>Föryngringsavverkning</t>
        </is>
      </c>
      <c r="D241" s="1" t="n">
        <v>46113</v>
      </c>
      <c r="E241" s="1" t="n">
        <v>46279</v>
      </c>
      <c r="F241" t="inlineStr">
        <is>
          <t>NORRBOTTENS LÄN</t>
        </is>
      </c>
      <c r="G241" t="inlineStr">
        <is>
          <t>JOKKMOKK</t>
        </is>
      </c>
      <c r="H241" t="inlineStr">
        <is>
          <t>SCA</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55673-2025</t>
        </is>
      </c>
      <c r="B242" t="inlineStr">
        <is>
          <t>avverkningsanmälan</t>
        </is>
      </c>
      <c r="C242" t="inlineStr">
        <is>
          <t>Föryngringsavverkning</t>
        </is>
      </c>
      <c r="D242" s="1" t="n">
        <v>45972</v>
      </c>
      <c r="E242" s="1" t="n">
        <v>46279</v>
      </c>
      <c r="F242" t="inlineStr">
        <is>
          <t>NORRBOTTENS LÄN</t>
        </is>
      </c>
      <c r="G242" t="inlineStr">
        <is>
          <t>JOKKMOKK</t>
        </is>
      </c>
      <c r="H242" t="inlineStr">
        <is>
          <t>SCA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55577-2025</t>
        </is>
      </c>
      <c r="B243" t="inlineStr">
        <is>
          <t>avverkningsanmälan</t>
        </is>
      </c>
      <c r="C243" t="inlineStr">
        <is>
          <t>Föryngringsavverkning</t>
        </is>
      </c>
      <c r="D243" s="1" t="n">
        <v>45971</v>
      </c>
      <c r="E243" s="1" t="n">
        <v>46279</v>
      </c>
      <c r="F243" t="inlineStr">
        <is>
          <t>NORRBOTTENS LÄN</t>
        </is>
      </c>
      <c r="G243" t="inlineStr">
        <is>
          <t>JOKKMOKK</t>
        </is>
      </c>
      <c r="H243" t="inlineStr">
        <is>
          <t>Allmännings- och besparingsskogar</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17001-2026</t>
        </is>
      </c>
      <c r="B244" t="inlineStr">
        <is>
          <t>avverkningsanmälan</t>
        </is>
      </c>
      <c r="C244" t="inlineStr">
        <is>
          <t>Föryngringsavverkning</t>
        </is>
      </c>
      <c r="D244" s="1" t="n">
        <v>46114</v>
      </c>
      <c r="E244" s="1" t="n">
        <v>46279</v>
      </c>
      <c r="F244" t="inlineStr">
        <is>
          <t>NORRBOTTENS LÄN</t>
        </is>
      </c>
      <c r="G244" t="inlineStr">
        <is>
          <t>JOKKMOKK</t>
        </is>
      </c>
      <c r="H244" t="inlineStr">
        <is>
          <t>SCA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56286-2025</t>
        </is>
      </c>
      <c r="B245" t="inlineStr">
        <is>
          <t>avverkningsanmälan</t>
        </is>
      </c>
      <c r="C245" t="inlineStr">
        <is>
          <t>Föryngringsavverkning</t>
        </is>
      </c>
      <c r="D245" s="1" t="n">
        <v>45974</v>
      </c>
      <c r="E245" s="1" t="n">
        <v>46279</v>
      </c>
      <c r="F245" t="inlineStr">
        <is>
          <t>NORRBOTTENS LÄN</t>
        </is>
      </c>
      <c r="G245" t="inlineStr">
        <is>
          <t>JOKKMOKK</t>
        </is>
      </c>
      <c r="H245" t="inlineStr">
        <is>
          <t>Sveaskog</t>
        </is>
      </c>
      <c r="I245" t="n">
        <v>22.8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56012-2025</t>
        </is>
      </c>
      <c r="B246" t="inlineStr">
        <is>
          <t>avverkningsanmälan</t>
        </is>
      </c>
      <c r="C246" t="inlineStr">
        <is>
          <t>Föryngringsavverkning</t>
        </is>
      </c>
      <c r="D246" s="1" t="n">
        <v>45973</v>
      </c>
      <c r="E246" s="1" t="n">
        <v>46279</v>
      </c>
      <c r="F246" t="inlineStr">
        <is>
          <t>NORRBOTTENS LÄN</t>
        </is>
      </c>
      <c r="G246" t="inlineStr">
        <is>
          <t>JOKKMOKK</t>
        </is>
      </c>
      <c r="H246" t="inlineStr">
        <is>
          <t>Naturvårdsverket</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60028-2025</t>
        </is>
      </c>
      <c r="B247" t="inlineStr">
        <is>
          <t>avverkningsanmälan</t>
        </is>
      </c>
      <c r="C247" t="inlineStr">
        <is>
          <t>Föryngringsavverkning</t>
        </is>
      </c>
      <c r="D247" s="1" t="n">
        <v>45993</v>
      </c>
      <c r="E247" s="1" t="n">
        <v>46279</v>
      </c>
      <c r="F247" t="inlineStr">
        <is>
          <t>NORRBOTTENS LÄN</t>
        </is>
      </c>
      <c r="G247" t="inlineStr">
        <is>
          <t>JOKKMOKK</t>
        </is>
      </c>
      <c r="H247" t="inlineStr">
        <is>
          <t>Övriga statliga verk och myndigheter</t>
        </is>
      </c>
      <c r="I247" t="n">
        <v>15.8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56317-2025</t>
        </is>
      </c>
      <c r="B248" t="inlineStr">
        <is>
          <t>avverkningsanmälan</t>
        </is>
      </c>
      <c r="C248" t="inlineStr">
        <is>
          <t>Föryngringsavverkning</t>
        </is>
      </c>
      <c r="D248" s="1" t="n">
        <v>45974</v>
      </c>
      <c r="E248" s="1" t="n">
        <v>46279</v>
      </c>
      <c r="F248" t="inlineStr">
        <is>
          <t>NORRBOTTENS LÄN</t>
        </is>
      </c>
      <c r="G248" t="inlineStr">
        <is>
          <t>JOKKMOKK</t>
        </is>
      </c>
      <c r="H248" t="inlineStr">
        <is>
          <t>Övriga statliga verk och myndigheter</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55990-2025</t>
        </is>
      </c>
      <c r="B249" t="inlineStr">
        <is>
          <t>avverkningsanmälan</t>
        </is>
      </c>
      <c r="C249" t="inlineStr">
        <is>
          <t>Föryngringsavverkning</t>
        </is>
      </c>
      <c r="D249" s="1" t="n">
        <v>45973</v>
      </c>
      <c r="E249" s="1" t="n">
        <v>46279</v>
      </c>
      <c r="F249" t="inlineStr">
        <is>
          <t>NORRBOTTENS LÄN</t>
        </is>
      </c>
      <c r="G249" t="inlineStr">
        <is>
          <t>JOKKMOKK</t>
        </is>
      </c>
      <c r="H249" t="inlineStr">
        <is>
          <t>Naturvårdsverket</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56323-2025</t>
        </is>
      </c>
      <c r="B250" t="inlineStr">
        <is>
          <t>avverkningsanmälan</t>
        </is>
      </c>
      <c r="C250" t="inlineStr">
        <is>
          <t>Föryngringsavverkning</t>
        </is>
      </c>
      <c r="D250" s="1" t="n">
        <v>45974</v>
      </c>
      <c r="E250" s="1" t="n">
        <v>46279</v>
      </c>
      <c r="F250" t="inlineStr">
        <is>
          <t>NORRBOTTENS LÄN</t>
        </is>
      </c>
      <c r="G250" t="inlineStr">
        <is>
          <t>JOKKMOKK</t>
        </is>
      </c>
      <c r="H250" t="inlineStr">
        <is>
          <t>Övriga statliga verk och myndigheter</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56321-2025</t>
        </is>
      </c>
      <c r="B251" t="inlineStr">
        <is>
          <t>avverkningsanmälan</t>
        </is>
      </c>
      <c r="C251" t="inlineStr">
        <is>
          <t>Föryngringsavverkning</t>
        </is>
      </c>
      <c r="D251" s="1" t="n">
        <v>45974</v>
      </c>
      <c r="E251" s="1" t="n">
        <v>46279</v>
      </c>
      <c r="F251" t="inlineStr">
        <is>
          <t>NORRBOTTENS LÄN</t>
        </is>
      </c>
      <c r="G251" t="inlineStr">
        <is>
          <t>JOKKMOKK</t>
        </is>
      </c>
      <c r="H251" t="inlineStr">
        <is>
          <t>Övriga statliga verk och myndigheter</t>
        </is>
      </c>
      <c r="I251" t="n">
        <v>14.6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56322-2025</t>
        </is>
      </c>
      <c r="B252" t="inlineStr">
        <is>
          <t>avverkningsanmälan</t>
        </is>
      </c>
      <c r="C252" t="inlineStr">
        <is>
          <t>Föryngringsavverkning</t>
        </is>
      </c>
      <c r="D252" s="1" t="n">
        <v>45974</v>
      </c>
      <c r="E252" s="1" t="n">
        <v>46279</v>
      </c>
      <c r="F252" t="inlineStr">
        <is>
          <t>NORRBOTTENS LÄN</t>
        </is>
      </c>
      <c r="G252" t="inlineStr">
        <is>
          <t>JOKKMOKK</t>
        </is>
      </c>
      <c r="H252" t="inlineStr">
        <is>
          <t>Övriga statliga verk och myndigheter</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56192-2025</t>
        </is>
      </c>
      <c r="B253" t="inlineStr">
        <is>
          <t>avverkningsanmälan</t>
        </is>
      </c>
      <c r="C253" t="inlineStr">
        <is>
          <t>Avverkning för annat ändamål</t>
        </is>
      </c>
      <c r="D253" s="1" t="n">
        <v>45974</v>
      </c>
      <c r="E253" s="1" t="n">
        <v>46279</v>
      </c>
      <c r="F253" t="inlineStr">
        <is>
          <t>NORRBOTTENS LÄN</t>
        </is>
      </c>
      <c r="G253" t="inlineStr">
        <is>
          <t>JOKKMOKK</t>
        </is>
      </c>
      <c r="H253" t="inlineStr">
        <is>
          <t>Sveaskog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56445-2025</t>
        </is>
      </c>
      <c r="B254" t="inlineStr">
        <is>
          <t>avverkningsanmälan</t>
        </is>
      </c>
      <c r="C254" t="inlineStr">
        <is>
          <t>Föryngringsavverkning</t>
        </is>
      </c>
      <c r="D254" s="1" t="n">
        <v>45975</v>
      </c>
      <c r="E254" s="1" t="n">
        <v>46279</v>
      </c>
      <c r="F254" t="inlineStr">
        <is>
          <t>NORRBOTTENS LÄN</t>
        </is>
      </c>
      <c r="G254" t="inlineStr">
        <is>
          <t>JOKKMOKK</t>
        </is>
      </c>
      <c r="I254" t="n">
        <v>35.7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56507-2025</t>
        </is>
      </c>
      <c r="B255" t="inlineStr">
        <is>
          <t>avverkningsanmälan</t>
        </is>
      </c>
      <c r="C255" t="inlineStr">
        <is>
          <t>Föryngringsavverkning</t>
        </is>
      </c>
      <c r="D255" s="1" t="n">
        <v>45975</v>
      </c>
      <c r="E255" s="1" t="n">
        <v>46279</v>
      </c>
      <c r="F255" t="inlineStr">
        <is>
          <t>NORRBOTTENS LÄN</t>
        </is>
      </c>
      <c r="G255" t="inlineStr">
        <is>
          <t>JOKKMOKK</t>
        </is>
      </c>
      <c r="H255" t="inlineStr">
        <is>
          <t>Allmännings- och besparingsskogar</t>
        </is>
      </c>
      <c r="I255" t="n">
        <v>20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57167-2025</t>
        </is>
      </c>
      <c r="B256" t="inlineStr">
        <is>
          <t>avverkningsanmälan</t>
        </is>
      </c>
      <c r="C256" t="inlineStr">
        <is>
          <t>Föryngringsavverkning</t>
        </is>
      </c>
      <c r="D256" s="1" t="n">
        <v>45979</v>
      </c>
      <c r="E256" s="1" t="n">
        <v>46279</v>
      </c>
      <c r="F256" t="inlineStr">
        <is>
          <t>NORRBOTTENS LÄN</t>
        </is>
      </c>
      <c r="G256" t="inlineStr">
        <is>
          <t>JOKKMOKK</t>
        </is>
      </c>
      <c r="H256" t="inlineStr">
        <is>
          <t>Allmännings- och besparingsskogar</t>
        </is>
      </c>
      <c r="I256" t="n">
        <v>12.8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44151-2024</t>
        </is>
      </c>
      <c r="B257" t="inlineStr">
        <is>
          <t>avverkningsanmälan</t>
        </is>
      </c>
      <c r="C257" t="inlineStr">
        <is>
          <t>Föryngringsavverkning</t>
        </is>
      </c>
      <c r="D257" s="1" t="n">
        <v>45572</v>
      </c>
      <c r="E257" s="1" t="n">
        <v>46279</v>
      </c>
      <c r="F257" t="inlineStr">
        <is>
          <t>NORRBOTTENS LÄN</t>
        </is>
      </c>
      <c r="G257" t="inlineStr">
        <is>
          <t>JOKKMOKK</t>
        </is>
      </c>
      <c r="H257" t="inlineStr">
        <is>
          <t>Sveaskog</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57256-2025</t>
        </is>
      </c>
      <c r="B258" t="inlineStr">
        <is>
          <t>avverkningsanmälan</t>
        </is>
      </c>
      <c r="C258" t="inlineStr">
        <is>
          <t>Föryngringsavverkning</t>
        </is>
      </c>
      <c r="D258" s="1" t="n">
        <v>45979</v>
      </c>
      <c r="E258" s="1" t="n">
        <v>46279</v>
      </c>
      <c r="F258" t="inlineStr">
        <is>
          <t>NORRBOTTENS LÄN</t>
        </is>
      </c>
      <c r="G258" t="inlineStr">
        <is>
          <t>JOKKMOKK</t>
        </is>
      </c>
      <c r="H258" t="inlineStr">
        <is>
          <t>Allmännings- och besparingsskogar</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58404-2025</t>
        </is>
      </c>
      <c r="B259" t="inlineStr">
        <is>
          <t>avverkningsanmälan</t>
        </is>
      </c>
      <c r="C259" t="inlineStr">
        <is>
          <t>Föryngringsavverkning</t>
        </is>
      </c>
      <c r="D259" s="1" t="n">
        <v>45985</v>
      </c>
      <c r="E259" s="1" t="n">
        <v>46279</v>
      </c>
      <c r="F259" t="inlineStr">
        <is>
          <t>NORRBOTTENS LÄN</t>
        </is>
      </c>
      <c r="G259" t="inlineStr">
        <is>
          <t>JOKKMOKK</t>
        </is>
      </c>
      <c r="H259" t="inlineStr">
        <is>
          <t>Övriga statliga verk och myndigheter</t>
        </is>
      </c>
      <c r="I259" t="n">
        <v>9.300000000000001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32915-2024</t>
        </is>
      </c>
      <c r="B260" t="inlineStr">
        <is>
          <t>avverkningsanmälan</t>
        </is>
      </c>
      <c r="C260" t="inlineStr">
        <is>
          <t>Föryngringsavverkning</t>
        </is>
      </c>
      <c r="D260" s="1" t="n">
        <v>45516</v>
      </c>
      <c r="E260" s="1" t="n">
        <v>46279</v>
      </c>
      <c r="F260" t="inlineStr">
        <is>
          <t>NORRBOTTENS LÄN</t>
        </is>
      </c>
      <c r="G260" t="inlineStr">
        <is>
          <t>JOKKMOKK</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58419-2025</t>
        </is>
      </c>
      <c r="B261" t="inlineStr">
        <is>
          <t>avverkningsanmälan</t>
        </is>
      </c>
      <c r="C261" t="inlineStr">
        <is>
          <t>Föryngringsavverkning</t>
        </is>
      </c>
      <c r="D261" s="1" t="n">
        <v>45985</v>
      </c>
      <c r="E261" s="1" t="n">
        <v>46279</v>
      </c>
      <c r="F261" t="inlineStr">
        <is>
          <t>NORRBOTTENS LÄN</t>
        </is>
      </c>
      <c r="G261" t="inlineStr">
        <is>
          <t>JOKKMOKK</t>
        </is>
      </c>
      <c r="H261" t="inlineStr">
        <is>
          <t>Övriga statliga verk och myndigheter</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56073-2025</t>
        </is>
      </c>
      <c r="B262" t="inlineStr">
        <is>
          <t>avverkningsanmälan</t>
        </is>
      </c>
      <c r="C262" t="inlineStr">
        <is>
          <t>Föryngringsavverkning</t>
        </is>
      </c>
      <c r="D262" s="1" t="n">
        <v>45973</v>
      </c>
      <c r="E262" s="1" t="n">
        <v>46279</v>
      </c>
      <c r="F262" t="inlineStr">
        <is>
          <t>NORRBOTTENS LÄN</t>
        </is>
      </c>
      <c r="G262" t="inlineStr">
        <is>
          <t>JOKKMOKK</t>
        </is>
      </c>
      <c r="H262" t="inlineStr">
        <is>
          <t>Naturvårdsverket</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10630-2025</t>
        </is>
      </c>
      <c r="B263" t="inlineStr">
        <is>
          <t>avverkningsanmälan</t>
        </is>
      </c>
      <c r="C263" t="inlineStr">
        <is>
          <t>Föryngringsavverkning</t>
        </is>
      </c>
      <c r="D263" s="1" t="n">
        <v>45721</v>
      </c>
      <c r="E263" s="1" t="n">
        <v>46279</v>
      </c>
      <c r="F263" t="inlineStr">
        <is>
          <t>NORRBOTTENS LÄN</t>
        </is>
      </c>
      <c r="G263" t="inlineStr">
        <is>
          <t>JOKKMOKK</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63182-2025</t>
        </is>
      </c>
      <c r="B264" t="inlineStr">
        <is>
          <t>avverkningsanmälan</t>
        </is>
      </c>
      <c r="C264" t="inlineStr">
        <is>
          <t>Föryngringsavverkning</t>
        </is>
      </c>
      <c r="D264" s="1" t="n">
        <v>46010</v>
      </c>
      <c r="E264" s="1" t="n">
        <v>46279</v>
      </c>
      <c r="F264" t="inlineStr">
        <is>
          <t>NORRBOTTENS LÄN</t>
        </is>
      </c>
      <c r="G264" t="inlineStr">
        <is>
          <t>JOKKMOKK</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60155-2025</t>
        </is>
      </c>
      <c r="B265" t="inlineStr">
        <is>
          <t>avverkningsanmälan</t>
        </is>
      </c>
      <c r="C265" t="inlineStr">
        <is>
          <t>Föryngringsavverkning</t>
        </is>
      </c>
      <c r="D265" s="1" t="n">
        <v>45994</v>
      </c>
      <c r="E265" s="1" t="n">
        <v>46279</v>
      </c>
      <c r="F265" t="inlineStr">
        <is>
          <t>NORRBOTTENS LÄN</t>
        </is>
      </c>
      <c r="G265" t="inlineStr">
        <is>
          <t>JOKKMOKK</t>
        </is>
      </c>
      <c r="H265" t="inlineStr">
        <is>
          <t>Övriga statliga verk och myndigheter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16336-2023</t>
        </is>
      </c>
      <c r="B266" t="inlineStr">
        <is>
          <t>avverkningsanmälan</t>
        </is>
      </c>
      <c r="C266" t="inlineStr">
        <is>
          <t>Föryngringsavverkning</t>
        </is>
      </c>
      <c r="D266" s="1" t="n">
        <v>45022</v>
      </c>
      <c r="E266" s="1" t="n">
        <v>46279</v>
      </c>
      <c r="F266" t="inlineStr">
        <is>
          <t>NORRBOTTENS LÄN</t>
        </is>
      </c>
      <c r="G266" t="inlineStr">
        <is>
          <t>JOKKMOKK</t>
        </is>
      </c>
      <c r="H266" t="inlineStr">
        <is>
          <t>Övriga statliga verk och myndigheter</t>
        </is>
      </c>
      <c r="I266" t="n">
        <v>130.2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46279</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46279</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52240-2025</t>
        </is>
      </c>
      <c r="B269" t="inlineStr">
        <is>
          <t>avverkningsanmälan</t>
        </is>
      </c>
      <c r="C269" t="inlineStr">
        <is>
          <t>Föryngringsavverkning</t>
        </is>
      </c>
      <c r="D269" s="1" t="n">
        <v>45953</v>
      </c>
      <c r="E269" s="1" t="n">
        <v>46279</v>
      </c>
      <c r="F269" t="inlineStr">
        <is>
          <t>NORRBOTTENS LÄN</t>
        </is>
      </c>
      <c r="G269" t="inlineStr">
        <is>
          <t>JOKKMOKK</t>
        </is>
      </c>
      <c r="H269" t="inlineStr">
        <is>
          <t>Övriga statliga verk och myndigheter</t>
        </is>
      </c>
      <c r="I269" t="n">
        <v>17.6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62093-2025</t>
        </is>
      </c>
      <c r="B270" t="inlineStr">
        <is>
          <t>avverkningsanmälan</t>
        </is>
      </c>
      <c r="C270" t="inlineStr">
        <is>
          <t>Föryngringsavverkning</t>
        </is>
      </c>
      <c r="D270" s="1" t="n">
        <v>46006</v>
      </c>
      <c r="E270" s="1" t="n">
        <v>46279</v>
      </c>
      <c r="F270" t="inlineStr">
        <is>
          <t>NORRBOTTENS LÄN</t>
        </is>
      </c>
      <c r="G270" t="inlineStr">
        <is>
          <t>JOKKMOKK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63206-2025</t>
        </is>
      </c>
      <c r="B271" t="inlineStr">
        <is>
          <t>avverkningsanmälan</t>
        </is>
      </c>
      <c r="C271" t="inlineStr">
        <is>
          <t>Avverkning för annat ändamål</t>
        </is>
      </c>
      <c r="D271" s="1" t="n">
        <v>46010</v>
      </c>
      <c r="E271" s="1" t="n">
        <v>46279</v>
      </c>
      <c r="F271" t="inlineStr">
        <is>
          <t>NORRBOTTENS LÄN</t>
        </is>
      </c>
      <c r="G271" t="inlineStr">
        <is>
          <t>JOKKMOKK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27650-2024</t>
        </is>
      </c>
      <c r="B272" t="inlineStr">
        <is>
          <t>avverkningsanmälan</t>
        </is>
      </c>
      <c r="C272" t="inlineStr">
        <is>
          <t>Föryngringsavverkning</t>
        </is>
      </c>
      <c r="D272" s="1" t="n">
        <v>45474</v>
      </c>
      <c r="E272" s="1" t="n">
        <v>46279</v>
      </c>
      <c r="F272" t="inlineStr">
        <is>
          <t>NORRBOTTENS LÄN</t>
        </is>
      </c>
      <c r="G272" t="inlineStr">
        <is>
          <t>JOKKMOKK</t>
        </is>
      </c>
      <c r="H272" t="inlineStr">
        <is>
          <t>SCA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43997-2024</t>
        </is>
      </c>
      <c r="B273" t="inlineStr">
        <is>
          <t>avverkningsanmälan</t>
        </is>
      </c>
      <c r="C273" t="inlineStr">
        <is>
          <t>Föryngringsavverkning</t>
        </is>
      </c>
      <c r="D273" s="1" t="n">
        <v>45572</v>
      </c>
      <c r="E273" s="1" t="n">
        <v>46279</v>
      </c>
      <c r="F273" t="inlineStr">
        <is>
          <t>NORRBOTTENS LÄN</t>
        </is>
      </c>
      <c r="G273" t="inlineStr">
        <is>
          <t>JOKKMOKK</t>
        </is>
      </c>
      <c r="H273" t="inlineStr">
        <is>
          <t>Sveaskog</t>
        </is>
      </c>
      <c r="I273" t="n">
        <v>17.4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64016-2025</t>
        </is>
      </c>
      <c r="B274" t="inlineStr">
        <is>
          <t>avverkningsanmälan</t>
        </is>
      </c>
      <c r="C274" t="inlineStr">
        <is>
          <t>Föryngringsavverkning</t>
        </is>
      </c>
      <c r="D274" s="1" t="n">
        <v>46021</v>
      </c>
      <c r="E274" s="1" t="n">
        <v>46279</v>
      </c>
      <c r="F274" t="inlineStr">
        <is>
          <t>NORRBOTTENS LÄN</t>
        </is>
      </c>
      <c r="G274" t="inlineStr">
        <is>
          <t>JOKKMOKK</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63181-2025</t>
        </is>
      </c>
      <c r="B275" t="inlineStr">
        <is>
          <t>avverkningsanmälan</t>
        </is>
      </c>
      <c r="C275" t="inlineStr">
        <is>
          <t>Föryngringsavverkning</t>
        </is>
      </c>
      <c r="D275" s="1" t="n">
        <v>46010</v>
      </c>
      <c r="E275" s="1" t="n">
        <v>46279</v>
      </c>
      <c r="F275" t="inlineStr">
        <is>
          <t>NORRBOTTENS LÄN</t>
        </is>
      </c>
      <c r="G275" t="inlineStr">
        <is>
          <t>JOKKMOKK</t>
        </is>
      </c>
      <c r="I275" t="n">
        <v>42.7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49483-2021</t>
        </is>
      </c>
      <c r="B276" t="inlineStr">
        <is>
          <t>avverkningsanmälan</t>
        </is>
      </c>
      <c r="C276" t="inlineStr">
        <is>
          <t>Föryngringsavverkning</t>
        </is>
      </c>
      <c r="D276" s="1" t="n">
        <v>44454</v>
      </c>
      <c r="E276" s="1" t="n">
        <v>46279</v>
      </c>
      <c r="F276" t="inlineStr">
        <is>
          <t>NORRBOTTENS LÄN</t>
        </is>
      </c>
      <c r="G276" t="inlineStr">
        <is>
          <t>JOKKMOKK</t>
        </is>
      </c>
      <c r="H276" t="inlineStr">
        <is>
          <t>SCA</t>
        </is>
      </c>
      <c r="I276" t="n">
        <v>24.2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63142-2025</t>
        </is>
      </c>
      <c r="B277" t="inlineStr">
        <is>
          <t>avverkningsanmälan</t>
        </is>
      </c>
      <c r="C277" t="inlineStr">
        <is>
          <t>Föryngringsavverkning</t>
        </is>
      </c>
      <c r="D277" s="1" t="n">
        <v>46010</v>
      </c>
      <c r="E277" s="1" t="n">
        <v>46279</v>
      </c>
      <c r="F277" t="inlineStr">
        <is>
          <t>NORRBOTTENS LÄN</t>
        </is>
      </c>
      <c r="G277" t="inlineStr">
        <is>
          <t>JOKKMOKK</t>
        </is>
      </c>
      <c r="H277" t="inlineStr">
        <is>
          <t>SCA</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63024-2025</t>
        </is>
      </c>
      <c r="B278" t="inlineStr">
        <is>
          <t>avverkningsanmälan</t>
        </is>
      </c>
      <c r="C278" t="inlineStr">
        <is>
          <t>Föryngringsavverkning</t>
        </is>
      </c>
      <c r="D278" s="1" t="n">
        <v>46009</v>
      </c>
      <c r="E278" s="1" t="n">
        <v>46279</v>
      </c>
      <c r="F278" t="inlineStr">
        <is>
          <t>NORRBOTTENS LÄN</t>
        </is>
      </c>
      <c r="G278" t="inlineStr">
        <is>
          <t>JOKKMOKK</t>
        </is>
      </c>
      <c r="I278" t="n">
        <v>8.800000000000001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848-2026</t>
        </is>
      </c>
      <c r="B279" t="inlineStr">
        <is>
          <t>avverkningsanmälan</t>
        </is>
      </c>
      <c r="C279" t="inlineStr">
        <is>
          <t>Föryngringsavverkning</t>
        </is>
      </c>
      <c r="D279" s="1" t="n">
        <v>46030</v>
      </c>
      <c r="E279" s="1" t="n">
        <v>46279</v>
      </c>
      <c r="F279" t="inlineStr">
        <is>
          <t>NORRBOTTENS LÄN</t>
        </is>
      </c>
      <c r="G279" t="inlineStr">
        <is>
          <t>JOKKMOKK</t>
        </is>
      </c>
      <c r="H279" t="inlineStr">
        <is>
          <t>SCA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53237-2025</t>
        </is>
      </c>
      <c r="B280" t="inlineStr">
        <is>
          <t>avverkningsanmälan</t>
        </is>
      </c>
      <c r="C280" t="inlineStr">
        <is>
          <t>Föryngringsavverkning</t>
        </is>
      </c>
      <c r="D280" s="1" t="n">
        <v>45957</v>
      </c>
      <c r="E280" s="1" t="n">
        <v>46279</v>
      </c>
      <c r="F280" t="inlineStr">
        <is>
          <t>NORRBOTTENS LÄN</t>
        </is>
      </c>
      <c r="G280" t="inlineStr">
        <is>
          <t>JOKKMOKK</t>
        </is>
      </c>
      <c r="H280" t="inlineStr">
        <is>
          <t>Övriga Aktiebolag</t>
        </is>
      </c>
      <c r="I280" t="n">
        <v>28.1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60308-2025</t>
        </is>
      </c>
      <c r="B281" t="inlineStr">
        <is>
          <t>avverkningsanmälan</t>
        </is>
      </c>
      <c r="C281" t="inlineStr">
        <is>
          <t>Föryngringsavverkning</t>
        </is>
      </c>
      <c r="D281" s="1" t="n">
        <v>45994</v>
      </c>
      <c r="E281" s="1" t="n">
        <v>46279</v>
      </c>
      <c r="F281" t="inlineStr">
        <is>
          <t>NORRBOTTENS LÄN</t>
        </is>
      </c>
      <c r="G281" t="inlineStr">
        <is>
          <t>JOKKMOKK</t>
        </is>
      </c>
      <c r="H281" t="inlineStr">
        <is>
          <t>Allmännings- och besparingsskogar</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59666-2025</t>
        </is>
      </c>
      <c r="B282" t="inlineStr">
        <is>
          <t>avverkningsanmälan</t>
        </is>
      </c>
      <c r="C282" t="inlineStr">
        <is>
          <t>Föryngringsavverkning</t>
        </is>
      </c>
      <c r="D282" s="1" t="n">
        <v>45992</v>
      </c>
      <c r="E282" s="1" t="n">
        <v>46279</v>
      </c>
      <c r="F282" t="inlineStr">
        <is>
          <t>NORRBOTTENS LÄN</t>
        </is>
      </c>
      <c r="G282" t="inlineStr">
        <is>
          <t>JOKKMOKK</t>
        </is>
      </c>
      <c r="H282" t="inlineStr">
        <is>
          <t>Allmännings- och besparingsskogar</t>
        </is>
      </c>
      <c r="I282" t="n">
        <v>12.2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59984-2025</t>
        </is>
      </c>
      <c r="B283" t="inlineStr">
        <is>
          <t>avverkningsanmälan</t>
        </is>
      </c>
      <c r="C283" t="inlineStr">
        <is>
          <t>Föryngringsavverkning</t>
        </is>
      </c>
      <c r="D283" s="1" t="n">
        <v>45993</v>
      </c>
      <c r="E283" s="1" t="n">
        <v>46279</v>
      </c>
      <c r="F283" t="inlineStr">
        <is>
          <t>NORRBOTTENS LÄN</t>
        </is>
      </c>
      <c r="G283" t="inlineStr">
        <is>
          <t>JOKKMOKK</t>
        </is>
      </c>
      <c r="H283" t="inlineStr">
        <is>
          <t>Allmännings- och besparingsskogar</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20142-2026</t>
        </is>
      </c>
      <c r="B284" t="inlineStr">
        <is>
          <t>avverkningsanmälan</t>
        </is>
      </c>
      <c r="C284" t="inlineStr">
        <is>
          <t>Föryngringsavverkning</t>
        </is>
      </c>
      <c r="D284" s="1" t="n">
        <v>46137</v>
      </c>
      <c r="E284" s="1" t="n">
        <v>46279</v>
      </c>
      <c r="F284" t="inlineStr">
        <is>
          <t>NORRBOTTENS LÄN</t>
        </is>
      </c>
      <c r="G284" t="inlineStr">
        <is>
          <t>JOKKMOKK</t>
        </is>
      </c>
      <c r="H284" t="inlineStr">
        <is>
          <t>SCA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24052-2023</t>
        </is>
      </c>
      <c r="B285" t="inlineStr">
        <is>
          <t>avverkningsanmälan</t>
        </is>
      </c>
      <c r="C285" t="inlineStr">
        <is>
          <t>Föryngringsavverkning</t>
        </is>
      </c>
      <c r="D285" s="1" t="n">
        <v>45078</v>
      </c>
      <c r="E285" s="1" t="n">
        <v>46279</v>
      </c>
      <c r="F285" t="inlineStr">
        <is>
          <t>NORRBOTTENS LÄN</t>
        </is>
      </c>
      <c r="G285" t="inlineStr">
        <is>
          <t>JOKKMOKK</t>
        </is>
      </c>
      <c r="H285" t="inlineStr">
        <is>
          <t>Naturvårdsverket</t>
        </is>
      </c>
      <c r="I285" t="n">
        <v>58.1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52280-2021</t>
        </is>
      </c>
      <c r="B286" t="inlineStr">
        <is>
          <t>avverkningsanmälan</t>
        </is>
      </c>
      <c r="C286" t="inlineStr">
        <is>
          <t>Föryngringsavverkning</t>
        </is>
      </c>
      <c r="D286" s="1" t="n">
        <v>44462</v>
      </c>
      <c r="E286" s="1" t="n">
        <v>46279</v>
      </c>
      <c r="F286" t="inlineStr">
        <is>
          <t>NORRBOTTENS LÄN</t>
        </is>
      </c>
      <c r="G286" t="inlineStr">
        <is>
          <t>JOKKMOKK</t>
        </is>
      </c>
      <c r="H286" t="inlineStr">
        <is>
          <t>Övriga statliga verk och myndigheter</t>
        </is>
      </c>
      <c r="I286" t="n">
        <v>25.9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59849-2021</t>
        </is>
      </c>
      <c r="B287" t="inlineStr">
        <is>
          <t>avverkningsanmälan</t>
        </is>
      </c>
      <c r="C287" t="inlineStr">
        <is>
          <t>Föryngringsavverkning</t>
        </is>
      </c>
      <c r="D287" s="1" t="n">
        <v>44493</v>
      </c>
      <c r="E287" s="1" t="n">
        <v>46279</v>
      </c>
      <c r="F287" t="inlineStr">
        <is>
          <t>NORRBOTTENS LÄN</t>
        </is>
      </c>
      <c r="G287" t="inlineStr">
        <is>
          <t>JOKKMOKK</t>
        </is>
      </c>
      <c r="H287" t="inlineStr">
        <is>
          <t>Övriga Aktiebolag</t>
        </is>
      </c>
      <c r="I287" t="n">
        <v>11.7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5670-2025</t>
        </is>
      </c>
      <c r="B288" t="inlineStr">
        <is>
          <t>avverkningsanmälan</t>
        </is>
      </c>
      <c r="C288" t="inlineStr">
        <is>
          <t>Föryngringsavverkning</t>
        </is>
      </c>
      <c r="D288" s="1" t="n">
        <v>45693</v>
      </c>
      <c r="E288" s="1" t="n">
        <v>46279</v>
      </c>
      <c r="F288" t="inlineStr">
        <is>
          <t>NORRBOTTENS LÄN</t>
        </is>
      </c>
      <c r="G288" t="inlineStr">
        <is>
          <t>JOKKMOKK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37827-2024</t>
        </is>
      </c>
      <c r="B289" t="inlineStr">
        <is>
          <t>avverkningsanmälan</t>
        </is>
      </c>
      <c r="C289" t="inlineStr">
        <is>
          <t>Föryngringsavverkning</t>
        </is>
      </c>
      <c r="D289" s="1" t="n">
        <v>45544</v>
      </c>
      <c r="E289" s="1" t="n">
        <v>46279</v>
      </c>
      <c r="F289" t="inlineStr">
        <is>
          <t>NORRBOTTENS LÄN</t>
        </is>
      </c>
      <c r="G289" t="inlineStr">
        <is>
          <t>JOKKMOKK</t>
        </is>
      </c>
      <c r="H289" t="inlineStr">
        <is>
          <t>SCA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32900-2023</t>
        </is>
      </c>
      <c r="B290" t="inlineStr">
        <is>
          <t>avverkningsanmälan</t>
        </is>
      </c>
      <c r="C290" t="inlineStr">
        <is>
          <t>Avverkning för att bevara och utveckla /försöksver</t>
        </is>
      </c>
      <c r="D290" s="1" t="n">
        <v>45124</v>
      </c>
      <c r="E290" s="1" t="n">
        <v>46279</v>
      </c>
      <c r="F290" t="inlineStr">
        <is>
          <t>NORRBOTTENS LÄN</t>
        </is>
      </c>
      <c r="G290" t="inlineStr">
        <is>
          <t>JOKKMOKK</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38462-2025</t>
        </is>
      </c>
      <c r="B291" t="inlineStr">
        <is>
          <t>avverkningsanmälan</t>
        </is>
      </c>
      <c r="C291" t="inlineStr">
        <is>
          <t>Föryngringsavverkning</t>
        </is>
      </c>
      <c r="D291" s="1" t="n">
        <v>45883</v>
      </c>
      <c r="E291" s="1" t="n">
        <v>46279</v>
      </c>
      <c r="F291" t="inlineStr">
        <is>
          <t>NORRBOTTENS LÄN</t>
        </is>
      </c>
      <c r="G291" t="inlineStr">
        <is>
          <t>JOKKMOKK</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44150-2024</t>
        </is>
      </c>
      <c r="B292" t="inlineStr">
        <is>
          <t>avverkningsanmälan</t>
        </is>
      </c>
      <c r="C292" t="inlineStr">
        <is>
          <t>Föryngringsavverkning</t>
        </is>
      </c>
      <c r="D292" s="1" t="n">
        <v>45572</v>
      </c>
      <c r="E292" s="1" t="n">
        <v>46279</v>
      </c>
      <c r="F292" t="inlineStr">
        <is>
          <t>NORRBOTTENS LÄN</t>
        </is>
      </c>
      <c r="G292" t="inlineStr">
        <is>
          <t>JOKKMOKK</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71369-2021</t>
        </is>
      </c>
      <c r="B293" t="inlineStr">
        <is>
          <t>avverkningsanmälan</t>
        </is>
      </c>
      <c r="C293" t="inlineStr">
        <is>
          <t>Avverkning för att bevara och utveckla /försöksver</t>
        </is>
      </c>
      <c r="D293" s="1" t="n">
        <v>44539</v>
      </c>
      <c r="E293" s="1" t="n">
        <v>46279</v>
      </c>
      <c r="F293" t="inlineStr">
        <is>
          <t>NORRBOTTENS LÄN</t>
        </is>
      </c>
      <c r="G293" t="inlineStr">
        <is>
          <t>JOKKMOKK</t>
        </is>
      </c>
      <c r="H293" t="inlineStr">
        <is>
          <t>SCA</t>
        </is>
      </c>
      <c r="I293" t="n">
        <v>15.7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42322-2025</t>
        </is>
      </c>
      <c r="B294" t="inlineStr">
        <is>
          <t>avverkningsanmälan</t>
        </is>
      </c>
      <c r="C294" t="inlineStr">
        <is>
          <t>Föryngringsavverkning</t>
        </is>
      </c>
      <c r="D294" s="1" t="n">
        <v>45904</v>
      </c>
      <c r="E294" s="1" t="n">
        <v>46279</v>
      </c>
      <c r="F294" t="inlineStr">
        <is>
          <t>NORRBOTTENS LÄN</t>
        </is>
      </c>
      <c r="G294" t="inlineStr">
        <is>
          <t>JOKKMOKK</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39684-2023</t>
        </is>
      </c>
      <c r="B295" t="inlineStr">
        <is>
          <t>avverkningsanmälan</t>
        </is>
      </c>
      <c r="C295" t="inlineStr">
        <is>
          <t>Föryngringsavverkning</t>
        </is>
      </c>
      <c r="D295" s="1" t="n">
        <v>45166</v>
      </c>
      <c r="E295" s="1" t="n">
        <v>46279</v>
      </c>
      <c r="F295" t="inlineStr">
        <is>
          <t>NORRBOTTENS LÄN</t>
        </is>
      </c>
      <c r="G295" t="inlineStr">
        <is>
          <t>JOKKMOKK</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9860-2023</t>
        </is>
      </c>
      <c r="B296" t="inlineStr">
        <is>
          <t>avverkningsanmälan</t>
        </is>
      </c>
      <c r="C296" t="inlineStr">
        <is>
          <t>Föryngringsavverkning</t>
        </is>
      </c>
      <c r="D296" s="1" t="n">
        <v>44984</v>
      </c>
      <c r="E296" s="1" t="n">
        <v>46279</v>
      </c>
      <c r="F296" t="inlineStr">
        <is>
          <t>NORRBOTTENS LÄN</t>
        </is>
      </c>
      <c r="G296" t="inlineStr">
        <is>
          <t>JOKKMOKK</t>
        </is>
      </c>
      <c r="H296" t="inlineStr">
        <is>
          <t>SCA</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9863-2023</t>
        </is>
      </c>
      <c r="B297" t="inlineStr">
        <is>
          <t>avverkningsanmälan</t>
        </is>
      </c>
      <c r="C297" t="inlineStr">
        <is>
          <t>Föryngringsavverkning</t>
        </is>
      </c>
      <c r="D297" s="1" t="n">
        <v>44984</v>
      </c>
      <c r="E297" s="1" t="n">
        <v>46279</v>
      </c>
      <c r="F297" t="inlineStr">
        <is>
          <t>NORRBOTTENS LÄN</t>
        </is>
      </c>
      <c r="G297" t="inlineStr">
        <is>
          <t>JOKKMOKK</t>
        </is>
      </c>
      <c r="H297" t="inlineStr">
        <is>
          <t>SCA</t>
        </is>
      </c>
      <c r="I297" t="n">
        <v>14.4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9872-2023</t>
        </is>
      </c>
      <c r="B298" t="inlineStr">
        <is>
          <t>avverkningsanmälan</t>
        </is>
      </c>
      <c r="C298" t="inlineStr">
        <is>
          <t>Föryngringsavverkning</t>
        </is>
      </c>
      <c r="D298" s="1" t="n">
        <v>44984</v>
      </c>
      <c r="E298" s="1" t="n">
        <v>46279</v>
      </c>
      <c r="F298" t="inlineStr">
        <is>
          <t>NORRBOTTENS LÄN</t>
        </is>
      </c>
      <c r="G298" t="inlineStr">
        <is>
          <t>JOKKMOKK</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9873-2023</t>
        </is>
      </c>
      <c r="B299" t="inlineStr">
        <is>
          <t>avverkningsanmälan</t>
        </is>
      </c>
      <c r="C299" t="inlineStr">
        <is>
          <t>Föryngringsavverkning</t>
        </is>
      </c>
      <c r="D299" s="1" t="n">
        <v>44984</v>
      </c>
      <c r="E299" s="1" t="n">
        <v>46279</v>
      </c>
      <c r="F299" t="inlineStr">
        <is>
          <t>NORRBOTTENS LÄN</t>
        </is>
      </c>
      <c r="G299" t="inlineStr">
        <is>
          <t>JOKKMOKK</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9877-2023</t>
        </is>
      </c>
      <c r="B300" t="inlineStr">
        <is>
          <t>avverkningsanmälan</t>
        </is>
      </c>
      <c r="C300" t="inlineStr">
        <is>
          <t>Föryngringsavverkning</t>
        </is>
      </c>
      <c r="D300" s="1" t="n">
        <v>44984</v>
      </c>
      <c r="E300" s="1" t="n">
        <v>46279</v>
      </c>
      <c r="F300" t="inlineStr">
        <is>
          <t>NORRBOTTENS LÄN</t>
        </is>
      </c>
      <c r="G300" t="inlineStr">
        <is>
          <t>JOKKMOKK</t>
        </is>
      </c>
      <c r="H300" t="inlineStr">
        <is>
          <t>SCA</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16018-2024</t>
        </is>
      </c>
      <c r="B301" t="inlineStr">
        <is>
          <t>avverkningsanmälan</t>
        </is>
      </c>
      <c r="C301" t="inlineStr">
        <is>
          <t>Föryngringsavverkning</t>
        </is>
      </c>
      <c r="D301" s="1" t="n">
        <v>45405</v>
      </c>
      <c r="E301" s="1" t="n">
        <v>46279</v>
      </c>
      <c r="F301" t="inlineStr">
        <is>
          <t>NORRBOTTENS LÄN</t>
        </is>
      </c>
      <c r="G301" t="inlineStr">
        <is>
          <t>JOKKMOKK</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32899-2023</t>
        </is>
      </c>
      <c r="B302" t="inlineStr">
        <is>
          <t>avverkningsanmälan</t>
        </is>
      </c>
      <c r="C302" t="inlineStr">
        <is>
          <t>Avverkning för att bevara och utveckla /försöksver</t>
        </is>
      </c>
      <c r="D302" s="1" t="n">
        <v>45124</v>
      </c>
      <c r="E302" s="1" t="n">
        <v>46279</v>
      </c>
      <c r="F302" t="inlineStr">
        <is>
          <t>NORRBOTTENS LÄN</t>
        </is>
      </c>
      <c r="G302" t="inlineStr">
        <is>
          <t>JOKKMOKK</t>
        </is>
      </c>
      <c r="H302" t="inlineStr">
        <is>
          <t>SCA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3055-2025</t>
        </is>
      </c>
      <c r="B303" t="inlineStr">
        <is>
          <t>avverkningsanmälan</t>
        </is>
      </c>
      <c r="C303" t="inlineStr">
        <is>
          <t>Föryngringsavverkning</t>
        </is>
      </c>
      <c r="D303" s="1" t="n">
        <v>45678</v>
      </c>
      <c r="E303" s="1" t="n">
        <v>46279</v>
      </c>
      <c r="F303" t="inlineStr">
        <is>
          <t>NORRBOTTENS LÄN</t>
        </is>
      </c>
      <c r="G303" t="inlineStr">
        <is>
          <t>JOKKMOKK</t>
        </is>
      </c>
      <c r="H303" t="inlineStr">
        <is>
          <t>SCA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42639-2024</t>
        </is>
      </c>
      <c r="B304" t="inlineStr">
        <is>
          <t>avverkningsanmälan</t>
        </is>
      </c>
      <c r="C304" t="inlineStr">
        <is>
          <t>Föryngringsavverkning</t>
        </is>
      </c>
      <c r="D304" s="1" t="n">
        <v>45565</v>
      </c>
      <c r="E304" s="1" t="n">
        <v>46279</v>
      </c>
      <c r="F304" t="inlineStr">
        <is>
          <t>NORRBOTTENS LÄN</t>
        </is>
      </c>
      <c r="G304" t="inlineStr">
        <is>
          <t>JOKKMOKK</t>
        </is>
      </c>
      <c r="I304" t="n">
        <v>34.5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52130-2024</t>
        </is>
      </c>
      <c r="B305" t="inlineStr">
        <is>
          <t>avverkningsanmälan</t>
        </is>
      </c>
      <c r="C305" t="inlineStr">
        <is>
          <t>Föryngringsavverkning</t>
        </is>
      </c>
      <c r="D305" s="1" t="n">
        <v>45608</v>
      </c>
      <c r="E305" s="1" t="n">
        <v>46279</v>
      </c>
      <c r="F305" t="inlineStr">
        <is>
          <t>NORRBOTTENS LÄN</t>
        </is>
      </c>
      <c r="G305" t="inlineStr">
        <is>
          <t>JOKKMOKK</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52181-2023</t>
        </is>
      </c>
      <c r="B306" t="inlineStr">
        <is>
          <t>avverkningsanmälan</t>
        </is>
      </c>
      <c r="C306" t="inlineStr">
        <is>
          <t>Föryngringsavverkning</t>
        </is>
      </c>
      <c r="D306" s="1" t="n">
        <v>45224</v>
      </c>
      <c r="E306" s="1" t="n">
        <v>46279</v>
      </c>
      <c r="F306" t="inlineStr">
        <is>
          <t>NORRBOTTENS LÄN</t>
        </is>
      </c>
      <c r="G306" t="inlineStr">
        <is>
          <t>JOKKMOKK</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42095-2025</t>
        </is>
      </c>
      <c r="B307" t="inlineStr">
        <is>
          <t>avverkningsanmälan</t>
        </is>
      </c>
      <c r="C307" t="inlineStr">
        <is>
          <t>Föryngringsavverkning</t>
        </is>
      </c>
      <c r="D307" s="1" t="n">
        <v>45903</v>
      </c>
      <c r="E307" s="1" t="n">
        <v>46279</v>
      </c>
      <c r="F307" t="inlineStr">
        <is>
          <t>NORRBOTTENS LÄN</t>
        </is>
      </c>
      <c r="G307" t="inlineStr">
        <is>
          <t>JOKKMOKK</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40432-2024</t>
        </is>
      </c>
      <c r="B308" t="inlineStr">
        <is>
          <t>avverkningsanmälan</t>
        </is>
      </c>
      <c r="C308" t="inlineStr">
        <is>
          <t>Föryngringsavverkning</t>
        </is>
      </c>
      <c r="D308" s="1" t="n">
        <v>45555</v>
      </c>
      <c r="E308" s="1" t="n">
        <v>46279</v>
      </c>
      <c r="F308" t="inlineStr">
        <is>
          <t>NORRBOTTENS LÄN</t>
        </is>
      </c>
      <c r="G308" t="inlineStr">
        <is>
          <t>JOKKMOKK</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7845-2024</t>
        </is>
      </c>
      <c r="B309" t="inlineStr">
        <is>
          <t>avverkningsanmälan</t>
        </is>
      </c>
      <c r="C309" t="inlineStr">
        <is>
          <t>Föryngringsavverkning</t>
        </is>
      </c>
      <c r="D309" s="1" t="n">
        <v>45349</v>
      </c>
      <c r="E309" s="1" t="n">
        <v>46279</v>
      </c>
      <c r="F309" t="inlineStr">
        <is>
          <t>NORRBOTTENS LÄN</t>
        </is>
      </c>
      <c r="G309" t="inlineStr">
        <is>
          <t>JOKKMOKK</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11381-2026</t>
        </is>
      </c>
      <c r="B310" t="inlineStr">
        <is>
          <t>avverkningsanmälan</t>
        </is>
      </c>
      <c r="C310" t="inlineStr">
        <is>
          <t>Föryngringsavverkning</t>
        </is>
      </c>
      <c r="D310" s="1" t="n">
        <v>46083</v>
      </c>
      <c r="E310" s="1" t="n">
        <v>46279</v>
      </c>
      <c r="F310" t="inlineStr">
        <is>
          <t>NORRBOTTENS LÄN</t>
        </is>
      </c>
      <c r="G310" t="inlineStr">
        <is>
          <t>JOKKMOKK</t>
        </is>
      </c>
      <c r="I310" t="n">
        <v>49.1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33741-2025</t>
        </is>
      </c>
      <c r="B311" t="inlineStr">
        <is>
          <t>avverkningsanmälan</t>
        </is>
      </c>
      <c r="C311" t="inlineStr">
        <is>
          <t>Föryngringsavverkning</t>
        </is>
      </c>
      <c r="D311" s="1" t="n">
        <v>45842</v>
      </c>
      <c r="E311" s="1" t="n">
        <v>46279</v>
      </c>
      <c r="F311" t="inlineStr">
        <is>
          <t>NORRBOTTENS LÄN</t>
        </is>
      </c>
      <c r="G311" t="inlineStr">
        <is>
          <t>JOKKMOKK</t>
        </is>
      </c>
      <c r="H311" t="inlineStr">
        <is>
          <t>SCA</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23303-2026</t>
        </is>
      </c>
      <c r="B312" t="inlineStr">
        <is>
          <t>avverkningsanmälan</t>
        </is>
      </c>
      <c r="C312" t="inlineStr">
        <is>
          <t>Föryngringsavverkning</t>
        </is>
      </c>
      <c r="D312" s="1" t="n">
        <v>46162</v>
      </c>
      <c r="E312" s="1" t="n">
        <v>46279</v>
      </c>
      <c r="F312" t="inlineStr">
        <is>
          <t>NORRBOTTENS LÄN</t>
        </is>
      </c>
      <c r="G312" t="inlineStr">
        <is>
          <t>JOKKMOKK</t>
        </is>
      </c>
      <c r="H312" t="inlineStr">
        <is>
          <t>SCA</t>
        </is>
      </c>
      <c r="I312" t="n">
        <v>24.8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23791-2026</t>
        </is>
      </c>
      <c r="B313" t="inlineStr">
        <is>
          <t>avverkningsanmälan</t>
        </is>
      </c>
      <c r="C313" t="inlineStr">
        <is>
          <t>Föryngringsavverkning</t>
        </is>
      </c>
      <c r="D313" s="1" t="n">
        <v>46164</v>
      </c>
      <c r="E313" s="1" t="n">
        <v>46279</v>
      </c>
      <c r="F313" t="inlineStr">
        <is>
          <t>NORRBOTTENS LÄN</t>
        </is>
      </c>
      <c r="G313" t="inlineStr">
        <is>
          <t>JOKKMOKK</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51617-2024</t>
        </is>
      </c>
      <c r="B314" t="inlineStr">
        <is>
          <t>avverkningsanmälan</t>
        </is>
      </c>
      <c r="C314" t="inlineStr">
        <is>
          <t>Föryngringsavverkning</t>
        </is>
      </c>
      <c r="D314" s="1" t="n">
        <v>45604</v>
      </c>
      <c r="E314" s="1" t="n">
        <v>46279</v>
      </c>
      <c r="F314" t="inlineStr">
        <is>
          <t>NORRBOTTENS LÄN</t>
        </is>
      </c>
      <c r="G314" t="inlineStr">
        <is>
          <t>JOKKMOKK</t>
        </is>
      </c>
      <c r="H314" t="inlineStr">
        <is>
          <t>SCA</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35749-2025</t>
        </is>
      </c>
      <c r="B315" t="inlineStr">
        <is>
          <t>avverkningsanmälan</t>
        </is>
      </c>
      <c r="C315" t="inlineStr">
        <is>
          <t>Föryngringsavverkning</t>
        </is>
      </c>
      <c r="D315" s="1" t="n">
        <v>45860</v>
      </c>
      <c r="E315" s="1" t="n">
        <v>46279</v>
      </c>
      <c r="F315" t="inlineStr">
        <is>
          <t>NORRBOTTENS LÄN</t>
        </is>
      </c>
      <c r="G315" t="inlineStr">
        <is>
          <t>JOKKMOKK</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29446-2025</t>
        </is>
      </c>
      <c r="B316" t="inlineStr">
        <is>
          <t>avverkningsanmälan</t>
        </is>
      </c>
      <c r="C316" t="inlineStr">
        <is>
          <t>Föryngringsavverkning</t>
        </is>
      </c>
      <c r="D316" s="1" t="n">
        <v>45824</v>
      </c>
      <c r="E316" s="1" t="n">
        <v>46279</v>
      </c>
      <c r="F316" t="inlineStr">
        <is>
          <t>NORRBOTTENS LÄN</t>
        </is>
      </c>
      <c r="G316" t="inlineStr">
        <is>
          <t>JOKKMOKK</t>
        </is>
      </c>
      <c r="I316" t="n">
        <v>68.5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38226-2025</t>
        </is>
      </c>
      <c r="B317" t="inlineStr">
        <is>
          <t>avverkningsanmälan</t>
        </is>
      </c>
      <c r="C317" t="inlineStr">
        <is>
          <t>Föryngringsavverkning</t>
        </is>
      </c>
      <c r="D317" s="1" t="n">
        <v>45883</v>
      </c>
      <c r="E317" s="1" t="n">
        <v>46279</v>
      </c>
      <c r="F317" t="inlineStr">
        <is>
          <t>NORRBOTTENS LÄN</t>
        </is>
      </c>
      <c r="G317" t="inlineStr">
        <is>
          <t>JOKKMOKK</t>
        </is>
      </c>
      <c r="H317" t="inlineStr">
        <is>
          <t>SCA</t>
        </is>
      </c>
      <c r="I317" t="n">
        <v>14.5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24441-2026</t>
        </is>
      </c>
      <c r="B318" t="inlineStr">
        <is>
          <t>avverkningsanmälan</t>
        </is>
      </c>
      <c r="C318" t="inlineStr">
        <is>
          <t>Föryngringsavverkning</t>
        </is>
      </c>
      <c r="D318" s="1" t="n">
        <v>46170</v>
      </c>
      <c r="E318" s="1" t="n">
        <v>46279</v>
      </c>
      <c r="F318" t="inlineStr">
        <is>
          <t>NORRBOTTENS LÄN</t>
        </is>
      </c>
      <c r="G318" t="inlineStr">
        <is>
          <t>JOKKMOKK</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24584-2026</t>
        </is>
      </c>
      <c r="B319" t="inlineStr">
        <is>
          <t>avverkningsanmälan</t>
        </is>
      </c>
      <c r="C319" t="inlineStr">
        <is>
          <t>Föryngringsavverkning</t>
        </is>
      </c>
      <c r="D319" s="1" t="n">
        <v>46170</v>
      </c>
      <c r="E319" s="1" t="n">
        <v>46279</v>
      </c>
      <c r="F319" t="inlineStr">
        <is>
          <t>NORRBOTTENS LÄN</t>
        </is>
      </c>
      <c r="G319" t="inlineStr">
        <is>
          <t>JOKKMOKK</t>
        </is>
      </c>
      <c r="H319" t="inlineStr">
        <is>
          <t>SCA</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24594-2026</t>
        </is>
      </c>
      <c r="B320" t="inlineStr">
        <is>
          <t>avverkningsanmälan</t>
        </is>
      </c>
      <c r="C320" t="inlineStr">
        <is>
          <t>Föryngringsavverkning</t>
        </is>
      </c>
      <c r="D320" s="1" t="n">
        <v>46170</v>
      </c>
      <c r="E320" s="1" t="n">
        <v>46279</v>
      </c>
      <c r="F320" t="inlineStr">
        <is>
          <t>NORRBOTTENS LÄN</t>
        </is>
      </c>
      <c r="G320" t="inlineStr">
        <is>
          <t>JOKKMOKK</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25595-2026</t>
        </is>
      </c>
      <c r="B321" t="inlineStr">
        <is>
          <t>avverkningsanmälan</t>
        </is>
      </c>
      <c r="C321" t="inlineStr">
        <is>
          <t>Föryngringsavverkning</t>
        </is>
      </c>
      <c r="D321" s="1" t="n">
        <v>46177</v>
      </c>
      <c r="E321" s="1" t="n">
        <v>46279</v>
      </c>
      <c r="F321" t="inlineStr">
        <is>
          <t>NORRBOTTENS LÄN</t>
        </is>
      </c>
      <c r="G321" t="inlineStr">
        <is>
          <t>JOKKMOKK</t>
        </is>
      </c>
      <c r="H321" t="inlineStr">
        <is>
          <t>Sveaskog</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25622-2026</t>
        </is>
      </c>
      <c r="B322" t="inlineStr">
        <is>
          <t>avverkningsanmälan</t>
        </is>
      </c>
      <c r="C322" t="inlineStr">
        <is>
          <t>Föryngringsavverkning</t>
        </is>
      </c>
      <c r="D322" s="1" t="n">
        <v>46177</v>
      </c>
      <c r="E322" s="1" t="n">
        <v>46279</v>
      </c>
      <c r="F322" t="inlineStr">
        <is>
          <t>NORRBOTTENS LÄN</t>
        </is>
      </c>
      <c r="G322" t="inlineStr">
        <is>
          <t>JOKKMOKK</t>
        </is>
      </c>
      <c r="H322" t="inlineStr">
        <is>
          <t>SCA</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25600-2026</t>
        </is>
      </c>
      <c r="B323" t="inlineStr">
        <is>
          <t>avverkningsanmälan</t>
        </is>
      </c>
      <c r="C323" t="inlineStr">
        <is>
          <t>Föryngringsavverkning</t>
        </is>
      </c>
      <c r="D323" s="1" t="n">
        <v>46177</v>
      </c>
      <c r="E323" s="1" t="n">
        <v>46279</v>
      </c>
      <c r="F323" t="inlineStr">
        <is>
          <t>NORRBOTTENS LÄN</t>
        </is>
      </c>
      <c r="G323" t="inlineStr">
        <is>
          <t>JOKKMOKK</t>
        </is>
      </c>
      <c r="H323" t="inlineStr">
        <is>
          <t>Sveaskog</t>
        </is>
      </c>
      <c r="I323" t="n">
        <v>19.4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47208-2022</t>
        </is>
      </c>
      <c r="B324" t="inlineStr">
        <is>
          <t>avverkningsanmälan</t>
        </is>
      </c>
      <c r="C324" t="inlineStr">
        <is>
          <t>Föryngringsavverkning</t>
        </is>
      </c>
      <c r="D324" s="1" t="n">
        <v>44851</v>
      </c>
      <c r="E324" s="1" t="n">
        <v>46279</v>
      </c>
      <c r="F324" t="inlineStr">
        <is>
          <t>NORRBOTTENS LÄN</t>
        </is>
      </c>
      <c r="G324" t="inlineStr">
        <is>
          <t>JOKKMOKK</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25594-2026</t>
        </is>
      </c>
      <c r="B325" t="inlineStr">
        <is>
          <t>avverkningsanmälan</t>
        </is>
      </c>
      <c r="C325" t="inlineStr">
        <is>
          <t>Avverkning för annat ändamål</t>
        </is>
      </c>
      <c r="D325" s="1" t="n">
        <v>46177</v>
      </c>
      <c r="E325" s="1" t="n">
        <v>46279</v>
      </c>
      <c r="F325" t="inlineStr">
        <is>
          <t>NORRBOTTENS LÄN</t>
        </is>
      </c>
      <c r="G325" t="inlineStr">
        <is>
          <t>JOKKMOKK</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25661-2026</t>
        </is>
      </c>
      <c r="B326" t="inlineStr">
        <is>
          <t>avverkningsanmälan</t>
        </is>
      </c>
      <c r="C326" t="inlineStr">
        <is>
          <t>Föryngringsavverkning</t>
        </is>
      </c>
      <c r="D326" s="1" t="n">
        <v>46178</v>
      </c>
      <c r="E326" s="1" t="n">
        <v>46279</v>
      </c>
      <c r="F326" t="inlineStr">
        <is>
          <t>NORRBOTTENS LÄN</t>
        </is>
      </c>
      <c r="G326" t="inlineStr">
        <is>
          <t>JOKKMOKK</t>
        </is>
      </c>
      <c r="H326" t="inlineStr">
        <is>
          <t>Sveaskog</t>
        </is>
      </c>
      <c r="I326" t="n">
        <v>51.9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1615-2024</t>
        </is>
      </c>
      <c r="B327" t="inlineStr">
        <is>
          <t>avverkningsanmälan</t>
        </is>
      </c>
      <c r="C327" t="inlineStr">
        <is>
          <t>Föryngringsavverkning</t>
        </is>
      </c>
      <c r="D327" s="1" t="n">
        <v>45306</v>
      </c>
      <c r="E327" s="1" t="n">
        <v>46279</v>
      </c>
      <c r="F327" t="inlineStr">
        <is>
          <t>NORRBOTTENS LÄN</t>
        </is>
      </c>
      <c r="G327" t="inlineStr">
        <is>
          <t>JOKKMOKK</t>
        </is>
      </c>
      <c r="I327" t="n">
        <v>10.8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26384-2026</t>
        </is>
      </c>
      <c r="B328" t="inlineStr">
        <is>
          <t>avverkningsanmälan</t>
        </is>
      </c>
      <c r="C328" t="inlineStr">
        <is>
          <t>Föryngringsavverkning</t>
        </is>
      </c>
      <c r="D328" s="1" t="n">
        <v>46183</v>
      </c>
      <c r="E328" s="1" t="n">
        <v>46279</v>
      </c>
      <c r="F328" t="inlineStr">
        <is>
          <t>NORRBOTTENS LÄN</t>
        </is>
      </c>
      <c r="G328" t="inlineStr">
        <is>
          <t>JOKKMOKK</t>
        </is>
      </c>
      <c r="H328" t="inlineStr">
        <is>
          <t>SCA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59849-2023</t>
        </is>
      </c>
      <c r="B329" t="inlineStr">
        <is>
          <t>avverkningsanmälan</t>
        </is>
      </c>
      <c r="C329" t="inlineStr">
        <is>
          <t>Föryngringsavverkning</t>
        </is>
      </c>
      <c r="D329" s="1" t="n">
        <v>45257</v>
      </c>
      <c r="E329" s="1" t="n">
        <v>46279</v>
      </c>
      <c r="F329" t="inlineStr">
        <is>
          <t>NORRBOTTENS LÄN</t>
        </is>
      </c>
      <c r="G329" t="inlineStr">
        <is>
          <t>JOKKMOKK</t>
        </is>
      </c>
      <c r="H329" t="inlineStr">
        <is>
          <t>Allmännings- och besparingsskogar</t>
        </is>
      </c>
      <c r="I329" t="n">
        <v>12.7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26983-2026</t>
        </is>
      </c>
      <c r="B330" t="inlineStr">
        <is>
          <t>avverkningsanmälan</t>
        </is>
      </c>
      <c r="C330" t="inlineStr">
        <is>
          <t>Föryngringsavverkning</t>
        </is>
      </c>
      <c r="D330" s="1" t="n">
        <v>46185</v>
      </c>
      <c r="E330" s="1" t="n">
        <v>46279</v>
      </c>
      <c r="F330" t="inlineStr">
        <is>
          <t>NORRBOTTENS LÄN</t>
        </is>
      </c>
      <c r="G330" t="inlineStr">
        <is>
          <t>JOKKMOKK</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27652-2024</t>
        </is>
      </c>
      <c r="B331" t="inlineStr">
        <is>
          <t>avverkningsanmälan</t>
        </is>
      </c>
      <c r="C331" t="inlineStr">
        <is>
          <t>Föryngringsavverkning</t>
        </is>
      </c>
      <c r="D331" s="1" t="n">
        <v>45474</v>
      </c>
      <c r="E331" s="1" t="n">
        <v>46279</v>
      </c>
      <c r="F331" t="inlineStr">
        <is>
          <t>NORRBOTTENS LÄN</t>
        </is>
      </c>
      <c r="G331" t="inlineStr">
        <is>
          <t>JOKKMOKK</t>
        </is>
      </c>
      <c r="H331" t="inlineStr">
        <is>
          <t>SCA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18493-2025</t>
        </is>
      </c>
      <c r="B332" t="inlineStr">
        <is>
          <t>avverkningsanmälan</t>
        </is>
      </c>
      <c r="C332" t="inlineStr">
        <is>
          <t>Föryngringsavverkning</t>
        </is>
      </c>
      <c r="D332" s="1" t="n">
        <v>45763</v>
      </c>
      <c r="E332" s="1" t="n">
        <v>46279</v>
      </c>
      <c r="F332" t="inlineStr">
        <is>
          <t>NORRBOTTENS LÄN</t>
        </is>
      </c>
      <c r="G332" t="inlineStr">
        <is>
          <t>JOKKMOKK</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27807-2026</t>
        </is>
      </c>
      <c r="B333" t="inlineStr">
        <is>
          <t>avverkningsanmälan</t>
        </is>
      </c>
      <c r="C333" t="inlineStr">
        <is>
          <t>Föryngringsavverkning</t>
        </is>
      </c>
      <c r="D333" s="1" t="n">
        <v>46191</v>
      </c>
      <c r="E333" s="1" t="n">
        <v>46279</v>
      </c>
      <c r="F333" t="inlineStr">
        <is>
          <t>NORRBOTTENS LÄN</t>
        </is>
      </c>
      <c r="G333" t="inlineStr">
        <is>
          <t>JOKKMOKK</t>
        </is>
      </c>
      <c r="H333" t="inlineStr">
        <is>
          <t>SCA</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27948-2026</t>
        </is>
      </c>
      <c r="B334" t="inlineStr">
        <is>
          <t>avverkningsanmälan</t>
        </is>
      </c>
      <c r="C334" t="inlineStr">
        <is>
          <t>Föryngringsavverkning</t>
        </is>
      </c>
      <c r="D334" s="1" t="n">
        <v>46192</v>
      </c>
      <c r="E334" s="1" t="n">
        <v>46279</v>
      </c>
      <c r="F334" t="inlineStr">
        <is>
          <t>NORRBOTTENS LÄN</t>
        </is>
      </c>
      <c r="G334" t="inlineStr">
        <is>
          <t>JOKKMOKK</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32428-2026</t>
        </is>
      </c>
      <c r="B335" t="inlineStr">
        <is>
          <t>avverkningsanmälan</t>
        </is>
      </c>
      <c r="C335" t="inlineStr">
        <is>
          <t>Föryngringsavverkning</t>
        </is>
      </c>
      <c r="D335" s="1" t="n">
        <v>46238</v>
      </c>
      <c r="E335" s="1" t="n">
        <v>46279</v>
      </c>
      <c r="F335" t="inlineStr">
        <is>
          <t>NORRBOTTENS LÄN</t>
        </is>
      </c>
      <c r="G335" t="inlineStr">
        <is>
          <t>JOKKMOKK</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32265-2026</t>
        </is>
      </c>
      <c r="B336" t="inlineStr">
        <is>
          <t>avverkningsanmälan</t>
        </is>
      </c>
      <c r="C336" t="inlineStr">
        <is>
          <t>Föryngringsavverkning</t>
        </is>
      </c>
      <c r="D336" s="1" t="n">
        <v>46237</v>
      </c>
      <c r="E336" s="1" t="n">
        <v>46279</v>
      </c>
      <c r="F336" t="inlineStr">
        <is>
          <t>NORRBOTTENS LÄN</t>
        </is>
      </c>
      <c r="G336" t="inlineStr">
        <is>
          <t>JOKKMOKK</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27811-2026</t>
        </is>
      </c>
      <c r="B337" t="inlineStr">
        <is>
          <t>avverkningsanmälan</t>
        </is>
      </c>
      <c r="C337" t="inlineStr">
        <is>
          <t>Föryngringsavverkning</t>
        </is>
      </c>
      <c r="D337" s="1" t="n">
        <v>46191</v>
      </c>
      <c r="E337" s="1" t="n">
        <v>46279</v>
      </c>
      <c r="F337" t="inlineStr">
        <is>
          <t>NORRBOTTENS LÄN</t>
        </is>
      </c>
      <c r="G337" t="inlineStr">
        <is>
          <t>JOKKMOKK</t>
        </is>
      </c>
      <c r="H337" t="inlineStr">
        <is>
          <t>SCA</t>
        </is>
      </c>
      <c r="I337" t="n">
        <v>30.2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18772-2023</t>
        </is>
      </c>
      <c r="B338" t="inlineStr">
        <is>
          <t>avverkningsanmälan</t>
        </is>
      </c>
      <c r="C338" t="inlineStr">
        <is>
          <t>Föryngringsavverkning</t>
        </is>
      </c>
      <c r="D338" s="1" t="n">
        <v>45043</v>
      </c>
      <c r="E338" s="1" t="n">
        <v>46279</v>
      </c>
      <c r="F338" t="inlineStr">
        <is>
          <t>NORRBOTTENS LÄN</t>
        </is>
      </c>
      <c r="G338" t="inlineStr">
        <is>
          <t>JOKKMOKK</t>
        </is>
      </c>
      <c r="H338" t="inlineStr">
        <is>
          <t>SCA</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53232-2024</t>
        </is>
      </c>
      <c r="B339" t="inlineStr">
        <is>
          <t>avverkningsanmälan</t>
        </is>
      </c>
      <c r="C339" t="inlineStr">
        <is>
          <t>Föryngringsavverkning</t>
        </is>
      </c>
      <c r="D339" s="1" t="n">
        <v>45613</v>
      </c>
      <c r="E339" s="1" t="n">
        <v>46279</v>
      </c>
      <c r="F339" t="inlineStr">
        <is>
          <t>NORRBOTTENS LÄN</t>
        </is>
      </c>
      <c r="G339" t="inlineStr">
        <is>
          <t>JOKKMOKK</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9854-2023</t>
        </is>
      </c>
      <c r="B340" t="inlineStr">
        <is>
          <t>avverkningsanmälan</t>
        </is>
      </c>
      <c r="C340" t="inlineStr">
        <is>
          <t>Föryngringsavverkning</t>
        </is>
      </c>
      <c r="D340" s="1" t="n">
        <v>44984</v>
      </c>
      <c r="E340" s="1" t="n">
        <v>46279</v>
      </c>
      <c r="F340" t="inlineStr">
        <is>
          <t>NORRBOTTENS LÄN</t>
        </is>
      </c>
      <c r="G340" t="inlineStr">
        <is>
          <t>JOKKMOKK</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28553-2026</t>
        </is>
      </c>
      <c r="B341" t="inlineStr">
        <is>
          <t>avverkningsanmälan</t>
        </is>
      </c>
      <c r="C341" t="inlineStr">
        <is>
          <t>Föryngringsavverkning</t>
        </is>
      </c>
      <c r="D341" s="1" t="n">
        <v>46197</v>
      </c>
      <c r="E341" s="1" t="n">
        <v>46279</v>
      </c>
      <c r="F341" t="inlineStr">
        <is>
          <t>NORRBOTTENS LÄN</t>
        </is>
      </c>
      <c r="G341" t="inlineStr">
        <is>
          <t>JOKKMOKK</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28523-2026</t>
        </is>
      </c>
      <c r="B342" t="inlineStr">
        <is>
          <t>avverkningsanmälan</t>
        </is>
      </c>
      <c r="C342" t="inlineStr">
        <is>
          <t>Föryngringsavverkning</t>
        </is>
      </c>
      <c r="D342" s="1" t="n">
        <v>46197</v>
      </c>
      <c r="E342" s="1" t="n">
        <v>46279</v>
      </c>
      <c r="F342" t="inlineStr">
        <is>
          <t>NORRBOTTENS LÄN</t>
        </is>
      </c>
      <c r="G342" t="inlineStr">
        <is>
          <t>JOKKMOKK</t>
        </is>
      </c>
      <c r="H342" t="inlineStr">
        <is>
          <t>Sveaskog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56168-2022</t>
        </is>
      </c>
      <c r="B343" t="inlineStr">
        <is>
          <t>avverkningsanmälan</t>
        </is>
      </c>
      <c r="C343" t="inlineStr">
        <is>
          <t>Avverkning för annat ändamål</t>
        </is>
      </c>
      <c r="D343" s="1" t="n">
        <v>44889</v>
      </c>
      <c r="E343" s="1" t="n">
        <v>46279</v>
      </c>
      <c r="F343" t="inlineStr">
        <is>
          <t>NORRBOTTENS LÄN</t>
        </is>
      </c>
      <c r="G343" t="inlineStr">
        <is>
          <t>JOKKMOKK</t>
        </is>
      </c>
      <c r="H343" t="inlineStr">
        <is>
          <t>SCA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9865-2023</t>
        </is>
      </c>
      <c r="B344" t="inlineStr">
        <is>
          <t>avverkningsanmälan</t>
        </is>
      </c>
      <c r="C344" t="inlineStr">
        <is>
          <t>Föryngringsavverkning</t>
        </is>
      </c>
      <c r="D344" s="1" t="n">
        <v>44984</v>
      </c>
      <c r="E344" s="1" t="n">
        <v>46279</v>
      </c>
      <c r="F344" t="inlineStr">
        <is>
          <t>NORRBOTTENS LÄN</t>
        </is>
      </c>
      <c r="G344" t="inlineStr">
        <is>
          <t>JOKKMOKK</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28548-2026</t>
        </is>
      </c>
      <c r="B345" t="inlineStr">
        <is>
          <t>avverkningsanmälan</t>
        </is>
      </c>
      <c r="C345" t="inlineStr">
        <is>
          <t>Föryngringsavverkning</t>
        </is>
      </c>
      <c r="D345" s="1" t="n">
        <v>46197</v>
      </c>
      <c r="E345" s="1" t="n">
        <v>46279</v>
      </c>
      <c r="F345" t="inlineStr">
        <is>
          <t>NORRBOTTENS LÄN</t>
        </is>
      </c>
      <c r="G345" t="inlineStr">
        <is>
          <t>JOKKMOKK</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45469-2022</t>
        </is>
      </c>
      <c r="B346" t="inlineStr">
        <is>
          <t>avverkningsanmälan</t>
        </is>
      </c>
      <c r="C346" t="inlineStr">
        <is>
          <t>Föryngringsavverkning</t>
        </is>
      </c>
      <c r="D346" s="1" t="n">
        <v>44841</v>
      </c>
      <c r="E346" s="1" t="n">
        <v>46279</v>
      </c>
      <c r="F346" t="inlineStr">
        <is>
          <t>NORRBOTTENS LÄN</t>
        </is>
      </c>
      <c r="G346" t="inlineStr">
        <is>
          <t>JOKKMOKK</t>
        </is>
      </c>
      <c r="H346" t="inlineStr">
        <is>
          <t>Övriga Aktiebolag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58609-2025</t>
        </is>
      </c>
      <c r="B347" t="inlineStr">
        <is>
          <t>avverkningsanmälan</t>
        </is>
      </c>
      <c r="C347" t="inlineStr">
        <is>
          <t>Föryngringsavverkning</t>
        </is>
      </c>
      <c r="D347" s="1" t="n">
        <v>45986</v>
      </c>
      <c r="E347" s="1" t="n">
        <v>46279</v>
      </c>
      <c r="F347" t="inlineStr">
        <is>
          <t>NORRBOTTENS LÄN</t>
        </is>
      </c>
      <c r="G347" t="inlineStr">
        <is>
          <t>JOKKMOKK</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28986-2026</t>
        </is>
      </c>
      <c r="B348" t="inlineStr">
        <is>
          <t>avverkningsanmälan</t>
        </is>
      </c>
      <c r="C348" t="inlineStr">
        <is>
          <t>Föryngringsavverkning</t>
        </is>
      </c>
      <c r="D348" s="1" t="n">
        <v>46199</v>
      </c>
      <c r="E348" s="1" t="n">
        <v>46279</v>
      </c>
      <c r="F348" t="inlineStr">
        <is>
          <t>NORRBOTTENS LÄN</t>
        </is>
      </c>
      <c r="G348" t="inlineStr">
        <is>
          <t>JOKKMOKK</t>
        </is>
      </c>
      <c r="H348" t="inlineStr">
        <is>
          <t>SCA</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28886-2026</t>
        </is>
      </c>
      <c r="B349" t="inlineStr">
        <is>
          <t>avverkningsanmälan</t>
        </is>
      </c>
      <c r="C349" t="inlineStr">
        <is>
          <t>Föryngringsavverkning</t>
        </is>
      </c>
      <c r="D349" s="1" t="n">
        <v>46199</v>
      </c>
      <c r="E349" s="1" t="n">
        <v>46279</v>
      </c>
      <c r="F349" t="inlineStr">
        <is>
          <t>NORRBOTTENS LÄN</t>
        </is>
      </c>
      <c r="G349" t="inlineStr">
        <is>
          <t>JOKKMOKK</t>
        </is>
      </c>
      <c r="H349" t="inlineStr">
        <is>
          <t>SCA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29008-2026</t>
        </is>
      </c>
      <c r="B350" t="inlineStr">
        <is>
          <t>avverkningsanmälan</t>
        </is>
      </c>
      <c r="C350" t="inlineStr">
        <is>
          <t>Föryngringsavverkning</t>
        </is>
      </c>
      <c r="D350" s="1" t="n">
        <v>46199</v>
      </c>
      <c r="E350" s="1" t="n">
        <v>46279</v>
      </c>
      <c r="F350" t="inlineStr">
        <is>
          <t>NORRBOTTENS LÄN</t>
        </is>
      </c>
      <c r="G350" t="inlineStr">
        <is>
          <t>JOKKMOKK</t>
        </is>
      </c>
      <c r="H350" t="inlineStr">
        <is>
          <t>SCA</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32957-2024</t>
        </is>
      </c>
      <c r="B351" t="inlineStr">
        <is>
          <t>avverkningsanmälan</t>
        </is>
      </c>
      <c r="C351" t="inlineStr">
        <is>
          <t>Föryngringsavverkning</t>
        </is>
      </c>
      <c r="D351" s="1" t="n">
        <v>45517</v>
      </c>
      <c r="E351" s="1" t="n">
        <v>46279</v>
      </c>
      <c r="F351" t="inlineStr">
        <is>
          <t>NORRBOTTENS LÄN</t>
        </is>
      </c>
      <c r="G351" t="inlineStr">
        <is>
          <t>JOKKMOKK</t>
        </is>
      </c>
      <c r="H351" t="inlineStr">
        <is>
          <t>Sveaskog</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28770-2026</t>
        </is>
      </c>
      <c r="B352" t="inlineStr">
        <is>
          <t>avverkningsanmälan</t>
        </is>
      </c>
      <c r="C352" t="inlineStr">
        <is>
          <t>Föryngringsavverkning</t>
        </is>
      </c>
      <c r="D352" s="1" t="n">
        <v>46198</v>
      </c>
      <c r="E352" s="1" t="n">
        <v>46279</v>
      </c>
      <c r="F352" t="inlineStr">
        <is>
          <t>NORRBOTTENS LÄN</t>
        </is>
      </c>
      <c r="G352" t="inlineStr">
        <is>
          <t>JOKKMOKK</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45333-2024</t>
        </is>
      </c>
      <c r="B353" t="inlineStr">
        <is>
          <t>avverkningsanmälan</t>
        </is>
      </c>
      <c r="C353" t="inlineStr">
        <is>
          <t>Avverkning för annat ändamål</t>
        </is>
      </c>
      <c r="D353" s="1" t="n">
        <v>45576</v>
      </c>
      <c r="E353" s="1" t="n">
        <v>46279</v>
      </c>
      <c r="F353" t="inlineStr">
        <is>
          <t>NORRBOTTENS LÄN</t>
        </is>
      </c>
      <c r="G353" t="inlineStr">
        <is>
          <t>JOKKMOKK</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6778-2023</t>
        </is>
      </c>
      <c r="B354" t="inlineStr">
        <is>
          <t>avverkningsanmälan</t>
        </is>
      </c>
      <c r="C354" t="inlineStr">
        <is>
          <t>Föryngringsavverkning</t>
        </is>
      </c>
      <c r="D354" s="1" t="n">
        <v>44966</v>
      </c>
      <c r="E354" s="1" t="n">
        <v>46279</v>
      </c>
      <c r="F354" t="inlineStr">
        <is>
          <t>NORRBOTTENS LÄN</t>
        </is>
      </c>
      <c r="G354" t="inlineStr">
        <is>
          <t>JOKKMOKK</t>
        </is>
      </c>
      <c r="H354" t="inlineStr">
        <is>
          <t>SCA</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31209-2023</t>
        </is>
      </c>
      <c r="B355" t="inlineStr">
        <is>
          <t>avverkningsanmälan</t>
        </is>
      </c>
      <c r="C355" t="inlineStr">
        <is>
          <t>Föryngringsavverkning</t>
        </is>
      </c>
      <c r="D355" s="1" t="n">
        <v>45113</v>
      </c>
      <c r="E355" s="1" t="n">
        <v>46279</v>
      </c>
      <c r="F355" t="inlineStr">
        <is>
          <t>NORRBOTTENS LÄN</t>
        </is>
      </c>
      <c r="G355" t="inlineStr">
        <is>
          <t>JOKKMOKK</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23019-2023</t>
        </is>
      </c>
      <c r="B356" t="inlineStr">
        <is>
          <t>avverkningsanmälan</t>
        </is>
      </c>
      <c r="C356" t="inlineStr">
        <is>
          <t>Föryngringsavverkning</t>
        </is>
      </c>
      <c r="D356" s="1" t="n">
        <v>45073</v>
      </c>
      <c r="E356" s="1" t="n">
        <v>46279</v>
      </c>
      <c r="F356" t="inlineStr">
        <is>
          <t>NORRBOTTENS LÄN</t>
        </is>
      </c>
      <c r="G356" t="inlineStr">
        <is>
          <t>JOKKMOKK</t>
        </is>
      </c>
      <c r="H356" t="inlineStr">
        <is>
          <t>SCA</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29259-2026</t>
        </is>
      </c>
      <c r="B357" t="inlineStr">
        <is>
          <t>avverkningsanmälan</t>
        </is>
      </c>
      <c r="C357" t="inlineStr">
        <is>
          <t>Föryngringsavverkning</t>
        </is>
      </c>
      <c r="D357" s="1" t="n">
        <v>46202</v>
      </c>
      <c r="E357" s="1" t="n">
        <v>46279</v>
      </c>
      <c r="F357" t="inlineStr">
        <is>
          <t>NORRBOTTENS LÄN</t>
        </is>
      </c>
      <c r="G357" t="inlineStr">
        <is>
          <t>JOKKMOKK</t>
        </is>
      </c>
      <c r="I357" t="n">
        <v>10.8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4136-2024</t>
        </is>
      </c>
      <c r="B358" t="inlineStr">
        <is>
          <t>avverkningsanmälan</t>
        </is>
      </c>
      <c r="C358" t="inlineStr">
        <is>
          <t>Föryngringsavverkning</t>
        </is>
      </c>
      <c r="D358" s="1" t="n">
        <v>45323</v>
      </c>
      <c r="E358" s="1" t="n">
        <v>46279</v>
      </c>
      <c r="F358" t="inlineStr">
        <is>
          <t>NORRBOTTENS LÄN</t>
        </is>
      </c>
      <c r="G358" t="inlineStr">
        <is>
          <t>JOKKMOKK</t>
        </is>
      </c>
      <c r="I358" t="n">
        <v>27.3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33434-2026</t>
        </is>
      </c>
      <c r="B359" t="inlineStr">
        <is>
          <t>avverkningsanmälan</t>
        </is>
      </c>
      <c r="C359" t="inlineStr">
        <is>
          <t>Föryngringsavverkning</t>
        </is>
      </c>
      <c r="D359" s="1" t="n">
        <v>46247</v>
      </c>
      <c r="E359" s="1" t="n">
        <v>46279</v>
      </c>
      <c r="F359" t="inlineStr">
        <is>
          <t>NORRBOTTENS LÄN</t>
        </is>
      </c>
      <c r="G359" t="inlineStr">
        <is>
          <t>JOKKMOKK</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18537-2023</t>
        </is>
      </c>
      <c r="B360" t="inlineStr">
        <is>
          <t>avverkningsanmälan</t>
        </is>
      </c>
      <c r="C360" t="inlineStr">
        <is>
          <t>Föryngringsavverkning</t>
        </is>
      </c>
      <c r="D360" s="1" t="n">
        <v>45028</v>
      </c>
      <c r="E360" s="1" t="n">
        <v>46279</v>
      </c>
      <c r="F360" t="inlineStr">
        <is>
          <t>NORRBOTTENS LÄN</t>
        </is>
      </c>
      <c r="G360" t="inlineStr">
        <is>
          <t>JOKKMOKK</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30008-2026</t>
        </is>
      </c>
      <c r="B361" t="inlineStr">
        <is>
          <t>avverkningsanmälan</t>
        </is>
      </c>
      <c r="C361" t="inlineStr">
        <is>
          <t>Föryngringsavverkning</t>
        </is>
      </c>
      <c r="D361" s="1" t="n">
        <v>46205</v>
      </c>
      <c r="E361" s="1" t="n">
        <v>46279</v>
      </c>
      <c r="F361" t="inlineStr">
        <is>
          <t>NORRBOTTENS LÄN</t>
        </is>
      </c>
      <c r="G361" t="inlineStr">
        <is>
          <t>JOKKMOKK</t>
        </is>
      </c>
      <c r="I361" t="n">
        <v>11.8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33652-2026</t>
        </is>
      </c>
      <c r="B362" t="inlineStr">
        <is>
          <t>avverkningsanmälan</t>
        </is>
      </c>
      <c r="C362" t="inlineStr">
        <is>
          <t>Föryngringsavverkning</t>
        </is>
      </c>
      <c r="D362" s="1" t="n">
        <v>46248</v>
      </c>
      <c r="E362" s="1" t="n">
        <v>46279</v>
      </c>
      <c r="F362" t="inlineStr">
        <is>
          <t>NORRBOTTENS LÄN</t>
        </is>
      </c>
      <c r="G362" t="inlineStr">
        <is>
          <t>JOKKMOKK</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49474-2024</t>
        </is>
      </c>
      <c r="B363" t="inlineStr">
        <is>
          <t>avverkningsanmälan</t>
        </is>
      </c>
      <c r="C363" t="inlineStr">
        <is>
          <t>Föryngringsavverkning</t>
        </is>
      </c>
      <c r="D363" s="1" t="n">
        <v>45596</v>
      </c>
      <c r="E363" s="1" t="n">
        <v>46279</v>
      </c>
      <c r="F363" t="inlineStr">
        <is>
          <t>NORRBOTTENS LÄN</t>
        </is>
      </c>
      <c r="G363" t="inlineStr">
        <is>
          <t>JOKKMOKK</t>
        </is>
      </c>
      <c r="H363" t="inlineStr">
        <is>
          <t>SCA</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29758-2026</t>
        </is>
      </c>
      <c r="B364" t="inlineStr">
        <is>
          <t>avverkningsanmälan</t>
        </is>
      </c>
      <c r="C364" t="inlineStr">
        <is>
          <t>Föryngringsavverkning</t>
        </is>
      </c>
      <c r="D364" s="1" t="n">
        <v>46204</v>
      </c>
      <c r="E364" s="1" t="n">
        <v>46279</v>
      </c>
      <c r="F364" t="inlineStr">
        <is>
          <t>NORRBOTTENS LÄN</t>
        </is>
      </c>
      <c r="G364" t="inlineStr">
        <is>
          <t>JOKKMOKK</t>
        </is>
      </c>
      <c r="H364" t="inlineStr">
        <is>
          <t>SCA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29907-2026</t>
        </is>
      </c>
      <c r="B365" t="inlineStr">
        <is>
          <t>avverkningsanmälan</t>
        </is>
      </c>
      <c r="C365" t="inlineStr">
        <is>
          <t>Föryngringsavverkning</t>
        </is>
      </c>
      <c r="D365" s="1" t="n">
        <v>46205</v>
      </c>
      <c r="E365" s="1" t="n">
        <v>46279</v>
      </c>
      <c r="F365" t="inlineStr">
        <is>
          <t>NORRBOTTENS LÄN</t>
        </is>
      </c>
      <c r="G365" t="inlineStr">
        <is>
          <t>JOKKMOKK</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30068-2026</t>
        </is>
      </c>
      <c r="B366" t="inlineStr">
        <is>
          <t>avverkningsanmälan</t>
        </is>
      </c>
      <c r="C366" t="inlineStr">
        <is>
          <t>Föryngringsavverkning</t>
        </is>
      </c>
      <c r="D366" s="1" t="n">
        <v>46206</v>
      </c>
      <c r="E366" s="1" t="n">
        <v>46279</v>
      </c>
      <c r="F366" t="inlineStr">
        <is>
          <t>NORRBOTTENS LÄN</t>
        </is>
      </c>
      <c r="G366" t="inlineStr">
        <is>
          <t>JOKKMOKK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30072-2026</t>
        </is>
      </c>
      <c r="B367" t="inlineStr">
        <is>
          <t>avverkningsanmälan</t>
        </is>
      </c>
      <c r="C367" t="inlineStr">
        <is>
          <t>Föryngringsavverkning</t>
        </is>
      </c>
      <c r="D367" s="1" t="n">
        <v>46206</v>
      </c>
      <c r="E367" s="1" t="n">
        <v>46279</v>
      </c>
      <c r="F367" t="inlineStr">
        <is>
          <t>NORRBOTTENS LÄN</t>
        </is>
      </c>
      <c r="G367" t="inlineStr">
        <is>
          <t>JOKKMOKK</t>
        </is>
      </c>
      <c r="I367" t="n">
        <v>21.7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20593-2023</t>
        </is>
      </c>
      <c r="B368" t="inlineStr">
        <is>
          <t>avverkningsanmälan</t>
        </is>
      </c>
      <c r="C368" t="inlineStr">
        <is>
          <t>Föryngringsavverkning</t>
        </is>
      </c>
      <c r="D368" s="1" t="n">
        <v>45057</v>
      </c>
      <c r="E368" s="1" t="n">
        <v>46279</v>
      </c>
      <c r="F368" t="inlineStr">
        <is>
          <t>NORRBOTTENS LÄN</t>
        </is>
      </c>
      <c r="G368" t="inlineStr">
        <is>
          <t>JOKKMOKK</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33014-2023</t>
        </is>
      </c>
      <c r="B369" t="inlineStr">
        <is>
          <t>avverkningsanmälan</t>
        </is>
      </c>
      <c r="C369" t="inlineStr">
        <is>
          <t>Avverkning för annat ändamål</t>
        </is>
      </c>
      <c r="D369" s="1" t="n">
        <v>45113</v>
      </c>
      <c r="E369" s="1" t="n">
        <v>46279</v>
      </c>
      <c r="F369" t="inlineStr">
        <is>
          <t>NORRBOTTENS LÄN</t>
        </is>
      </c>
      <c r="G369" t="inlineStr">
        <is>
          <t>JOKKMOKK</t>
        </is>
      </c>
      <c r="H369" t="inlineStr">
        <is>
          <t>Övriga statliga verk och myndigheter</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30657-2026</t>
        </is>
      </c>
      <c r="B370" t="inlineStr">
        <is>
          <t>avverkningsanmälan</t>
        </is>
      </c>
      <c r="C370" t="inlineStr">
        <is>
          <t>Föryngringsavverkning</t>
        </is>
      </c>
      <c r="D370" s="1" t="n">
        <v>46211</v>
      </c>
      <c r="E370" s="1" t="n">
        <v>46279</v>
      </c>
      <c r="F370" t="inlineStr">
        <is>
          <t>NORRBOTTENS LÄN</t>
        </is>
      </c>
      <c r="G370" t="inlineStr">
        <is>
          <t>JOKKMOKK</t>
        </is>
      </c>
      <c r="H370" t="inlineStr">
        <is>
          <t>SCA</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34316-2026</t>
        </is>
      </c>
      <c r="B371" t="inlineStr">
        <is>
          <t>avverkningsanmälan</t>
        </is>
      </c>
      <c r="C371" t="inlineStr">
        <is>
          <t>Föryngringsavverkning</t>
        </is>
      </c>
      <c r="D371" s="1" t="n">
        <v>46254</v>
      </c>
      <c r="E371" s="1" t="n">
        <v>46279</v>
      </c>
      <c r="F371" t="inlineStr">
        <is>
          <t>NORRBOTTENS LÄN</t>
        </is>
      </c>
      <c r="G371" t="inlineStr">
        <is>
          <t>JOKKMOKK</t>
        </is>
      </c>
      <c r="H371" t="inlineStr">
        <is>
          <t>SCA</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56199-2021</t>
        </is>
      </c>
      <c r="B372" t="inlineStr">
        <is>
          <t>avverkningsanmälan</t>
        </is>
      </c>
      <c r="C372" t="inlineStr">
        <is>
          <t>Föryngringsavverkning</t>
        </is>
      </c>
      <c r="D372" s="1" t="n">
        <v>44477</v>
      </c>
      <c r="E372" s="1" t="n">
        <v>46279</v>
      </c>
      <c r="F372" t="inlineStr">
        <is>
          <t>NORRBOTTENS LÄN</t>
        </is>
      </c>
      <c r="G372" t="inlineStr">
        <is>
          <t>JOKKMOKK</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2826-2025</t>
        </is>
      </c>
      <c r="B373" t="inlineStr">
        <is>
          <t>avverkningsanmälan</t>
        </is>
      </c>
      <c r="C373" t="inlineStr">
        <is>
          <t>Föryngringsavverkning</t>
        </is>
      </c>
      <c r="D373" s="1" t="n">
        <v>45677</v>
      </c>
      <c r="E373" s="1" t="n">
        <v>46279</v>
      </c>
      <c r="F373" t="inlineStr">
        <is>
          <t>NORRBOTTENS LÄN</t>
        </is>
      </c>
      <c r="G373" t="inlineStr">
        <is>
          <t>JOKKMOKK</t>
        </is>
      </c>
      <c r="H373" t="inlineStr">
        <is>
          <t>Övriga statliga verk och myndigheter</t>
        </is>
      </c>
      <c r="I373" t="n">
        <v>10.5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30954-2026</t>
        </is>
      </c>
      <c r="B374" t="inlineStr">
        <is>
          <t>avverkningsanmälan</t>
        </is>
      </c>
      <c r="C374" t="inlineStr">
        <is>
          <t>Föryngringsavverkning</t>
        </is>
      </c>
      <c r="D374" s="1" t="n">
        <v>46213</v>
      </c>
      <c r="E374" s="1" t="n">
        <v>46279</v>
      </c>
      <c r="F374" t="inlineStr">
        <is>
          <t>NORRBOTTENS LÄN</t>
        </is>
      </c>
      <c r="G374" t="inlineStr">
        <is>
          <t>JOKKMOKK</t>
        </is>
      </c>
      <c r="H374" t="inlineStr">
        <is>
          <t>SCA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31064-2026</t>
        </is>
      </c>
      <c r="B375" t="inlineStr">
        <is>
          <t>avverkningsanmälan</t>
        </is>
      </c>
      <c r="C375" t="inlineStr">
        <is>
          <t>Föryngringsavverkning</t>
        </is>
      </c>
      <c r="D375" s="1" t="n">
        <v>46215</v>
      </c>
      <c r="E375" s="1" t="n">
        <v>46279</v>
      </c>
      <c r="F375" t="inlineStr">
        <is>
          <t>NORRBOTTENS LÄN</t>
        </is>
      </c>
      <c r="G375" t="inlineStr">
        <is>
          <t>JOKKMOKK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31063-2026</t>
        </is>
      </c>
      <c r="B376" t="inlineStr">
        <is>
          <t>avverkningsanmälan</t>
        </is>
      </c>
      <c r="C376" t="inlineStr">
        <is>
          <t>Föryngringsavverkning</t>
        </is>
      </c>
      <c r="D376" s="1" t="n">
        <v>46215</v>
      </c>
      <c r="E376" s="1" t="n">
        <v>46279</v>
      </c>
      <c r="F376" t="inlineStr">
        <is>
          <t>NORRBOTTENS LÄN</t>
        </is>
      </c>
      <c r="G376" t="inlineStr">
        <is>
          <t>JOKKMOKK</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40106-2023</t>
        </is>
      </c>
      <c r="B377" t="inlineStr">
        <is>
          <t>avverkningsanmälan</t>
        </is>
      </c>
      <c r="C377" t="inlineStr">
        <is>
          <t>Föryngringsavverkning</t>
        </is>
      </c>
      <c r="D377" s="1" t="n">
        <v>45168</v>
      </c>
      <c r="E377" s="1" t="n">
        <v>46279</v>
      </c>
      <c r="F377" t="inlineStr">
        <is>
          <t>NORRBOTTENS LÄN</t>
        </is>
      </c>
      <c r="G377" t="inlineStr">
        <is>
          <t>JOKKMOKK</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34626-2026</t>
        </is>
      </c>
      <c r="B378" t="inlineStr">
        <is>
          <t>avverkningsanmälan</t>
        </is>
      </c>
      <c r="C378" t="inlineStr">
        <is>
          <t>Föryngringsavverkning</t>
        </is>
      </c>
      <c r="D378" s="1" t="n">
        <v>46255</v>
      </c>
      <c r="E378" s="1" t="n">
        <v>46279</v>
      </c>
      <c r="F378" t="inlineStr">
        <is>
          <t>NORRBOTTENS LÄN</t>
        </is>
      </c>
      <c r="G378" t="inlineStr">
        <is>
          <t>JOKKMOKK</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30756-2026</t>
        </is>
      </c>
      <c r="B379" t="inlineStr">
        <is>
          <t>avverkningsanmälan</t>
        </is>
      </c>
      <c r="C379" t="inlineStr">
        <is>
          <t>Föryngringsavverkning</t>
        </is>
      </c>
      <c r="D379" s="1" t="n">
        <v>46212</v>
      </c>
      <c r="E379" s="1" t="n">
        <v>46279</v>
      </c>
      <c r="F379" t="inlineStr">
        <is>
          <t>NORRBOTTENS LÄN</t>
        </is>
      </c>
      <c r="G379" t="inlineStr">
        <is>
          <t>JOKKMOKK</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34453-2026</t>
        </is>
      </c>
      <c r="B380" t="inlineStr">
        <is>
          <t>avverkningsanmälan</t>
        </is>
      </c>
      <c r="C380" t="inlineStr">
        <is>
          <t>Föryngringsavverkning</t>
        </is>
      </c>
      <c r="D380" s="1" t="n">
        <v>46253</v>
      </c>
      <c r="E380" s="1" t="n">
        <v>46279</v>
      </c>
      <c r="F380" t="inlineStr">
        <is>
          <t>NORRBOTTENS LÄN</t>
        </is>
      </c>
      <c r="G380" t="inlineStr">
        <is>
          <t>JOKKMOKK</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30757-2026</t>
        </is>
      </c>
      <c r="B381" t="inlineStr">
        <is>
          <t>avverkningsanmälan</t>
        </is>
      </c>
      <c r="C381" t="inlineStr">
        <is>
          <t>Föryngringsavverkning</t>
        </is>
      </c>
      <c r="D381" s="1" t="n">
        <v>46212</v>
      </c>
      <c r="E381" s="1" t="n">
        <v>46279</v>
      </c>
      <c r="F381" t="inlineStr">
        <is>
          <t>NORRBOTTENS LÄN</t>
        </is>
      </c>
      <c r="G381" t="inlineStr">
        <is>
          <t>JOKKMOKK</t>
        </is>
      </c>
      <c r="H381" t="inlineStr">
        <is>
          <t>SCA</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25720-2023</t>
        </is>
      </c>
      <c r="B382" t="inlineStr">
        <is>
          <t>avverkningsanmälan</t>
        </is>
      </c>
      <c r="C382" t="inlineStr">
        <is>
          <t>Föryngringsavverkning</t>
        </is>
      </c>
      <c r="D382" s="1" t="n">
        <v>45090</v>
      </c>
      <c r="E382" s="1" t="n">
        <v>46279</v>
      </c>
      <c r="F382" t="inlineStr">
        <is>
          <t>NORRBOTTENS LÄN</t>
        </is>
      </c>
      <c r="G382" t="inlineStr">
        <is>
          <t>JOKKMOKK</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33827-2024</t>
        </is>
      </c>
      <c r="B383" t="inlineStr">
        <is>
          <t>avverkningsanmälan</t>
        </is>
      </c>
      <c r="C383" t="inlineStr">
        <is>
          <t>Föryngringsavverkning</t>
        </is>
      </c>
      <c r="D383" s="1" t="n">
        <v>45520</v>
      </c>
      <c r="E383" s="1" t="n">
        <v>46279</v>
      </c>
      <c r="F383" t="inlineStr">
        <is>
          <t>NORRBOTTENS LÄN</t>
        </is>
      </c>
      <c r="G383" t="inlineStr">
        <is>
          <t>JOKKMOKK</t>
        </is>
      </c>
      <c r="H383" t="inlineStr">
        <is>
          <t>SCA</t>
        </is>
      </c>
      <c r="I383" t="n">
        <v>12.8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31099-2026</t>
        </is>
      </c>
      <c r="B384" t="inlineStr">
        <is>
          <t>avverkningsanmälan</t>
        </is>
      </c>
      <c r="C384" t="inlineStr">
        <is>
          <t>Föryngringsavverkning</t>
        </is>
      </c>
      <c r="D384" s="1" t="n">
        <v>46216</v>
      </c>
      <c r="E384" s="1" t="n">
        <v>46279</v>
      </c>
      <c r="F384" t="inlineStr">
        <is>
          <t>NORRBOTTENS LÄN</t>
        </is>
      </c>
      <c r="G384" t="inlineStr">
        <is>
          <t>JOKKMOKK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25156-2026</t>
        </is>
      </c>
      <c r="B385" t="inlineStr">
        <is>
          <t>avverkningsanmälan</t>
        </is>
      </c>
      <c r="C385" t="inlineStr">
        <is>
          <t>Föryngringsavverkning</t>
        </is>
      </c>
      <c r="D385" s="1" t="n">
        <v>46175</v>
      </c>
      <c r="E385" s="1" t="n">
        <v>46279</v>
      </c>
      <c r="F385" t="inlineStr">
        <is>
          <t>NORRBOTTENS LÄN</t>
        </is>
      </c>
      <c r="G385" t="inlineStr">
        <is>
          <t>JOKKMOKK</t>
        </is>
      </c>
      <c r="I385" t="n">
        <v>35.4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29212-2024</t>
        </is>
      </c>
      <c r="B386" t="inlineStr">
        <is>
          <t>avverkningsanmälan</t>
        </is>
      </c>
      <c r="C386" t="inlineStr">
        <is>
          <t>Föryngringsavverkning</t>
        </is>
      </c>
      <c r="D386" s="1" t="n">
        <v>45482</v>
      </c>
      <c r="E386" s="1" t="n">
        <v>46279</v>
      </c>
      <c r="F386" t="inlineStr">
        <is>
          <t>NORRBOTTENS LÄN</t>
        </is>
      </c>
      <c r="G386" t="inlineStr">
        <is>
          <t>JOKKMOKK</t>
        </is>
      </c>
      <c r="I386" t="n">
        <v>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31100-2026</t>
        </is>
      </c>
      <c r="B387" t="inlineStr">
        <is>
          <t>avverkningsanmälan</t>
        </is>
      </c>
      <c r="C387" t="inlineStr">
        <is>
          <t>Föryngringsavverkning</t>
        </is>
      </c>
      <c r="D387" s="1" t="n">
        <v>46216</v>
      </c>
      <c r="E387" s="1" t="n">
        <v>46279</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3206-2025</t>
        </is>
      </c>
      <c r="B388" t="inlineStr">
        <is>
          <t>avverkningsanmälan</t>
        </is>
      </c>
      <c r="C388" t="inlineStr">
        <is>
          <t>Föryngringsavverkning</t>
        </is>
      </c>
      <c r="D388" s="1" t="n">
        <v>45679</v>
      </c>
      <c r="E388" s="1" t="n">
        <v>46279</v>
      </c>
      <c r="F388" t="inlineStr">
        <is>
          <t>NORRBOTTENS LÄN</t>
        </is>
      </c>
      <c r="G388" t="inlineStr">
        <is>
          <t>JOKKMOKK</t>
        </is>
      </c>
      <c r="H388" t="inlineStr">
        <is>
          <t>SCA</t>
        </is>
      </c>
      <c r="I388" t="n">
        <v>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36113-2024</t>
        </is>
      </c>
      <c r="B389" t="inlineStr">
        <is>
          <t>avverkningsanmälan</t>
        </is>
      </c>
      <c r="C389" t="inlineStr">
        <is>
          <t>Avverkning för annat ändamål</t>
        </is>
      </c>
      <c r="D389" s="1" t="n">
        <v>45534</v>
      </c>
      <c r="E389" s="1" t="n">
        <v>46279</v>
      </c>
      <c r="F389" t="inlineStr">
        <is>
          <t>NORRBOTTENS LÄN</t>
        </is>
      </c>
      <c r="G389" t="inlineStr">
        <is>
          <t>JOKKMOKK</t>
        </is>
      </c>
      <c r="H389" t="inlineStr">
        <is>
          <t>Sveaskog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35867-2026</t>
        </is>
      </c>
      <c r="B390" t="inlineStr">
        <is>
          <t>avverkningsanmälan</t>
        </is>
      </c>
      <c r="C390" t="inlineStr">
        <is>
          <t>Avverkning för annat ändamål</t>
        </is>
      </c>
      <c r="D390" s="1" t="n">
        <v>46266</v>
      </c>
      <c r="E390" s="1" t="n">
        <v>46279</v>
      </c>
      <c r="F390" t="inlineStr">
        <is>
          <t>NORRBOTTENS LÄN</t>
        </is>
      </c>
      <c r="G390" t="inlineStr">
        <is>
          <t>JOKKMOKK</t>
        </is>
      </c>
      <c r="H390" t="inlineStr">
        <is>
          <t>Sveaskog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45505-2022</t>
        </is>
      </c>
      <c r="B391" t="inlineStr">
        <is>
          <t>avverkningsanmälan</t>
        </is>
      </c>
      <c r="C391" t="inlineStr">
        <is>
          <t>Föryngringsavverkning</t>
        </is>
      </c>
      <c r="D391" s="1" t="n">
        <v>44841</v>
      </c>
      <c r="E391" s="1" t="n">
        <v>46279</v>
      </c>
      <c r="F391" t="inlineStr">
        <is>
          <t>NORRBOTTENS LÄN</t>
        </is>
      </c>
      <c r="G391" t="inlineStr">
        <is>
          <t>JOKKMOKK</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14815-2024</t>
        </is>
      </c>
      <c r="B392" t="inlineStr">
        <is>
          <t>avverkningsanmälan</t>
        </is>
      </c>
      <c r="C392" t="inlineStr">
        <is>
          <t>Föryngringsavverkning</t>
        </is>
      </c>
      <c r="D392" s="1" t="n">
        <v>45397</v>
      </c>
      <c r="E392" s="1" t="n">
        <v>46279</v>
      </c>
      <c r="F392" t="inlineStr">
        <is>
          <t>NORRBOTTENS LÄN</t>
        </is>
      </c>
      <c r="G392" t="inlineStr">
        <is>
          <t>JOKKMOKK</t>
        </is>
      </c>
      <c r="H392" t="inlineStr">
        <is>
          <t>SCA</t>
        </is>
      </c>
      <c r="I392" t="n">
        <v>54.1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4661-2022</t>
        </is>
      </c>
      <c r="B393" t="inlineStr">
        <is>
          <t>avverkningsanmälan</t>
        </is>
      </c>
      <c r="C393" t="inlineStr">
        <is>
          <t>Föryngringsavverkning</t>
        </is>
      </c>
      <c r="D393" s="1" t="n">
        <v>44589</v>
      </c>
      <c r="E393" s="1" t="n">
        <v>46279</v>
      </c>
      <c r="F393" t="inlineStr">
        <is>
          <t>NORRBOTTENS LÄN</t>
        </is>
      </c>
      <c r="G393" t="inlineStr">
        <is>
          <t>JOKKMOKK</t>
        </is>
      </c>
      <c r="I393" t="n">
        <v>39.5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29213-2024</t>
        </is>
      </c>
      <c r="B394" t="inlineStr">
        <is>
          <t>avverkningsanmälan</t>
        </is>
      </c>
      <c r="C394" t="inlineStr">
        <is>
          <t>Föryngringsavverkning</t>
        </is>
      </c>
      <c r="D394" s="1" t="n">
        <v>45482</v>
      </c>
      <c r="E394" s="1" t="n">
        <v>46279</v>
      </c>
      <c r="F394" t="inlineStr">
        <is>
          <t>NORRBOTTENS LÄN</t>
        </is>
      </c>
      <c r="G394" t="inlineStr">
        <is>
          <t>JOKKMOKK</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40345-2024</t>
        </is>
      </c>
      <c r="B395" t="inlineStr">
        <is>
          <t>avverkningsanmälan</t>
        </is>
      </c>
      <c r="C395" t="inlineStr">
        <is>
          <t>Föryngringsavverkning</t>
        </is>
      </c>
      <c r="D395" s="1" t="n">
        <v>45555</v>
      </c>
      <c r="E395" s="1" t="n">
        <v>46279</v>
      </c>
      <c r="F395" t="inlineStr">
        <is>
          <t>NORRBOTTENS LÄN</t>
        </is>
      </c>
      <c r="G395" t="inlineStr">
        <is>
          <t>JOKKMOKK</t>
        </is>
      </c>
      <c r="H395" t="inlineStr">
        <is>
          <t>SCA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33648-2026</t>
        </is>
      </c>
      <c r="B396" t="inlineStr">
        <is>
          <t>avverkningsanmälan</t>
        </is>
      </c>
      <c r="C396" t="inlineStr">
        <is>
          <t>Föryngringsavverkning</t>
        </is>
      </c>
      <c r="D396" s="1" t="n">
        <v>46248</v>
      </c>
      <c r="E396" s="1" t="n">
        <v>46279</v>
      </c>
      <c r="F396" t="inlineStr">
        <is>
          <t>NORRBOTTENS LÄN</t>
        </is>
      </c>
      <c r="G396" t="inlineStr">
        <is>
          <t>JOKKMOKK</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37284-2026</t>
        </is>
      </c>
      <c r="B397" t="inlineStr">
        <is>
          <t>avverkningsanmälan</t>
        </is>
      </c>
      <c r="C397" t="inlineStr">
        <is>
          <t>Föryngringsavverkning</t>
        </is>
      </c>
      <c r="D397" s="1" t="n">
        <v>46274</v>
      </c>
      <c r="E397" s="1" t="n">
        <v>46279</v>
      </c>
      <c r="F397" t="inlineStr">
        <is>
          <t>NORRBOTTENS LÄN</t>
        </is>
      </c>
      <c r="G397" t="inlineStr">
        <is>
          <t>JOKKMOKK</t>
        </is>
      </c>
      <c r="H397" t="inlineStr">
        <is>
          <t>SCA</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30313-2024</t>
        </is>
      </c>
      <c r="B398" t="inlineStr">
        <is>
          <t>avverkningsanmälan</t>
        </is>
      </c>
      <c r="C398" t="inlineStr">
        <is>
          <t>Föryngringsavverkning</t>
        </is>
      </c>
      <c r="D398" s="1" t="n">
        <v>45490</v>
      </c>
      <c r="E398" s="1" t="n">
        <v>46279</v>
      </c>
      <c r="F398" t="inlineStr">
        <is>
          <t>NORRBOTTENS LÄN</t>
        </is>
      </c>
      <c r="G398" t="inlineStr">
        <is>
          <t>JOKKMOKK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52882-2023</t>
        </is>
      </c>
      <c r="B399" t="inlineStr">
        <is>
          <t>avverkningsanmälan</t>
        </is>
      </c>
      <c r="C399" t="inlineStr">
        <is>
          <t>Föryngringsavverkning</t>
        </is>
      </c>
      <c r="D399" s="1" t="n">
        <v>45222</v>
      </c>
      <c r="E399" s="1" t="n">
        <v>46279</v>
      </c>
      <c r="F399" t="inlineStr">
        <is>
          <t>NORRBOTTENS LÄN</t>
        </is>
      </c>
      <c r="G399" t="inlineStr">
        <is>
          <t>JOKKMOKK</t>
        </is>
      </c>
      <c r="I399" t="n">
        <v>56.1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63025-2025</t>
        </is>
      </c>
      <c r="B400" t="inlineStr">
        <is>
          <t>avverkningsanmälan</t>
        </is>
      </c>
      <c r="C400" t="inlineStr">
        <is>
          <t>Föryngringsavverkning</t>
        </is>
      </c>
      <c r="D400" s="1" t="n">
        <v>46009</v>
      </c>
      <c r="E400" s="1" t="n">
        <v>46279</v>
      </c>
      <c r="F400" t="inlineStr">
        <is>
          <t>NORRBOTTENS LÄN</t>
        </is>
      </c>
      <c r="G400" t="inlineStr">
        <is>
          <t>JOKKMOKK</t>
        </is>
      </c>
      <c r="I400" t="n">
        <v>11.1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50258-2023</t>
        </is>
      </c>
      <c r="B401" t="inlineStr">
        <is>
          <t>avverkningsanmälan</t>
        </is>
      </c>
      <c r="C401" t="inlineStr">
        <is>
          <t>Föryngringsavverkning</t>
        </is>
      </c>
      <c r="D401" s="1" t="n">
        <v>45216</v>
      </c>
      <c r="E401" s="1" t="n">
        <v>46279</v>
      </c>
      <c r="F401" t="inlineStr">
        <is>
          <t>NORRBOTTENS LÄN</t>
        </is>
      </c>
      <c r="G401" t="inlineStr">
        <is>
          <t>JOKKMOKK</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24926-2026</t>
        </is>
      </c>
      <c r="B402" t="inlineStr">
        <is>
          <t>avverkningsanmälan</t>
        </is>
      </c>
      <c r="C402" t="inlineStr">
        <is>
          <t>Föryngringsavverkning</t>
        </is>
      </c>
      <c r="D402" s="1" t="n">
        <v>46174</v>
      </c>
      <c r="E402" s="1" t="n">
        <v>46279</v>
      </c>
      <c r="F402" t="inlineStr">
        <is>
          <t>NORRBOTTENS LÄN</t>
        </is>
      </c>
      <c r="G402" t="inlineStr">
        <is>
          <t>JOKKMOKK</t>
        </is>
      </c>
      <c r="H402" t="inlineStr">
        <is>
          <t>Övriga Aktiebolag</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26962-2023</t>
        </is>
      </c>
      <c r="B403" t="inlineStr">
        <is>
          <t>avverkningsanmälan</t>
        </is>
      </c>
      <c r="C403" t="inlineStr">
        <is>
          <t>Föryngringsavverkning</t>
        </is>
      </c>
      <c r="D403" s="1" t="n">
        <v>45093</v>
      </c>
      <c r="E403" s="1" t="n">
        <v>46279</v>
      </c>
      <c r="F403" t="inlineStr">
        <is>
          <t>NORRBOTTENS LÄN</t>
        </is>
      </c>
      <c r="G403" t="inlineStr">
        <is>
          <t>JOKKMOKK</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30305-2024</t>
        </is>
      </c>
      <c r="B404" t="inlineStr">
        <is>
          <t>avverkningsanmälan</t>
        </is>
      </c>
      <c r="C404" t="inlineStr">
        <is>
          <t>Föryngringsavverkning</t>
        </is>
      </c>
      <c r="D404" s="1" t="n">
        <v>45490</v>
      </c>
      <c r="E404" s="1" t="n">
        <v>46279</v>
      </c>
      <c r="F404" t="inlineStr">
        <is>
          <t>NORRBOTTENS LÄN</t>
        </is>
      </c>
      <c r="G404" t="inlineStr">
        <is>
          <t>JOKKMOKK</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30308-2024</t>
        </is>
      </c>
      <c r="B405" t="inlineStr">
        <is>
          <t>avverkningsanmälan</t>
        </is>
      </c>
      <c r="C405" t="inlineStr">
        <is>
          <t>Föryngringsavverkning</t>
        </is>
      </c>
      <c r="D405" s="1" t="n">
        <v>45490</v>
      </c>
      <c r="E405" s="1" t="n">
        <v>46279</v>
      </c>
      <c r="F405" t="inlineStr">
        <is>
          <t>NORRBOTTENS LÄN</t>
        </is>
      </c>
      <c r="G405" t="inlineStr">
        <is>
          <t>JOKKMOKK</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30310-2024</t>
        </is>
      </c>
      <c r="B406" t="inlineStr">
        <is>
          <t>avverkningsanmälan</t>
        </is>
      </c>
      <c r="C406" t="inlineStr">
        <is>
          <t>Föryngringsavverkning</t>
        </is>
      </c>
      <c r="D406" s="1" t="n">
        <v>45490</v>
      </c>
      <c r="E406" s="1" t="n">
        <v>46279</v>
      </c>
      <c r="F406" t="inlineStr">
        <is>
          <t>NORRBOTTENS LÄN</t>
        </is>
      </c>
      <c r="G406" t="inlineStr">
        <is>
          <t>JOKKMOKK</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30312-2024</t>
        </is>
      </c>
      <c r="B407" t="inlineStr">
        <is>
          <t>avverkningsanmälan</t>
        </is>
      </c>
      <c r="C407" t="inlineStr">
        <is>
          <t>Föryngringsavverkning</t>
        </is>
      </c>
      <c r="D407" s="1" t="n">
        <v>45490</v>
      </c>
      <c r="E407" s="1" t="n">
        <v>46279</v>
      </c>
      <c r="F407" t="inlineStr">
        <is>
          <t>NORRBOTTENS LÄN</t>
        </is>
      </c>
      <c r="G407" t="inlineStr">
        <is>
          <t>JOKKMOKK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2037-2025</t>
        </is>
      </c>
      <c r="B408" t="inlineStr">
        <is>
          <t>avverkningsanmälan</t>
        </is>
      </c>
      <c r="C408" t="inlineStr">
        <is>
          <t>Föryngringsavverkning</t>
        </is>
      </c>
      <c r="D408" s="1" t="n">
        <v>45671</v>
      </c>
      <c r="E408" s="1" t="n">
        <v>46279</v>
      </c>
      <c r="F408" t="inlineStr">
        <is>
          <t>NORRBOTTENS LÄN</t>
        </is>
      </c>
      <c r="G408" t="inlineStr">
        <is>
          <t>JOKKMOKK</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23203-2024</t>
        </is>
      </c>
      <c r="B409" t="inlineStr">
        <is>
          <t>avverkningsanmälan</t>
        </is>
      </c>
      <c r="C409" t="inlineStr">
        <is>
          <t>Föryngringsavverkning</t>
        </is>
      </c>
      <c r="D409" s="1" t="n">
        <v>45451</v>
      </c>
      <c r="E409" s="1" t="n">
        <v>46279</v>
      </c>
      <c r="F409" t="inlineStr">
        <is>
          <t>NORRBOTTENS LÄN</t>
        </is>
      </c>
      <c r="G409" t="inlineStr">
        <is>
          <t>JOKKMOKK</t>
        </is>
      </c>
      <c r="H409" t="inlineStr">
        <is>
          <t>SCA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60418-2023</t>
        </is>
      </c>
      <c r="B410" t="inlineStr">
        <is>
          <t>avverkningsanmälan</t>
        </is>
      </c>
      <c r="C410" t="inlineStr">
        <is>
          <t>Föryngringsavverkning</t>
        </is>
      </c>
      <c r="D410" s="1" t="n">
        <v>45259</v>
      </c>
      <c r="E410" s="1" t="n">
        <v>46279</v>
      </c>
      <c r="F410" t="inlineStr">
        <is>
          <t>NORRBOTTENS LÄN</t>
        </is>
      </c>
      <c r="G410" t="inlineStr">
        <is>
          <t>JOKKMOKK</t>
        </is>
      </c>
      <c r="H410" t="inlineStr">
        <is>
          <t>Allmännings- och besparingsskogar</t>
        </is>
      </c>
      <c r="I410" t="n">
        <v>12.7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49562-2024</t>
        </is>
      </c>
      <c r="B411" t="inlineStr">
        <is>
          <t>avverkningsanmälan</t>
        </is>
      </c>
      <c r="C411" t="inlineStr">
        <is>
          <t>Föryngringsavverkning</t>
        </is>
      </c>
      <c r="D411" s="1" t="n">
        <v>45596</v>
      </c>
      <c r="E411" s="1" t="n">
        <v>46279</v>
      </c>
      <c r="F411" t="inlineStr">
        <is>
          <t>NORRBOTTENS LÄN</t>
        </is>
      </c>
      <c r="G411" t="inlineStr">
        <is>
          <t>JOKKMOKK</t>
        </is>
      </c>
      <c r="H411" t="inlineStr">
        <is>
          <t>Allmännings- och besparingsskogar</t>
        </is>
      </c>
      <c r="I411" t="n">
        <v>8.199999999999999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37828-2024</t>
        </is>
      </c>
      <c r="B412" t="inlineStr">
        <is>
          <t>avverkningsanmälan</t>
        </is>
      </c>
      <c r="C412" t="inlineStr">
        <is>
          <t>Föryngringsavverkning</t>
        </is>
      </c>
      <c r="D412" s="1" t="n">
        <v>45544</v>
      </c>
      <c r="E412" s="1" t="n">
        <v>46279</v>
      </c>
      <c r="F412" t="inlineStr">
        <is>
          <t>NORRBOTTENS LÄN</t>
        </is>
      </c>
      <c r="G412" t="inlineStr">
        <is>
          <t>JOKKMOKK</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35675-2024</t>
        </is>
      </c>
      <c r="B413" t="inlineStr">
        <is>
          <t>avverkningsanmälan</t>
        </is>
      </c>
      <c r="C413" t="inlineStr">
        <is>
          <t>Föryngringsavverkning</t>
        </is>
      </c>
      <c r="D413" s="1" t="n">
        <v>45532</v>
      </c>
      <c r="E413" s="1" t="n">
        <v>46279</v>
      </c>
      <c r="F413" t="inlineStr">
        <is>
          <t>NORRBOTTENS LÄN</t>
        </is>
      </c>
      <c r="G413" t="inlineStr">
        <is>
          <t>JOKKMOKK</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27685-2025</t>
        </is>
      </c>
      <c r="B414" t="inlineStr">
        <is>
          <t>avverkningsanmälan</t>
        </is>
      </c>
      <c r="C414" t="inlineStr">
        <is>
          <t>Föryngringsavverkning</t>
        </is>
      </c>
      <c r="D414" s="1" t="n">
        <v>45813</v>
      </c>
      <c r="E414" s="1" t="n">
        <v>46279</v>
      </c>
      <c r="F414" t="inlineStr">
        <is>
          <t>NORRBOTTENS LÄN</t>
        </is>
      </c>
      <c r="G414" t="inlineStr">
        <is>
          <t>JOKKMOKK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48339-2024</t>
        </is>
      </c>
      <c r="B415" t="inlineStr">
        <is>
          <t>avverkningsanmälan</t>
        </is>
      </c>
      <c r="C415" t="inlineStr">
        <is>
          <t>Föryngringsavverkning</t>
        </is>
      </c>
      <c r="D415" s="1" t="n">
        <v>45590</v>
      </c>
      <c r="E415" s="1" t="n">
        <v>46279</v>
      </c>
      <c r="F415" t="inlineStr">
        <is>
          <t>NORRBOTTENS LÄN</t>
        </is>
      </c>
      <c r="G415" t="inlineStr">
        <is>
          <t>JOKKMOKK</t>
        </is>
      </c>
      <c r="H415" t="inlineStr">
        <is>
          <t>Allmännings- och besparingsskogar</t>
        </is>
      </c>
      <c r="I415" t="n">
        <v>24.9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5226-2022</t>
        </is>
      </c>
      <c r="B416" t="inlineStr">
        <is>
          <t>samrådsanmälan</t>
        </is>
      </c>
      <c r="C416" t="inlineStr">
        <is>
          <t>Skogsbilväg</t>
        </is>
      </c>
      <c r="D416" s="1" t="n">
        <v>44823</v>
      </c>
      <c r="E416" s="1" t="n">
        <v>46279</v>
      </c>
      <c r="F416" t="inlineStr">
        <is>
          <t>NORRBOTTENS LÄN</t>
        </is>
      </c>
      <c r="G416" t="inlineStr">
        <is>
          <t>JOKKMOKK</t>
        </is>
      </c>
      <c r="H416" t="inlineStr">
        <is>
          <t>Övriga Aktiebolag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5220-2022</t>
        </is>
      </c>
      <c r="B417" t="inlineStr">
        <is>
          <t>samrådsanmälan</t>
        </is>
      </c>
      <c r="C417" t="inlineStr">
        <is>
          <t>Skogsbilväg</t>
        </is>
      </c>
      <c r="D417" s="1" t="n">
        <v>44820</v>
      </c>
      <c r="E417" s="1" t="n">
        <v>46279</v>
      </c>
      <c r="F417" t="inlineStr">
        <is>
          <t>NORRBOTTENS LÄN</t>
        </is>
      </c>
      <c r="G417" t="inlineStr">
        <is>
          <t>JOKKMOKK</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1106-2024</t>
        </is>
      </c>
      <c r="B418" t="inlineStr">
        <is>
          <t>samrådsanmälan</t>
        </is>
      </c>
      <c r="C418" t="inlineStr">
        <is>
          <t>Åtgärd i nyckelbiotop</t>
        </is>
      </c>
      <c r="D418" s="1" t="n">
        <v>45392</v>
      </c>
      <c r="E418" s="1" t="n">
        <v>46279</v>
      </c>
      <c r="F418" t="inlineStr">
        <is>
          <t>NORRBOTTENS LÄN</t>
        </is>
      </c>
      <c r="G418" t="inlineStr">
        <is>
          <t>JOKKMOKK</t>
        </is>
      </c>
      <c r="I418" t="n">
        <v>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5227-2022</t>
        </is>
      </c>
      <c r="B419" t="inlineStr">
        <is>
          <t>samrådsanmälan</t>
        </is>
      </c>
      <c r="C419" t="inlineStr">
        <is>
          <t>Skogsbilväg</t>
        </is>
      </c>
      <c r="D419" s="1" t="n">
        <v>44823</v>
      </c>
      <c r="E419" s="1" t="n">
        <v>46279</v>
      </c>
      <c r="F419" t="inlineStr">
        <is>
          <t>NORRBOTTENS LÄN</t>
        </is>
      </c>
      <c r="G419" t="inlineStr">
        <is>
          <t>JOKKMOKK</t>
        </is>
      </c>
      <c r="H419" t="inlineStr">
        <is>
          <t>Övriga Aktiebolag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323-2024</t>
        </is>
      </c>
      <c r="B420" t="inlineStr">
        <is>
          <t>samrådsanmälan</t>
        </is>
      </c>
      <c r="C420" t="inlineStr">
        <is>
          <t>Skogsgödsling</t>
        </is>
      </c>
      <c r="D420" s="1" t="n">
        <v>45327</v>
      </c>
      <c r="E420" s="1" t="n">
        <v>46279</v>
      </c>
      <c r="F420" t="inlineStr">
        <is>
          <t>NORRBOTTENS LÄN</t>
        </is>
      </c>
      <c r="G420" t="inlineStr">
        <is>
          <t>JOKKMOKK</t>
        </is>
      </c>
      <c r="I420" t="n">
        <v>26.6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319-2024</t>
        </is>
      </c>
      <c r="B421" t="inlineStr">
        <is>
          <t>samrådsanmälan</t>
        </is>
      </c>
      <c r="C421" t="inlineStr">
        <is>
          <t>Skogsgödsling</t>
        </is>
      </c>
      <c r="D421" s="1" t="n">
        <v>45327</v>
      </c>
      <c r="E421" s="1" t="n">
        <v>46279</v>
      </c>
      <c r="F421" t="inlineStr">
        <is>
          <t>NORRBOTTENS LÄN</t>
        </is>
      </c>
      <c r="G421" t="inlineStr">
        <is>
          <t>JOKKMOKK</t>
        </is>
      </c>
      <c r="I421" t="n">
        <v>34.9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5257-2022</t>
        </is>
      </c>
      <c r="B422" t="inlineStr">
        <is>
          <t>samrådsanmälan</t>
        </is>
      </c>
      <c r="C422" t="inlineStr">
        <is>
          <t>Annan skogsbruksåtgärd</t>
        </is>
      </c>
      <c r="D422" s="1" t="n">
        <v>44824</v>
      </c>
      <c r="E422" s="1" t="n">
        <v>46279</v>
      </c>
      <c r="F422" t="inlineStr">
        <is>
          <t>NORRBOTTENS LÄN</t>
        </is>
      </c>
      <c r="G422" t="inlineStr">
        <is>
          <t>JOKKMOKK</t>
        </is>
      </c>
      <c r="H422" t="inlineStr">
        <is>
          <t>Övriga Aktiebolag</t>
        </is>
      </c>
      <c r="I422" t="n">
        <v>242.2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1163-2025</t>
        </is>
      </c>
      <c r="B423" t="inlineStr">
        <is>
          <t>samrådsanmälan</t>
        </is>
      </c>
      <c r="C423" t="inlineStr">
        <is>
          <t>Skogsgödsling</t>
        </is>
      </c>
      <c r="D423" s="1" t="n">
        <v>45756</v>
      </c>
      <c r="E423" s="1" t="n">
        <v>46279</v>
      </c>
      <c r="F423" t="inlineStr">
        <is>
          <t>NORRBOTTENS LÄN</t>
        </is>
      </c>
      <c r="G423" t="inlineStr">
        <is>
          <t>JOKKMOKK</t>
        </is>
      </c>
      <c r="I423" t="n">
        <v>18.7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2082-2025</t>
        </is>
      </c>
      <c r="B424" t="inlineStr">
        <is>
          <t>samrådsanmälan</t>
        </is>
      </c>
      <c r="C424" t="inlineStr">
        <is>
          <t>Annan skogsbruksåtgärd</t>
        </is>
      </c>
      <c r="D424" s="1" t="n">
        <v>45841</v>
      </c>
      <c r="E424" s="1" t="n">
        <v>46279</v>
      </c>
      <c r="F424" t="inlineStr">
        <is>
          <t>NORRBOTTENS LÄN</t>
        </is>
      </c>
      <c r="G424" t="inlineStr">
        <is>
          <t>JOKKMOKK</t>
        </is>
      </c>
      <c r="H424" t="inlineStr">
        <is>
          <t>Sveaskog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1266-2026</t>
        </is>
      </c>
      <c r="B425" t="inlineStr">
        <is>
          <t>samrådsanmälan</t>
        </is>
      </c>
      <c r="C425" t="inlineStr">
        <is>
          <t>Skogsgödsling</t>
        </is>
      </c>
      <c r="D425" s="1" t="n">
        <v>46147</v>
      </c>
      <c r="E425" s="1" t="n">
        <v>46279</v>
      </c>
      <c r="F425" t="inlineStr">
        <is>
          <t>NORRBOTTENS LÄN</t>
        </is>
      </c>
      <c r="G425" t="inlineStr">
        <is>
          <t>JOKKMOKK</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1282-2026</t>
        </is>
      </c>
      <c r="B426" t="inlineStr">
        <is>
          <t>samrådsanmälan</t>
        </is>
      </c>
      <c r="C426" t="inlineStr">
        <is>
          <t>Skogsgödsling</t>
        </is>
      </c>
      <c r="D426" s="1" t="n">
        <v>46147</v>
      </c>
      <c r="E426" s="1" t="n">
        <v>46279</v>
      </c>
      <c r="F426" t="inlineStr">
        <is>
          <t>NORRBOTTENS LÄN</t>
        </is>
      </c>
      <c r="G426" t="inlineStr">
        <is>
          <t>JOKKMOKK</t>
        </is>
      </c>
      <c r="I426" t="n">
        <v>24.5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1281-2026</t>
        </is>
      </c>
      <c r="B427" t="inlineStr">
        <is>
          <t>samrådsanmälan</t>
        </is>
      </c>
      <c r="C427" t="inlineStr">
        <is>
          <t>Skogsgödsling</t>
        </is>
      </c>
      <c r="D427" s="1" t="n">
        <v>46147</v>
      </c>
      <c r="E427" s="1" t="n">
        <v>46279</v>
      </c>
      <c r="F427" t="inlineStr">
        <is>
          <t>NORRBOTTENS LÄN</t>
        </is>
      </c>
      <c r="G427" t="inlineStr">
        <is>
          <t>JOKKMOKK</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1291-2026</t>
        </is>
      </c>
      <c r="B428" t="inlineStr">
        <is>
          <t>samrådsanmälan</t>
        </is>
      </c>
      <c r="C428" t="inlineStr">
        <is>
          <t>Skogsgödsling</t>
        </is>
      </c>
      <c r="D428" s="1" t="n">
        <v>46148</v>
      </c>
      <c r="E428" s="1" t="n">
        <v>46279</v>
      </c>
      <c r="F428" t="inlineStr">
        <is>
          <t>NORRBOTTENS LÄN</t>
        </is>
      </c>
      <c r="G428" t="inlineStr">
        <is>
          <t>JOKKMOKK</t>
        </is>
      </c>
      <c r="I428" t="n">
        <v>6.7</v>
      </c>
      <c r="J428" t="n">
        <v>0</v>
      </c>
      <c r="K428" t="n">
        <v>0</v>
      </c>
      <c r="L428" t="n">
        <v>0</v>
      </c>
      <c r="M428" t="n">
        <v>0</v>
      </c>
      <c r="N428" t="n">
        <v>0</v>
      </c>
      <c r="O428" t="n">
        <v>0</v>
      </c>
      <c r="P428" t="n">
        <v>0</v>
      </c>
      <c r="Q428" t="n">
        <v>0</v>
      </c>
      <c r="R428" t="n">
        <v>0</v>
      </c>
      <c r="S428" t="n">
        <v>0</v>
      </c>
      <c r="T428" t="n">
        <v>0</v>
      </c>
      <c r="U428" t="n">
        <v>0</v>
      </c>
      <c r="V428" s="2" t="inlineStr"/>
    </row>
    <row r="429">
      <c r="A429" t="inlineStr">
        <is>
          <t>S 1313-2026</t>
        </is>
      </c>
      <c r="B429" t="inlineStr">
        <is>
          <t>samrådsanmälan</t>
        </is>
      </c>
      <c r="C429" t="inlineStr">
        <is>
          <t>Skogsgödsling</t>
        </is>
      </c>
      <c r="D429" s="1" t="n">
        <v>46148</v>
      </c>
      <c r="E429" s="1" t="n">
        <v>46279</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2026-09-14T02:13:28Z</dcterms:created>
  <dcterms:modified xmlns:dcterms="http://purl.org/dc/terms/" xmlns:xsi="http://www.w3.org/2001/XMLSchema-instance" xsi:type="dcterms:W3CDTF">2026-09-14T02:13:29Z</dcterms:modified>
</cp:coreProperties>
</file>