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45924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45924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45924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45924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45924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3557-2025</t>
        </is>
      </c>
      <c r="B7" s="1" t="n">
        <v>45680</v>
      </c>
      <c r="C7" s="1" t="n">
        <v>45924</v>
      </c>
      <c r="D7" t="inlineStr">
        <is>
          <t>NORRBOTTENS LÄN</t>
        </is>
      </c>
      <c r="E7" t="inlineStr">
        <is>
          <t>JOKKMOKK</t>
        </is>
      </c>
      <c r="F7" t="inlineStr">
        <is>
          <t>Övriga statliga verk och myndigheter</t>
        </is>
      </c>
      <c r="G7" t="n">
        <v>60.6</v>
      </c>
      <c r="H7" t="n">
        <v>1</v>
      </c>
      <c r="I7" t="n">
        <v>2</v>
      </c>
      <c r="J7" t="n">
        <v>14</v>
      </c>
      <c r="K7" t="n">
        <v>4</v>
      </c>
      <c r="L7" t="n">
        <v>1</v>
      </c>
      <c r="M7" t="n">
        <v>0</v>
      </c>
      <c r="N7" t="n">
        <v>0</v>
      </c>
      <c r="O7" t="n">
        <v>19</v>
      </c>
      <c r="P7" t="n">
        <v>5</v>
      </c>
      <c r="Q7" t="n">
        <v>21</v>
      </c>
      <c r="R7"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7">
        <f>HYPERLINK("https://klasma.github.io/Logging_2510/artfynd/A 3557-2025 artfynd.xlsx", "A 3557-2025")</f>
        <v/>
      </c>
      <c r="T7">
        <f>HYPERLINK("https://klasma.github.io/Logging_2510/kartor/A 3557-2025 karta.png", "A 3557-2025")</f>
        <v/>
      </c>
      <c r="U7">
        <f>HYPERLINK("https://klasma.github.io/Logging_2510/knärot/A 3557-2025 karta knärot.png", "A 3557-2025")</f>
        <v/>
      </c>
      <c r="V7">
        <f>HYPERLINK("https://klasma.github.io/Logging_2510/klagomål/A 3557-2025 FSC-klagomål.docx", "A 3557-2025")</f>
        <v/>
      </c>
      <c r="W7">
        <f>HYPERLINK("https://klasma.github.io/Logging_2510/klagomålsmail/A 3557-2025 FSC-klagomål mail.docx", "A 3557-2025")</f>
        <v/>
      </c>
      <c r="X7">
        <f>HYPERLINK("https://klasma.github.io/Logging_2510/tillsyn/A 3557-2025 tillsynsbegäran.docx", "A 3557-2025")</f>
        <v/>
      </c>
      <c r="Y7">
        <f>HYPERLINK("https://klasma.github.io/Logging_2510/tillsynsmail/A 3557-2025 tillsynsbegäran mail.docx", "A 3557-2025")</f>
        <v/>
      </c>
    </row>
    <row r="8" ht="15" customHeight="1">
      <c r="A8" t="inlineStr">
        <is>
          <t>A 27667-2024</t>
        </is>
      </c>
      <c r="B8" s="1" t="n">
        <v>45474</v>
      </c>
      <c r="C8" s="1" t="n">
        <v>45924</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45924</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45924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45924</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45924</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45924</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45924</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45924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45924</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45924</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45924</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45924</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45924</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45924</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45924</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45924</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45924</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45924</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45924</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45924</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45924</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45924</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45924</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45924</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45924</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33343-2025</t>
        </is>
      </c>
      <c r="B33" s="1" t="n">
        <v>45841.36481481481</v>
      </c>
      <c r="C33" s="1" t="n">
        <v>45924</v>
      </c>
      <c r="D33" t="inlineStr">
        <is>
          <t>NORRBOTTENS LÄN</t>
        </is>
      </c>
      <c r="E33" t="inlineStr">
        <is>
          <t>JOKKMOKK</t>
        </is>
      </c>
      <c r="F33" t="inlineStr">
        <is>
          <t>Sveaskog</t>
        </is>
      </c>
      <c r="G33" t="n">
        <v>5.2</v>
      </c>
      <c r="H33" t="n">
        <v>0</v>
      </c>
      <c r="I33" t="n">
        <v>1</v>
      </c>
      <c r="J33" t="n">
        <v>4</v>
      </c>
      <c r="K33" t="n">
        <v>0</v>
      </c>
      <c r="L33" t="n">
        <v>0</v>
      </c>
      <c r="M33" t="n">
        <v>0</v>
      </c>
      <c r="N33" t="n">
        <v>0</v>
      </c>
      <c r="O33" t="n">
        <v>4</v>
      </c>
      <c r="P33" t="n">
        <v>0</v>
      </c>
      <c r="Q33" t="n">
        <v>5</v>
      </c>
      <c r="R33" s="2" t="inlineStr">
        <is>
          <t>Blå taggsvamp
Kolflarnlav
Orange taggsvamp
Svart taggsvamp
Dropptaggsvamp</t>
        </is>
      </c>
      <c r="S33">
        <f>HYPERLINK("https://klasma.github.io/Logging_2510/artfynd/A 33343-2025 artfynd.xlsx", "A 33343-2025")</f>
        <v/>
      </c>
      <c r="T33">
        <f>HYPERLINK("https://klasma.github.io/Logging_2510/kartor/A 33343-2025 karta.png", "A 33343-2025")</f>
        <v/>
      </c>
      <c r="V33">
        <f>HYPERLINK("https://klasma.github.io/Logging_2510/klagomål/A 33343-2025 FSC-klagomål.docx", "A 33343-2025")</f>
        <v/>
      </c>
      <c r="W33">
        <f>HYPERLINK("https://klasma.github.io/Logging_2510/klagomålsmail/A 33343-2025 FSC-klagomål mail.docx", "A 33343-2025")</f>
        <v/>
      </c>
      <c r="X33">
        <f>HYPERLINK("https://klasma.github.io/Logging_2510/tillsyn/A 33343-2025 tillsynsbegäran.docx", "A 33343-2025")</f>
        <v/>
      </c>
      <c r="Y33">
        <f>HYPERLINK("https://klasma.github.io/Logging_2510/tillsynsmail/A 33343-2025 tillsynsbegäran mail.docx", "A 33343-2025")</f>
        <v/>
      </c>
    </row>
    <row r="34" ht="15" customHeight="1">
      <c r="A34" t="inlineStr">
        <is>
          <t>A 59451-2021</t>
        </is>
      </c>
      <c r="B34" s="1" t="n">
        <v>44490</v>
      </c>
      <c r="C34" s="1" t="n">
        <v>45924</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46059-2021</t>
        </is>
      </c>
      <c r="B35" s="1" t="n">
        <v>44441.94325231481</v>
      </c>
      <c r="C35" s="1" t="n">
        <v>45924</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45924</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45924</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33994-2023</t>
        </is>
      </c>
      <c r="B38" s="1" t="n">
        <v>45134</v>
      </c>
      <c r="C38" s="1" t="n">
        <v>45924</v>
      </c>
      <c r="D38" t="inlineStr">
        <is>
          <t>NORRBOTTENS LÄN</t>
        </is>
      </c>
      <c r="E38" t="inlineStr">
        <is>
          <t>JOKKMOKK</t>
        </is>
      </c>
      <c r="G38" t="n">
        <v>9.1</v>
      </c>
      <c r="H38" t="n">
        <v>1</v>
      </c>
      <c r="I38" t="n">
        <v>1</v>
      </c>
      <c r="J38" t="n">
        <v>1</v>
      </c>
      <c r="K38" t="n">
        <v>1</v>
      </c>
      <c r="L38" t="n">
        <v>0</v>
      </c>
      <c r="M38" t="n">
        <v>0</v>
      </c>
      <c r="N38" t="n">
        <v>0</v>
      </c>
      <c r="O38" t="n">
        <v>2</v>
      </c>
      <c r="P38" t="n">
        <v>1</v>
      </c>
      <c r="Q38" t="n">
        <v>3</v>
      </c>
      <c r="R38" s="2" t="inlineStr">
        <is>
          <t>Doftticka
Lunglav
Skinnlav</t>
        </is>
      </c>
      <c r="S38">
        <f>HYPERLINK("https://klasma.github.io/Logging_2510/artfynd/A 33994-2023 artfynd.xlsx", "A 33994-2023")</f>
        <v/>
      </c>
      <c r="T38">
        <f>HYPERLINK("https://klasma.github.io/Logging_2510/kartor/A 33994-2023 karta.png", "A 33994-2023")</f>
        <v/>
      </c>
      <c r="V38">
        <f>HYPERLINK("https://klasma.github.io/Logging_2510/klagomål/A 33994-2023 FSC-klagomål.docx", "A 33994-2023")</f>
        <v/>
      </c>
      <c r="W38">
        <f>HYPERLINK("https://klasma.github.io/Logging_2510/klagomålsmail/A 33994-2023 FSC-klagomål mail.docx", "A 33994-2023")</f>
        <v/>
      </c>
      <c r="X38">
        <f>HYPERLINK("https://klasma.github.io/Logging_2510/tillsyn/A 33994-2023 tillsynsbegäran.docx", "A 33994-2023")</f>
        <v/>
      </c>
      <c r="Y38">
        <f>HYPERLINK("https://klasma.github.io/Logging_2510/tillsynsmail/A 33994-2023 tillsynsbegäran mail.docx", "A 33994-2023")</f>
        <v/>
      </c>
    </row>
    <row r="39" ht="15" customHeight="1">
      <c r="A39" t="inlineStr">
        <is>
          <t>A 24737-2025</t>
        </is>
      </c>
      <c r="B39" s="1" t="n">
        <v>45799.34494212963</v>
      </c>
      <c r="C39" s="1" t="n">
        <v>45924</v>
      </c>
      <c r="D39" t="inlineStr">
        <is>
          <t>NORRBOTTENS LÄN</t>
        </is>
      </c>
      <c r="E39" t="inlineStr">
        <is>
          <t>JOKKMOKK</t>
        </is>
      </c>
      <c r="F39" t="inlineStr">
        <is>
          <t>SCA</t>
        </is>
      </c>
      <c r="G39" t="n">
        <v>12.3</v>
      </c>
      <c r="H39" t="n">
        <v>2</v>
      </c>
      <c r="I39" t="n">
        <v>0</v>
      </c>
      <c r="J39" t="n">
        <v>1</v>
      </c>
      <c r="K39" t="n">
        <v>0</v>
      </c>
      <c r="L39" t="n">
        <v>0</v>
      </c>
      <c r="M39" t="n">
        <v>0</v>
      </c>
      <c r="N39" t="n">
        <v>0</v>
      </c>
      <c r="O39" t="n">
        <v>1</v>
      </c>
      <c r="P39" t="n">
        <v>0</v>
      </c>
      <c r="Q39" t="n">
        <v>3</v>
      </c>
      <c r="R39" s="2" t="inlineStr">
        <is>
          <t>Tallticka
Vanlig groda
Vanlig padda</t>
        </is>
      </c>
      <c r="S39">
        <f>HYPERLINK("https://klasma.github.io/Logging_2510/artfynd/A 24737-2025 artfynd.xlsx", "A 24737-2025")</f>
        <v/>
      </c>
      <c r="T39">
        <f>HYPERLINK("https://klasma.github.io/Logging_2510/kartor/A 24737-2025 karta.png", "A 24737-2025")</f>
        <v/>
      </c>
      <c r="V39">
        <f>HYPERLINK("https://klasma.github.io/Logging_2510/klagomål/A 24737-2025 FSC-klagomål.docx", "A 24737-2025")</f>
        <v/>
      </c>
      <c r="W39">
        <f>HYPERLINK("https://klasma.github.io/Logging_2510/klagomålsmail/A 24737-2025 FSC-klagomål mail.docx", "A 24737-2025")</f>
        <v/>
      </c>
      <c r="X39">
        <f>HYPERLINK("https://klasma.github.io/Logging_2510/tillsyn/A 24737-2025 tillsynsbegäran.docx", "A 24737-2025")</f>
        <v/>
      </c>
      <c r="Y39">
        <f>HYPERLINK("https://klasma.github.io/Logging_2510/tillsynsmail/A 24737-2025 tillsynsbegäran mail.docx", "A 24737-2025")</f>
        <v/>
      </c>
    </row>
    <row r="40" ht="15" customHeight="1">
      <c r="A40" t="inlineStr">
        <is>
          <t>A 26837-2025</t>
        </is>
      </c>
      <c r="B40" s="1" t="n">
        <v>45810</v>
      </c>
      <c r="C40" s="1" t="n">
        <v>45924</v>
      </c>
      <c r="D40" t="inlineStr">
        <is>
          <t>NORRBOTTENS LÄN</t>
        </is>
      </c>
      <c r="E40" t="inlineStr">
        <is>
          <t>JOKKMOKK</t>
        </is>
      </c>
      <c r="G40" t="n">
        <v>23.1</v>
      </c>
      <c r="H40" t="n">
        <v>0</v>
      </c>
      <c r="I40" t="n">
        <v>0</v>
      </c>
      <c r="J40" t="n">
        <v>2</v>
      </c>
      <c r="K40" t="n">
        <v>1</v>
      </c>
      <c r="L40" t="n">
        <v>0</v>
      </c>
      <c r="M40" t="n">
        <v>0</v>
      </c>
      <c r="N40" t="n">
        <v>0</v>
      </c>
      <c r="O40" t="n">
        <v>3</v>
      </c>
      <c r="P40" t="n">
        <v>1</v>
      </c>
      <c r="Q40" t="n">
        <v>3</v>
      </c>
      <c r="R40" s="2" t="inlineStr">
        <is>
          <t>Gräddporing
Dvärgbägarlav
Nordtagging</t>
        </is>
      </c>
      <c r="S40">
        <f>HYPERLINK("https://klasma.github.io/Logging_2510/artfynd/A 26837-2025 artfynd.xlsx", "A 26837-2025")</f>
        <v/>
      </c>
      <c r="T40">
        <f>HYPERLINK("https://klasma.github.io/Logging_2510/kartor/A 26837-2025 karta.png", "A 26837-2025")</f>
        <v/>
      </c>
      <c r="V40">
        <f>HYPERLINK("https://klasma.github.io/Logging_2510/klagomål/A 26837-2025 FSC-klagomål.docx", "A 26837-2025")</f>
        <v/>
      </c>
      <c r="W40">
        <f>HYPERLINK("https://klasma.github.io/Logging_2510/klagomålsmail/A 26837-2025 FSC-klagomål mail.docx", "A 26837-2025")</f>
        <v/>
      </c>
      <c r="X40">
        <f>HYPERLINK("https://klasma.github.io/Logging_2510/tillsyn/A 26837-2025 tillsynsbegäran.docx", "A 26837-2025")</f>
        <v/>
      </c>
      <c r="Y40">
        <f>HYPERLINK("https://klasma.github.io/Logging_2510/tillsynsmail/A 26837-2025 tillsynsbegäran mail.docx", "A 26837-2025")</f>
        <v/>
      </c>
    </row>
    <row r="41" ht="15" customHeight="1">
      <c r="A41" t="inlineStr">
        <is>
          <t>A 33139-2023</t>
        </is>
      </c>
      <c r="B41" s="1" t="n">
        <v>45114</v>
      </c>
      <c r="C41" s="1" t="n">
        <v>45924</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72477-2021</t>
        </is>
      </c>
      <c r="B42" s="1" t="n">
        <v>44545</v>
      </c>
      <c r="C42" s="1" t="n">
        <v>45924</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6435-2025</t>
        </is>
      </c>
      <c r="B43" s="1" t="n">
        <v>45699</v>
      </c>
      <c r="C43" s="1" t="n">
        <v>45924</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32913-2023</t>
        </is>
      </c>
      <c r="B44" s="1" t="n">
        <v>45124</v>
      </c>
      <c r="C44" s="1" t="n">
        <v>45924</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22747-2025</t>
        </is>
      </c>
      <c r="B45" s="1" t="n">
        <v>45789.60505787037</v>
      </c>
      <c r="C45" s="1" t="n">
        <v>45924</v>
      </c>
      <c r="D45" t="inlineStr">
        <is>
          <t>NORRBOTTENS LÄN</t>
        </is>
      </c>
      <c r="E45" t="inlineStr">
        <is>
          <t>JOKKMOKK</t>
        </is>
      </c>
      <c r="F45" t="inlineStr">
        <is>
          <t>Sveaskog</t>
        </is>
      </c>
      <c r="G45" t="n">
        <v>2.3</v>
      </c>
      <c r="H45" t="n">
        <v>0</v>
      </c>
      <c r="I45" t="n">
        <v>0</v>
      </c>
      <c r="J45" t="n">
        <v>1</v>
      </c>
      <c r="K45" t="n">
        <v>2</v>
      </c>
      <c r="L45" t="n">
        <v>0</v>
      </c>
      <c r="M45" t="n">
        <v>0</v>
      </c>
      <c r="N45" t="n">
        <v>0</v>
      </c>
      <c r="O45" t="n">
        <v>3</v>
      </c>
      <c r="P45" t="n">
        <v>2</v>
      </c>
      <c r="Q45" t="n">
        <v>3</v>
      </c>
      <c r="R45" s="2" t="inlineStr">
        <is>
          <t>Smalfotad taggsvamp
Tajgataggsvamp
Orange taggsvamp</t>
        </is>
      </c>
      <c r="S45">
        <f>HYPERLINK("https://klasma.github.io/Logging_2510/artfynd/A 22747-2025 artfynd.xlsx", "A 22747-2025")</f>
        <v/>
      </c>
      <c r="T45">
        <f>HYPERLINK("https://klasma.github.io/Logging_2510/kartor/A 22747-2025 karta.png", "A 22747-2025")</f>
        <v/>
      </c>
      <c r="V45">
        <f>HYPERLINK("https://klasma.github.io/Logging_2510/klagomål/A 22747-2025 FSC-klagomål.docx", "A 22747-2025")</f>
        <v/>
      </c>
      <c r="W45">
        <f>HYPERLINK("https://klasma.github.io/Logging_2510/klagomålsmail/A 22747-2025 FSC-klagomål mail.docx", "A 22747-2025")</f>
        <v/>
      </c>
      <c r="X45">
        <f>HYPERLINK("https://klasma.github.io/Logging_2510/tillsyn/A 22747-2025 tillsynsbegäran.docx", "A 22747-2025")</f>
        <v/>
      </c>
      <c r="Y45">
        <f>HYPERLINK("https://klasma.github.io/Logging_2510/tillsynsmail/A 22747-2025 tillsynsbegäran mail.docx", "A 22747-2025")</f>
        <v/>
      </c>
    </row>
    <row r="46" ht="15" customHeight="1">
      <c r="A46" t="inlineStr">
        <is>
          <t>A 24408-2022</t>
        </is>
      </c>
      <c r="B46" s="1" t="n">
        <v>44726</v>
      </c>
      <c r="C46" s="1" t="n">
        <v>45924</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45924</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29679-2024</t>
        </is>
      </c>
      <c r="B48" s="1" t="n">
        <v>45484</v>
      </c>
      <c r="C48" s="1" t="n">
        <v>45924</v>
      </c>
      <c r="D48" t="inlineStr">
        <is>
          <t>NORRBOTTENS LÄN</t>
        </is>
      </c>
      <c r="E48" t="inlineStr">
        <is>
          <t>JOKKMOKK</t>
        </is>
      </c>
      <c r="F48" t="inlineStr">
        <is>
          <t>SCA</t>
        </is>
      </c>
      <c r="G48" t="n">
        <v>16.1</v>
      </c>
      <c r="H48" t="n">
        <v>0</v>
      </c>
      <c r="I48" t="n">
        <v>1</v>
      </c>
      <c r="J48" t="n">
        <v>1</v>
      </c>
      <c r="K48" t="n">
        <v>0</v>
      </c>
      <c r="L48" t="n">
        <v>0</v>
      </c>
      <c r="M48" t="n">
        <v>0</v>
      </c>
      <c r="N48" t="n">
        <v>0</v>
      </c>
      <c r="O48" t="n">
        <v>1</v>
      </c>
      <c r="P48" t="n">
        <v>0</v>
      </c>
      <c r="Q48" t="n">
        <v>2</v>
      </c>
      <c r="R48" s="2" t="inlineStr">
        <is>
          <t>Kolflarnlav
Gytterlav</t>
        </is>
      </c>
      <c r="S48">
        <f>HYPERLINK("https://klasma.github.io/Logging_2510/artfynd/A 29679-2024 artfynd.xlsx", "A 29679-2024")</f>
        <v/>
      </c>
      <c r="T48">
        <f>HYPERLINK("https://klasma.github.io/Logging_2510/kartor/A 29679-2024 karta.png", "A 29679-2024")</f>
        <v/>
      </c>
      <c r="V48">
        <f>HYPERLINK("https://klasma.github.io/Logging_2510/klagomål/A 29679-2024 FSC-klagomål.docx", "A 29679-2024")</f>
        <v/>
      </c>
      <c r="W48">
        <f>HYPERLINK("https://klasma.github.io/Logging_2510/klagomålsmail/A 29679-2024 FSC-klagomål mail.docx", "A 29679-2024")</f>
        <v/>
      </c>
      <c r="X48">
        <f>HYPERLINK("https://klasma.github.io/Logging_2510/tillsyn/A 29679-2024 tillsynsbegäran.docx", "A 29679-2024")</f>
        <v/>
      </c>
      <c r="Y48">
        <f>HYPERLINK("https://klasma.github.io/Logging_2510/tillsynsmail/A 29679-2024 tillsynsbegäran mail.docx", "A 29679-2024")</f>
        <v/>
      </c>
    </row>
    <row r="49" ht="15" customHeight="1">
      <c r="A49" t="inlineStr">
        <is>
          <t>A 38607-2025</t>
        </is>
      </c>
      <c r="B49" s="1" t="n">
        <v>45884.53171296296</v>
      </c>
      <c r="C49" s="1" t="n">
        <v>45924</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32982-2023</t>
        </is>
      </c>
      <c r="B50" s="1" t="n">
        <v>45113</v>
      </c>
      <c r="C50" s="1" t="n">
        <v>45924</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45924</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36594-2021</t>
        </is>
      </c>
      <c r="B52" s="1" t="n">
        <v>44391</v>
      </c>
      <c r="C52" s="1" t="n">
        <v>45924</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43023-2024</t>
        </is>
      </c>
      <c r="B53" s="1" t="n">
        <v>45567</v>
      </c>
      <c r="C53" s="1" t="n">
        <v>45924</v>
      </c>
      <c r="D53" t="inlineStr">
        <is>
          <t>NORRBOTTENS LÄN</t>
        </is>
      </c>
      <c r="E53" t="inlineStr">
        <is>
          <t>JOKKMOKK</t>
        </is>
      </c>
      <c r="F53" t="inlineStr">
        <is>
          <t>Sveaskog</t>
        </is>
      </c>
      <c r="G53" t="n">
        <v>11.1</v>
      </c>
      <c r="H53" t="n">
        <v>0</v>
      </c>
      <c r="I53" t="n">
        <v>1</v>
      </c>
      <c r="J53" t="n">
        <v>0</v>
      </c>
      <c r="K53" t="n">
        <v>0</v>
      </c>
      <c r="L53" t="n">
        <v>0</v>
      </c>
      <c r="M53" t="n">
        <v>0</v>
      </c>
      <c r="N53" t="n">
        <v>0</v>
      </c>
      <c r="O53" t="n">
        <v>0</v>
      </c>
      <c r="P53" t="n">
        <v>0</v>
      </c>
      <c r="Q53" t="n">
        <v>1</v>
      </c>
      <c r="R53" s="2" t="inlineStr">
        <is>
          <t>Skarp dropptaggsvamp</t>
        </is>
      </c>
      <c r="S53">
        <f>HYPERLINK("https://klasma.github.io/Logging_2510/artfynd/A 43023-2024 artfynd.xlsx", "A 43023-2024")</f>
        <v/>
      </c>
      <c r="T53">
        <f>HYPERLINK("https://klasma.github.io/Logging_2510/kartor/A 43023-2024 karta.png", "A 43023-2024")</f>
        <v/>
      </c>
      <c r="V53">
        <f>HYPERLINK("https://klasma.github.io/Logging_2510/klagomål/A 43023-2024 FSC-klagomål.docx", "A 43023-2024")</f>
        <v/>
      </c>
      <c r="W53">
        <f>HYPERLINK("https://klasma.github.io/Logging_2510/klagomålsmail/A 43023-2024 FSC-klagomål mail.docx", "A 43023-2024")</f>
        <v/>
      </c>
      <c r="X53">
        <f>HYPERLINK("https://klasma.github.io/Logging_2510/tillsyn/A 43023-2024 tillsynsbegäran.docx", "A 43023-2024")</f>
        <v/>
      </c>
      <c r="Y53">
        <f>HYPERLINK("https://klasma.github.io/Logging_2510/tillsynsmail/A 43023-2024 tillsynsbegäran mail.docx", "A 43023-2024")</f>
        <v/>
      </c>
    </row>
    <row r="54" ht="15" customHeight="1">
      <c r="A54" t="inlineStr">
        <is>
          <t>A 52260-2024</t>
        </is>
      </c>
      <c r="B54" s="1" t="n">
        <v>45608</v>
      </c>
      <c r="C54" s="1" t="n">
        <v>45924</v>
      </c>
      <c r="D54" t="inlineStr">
        <is>
          <t>NORRBOTTENS LÄN</t>
        </is>
      </c>
      <c r="E54" t="inlineStr">
        <is>
          <t>JOKKMOKK</t>
        </is>
      </c>
      <c r="F54" t="inlineStr">
        <is>
          <t>Allmännings- och besparingsskogar</t>
        </is>
      </c>
      <c r="G54" t="n">
        <v>11.6</v>
      </c>
      <c r="H54" t="n">
        <v>0</v>
      </c>
      <c r="I54" t="n">
        <v>0</v>
      </c>
      <c r="J54" t="n">
        <v>1</v>
      </c>
      <c r="K54" t="n">
        <v>0</v>
      </c>
      <c r="L54" t="n">
        <v>0</v>
      </c>
      <c r="M54" t="n">
        <v>0</v>
      </c>
      <c r="N54" t="n">
        <v>0</v>
      </c>
      <c r="O54" t="n">
        <v>1</v>
      </c>
      <c r="P54" t="n">
        <v>0</v>
      </c>
      <c r="Q54" t="n">
        <v>1</v>
      </c>
      <c r="R54" s="2" t="inlineStr">
        <is>
          <t>Tallticka</t>
        </is>
      </c>
      <c r="S54">
        <f>HYPERLINK("https://klasma.github.io/Logging_2510/artfynd/A 52260-2024 artfynd.xlsx", "A 52260-2024")</f>
        <v/>
      </c>
      <c r="T54">
        <f>HYPERLINK("https://klasma.github.io/Logging_2510/kartor/A 52260-2024 karta.png", "A 52260-2024")</f>
        <v/>
      </c>
      <c r="V54">
        <f>HYPERLINK("https://klasma.github.io/Logging_2510/klagomål/A 52260-2024 FSC-klagomål.docx", "A 52260-2024")</f>
        <v/>
      </c>
      <c r="W54">
        <f>HYPERLINK("https://klasma.github.io/Logging_2510/klagomålsmail/A 52260-2024 FSC-klagomål mail.docx", "A 52260-2024")</f>
        <v/>
      </c>
      <c r="X54">
        <f>HYPERLINK("https://klasma.github.io/Logging_2510/tillsyn/A 52260-2024 tillsynsbegäran.docx", "A 52260-2024")</f>
        <v/>
      </c>
      <c r="Y54">
        <f>HYPERLINK("https://klasma.github.io/Logging_2510/tillsynsmail/A 52260-2024 tillsynsbegäran mail.docx", "A 52260-2024")</f>
        <v/>
      </c>
    </row>
    <row r="55" ht="15" customHeight="1">
      <c r="A55" t="inlineStr">
        <is>
          <t>A 29859-2025</t>
        </is>
      </c>
      <c r="B55" s="1" t="n">
        <v>45826.34621527778</v>
      </c>
      <c r="C55" s="1" t="n">
        <v>45924</v>
      </c>
      <c r="D55" t="inlineStr">
        <is>
          <t>NORRBOTTENS LÄN</t>
        </is>
      </c>
      <c r="E55" t="inlineStr">
        <is>
          <t>JOKKMOKK</t>
        </is>
      </c>
      <c r="F55" t="inlineStr">
        <is>
          <t>SCA</t>
        </is>
      </c>
      <c r="G55" t="n">
        <v>2.9</v>
      </c>
      <c r="H55" t="n">
        <v>0</v>
      </c>
      <c r="I55" t="n">
        <v>0</v>
      </c>
      <c r="J55" t="n">
        <v>0</v>
      </c>
      <c r="K55" t="n">
        <v>1</v>
      </c>
      <c r="L55" t="n">
        <v>0</v>
      </c>
      <c r="M55" t="n">
        <v>0</v>
      </c>
      <c r="N55" t="n">
        <v>0</v>
      </c>
      <c r="O55" t="n">
        <v>1</v>
      </c>
      <c r="P55" t="n">
        <v>1</v>
      </c>
      <c r="Q55" t="n">
        <v>1</v>
      </c>
      <c r="R55" s="2" t="inlineStr">
        <is>
          <t>Tallgråticka</t>
        </is>
      </c>
      <c r="S55">
        <f>HYPERLINK("https://klasma.github.io/Logging_2510/artfynd/A 29859-2025 artfynd.xlsx", "A 29859-2025")</f>
        <v/>
      </c>
      <c r="T55">
        <f>HYPERLINK("https://klasma.github.io/Logging_2510/kartor/A 29859-2025 karta.png", "A 29859-2025")</f>
        <v/>
      </c>
      <c r="V55">
        <f>HYPERLINK("https://klasma.github.io/Logging_2510/klagomål/A 29859-2025 FSC-klagomål.docx", "A 29859-2025")</f>
        <v/>
      </c>
      <c r="W55">
        <f>HYPERLINK("https://klasma.github.io/Logging_2510/klagomålsmail/A 29859-2025 FSC-klagomål mail.docx", "A 29859-2025")</f>
        <v/>
      </c>
      <c r="X55">
        <f>HYPERLINK("https://klasma.github.io/Logging_2510/tillsyn/A 29859-2025 tillsynsbegäran.docx", "A 29859-2025")</f>
        <v/>
      </c>
      <c r="Y55">
        <f>HYPERLINK("https://klasma.github.io/Logging_2510/tillsynsmail/A 29859-2025 tillsynsbegäran mail.docx", "A 29859-2025")</f>
        <v/>
      </c>
    </row>
    <row r="56" ht="15" customHeight="1">
      <c r="A56" t="inlineStr">
        <is>
          <t>A 43039-2024</t>
        </is>
      </c>
      <c r="B56" s="1" t="n">
        <v>45567</v>
      </c>
      <c r="C56" s="1" t="n">
        <v>45924</v>
      </c>
      <c r="D56" t="inlineStr">
        <is>
          <t>NORRBOTTENS LÄN</t>
        </is>
      </c>
      <c r="E56" t="inlineStr">
        <is>
          <t>JOKKMOKK</t>
        </is>
      </c>
      <c r="F56" t="inlineStr">
        <is>
          <t>Sveaskog</t>
        </is>
      </c>
      <c r="G56" t="n">
        <v>8.199999999999999</v>
      </c>
      <c r="H56" t="n">
        <v>1</v>
      </c>
      <c r="I56" t="n">
        <v>0</v>
      </c>
      <c r="J56" t="n">
        <v>0</v>
      </c>
      <c r="K56" t="n">
        <v>1</v>
      </c>
      <c r="L56" t="n">
        <v>0</v>
      </c>
      <c r="M56" t="n">
        <v>0</v>
      </c>
      <c r="N56" t="n">
        <v>0</v>
      </c>
      <c r="O56" t="n">
        <v>1</v>
      </c>
      <c r="P56" t="n">
        <v>1</v>
      </c>
      <c r="Q56" t="n">
        <v>1</v>
      </c>
      <c r="R56" s="2" t="inlineStr">
        <is>
          <t>Doftticka</t>
        </is>
      </c>
      <c r="S56">
        <f>HYPERLINK("https://klasma.github.io/Logging_2510/artfynd/A 43039-2024 artfynd.xlsx", "A 43039-2024")</f>
        <v/>
      </c>
      <c r="T56">
        <f>HYPERLINK("https://klasma.github.io/Logging_2510/kartor/A 43039-2024 karta.png", "A 43039-2024")</f>
        <v/>
      </c>
      <c r="V56">
        <f>HYPERLINK("https://klasma.github.io/Logging_2510/klagomål/A 43039-2024 FSC-klagomål.docx", "A 43039-2024")</f>
        <v/>
      </c>
      <c r="W56">
        <f>HYPERLINK("https://klasma.github.io/Logging_2510/klagomålsmail/A 43039-2024 FSC-klagomål mail.docx", "A 43039-2024")</f>
        <v/>
      </c>
      <c r="X56">
        <f>HYPERLINK("https://klasma.github.io/Logging_2510/tillsyn/A 43039-2024 tillsynsbegäran.docx", "A 43039-2024")</f>
        <v/>
      </c>
      <c r="Y56">
        <f>HYPERLINK("https://klasma.github.io/Logging_2510/tillsynsmail/A 43039-2024 tillsynsbegäran mail.docx", "A 43039-2024")</f>
        <v/>
      </c>
    </row>
    <row r="57" ht="15" customHeight="1">
      <c r="A57" t="inlineStr">
        <is>
          <t>A 32669-2025</t>
        </is>
      </c>
      <c r="B57" s="1" t="n">
        <v>45838.69793981482</v>
      </c>
      <c r="C57" s="1" t="n">
        <v>45924</v>
      </c>
      <c r="D57" t="inlineStr">
        <is>
          <t>NORRBOTTENS LÄN</t>
        </is>
      </c>
      <c r="E57" t="inlineStr">
        <is>
          <t>JOKKMOKK</t>
        </is>
      </c>
      <c r="F57" t="inlineStr">
        <is>
          <t>Sveaskog</t>
        </is>
      </c>
      <c r="G57" t="n">
        <v>14.6</v>
      </c>
      <c r="H57" t="n">
        <v>1</v>
      </c>
      <c r="I57" t="n">
        <v>1</v>
      </c>
      <c r="J57" t="n">
        <v>0</v>
      </c>
      <c r="K57" t="n">
        <v>0</v>
      </c>
      <c r="L57" t="n">
        <v>0</v>
      </c>
      <c r="M57" t="n">
        <v>0</v>
      </c>
      <c r="N57" t="n">
        <v>0</v>
      </c>
      <c r="O57" t="n">
        <v>0</v>
      </c>
      <c r="P57" t="n">
        <v>0</v>
      </c>
      <c r="Q57" t="n">
        <v>1</v>
      </c>
      <c r="R57" s="2" t="inlineStr">
        <is>
          <t>Plattlummer</t>
        </is>
      </c>
      <c r="S57">
        <f>HYPERLINK("https://klasma.github.io/Logging_2510/artfynd/A 32669-2025 artfynd.xlsx", "A 32669-2025")</f>
        <v/>
      </c>
      <c r="T57">
        <f>HYPERLINK("https://klasma.github.io/Logging_2510/kartor/A 32669-2025 karta.png", "A 32669-2025")</f>
        <v/>
      </c>
      <c r="V57">
        <f>HYPERLINK("https://klasma.github.io/Logging_2510/klagomål/A 32669-2025 FSC-klagomål.docx", "A 32669-2025")</f>
        <v/>
      </c>
      <c r="W57">
        <f>HYPERLINK("https://klasma.github.io/Logging_2510/klagomålsmail/A 32669-2025 FSC-klagomål mail.docx", "A 32669-2025")</f>
        <v/>
      </c>
      <c r="X57">
        <f>HYPERLINK("https://klasma.github.io/Logging_2510/tillsyn/A 32669-2025 tillsynsbegäran.docx", "A 32669-2025")</f>
        <v/>
      </c>
      <c r="Y57">
        <f>HYPERLINK("https://klasma.github.io/Logging_2510/tillsynsmail/A 32669-2025 tillsynsbegäran mail.docx", "A 32669-2025")</f>
        <v/>
      </c>
    </row>
    <row r="58" ht="15" customHeight="1">
      <c r="A58" t="inlineStr">
        <is>
          <t>A 34135-2025</t>
        </is>
      </c>
      <c r="B58" s="1" t="n">
        <v>45845.5409375</v>
      </c>
      <c r="C58" s="1" t="n">
        <v>45924</v>
      </c>
      <c r="D58" t="inlineStr">
        <is>
          <t>NORRBOTTENS LÄN</t>
        </is>
      </c>
      <c r="E58" t="inlineStr">
        <is>
          <t>JOKKMOKK</t>
        </is>
      </c>
      <c r="G58" t="n">
        <v>4.8</v>
      </c>
      <c r="H58" t="n">
        <v>0</v>
      </c>
      <c r="I58" t="n">
        <v>0</v>
      </c>
      <c r="J58" t="n">
        <v>1</v>
      </c>
      <c r="K58" t="n">
        <v>0</v>
      </c>
      <c r="L58" t="n">
        <v>0</v>
      </c>
      <c r="M58" t="n">
        <v>0</v>
      </c>
      <c r="N58" t="n">
        <v>0</v>
      </c>
      <c r="O58" t="n">
        <v>1</v>
      </c>
      <c r="P58" t="n">
        <v>0</v>
      </c>
      <c r="Q58" t="n">
        <v>1</v>
      </c>
      <c r="R58" s="2" t="inlineStr">
        <is>
          <t>Svart taggsvamp</t>
        </is>
      </c>
      <c r="S58">
        <f>HYPERLINK("https://klasma.github.io/Logging_2510/artfynd/A 34135-2025 artfynd.xlsx", "A 34135-2025")</f>
        <v/>
      </c>
      <c r="T58">
        <f>HYPERLINK("https://klasma.github.io/Logging_2510/kartor/A 34135-2025 karta.png", "A 34135-2025")</f>
        <v/>
      </c>
      <c r="V58">
        <f>HYPERLINK("https://klasma.github.io/Logging_2510/klagomål/A 34135-2025 FSC-klagomål.docx", "A 34135-2025")</f>
        <v/>
      </c>
      <c r="W58">
        <f>HYPERLINK("https://klasma.github.io/Logging_2510/klagomålsmail/A 34135-2025 FSC-klagomål mail.docx", "A 34135-2025")</f>
        <v/>
      </c>
      <c r="X58">
        <f>HYPERLINK("https://klasma.github.io/Logging_2510/tillsyn/A 34135-2025 tillsynsbegäran.docx", "A 34135-2025")</f>
        <v/>
      </c>
      <c r="Y58">
        <f>HYPERLINK("https://klasma.github.io/Logging_2510/tillsynsmail/A 34135-2025 tillsynsbegäran mail.docx", "A 34135-2025")</f>
        <v/>
      </c>
    </row>
    <row r="59" ht="15" customHeight="1">
      <c r="A59" t="inlineStr">
        <is>
          <t>A 51875-2020</t>
        </is>
      </c>
      <c r="B59" s="1" t="n">
        <v>44109</v>
      </c>
      <c r="C59" s="1" t="n">
        <v>45924</v>
      </c>
      <c r="D59" t="inlineStr">
        <is>
          <t>NORRBOTTENS LÄN</t>
        </is>
      </c>
      <c r="E59" t="inlineStr">
        <is>
          <t>JOKKMOKK</t>
        </is>
      </c>
      <c r="F59" t="inlineStr">
        <is>
          <t>Allmännings- och besparingsskogar</t>
        </is>
      </c>
      <c r="G59" t="n">
        <v>28</v>
      </c>
      <c r="H59" t="n">
        <v>0</v>
      </c>
      <c r="I59" t="n">
        <v>0</v>
      </c>
      <c r="J59" t="n">
        <v>1</v>
      </c>
      <c r="K59" t="n">
        <v>0</v>
      </c>
      <c r="L59" t="n">
        <v>0</v>
      </c>
      <c r="M59" t="n">
        <v>0</v>
      </c>
      <c r="N59" t="n">
        <v>0</v>
      </c>
      <c r="O59" t="n">
        <v>1</v>
      </c>
      <c r="P59" t="n">
        <v>0</v>
      </c>
      <c r="Q59" t="n">
        <v>1</v>
      </c>
      <c r="R59" s="2" t="inlineStr">
        <is>
          <t>Vitplätt</t>
        </is>
      </c>
      <c r="S59">
        <f>HYPERLINK("https://klasma.github.io/Logging_2510/artfynd/A 51875-2020 artfynd.xlsx", "A 51875-2020")</f>
        <v/>
      </c>
      <c r="T59">
        <f>HYPERLINK("https://klasma.github.io/Logging_2510/kartor/A 51875-2020 karta.png", "A 51875-2020")</f>
        <v/>
      </c>
      <c r="V59">
        <f>HYPERLINK("https://klasma.github.io/Logging_2510/klagomål/A 51875-2020 FSC-klagomål.docx", "A 51875-2020")</f>
        <v/>
      </c>
      <c r="W59">
        <f>HYPERLINK("https://klasma.github.io/Logging_2510/klagomålsmail/A 51875-2020 FSC-klagomål mail.docx", "A 51875-2020")</f>
        <v/>
      </c>
      <c r="X59">
        <f>HYPERLINK("https://klasma.github.io/Logging_2510/tillsyn/A 51875-2020 tillsynsbegäran.docx", "A 51875-2020")</f>
        <v/>
      </c>
      <c r="Y59">
        <f>HYPERLINK("https://klasma.github.io/Logging_2510/tillsynsmail/A 51875-2020 tillsynsbegäran mail.docx", "A 51875-2020")</f>
        <v/>
      </c>
    </row>
    <row r="60" ht="15" customHeight="1">
      <c r="A60" t="inlineStr">
        <is>
          <t>A 39850-2025</t>
        </is>
      </c>
      <c r="B60" s="1" t="n">
        <v>45891.58591435185</v>
      </c>
      <c r="C60" s="1" t="n">
        <v>45924</v>
      </c>
      <c r="D60" t="inlineStr">
        <is>
          <t>NORRBOTTENS LÄN</t>
        </is>
      </c>
      <c r="E60" t="inlineStr">
        <is>
          <t>JOKKMOKK</t>
        </is>
      </c>
      <c r="F60" t="inlineStr">
        <is>
          <t>Sveaskog</t>
        </is>
      </c>
      <c r="G60" t="n">
        <v>4.5</v>
      </c>
      <c r="H60" t="n">
        <v>0</v>
      </c>
      <c r="I60" t="n">
        <v>0</v>
      </c>
      <c r="J60" t="n">
        <v>1</v>
      </c>
      <c r="K60" t="n">
        <v>0</v>
      </c>
      <c r="L60" t="n">
        <v>0</v>
      </c>
      <c r="M60" t="n">
        <v>0</v>
      </c>
      <c r="N60" t="n">
        <v>0</v>
      </c>
      <c r="O60" t="n">
        <v>1</v>
      </c>
      <c r="P60" t="n">
        <v>0</v>
      </c>
      <c r="Q60" t="n">
        <v>1</v>
      </c>
      <c r="R60" s="2" t="inlineStr">
        <is>
          <t>Blanksvart spiklav</t>
        </is>
      </c>
      <c r="S60">
        <f>HYPERLINK("https://klasma.github.io/Logging_2510/artfynd/A 39850-2025 artfynd.xlsx", "A 39850-2025")</f>
        <v/>
      </c>
      <c r="T60">
        <f>HYPERLINK("https://klasma.github.io/Logging_2510/kartor/A 39850-2025 karta.png", "A 39850-2025")</f>
        <v/>
      </c>
      <c r="U60">
        <f>HYPERLINK("https://klasma.github.io/Logging_2510/knärot/A 39850-2025 karta knärot.png", "A 39850-2025")</f>
        <v/>
      </c>
      <c r="V60">
        <f>HYPERLINK("https://klasma.github.io/Logging_2510/klagomål/A 39850-2025 FSC-klagomål.docx", "A 39850-2025")</f>
        <v/>
      </c>
      <c r="W60">
        <f>HYPERLINK("https://klasma.github.io/Logging_2510/klagomålsmail/A 39850-2025 FSC-klagomål mail.docx", "A 39850-2025")</f>
        <v/>
      </c>
      <c r="X60">
        <f>HYPERLINK("https://klasma.github.io/Logging_2510/tillsyn/A 39850-2025 tillsynsbegäran.docx", "A 39850-2025")</f>
        <v/>
      </c>
      <c r="Y60">
        <f>HYPERLINK("https://klasma.github.io/Logging_2510/tillsynsmail/A 39850-2025 tillsynsbegäran mail.docx", "A 39850-2025")</f>
        <v/>
      </c>
    </row>
    <row r="61" ht="15" customHeight="1">
      <c r="A61" t="inlineStr">
        <is>
          <t>A 44147-2024</t>
        </is>
      </c>
      <c r="B61" s="1" t="n">
        <v>45572.67306712963</v>
      </c>
      <c r="C61" s="1" t="n">
        <v>45924</v>
      </c>
      <c r="D61" t="inlineStr">
        <is>
          <t>NORRBOTTENS LÄN</t>
        </is>
      </c>
      <c r="E61" t="inlineStr">
        <is>
          <t>JOKKMOKK</t>
        </is>
      </c>
      <c r="F61" t="inlineStr">
        <is>
          <t>Sveaskog</t>
        </is>
      </c>
      <c r="G61" t="n">
        <v>6.2</v>
      </c>
      <c r="H61" t="n">
        <v>1</v>
      </c>
      <c r="I61" t="n">
        <v>1</v>
      </c>
      <c r="J61" t="n">
        <v>0</v>
      </c>
      <c r="K61" t="n">
        <v>0</v>
      </c>
      <c r="L61" t="n">
        <v>0</v>
      </c>
      <c r="M61" t="n">
        <v>0</v>
      </c>
      <c r="N61" t="n">
        <v>0</v>
      </c>
      <c r="O61" t="n">
        <v>0</v>
      </c>
      <c r="P61" t="n">
        <v>0</v>
      </c>
      <c r="Q61" t="n">
        <v>1</v>
      </c>
      <c r="R61" s="2" t="inlineStr">
        <is>
          <t>Plattlummer</t>
        </is>
      </c>
      <c r="S61">
        <f>HYPERLINK("https://klasma.github.io/Logging_2510/artfynd/A 44147-2024 artfynd.xlsx", "A 44147-2024")</f>
        <v/>
      </c>
      <c r="T61">
        <f>HYPERLINK("https://klasma.github.io/Logging_2510/kartor/A 44147-2024 karta.png", "A 44147-2024")</f>
        <v/>
      </c>
      <c r="V61">
        <f>HYPERLINK("https://klasma.github.io/Logging_2510/klagomål/A 44147-2024 FSC-klagomål.docx", "A 44147-2024")</f>
        <v/>
      </c>
      <c r="W61">
        <f>HYPERLINK("https://klasma.github.io/Logging_2510/klagomålsmail/A 44147-2024 FSC-klagomål mail.docx", "A 44147-2024")</f>
        <v/>
      </c>
      <c r="X61">
        <f>HYPERLINK("https://klasma.github.io/Logging_2510/tillsyn/A 44147-2024 tillsynsbegäran.docx", "A 44147-2024")</f>
        <v/>
      </c>
      <c r="Y61">
        <f>HYPERLINK("https://klasma.github.io/Logging_2510/tillsynsmail/A 44147-2024 tillsynsbegäran mail.docx", "A 44147-2024")</f>
        <v/>
      </c>
    </row>
    <row r="62" ht="15" customHeight="1">
      <c r="A62" t="inlineStr">
        <is>
          <t>A 72480-2021</t>
        </is>
      </c>
      <c r="B62" s="1" t="n">
        <v>44545</v>
      </c>
      <c r="C62" s="1" t="n">
        <v>45924</v>
      </c>
      <c r="D62" t="inlineStr">
        <is>
          <t>NORRBOTTENS LÄN</t>
        </is>
      </c>
      <c r="E62" t="inlineStr">
        <is>
          <t>JOKKMOKK</t>
        </is>
      </c>
      <c r="G62" t="n">
        <v>8.800000000000001</v>
      </c>
      <c r="H62" t="n">
        <v>0</v>
      </c>
      <c r="I62" t="n">
        <v>0</v>
      </c>
      <c r="J62" t="n">
        <v>1</v>
      </c>
      <c r="K62" t="n">
        <v>0</v>
      </c>
      <c r="L62" t="n">
        <v>0</v>
      </c>
      <c r="M62" t="n">
        <v>0</v>
      </c>
      <c r="N62" t="n">
        <v>0</v>
      </c>
      <c r="O62" t="n">
        <v>1</v>
      </c>
      <c r="P62" t="n">
        <v>0</v>
      </c>
      <c r="Q62" t="n">
        <v>1</v>
      </c>
      <c r="R62" s="2" t="inlineStr">
        <is>
          <t>Dvärgbägarlav</t>
        </is>
      </c>
      <c r="S62">
        <f>HYPERLINK("https://klasma.github.io/Logging_2510/artfynd/A 72480-2021 artfynd.xlsx", "A 72480-2021")</f>
        <v/>
      </c>
      <c r="T62">
        <f>HYPERLINK("https://klasma.github.io/Logging_2510/kartor/A 72480-2021 karta.png", "A 72480-2021")</f>
        <v/>
      </c>
      <c r="V62">
        <f>HYPERLINK("https://klasma.github.io/Logging_2510/klagomål/A 72480-2021 FSC-klagomål.docx", "A 72480-2021")</f>
        <v/>
      </c>
      <c r="W62">
        <f>HYPERLINK("https://klasma.github.io/Logging_2510/klagomålsmail/A 72480-2021 FSC-klagomål mail.docx", "A 72480-2021")</f>
        <v/>
      </c>
      <c r="X62">
        <f>HYPERLINK("https://klasma.github.io/Logging_2510/tillsyn/A 72480-2021 tillsynsbegäran.docx", "A 72480-2021")</f>
        <v/>
      </c>
      <c r="Y62">
        <f>HYPERLINK("https://klasma.github.io/Logging_2510/tillsynsmail/A 72480-2021 tillsynsbegäran mail.docx", "A 72480-2021")</f>
        <v/>
      </c>
    </row>
    <row r="63" ht="15" customHeight="1">
      <c r="A63" t="inlineStr">
        <is>
          <t>A 42834-2025</t>
        </is>
      </c>
      <c r="B63" s="1" t="n">
        <v>45908.57949074074</v>
      </c>
      <c r="C63" s="1" t="n">
        <v>45924</v>
      </c>
      <c r="D63" t="inlineStr">
        <is>
          <t>NORRBOTTENS LÄN</t>
        </is>
      </c>
      <c r="E63" t="inlineStr">
        <is>
          <t>JOKKMOKK</t>
        </is>
      </c>
      <c r="F63" t="inlineStr">
        <is>
          <t>Sveaskog</t>
        </is>
      </c>
      <c r="G63" t="n">
        <v>11.2</v>
      </c>
      <c r="H63" t="n">
        <v>1</v>
      </c>
      <c r="I63" t="n">
        <v>0</v>
      </c>
      <c r="J63" t="n">
        <v>0</v>
      </c>
      <c r="K63" t="n">
        <v>1</v>
      </c>
      <c r="L63" t="n">
        <v>0</v>
      </c>
      <c r="M63" t="n">
        <v>0</v>
      </c>
      <c r="N63" t="n">
        <v>0</v>
      </c>
      <c r="O63" t="n">
        <v>1</v>
      </c>
      <c r="P63" t="n">
        <v>1</v>
      </c>
      <c r="Q63" t="n">
        <v>1</v>
      </c>
      <c r="R63" s="2" t="inlineStr">
        <is>
          <t>Knärot</t>
        </is>
      </c>
      <c r="S63">
        <f>HYPERLINK("https://klasma.github.io/Logging_2510/artfynd/A 42834-2025 artfynd.xlsx", "A 42834-2025")</f>
        <v/>
      </c>
      <c r="T63">
        <f>HYPERLINK("https://klasma.github.io/Logging_2510/kartor/A 42834-2025 karta.png", "A 42834-2025")</f>
        <v/>
      </c>
      <c r="U63">
        <f>HYPERLINK("https://klasma.github.io/Logging_2510/knärot/A 42834-2025 karta knärot.png", "A 42834-2025")</f>
        <v/>
      </c>
      <c r="V63">
        <f>HYPERLINK("https://klasma.github.io/Logging_2510/klagomål/A 42834-2025 FSC-klagomål.docx", "A 42834-2025")</f>
        <v/>
      </c>
      <c r="W63">
        <f>HYPERLINK("https://klasma.github.io/Logging_2510/klagomålsmail/A 42834-2025 FSC-klagomål mail.docx", "A 42834-2025")</f>
        <v/>
      </c>
      <c r="X63">
        <f>HYPERLINK("https://klasma.github.io/Logging_2510/tillsyn/A 42834-2025 tillsynsbegäran.docx", "A 42834-2025")</f>
        <v/>
      </c>
      <c r="Y63">
        <f>HYPERLINK("https://klasma.github.io/Logging_2510/tillsynsmail/A 42834-2025 tillsynsbegäran mail.docx", "A 42834-2025")</f>
        <v/>
      </c>
    </row>
    <row r="64" ht="15" customHeight="1">
      <c r="A64" t="inlineStr">
        <is>
          <t>A 40466-2023</t>
        </is>
      </c>
      <c r="B64" s="1" t="n">
        <v>45170</v>
      </c>
      <c r="C64" s="1" t="n">
        <v>45924</v>
      </c>
      <c r="D64" t="inlineStr">
        <is>
          <t>NORRBOTTENS LÄN</t>
        </is>
      </c>
      <c r="E64" t="inlineStr">
        <is>
          <t>JOKKMOKK</t>
        </is>
      </c>
      <c r="F64" t="inlineStr">
        <is>
          <t>Sveaskog</t>
        </is>
      </c>
      <c r="G64" t="n">
        <v>1.5</v>
      </c>
      <c r="H64" t="n">
        <v>0</v>
      </c>
      <c r="I64" t="n">
        <v>0</v>
      </c>
      <c r="J64" t="n">
        <v>1</v>
      </c>
      <c r="K64" t="n">
        <v>0</v>
      </c>
      <c r="L64" t="n">
        <v>0</v>
      </c>
      <c r="M64" t="n">
        <v>0</v>
      </c>
      <c r="N64" t="n">
        <v>0</v>
      </c>
      <c r="O64" t="n">
        <v>1</v>
      </c>
      <c r="P64" t="n">
        <v>0</v>
      </c>
      <c r="Q64" t="n">
        <v>1</v>
      </c>
      <c r="R64" s="2" t="inlineStr">
        <is>
          <t>Motaggsvamp</t>
        </is>
      </c>
      <c r="S64">
        <f>HYPERLINK("https://klasma.github.io/Logging_2510/artfynd/A 40466-2023 artfynd.xlsx", "A 40466-2023")</f>
        <v/>
      </c>
      <c r="T64">
        <f>HYPERLINK("https://klasma.github.io/Logging_2510/kartor/A 40466-2023 karta.png", "A 40466-2023")</f>
        <v/>
      </c>
      <c r="V64">
        <f>HYPERLINK("https://klasma.github.io/Logging_2510/klagomål/A 40466-2023 FSC-klagomål.docx", "A 40466-2023")</f>
        <v/>
      </c>
      <c r="W64">
        <f>HYPERLINK("https://klasma.github.io/Logging_2510/klagomålsmail/A 40466-2023 FSC-klagomål mail.docx", "A 40466-2023")</f>
        <v/>
      </c>
      <c r="X64">
        <f>HYPERLINK("https://klasma.github.io/Logging_2510/tillsyn/A 40466-2023 tillsynsbegäran.docx", "A 40466-2023")</f>
        <v/>
      </c>
      <c r="Y64">
        <f>HYPERLINK("https://klasma.github.io/Logging_2510/tillsynsmail/A 40466-2023 tillsynsbegäran mail.docx", "A 40466-2023")</f>
        <v/>
      </c>
    </row>
    <row r="65" ht="15" customHeight="1">
      <c r="A65" t="inlineStr">
        <is>
          <t>A 50121-2024</t>
        </is>
      </c>
      <c r="B65" s="1" t="n">
        <v>45600.42096064815</v>
      </c>
      <c r="C65" s="1" t="n">
        <v>45924</v>
      </c>
      <c r="D65" t="inlineStr">
        <is>
          <t>NORRBOTTENS LÄN</t>
        </is>
      </c>
      <c r="E65" t="inlineStr">
        <is>
          <t>JOKKMOKK</t>
        </is>
      </c>
      <c r="G65" t="n">
        <v>2.3</v>
      </c>
      <c r="H65" t="n">
        <v>1</v>
      </c>
      <c r="I65" t="n">
        <v>0</v>
      </c>
      <c r="J65" t="n">
        <v>1</v>
      </c>
      <c r="K65" t="n">
        <v>0</v>
      </c>
      <c r="L65" t="n">
        <v>0</v>
      </c>
      <c r="M65" t="n">
        <v>0</v>
      </c>
      <c r="N65" t="n">
        <v>0</v>
      </c>
      <c r="O65" t="n">
        <v>1</v>
      </c>
      <c r="P65" t="n">
        <v>0</v>
      </c>
      <c r="Q65" t="n">
        <v>1</v>
      </c>
      <c r="R65" s="2" t="inlineStr">
        <is>
          <t>Buskskvätta</t>
        </is>
      </c>
      <c r="S65">
        <f>HYPERLINK("https://klasma.github.io/Logging_2510/artfynd/A 50121-2024 artfynd.xlsx", "A 50121-2024")</f>
        <v/>
      </c>
      <c r="T65">
        <f>HYPERLINK("https://klasma.github.io/Logging_2510/kartor/A 50121-2024 karta.png", "A 50121-2024")</f>
        <v/>
      </c>
      <c r="V65">
        <f>HYPERLINK("https://klasma.github.io/Logging_2510/klagomål/A 50121-2024 FSC-klagomål.docx", "A 50121-2024")</f>
        <v/>
      </c>
      <c r="W65">
        <f>HYPERLINK("https://klasma.github.io/Logging_2510/klagomålsmail/A 50121-2024 FSC-klagomål mail.docx", "A 50121-2024")</f>
        <v/>
      </c>
      <c r="X65">
        <f>HYPERLINK("https://klasma.github.io/Logging_2510/tillsyn/A 50121-2024 tillsynsbegäran.docx", "A 50121-2024")</f>
        <v/>
      </c>
      <c r="Y65">
        <f>HYPERLINK("https://klasma.github.io/Logging_2510/tillsynsmail/A 50121-2024 tillsynsbegäran mail.docx", "A 50121-2024")</f>
        <v/>
      </c>
      <c r="Z65">
        <f>HYPERLINK("https://klasma.github.io/Logging_2510/fåglar/A 50121-2024 prioriterade fågelarter.docx", "A 50121-2024")</f>
        <v/>
      </c>
    </row>
    <row r="66" ht="15" customHeight="1">
      <c r="A66" t="inlineStr">
        <is>
          <t>A 44203-2025</t>
        </is>
      </c>
      <c r="B66" s="1" t="n">
        <v>45915.62523148148</v>
      </c>
      <c r="C66" s="1" t="n">
        <v>45924</v>
      </c>
      <c r="D66" t="inlineStr">
        <is>
          <t>NORRBOTTENS LÄN</t>
        </is>
      </c>
      <c r="E66" t="inlineStr">
        <is>
          <t>JOKKMOKK</t>
        </is>
      </c>
      <c r="F66" t="inlineStr">
        <is>
          <t>Sveaskog</t>
        </is>
      </c>
      <c r="G66" t="n">
        <v>5.7</v>
      </c>
      <c r="H66" t="n">
        <v>0</v>
      </c>
      <c r="I66" t="n">
        <v>1</v>
      </c>
      <c r="J66" t="n">
        <v>0</v>
      </c>
      <c r="K66" t="n">
        <v>0</v>
      </c>
      <c r="L66" t="n">
        <v>0</v>
      </c>
      <c r="M66" t="n">
        <v>0</v>
      </c>
      <c r="N66" t="n">
        <v>0</v>
      </c>
      <c r="O66" t="n">
        <v>0</v>
      </c>
      <c r="P66" t="n">
        <v>0</v>
      </c>
      <c r="Q66" t="n">
        <v>1</v>
      </c>
      <c r="R66" s="2" t="inlineStr">
        <is>
          <t>Skarp dropptaggsvamp</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44234-2025</t>
        </is>
      </c>
      <c r="B67" s="1" t="n">
        <v>45915.65525462963</v>
      </c>
      <c r="C67" s="1" t="n">
        <v>45924</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37252-2025</t>
        </is>
      </c>
      <c r="B68" s="1" t="n">
        <v>45876.4228125</v>
      </c>
      <c r="C68" s="1" t="n">
        <v>45924</v>
      </c>
      <c r="D68" t="inlineStr">
        <is>
          <t>NORRBOTTENS LÄN</t>
        </is>
      </c>
      <c r="E68" t="inlineStr">
        <is>
          <t>JOKKMOKK</t>
        </is>
      </c>
      <c r="F68" t="inlineStr">
        <is>
          <t>Sveaskog</t>
        </is>
      </c>
      <c r="G68" t="n">
        <v>4.5</v>
      </c>
      <c r="H68" t="n">
        <v>1</v>
      </c>
      <c r="I68" t="n">
        <v>1</v>
      </c>
      <c r="J68" t="n">
        <v>0</v>
      </c>
      <c r="K68" t="n">
        <v>0</v>
      </c>
      <c r="L68" t="n">
        <v>0</v>
      </c>
      <c r="M68" t="n">
        <v>0</v>
      </c>
      <c r="N68" t="n">
        <v>0</v>
      </c>
      <c r="O68" t="n">
        <v>0</v>
      </c>
      <c r="P68" t="n">
        <v>0</v>
      </c>
      <c r="Q68" t="n">
        <v>1</v>
      </c>
      <c r="R68" s="2" t="inlineStr">
        <is>
          <t>Spindelblomster</t>
        </is>
      </c>
      <c r="S68">
        <f>HYPERLINK("https://klasma.github.io/Logging_2510/artfynd/A 37252-2025 artfynd.xlsx", "A 37252-2025")</f>
        <v/>
      </c>
      <c r="T68">
        <f>HYPERLINK("https://klasma.github.io/Logging_2510/kartor/A 37252-2025 karta.png", "A 37252-2025")</f>
        <v/>
      </c>
      <c r="V68">
        <f>HYPERLINK("https://klasma.github.io/Logging_2510/klagomål/A 37252-2025 FSC-klagomål.docx", "A 37252-2025")</f>
        <v/>
      </c>
      <c r="W68">
        <f>HYPERLINK("https://klasma.github.io/Logging_2510/klagomålsmail/A 37252-2025 FSC-klagomål mail.docx", "A 37252-2025")</f>
        <v/>
      </c>
      <c r="X68">
        <f>HYPERLINK("https://klasma.github.io/Logging_2510/tillsyn/A 37252-2025 tillsynsbegäran.docx", "A 37252-2025")</f>
        <v/>
      </c>
      <c r="Y68">
        <f>HYPERLINK("https://klasma.github.io/Logging_2510/tillsynsmail/A 37252-2025 tillsynsbegäran mail.docx", "A 37252-2025")</f>
        <v/>
      </c>
    </row>
    <row r="69" ht="15" customHeight="1">
      <c r="A69" t="inlineStr">
        <is>
          <t>A 44828-2025</t>
        </is>
      </c>
      <c r="B69" s="1" t="n">
        <v>45918.38981481481</v>
      </c>
      <c r="C69" s="1" t="n">
        <v>45924</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52994-2024</t>
        </is>
      </c>
      <c r="B70" s="1" t="n">
        <v>45611.37796296296</v>
      </c>
      <c r="C70" s="1" t="n">
        <v>45924</v>
      </c>
      <c r="D70" t="inlineStr">
        <is>
          <t>NORRBOTTENS LÄN</t>
        </is>
      </c>
      <c r="E70" t="inlineStr">
        <is>
          <t>JOKKMOKK</t>
        </is>
      </c>
      <c r="F70" t="inlineStr">
        <is>
          <t>Sveaskog</t>
        </is>
      </c>
      <c r="G70" t="n">
        <v>17.1</v>
      </c>
      <c r="H70" t="n">
        <v>0</v>
      </c>
      <c r="I70" t="n">
        <v>0</v>
      </c>
      <c r="J70" t="n">
        <v>1</v>
      </c>
      <c r="K70" t="n">
        <v>0</v>
      </c>
      <c r="L70" t="n">
        <v>0</v>
      </c>
      <c r="M70" t="n">
        <v>0</v>
      </c>
      <c r="N70" t="n">
        <v>0</v>
      </c>
      <c r="O70" t="n">
        <v>1</v>
      </c>
      <c r="P70" t="n">
        <v>0</v>
      </c>
      <c r="Q70" t="n">
        <v>1</v>
      </c>
      <c r="R70" s="2" t="inlineStr">
        <is>
          <t>Blå taggsvamp</t>
        </is>
      </c>
      <c r="S70">
        <f>HYPERLINK("https://klasma.github.io/Logging_2510/artfynd/A 52994-2024 artfynd.xlsx", "A 52994-2024")</f>
        <v/>
      </c>
      <c r="T70">
        <f>HYPERLINK("https://klasma.github.io/Logging_2510/kartor/A 52994-2024 karta.png", "A 52994-2024")</f>
        <v/>
      </c>
      <c r="V70">
        <f>HYPERLINK("https://klasma.github.io/Logging_2510/klagomål/A 52994-2024 FSC-klagomål.docx", "A 52994-2024")</f>
        <v/>
      </c>
      <c r="W70">
        <f>HYPERLINK("https://klasma.github.io/Logging_2510/klagomålsmail/A 52994-2024 FSC-klagomål mail.docx", "A 52994-2024")</f>
        <v/>
      </c>
      <c r="X70">
        <f>HYPERLINK("https://klasma.github.io/Logging_2510/tillsyn/A 52994-2024 tillsynsbegäran.docx", "A 52994-2024")</f>
        <v/>
      </c>
      <c r="Y70">
        <f>HYPERLINK("https://klasma.github.io/Logging_2510/tillsynsmail/A 52994-2024 tillsynsbegäran mail.docx", "A 52994-2024")</f>
        <v/>
      </c>
    </row>
    <row r="71" ht="15" customHeight="1">
      <c r="A71" t="inlineStr">
        <is>
          <t>A 49525-2024</t>
        </is>
      </c>
      <c r="B71" s="1" t="n">
        <v>45596</v>
      </c>
      <c r="C71" s="1" t="n">
        <v>45924</v>
      </c>
      <c r="D71" t="inlineStr">
        <is>
          <t>NORRBOTTENS LÄN</t>
        </is>
      </c>
      <c r="E71" t="inlineStr">
        <is>
          <t>JOKKMOKK</t>
        </is>
      </c>
      <c r="F71" t="inlineStr">
        <is>
          <t>SCA</t>
        </is>
      </c>
      <c r="G71" t="n">
        <v>2.5</v>
      </c>
      <c r="H71" t="n">
        <v>0</v>
      </c>
      <c r="I71" t="n">
        <v>0</v>
      </c>
      <c r="J71" t="n">
        <v>0</v>
      </c>
      <c r="K71" t="n">
        <v>1</v>
      </c>
      <c r="L71" t="n">
        <v>0</v>
      </c>
      <c r="M71" t="n">
        <v>0</v>
      </c>
      <c r="N71" t="n">
        <v>0</v>
      </c>
      <c r="O71" t="n">
        <v>1</v>
      </c>
      <c r="P71" t="n">
        <v>1</v>
      </c>
      <c r="Q71" t="n">
        <v>1</v>
      </c>
      <c r="R71" s="2" t="inlineStr">
        <is>
          <t>Ringlav</t>
        </is>
      </c>
      <c r="S71">
        <f>HYPERLINK("https://klasma.github.io/Logging_2510/artfynd/A 49525-2024 artfynd.xlsx", "A 49525-2024")</f>
        <v/>
      </c>
      <c r="T71">
        <f>HYPERLINK("https://klasma.github.io/Logging_2510/kartor/A 49525-2024 karta.png", "A 49525-2024")</f>
        <v/>
      </c>
      <c r="V71">
        <f>HYPERLINK("https://klasma.github.io/Logging_2510/klagomål/A 49525-2024 FSC-klagomål.docx", "A 49525-2024")</f>
        <v/>
      </c>
      <c r="W71">
        <f>HYPERLINK("https://klasma.github.io/Logging_2510/klagomålsmail/A 49525-2024 FSC-klagomål mail.docx", "A 49525-2024")</f>
        <v/>
      </c>
      <c r="X71">
        <f>HYPERLINK("https://klasma.github.io/Logging_2510/tillsyn/A 49525-2024 tillsynsbegäran.docx", "A 49525-2024")</f>
        <v/>
      </c>
      <c r="Y71">
        <f>HYPERLINK("https://klasma.github.io/Logging_2510/tillsynsmail/A 49525-2024 tillsynsbegäran mail.docx", "A 49525-2024")</f>
        <v/>
      </c>
    </row>
    <row r="72" ht="15" customHeight="1">
      <c r="A72" t="inlineStr">
        <is>
          <t>A 52537-2023</t>
        </is>
      </c>
      <c r="B72" s="1" t="n">
        <v>45225</v>
      </c>
      <c r="C72" s="1" t="n">
        <v>45924</v>
      </c>
      <c r="D72" t="inlineStr">
        <is>
          <t>NORRBOTTENS LÄN</t>
        </is>
      </c>
      <c r="E72" t="inlineStr">
        <is>
          <t>JOKKMOKK</t>
        </is>
      </c>
      <c r="F72" t="inlineStr">
        <is>
          <t>Övriga statliga verk och myndigheter</t>
        </is>
      </c>
      <c r="G72" t="n">
        <v>15.3</v>
      </c>
      <c r="H72" t="n">
        <v>0</v>
      </c>
      <c r="I72" t="n">
        <v>0</v>
      </c>
      <c r="J72" t="n">
        <v>1</v>
      </c>
      <c r="K72" t="n">
        <v>0</v>
      </c>
      <c r="L72" t="n">
        <v>0</v>
      </c>
      <c r="M72" t="n">
        <v>0</v>
      </c>
      <c r="N72" t="n">
        <v>0</v>
      </c>
      <c r="O72" t="n">
        <v>1</v>
      </c>
      <c r="P72" t="n">
        <v>0</v>
      </c>
      <c r="Q72" t="n">
        <v>1</v>
      </c>
      <c r="R72" s="2" t="inlineStr">
        <is>
          <t>Reliktbock</t>
        </is>
      </c>
      <c r="S72">
        <f>HYPERLINK("https://klasma.github.io/Logging_2510/artfynd/A 52537-2023 artfynd.xlsx", "A 52537-2023")</f>
        <v/>
      </c>
      <c r="T72">
        <f>HYPERLINK("https://klasma.github.io/Logging_2510/kartor/A 52537-2023 karta.png", "A 52537-2023")</f>
        <v/>
      </c>
      <c r="V72">
        <f>HYPERLINK("https://klasma.github.io/Logging_2510/klagomål/A 52537-2023 FSC-klagomål.docx", "A 52537-2023")</f>
        <v/>
      </c>
      <c r="W72">
        <f>HYPERLINK("https://klasma.github.io/Logging_2510/klagomålsmail/A 52537-2023 FSC-klagomål mail.docx", "A 52537-2023")</f>
        <v/>
      </c>
      <c r="X72">
        <f>HYPERLINK("https://klasma.github.io/Logging_2510/tillsyn/A 52537-2023 tillsynsbegäran.docx", "A 52537-2023")</f>
        <v/>
      </c>
      <c r="Y72">
        <f>HYPERLINK("https://klasma.github.io/Logging_2510/tillsynsmail/A 52537-2023 tillsynsbegäran mail.docx", "A 52537-2023")</f>
        <v/>
      </c>
    </row>
    <row r="73" ht="15" customHeight="1">
      <c r="A73" t="inlineStr">
        <is>
          <t>A 48338-2020</t>
        </is>
      </c>
      <c r="B73" s="1" t="n">
        <v>44098</v>
      </c>
      <c r="C73" s="1" t="n">
        <v>45924</v>
      </c>
      <c r="D73" t="inlineStr">
        <is>
          <t>NORRBOTTENS LÄN</t>
        </is>
      </c>
      <c r="E73" t="inlineStr">
        <is>
          <t>JOKKMOKK</t>
        </is>
      </c>
      <c r="F73" t="inlineStr">
        <is>
          <t>Allmännings- och besparingsskogar</t>
        </is>
      </c>
      <c r="G73" t="n">
        <v>3.4</v>
      </c>
      <c r="H73" t="n">
        <v>0</v>
      </c>
      <c r="I73" t="n">
        <v>0</v>
      </c>
      <c r="J73" t="n">
        <v>0</v>
      </c>
      <c r="K73" t="n">
        <v>0</v>
      </c>
      <c r="L73" t="n">
        <v>0</v>
      </c>
      <c r="M73" t="n">
        <v>0</v>
      </c>
      <c r="N73" t="n">
        <v>0</v>
      </c>
      <c r="O73" t="n">
        <v>0</v>
      </c>
      <c r="P73" t="n">
        <v>0</v>
      </c>
      <c r="Q73" t="n">
        <v>0</v>
      </c>
      <c r="R73" s="2" t="inlineStr"/>
    </row>
    <row r="74" ht="15" customHeight="1">
      <c r="A74" t="inlineStr">
        <is>
          <t>A 38039-2021</t>
        </is>
      </c>
      <c r="B74" s="1" t="n">
        <v>44404</v>
      </c>
      <c r="C74" s="1" t="n">
        <v>45924</v>
      </c>
      <c r="D74" t="inlineStr">
        <is>
          <t>NORRBOTTENS LÄN</t>
        </is>
      </c>
      <c r="E74" t="inlineStr">
        <is>
          <t>JOKKMOKK</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40248-2022</t>
        </is>
      </c>
      <c r="B75" s="1" t="n">
        <v>44820</v>
      </c>
      <c r="C75" s="1" t="n">
        <v>45924</v>
      </c>
      <c r="D75" t="inlineStr">
        <is>
          <t>NORRBOTTENS LÄN</t>
        </is>
      </c>
      <c r="E75" t="inlineStr">
        <is>
          <t>JOKKMOKK</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17000-2022</t>
        </is>
      </c>
      <c r="B76" s="1" t="n">
        <v>44676</v>
      </c>
      <c r="C76" s="1" t="n">
        <v>45924</v>
      </c>
      <c r="D76" t="inlineStr">
        <is>
          <t>NORRBOTTENS LÄN</t>
        </is>
      </c>
      <c r="E76" t="inlineStr">
        <is>
          <t>JOKKMOKK</t>
        </is>
      </c>
      <c r="G76" t="n">
        <v>36.6</v>
      </c>
      <c r="H76" t="n">
        <v>0</v>
      </c>
      <c r="I76" t="n">
        <v>0</v>
      </c>
      <c r="J76" t="n">
        <v>0</v>
      </c>
      <c r="K76" t="n">
        <v>0</v>
      </c>
      <c r="L76" t="n">
        <v>0</v>
      </c>
      <c r="M76" t="n">
        <v>0</v>
      </c>
      <c r="N76" t="n">
        <v>0</v>
      </c>
      <c r="O76" t="n">
        <v>0</v>
      </c>
      <c r="P76" t="n">
        <v>0</v>
      </c>
      <c r="Q76" t="n">
        <v>0</v>
      </c>
      <c r="R76" s="2" t="inlineStr"/>
    </row>
    <row r="77" ht="15" customHeight="1">
      <c r="A77" t="inlineStr">
        <is>
          <t>A 51436-2020</t>
        </is>
      </c>
      <c r="B77" s="1" t="n">
        <v>44113</v>
      </c>
      <c r="C77" s="1" t="n">
        <v>45924</v>
      </c>
      <c r="D77" t="inlineStr">
        <is>
          <t>NORRBOTTENS LÄN</t>
        </is>
      </c>
      <c r="E77" t="inlineStr">
        <is>
          <t>JOKKMOKK</t>
        </is>
      </c>
      <c r="F77" t="inlineStr">
        <is>
          <t>Sveaskog</t>
        </is>
      </c>
      <c r="G77" t="n">
        <v>10.7</v>
      </c>
      <c r="H77" t="n">
        <v>0</v>
      </c>
      <c r="I77" t="n">
        <v>0</v>
      </c>
      <c r="J77" t="n">
        <v>0</v>
      </c>
      <c r="K77" t="n">
        <v>0</v>
      </c>
      <c r="L77" t="n">
        <v>0</v>
      </c>
      <c r="M77" t="n">
        <v>0</v>
      </c>
      <c r="N77" t="n">
        <v>0</v>
      </c>
      <c r="O77" t="n">
        <v>0</v>
      </c>
      <c r="P77" t="n">
        <v>0</v>
      </c>
      <c r="Q77" t="n">
        <v>0</v>
      </c>
      <c r="R77" s="2" t="inlineStr"/>
    </row>
    <row r="78" ht="15" customHeight="1">
      <c r="A78" t="inlineStr">
        <is>
          <t>A 51438-2020</t>
        </is>
      </c>
      <c r="B78" s="1" t="n">
        <v>44113</v>
      </c>
      <c r="C78" s="1" t="n">
        <v>45924</v>
      </c>
      <c r="D78" t="inlineStr">
        <is>
          <t>NORRBOTTENS LÄN</t>
        </is>
      </c>
      <c r="E78" t="inlineStr">
        <is>
          <t>JOKKMOKK</t>
        </is>
      </c>
      <c r="F78" t="inlineStr">
        <is>
          <t>Sveaskog</t>
        </is>
      </c>
      <c r="G78" t="n">
        <v>4.5</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45924</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45924</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45924</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45924</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45924</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45924</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45924</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45924</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45924</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45924</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45924</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45924</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45924</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45924</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54863-2020</t>
        </is>
      </c>
      <c r="B93" s="1" t="n">
        <v>44126</v>
      </c>
      <c r="C93" s="1" t="n">
        <v>45924</v>
      </c>
      <c r="D93" t="inlineStr">
        <is>
          <t>NORRBOTTENS LÄN</t>
        </is>
      </c>
      <c r="E93" t="inlineStr">
        <is>
          <t>JOKKMOKK</t>
        </is>
      </c>
      <c r="F93" t="inlineStr">
        <is>
          <t>Allmännings- och besparingsskogar</t>
        </is>
      </c>
      <c r="G93" t="n">
        <v>43.3</v>
      </c>
      <c r="H93" t="n">
        <v>0</v>
      </c>
      <c r="I93" t="n">
        <v>0</v>
      </c>
      <c r="J93" t="n">
        <v>0</v>
      </c>
      <c r="K93" t="n">
        <v>0</v>
      </c>
      <c r="L93" t="n">
        <v>0</v>
      </c>
      <c r="M93" t="n">
        <v>0</v>
      </c>
      <c r="N93" t="n">
        <v>0</v>
      </c>
      <c r="O93" t="n">
        <v>0</v>
      </c>
      <c r="P93" t="n">
        <v>0</v>
      </c>
      <c r="Q93" t="n">
        <v>0</v>
      </c>
      <c r="R93" s="2" t="inlineStr"/>
    </row>
    <row r="94" ht="15" customHeight="1">
      <c r="A94" t="inlineStr">
        <is>
          <t>A 15714-2022</t>
        </is>
      </c>
      <c r="B94" s="1" t="n">
        <v>44663</v>
      </c>
      <c r="C94" s="1" t="n">
        <v>45924</v>
      </c>
      <c r="D94" t="inlineStr">
        <is>
          <t>NORRBOTTENS LÄN</t>
        </is>
      </c>
      <c r="E94" t="inlineStr">
        <is>
          <t>JOKKMOKK</t>
        </is>
      </c>
      <c r="G94" t="n">
        <v>1.6</v>
      </c>
      <c r="H94" t="n">
        <v>0</v>
      </c>
      <c r="I94" t="n">
        <v>0</v>
      </c>
      <c r="J94" t="n">
        <v>0</v>
      </c>
      <c r="K94" t="n">
        <v>0</v>
      </c>
      <c r="L94" t="n">
        <v>0</v>
      </c>
      <c r="M94" t="n">
        <v>0</v>
      </c>
      <c r="N94" t="n">
        <v>0</v>
      </c>
      <c r="O94" t="n">
        <v>0</v>
      </c>
      <c r="P94" t="n">
        <v>0</v>
      </c>
      <c r="Q94" t="n">
        <v>0</v>
      </c>
      <c r="R94" s="2" t="inlineStr"/>
    </row>
    <row r="95" ht="15" customHeight="1">
      <c r="A95" t="inlineStr">
        <is>
          <t>A 58578-2020</t>
        </is>
      </c>
      <c r="B95" s="1" t="n">
        <v>44144</v>
      </c>
      <c r="C95" s="1" t="n">
        <v>45924</v>
      </c>
      <c r="D95" t="inlineStr">
        <is>
          <t>NORRBOTTENS LÄN</t>
        </is>
      </c>
      <c r="E95" t="inlineStr">
        <is>
          <t>JOKKMOKK</t>
        </is>
      </c>
      <c r="F95" t="inlineStr">
        <is>
          <t>Övriga statliga verk och myndigheter</t>
        </is>
      </c>
      <c r="G95" t="n">
        <v>20.4</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45924</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45924</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45924</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71927-2021</t>
        </is>
      </c>
      <c r="B99" s="1" t="n">
        <v>44543.94331018518</v>
      </c>
      <c r="C99" s="1" t="n">
        <v>45924</v>
      </c>
      <c r="D99" t="inlineStr">
        <is>
          <t>NORRBOTTENS LÄN</t>
        </is>
      </c>
      <c r="E99" t="inlineStr">
        <is>
          <t>JOKKMOKK</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71937-2021</t>
        </is>
      </c>
      <c r="B100" s="1" t="n">
        <v>44543.94414351852</v>
      </c>
      <c r="C100" s="1" t="n">
        <v>45924</v>
      </c>
      <c r="D100" t="inlineStr">
        <is>
          <t>NORRBOTTENS LÄN</t>
        </is>
      </c>
      <c r="E100" t="inlineStr">
        <is>
          <t>JOKKMOKK</t>
        </is>
      </c>
      <c r="F100" t="inlineStr">
        <is>
          <t>Naturvårdsverket</t>
        </is>
      </c>
      <c r="G100" t="n">
        <v>11</v>
      </c>
      <c r="H100" t="n">
        <v>0</v>
      </c>
      <c r="I100" t="n">
        <v>0</v>
      </c>
      <c r="J100" t="n">
        <v>0</v>
      </c>
      <c r="K100" t="n">
        <v>0</v>
      </c>
      <c r="L100" t="n">
        <v>0</v>
      </c>
      <c r="M100" t="n">
        <v>0</v>
      </c>
      <c r="N100" t="n">
        <v>0</v>
      </c>
      <c r="O100" t="n">
        <v>0</v>
      </c>
      <c r="P100" t="n">
        <v>0</v>
      </c>
      <c r="Q100" t="n">
        <v>0</v>
      </c>
      <c r="R100" s="2" t="inlineStr"/>
    </row>
    <row r="101" ht="15" customHeight="1">
      <c r="A101" t="inlineStr">
        <is>
          <t>A 65343-2020</t>
        </is>
      </c>
      <c r="B101" s="1" t="n">
        <v>44173.38601851852</v>
      </c>
      <c r="C101" s="1" t="n">
        <v>45924</v>
      </c>
      <c r="D101" t="inlineStr">
        <is>
          <t>NORRBOTTENS LÄN</t>
        </is>
      </c>
      <c r="E101" t="inlineStr">
        <is>
          <t>JOKKMOKK</t>
        </is>
      </c>
      <c r="F101" t="inlineStr">
        <is>
          <t>Sveaskog</t>
        </is>
      </c>
      <c r="G101" t="n">
        <v>2.5</v>
      </c>
      <c r="H101" t="n">
        <v>0</v>
      </c>
      <c r="I101" t="n">
        <v>0</v>
      </c>
      <c r="J101" t="n">
        <v>0</v>
      </c>
      <c r="K101" t="n">
        <v>0</v>
      </c>
      <c r="L101" t="n">
        <v>0</v>
      </c>
      <c r="M101" t="n">
        <v>0</v>
      </c>
      <c r="N101" t="n">
        <v>0</v>
      </c>
      <c r="O101" t="n">
        <v>0</v>
      </c>
      <c r="P101" t="n">
        <v>0</v>
      </c>
      <c r="Q101" t="n">
        <v>0</v>
      </c>
      <c r="R101" s="2" t="inlineStr"/>
    </row>
    <row r="102" ht="15" customHeight="1">
      <c r="A102" t="inlineStr">
        <is>
          <t>A 40833-2022</t>
        </is>
      </c>
      <c r="B102" s="1" t="n">
        <v>44824</v>
      </c>
      <c r="C102" s="1" t="n">
        <v>45924</v>
      </c>
      <c r="D102" t="inlineStr">
        <is>
          <t>NORRBOTTENS LÄN</t>
        </is>
      </c>
      <c r="E102" t="inlineStr">
        <is>
          <t>JOKKMOKK</t>
        </is>
      </c>
      <c r="F102" t="inlineStr">
        <is>
          <t>SCA</t>
        </is>
      </c>
      <c r="G102" t="n">
        <v>122.1</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45924</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40834-2022</t>
        </is>
      </c>
      <c r="B104" s="1" t="n">
        <v>44824</v>
      </c>
      <c r="C104" s="1" t="n">
        <v>45924</v>
      </c>
      <c r="D104" t="inlineStr">
        <is>
          <t>NORRBOTTENS LÄN</t>
        </is>
      </c>
      <c r="E104" t="inlineStr">
        <is>
          <t>JOKKMOKK</t>
        </is>
      </c>
      <c r="F104" t="inlineStr">
        <is>
          <t>SCA</t>
        </is>
      </c>
      <c r="G104" t="n">
        <v>106.1</v>
      </c>
      <c r="H104" t="n">
        <v>0</v>
      </c>
      <c r="I104" t="n">
        <v>0</v>
      </c>
      <c r="J104" t="n">
        <v>0</v>
      </c>
      <c r="K104" t="n">
        <v>0</v>
      </c>
      <c r="L104" t="n">
        <v>0</v>
      </c>
      <c r="M104" t="n">
        <v>0</v>
      </c>
      <c r="N104" t="n">
        <v>0</v>
      </c>
      <c r="O104" t="n">
        <v>0</v>
      </c>
      <c r="P104" t="n">
        <v>0</v>
      </c>
      <c r="Q104" t="n">
        <v>0</v>
      </c>
      <c r="R104" s="2" t="inlineStr"/>
    </row>
    <row r="105" ht="15" customHeight="1">
      <c r="A105" t="inlineStr">
        <is>
          <t>A 62759-2020</t>
        </is>
      </c>
      <c r="B105" s="1" t="n">
        <v>44161</v>
      </c>
      <c r="C105" s="1" t="n">
        <v>45924</v>
      </c>
      <c r="D105" t="inlineStr">
        <is>
          <t>NORRBOTTENS LÄN</t>
        </is>
      </c>
      <c r="E105" t="inlineStr">
        <is>
          <t>JOKKMOKK</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27781-2022</t>
        </is>
      </c>
      <c r="B106" s="1" t="n">
        <v>44743</v>
      </c>
      <c r="C106" s="1" t="n">
        <v>45924</v>
      </c>
      <c r="D106" t="inlineStr">
        <is>
          <t>NORRBOTTENS LÄN</t>
        </is>
      </c>
      <c r="E106" t="inlineStr">
        <is>
          <t>JOKKMOKK</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3771-2022</t>
        </is>
      </c>
      <c r="B107" s="1" t="n">
        <v>44586</v>
      </c>
      <c r="C107" s="1" t="n">
        <v>45924</v>
      </c>
      <c r="D107" t="inlineStr">
        <is>
          <t>NORRBOTTENS LÄN</t>
        </is>
      </c>
      <c r="E107" t="inlineStr">
        <is>
          <t>JOKKMOKK</t>
        </is>
      </c>
      <c r="F107" t="inlineStr">
        <is>
          <t>SCA</t>
        </is>
      </c>
      <c r="G107" t="n">
        <v>10</v>
      </c>
      <c r="H107" t="n">
        <v>0</v>
      </c>
      <c r="I107" t="n">
        <v>0</v>
      </c>
      <c r="J107" t="n">
        <v>0</v>
      </c>
      <c r="K107" t="n">
        <v>0</v>
      </c>
      <c r="L107" t="n">
        <v>0</v>
      </c>
      <c r="M107" t="n">
        <v>0</v>
      </c>
      <c r="N107" t="n">
        <v>0</v>
      </c>
      <c r="O107" t="n">
        <v>0</v>
      </c>
      <c r="P107" t="n">
        <v>0</v>
      </c>
      <c r="Q107" t="n">
        <v>0</v>
      </c>
      <c r="R107" s="2" t="inlineStr"/>
    </row>
    <row r="108" ht="15" customHeight="1">
      <c r="A108" t="inlineStr">
        <is>
          <t>A 34084-2021</t>
        </is>
      </c>
      <c r="B108" s="1" t="n">
        <v>44378</v>
      </c>
      <c r="C108" s="1" t="n">
        <v>45924</v>
      </c>
      <c r="D108" t="inlineStr">
        <is>
          <t>NORRBOTTENS LÄN</t>
        </is>
      </c>
      <c r="E108" t="inlineStr">
        <is>
          <t>JOKKMOKK</t>
        </is>
      </c>
      <c r="G108" t="n">
        <v>9.6</v>
      </c>
      <c r="H108" t="n">
        <v>0</v>
      </c>
      <c r="I108" t="n">
        <v>0</v>
      </c>
      <c r="J108" t="n">
        <v>0</v>
      </c>
      <c r="K108" t="n">
        <v>0</v>
      </c>
      <c r="L108" t="n">
        <v>0</v>
      </c>
      <c r="M108" t="n">
        <v>0</v>
      </c>
      <c r="N108" t="n">
        <v>0</v>
      </c>
      <c r="O108" t="n">
        <v>0</v>
      </c>
      <c r="P108" t="n">
        <v>0</v>
      </c>
      <c r="Q108" t="n">
        <v>0</v>
      </c>
      <c r="R108" s="2" t="inlineStr"/>
    </row>
    <row r="109" ht="15" customHeight="1">
      <c r="A109" t="inlineStr">
        <is>
          <t>A 71947-2021</t>
        </is>
      </c>
      <c r="B109" s="1" t="n">
        <v>44543</v>
      </c>
      <c r="C109" s="1" t="n">
        <v>45924</v>
      </c>
      <c r="D109" t="inlineStr">
        <is>
          <t>NORRBOTTENS LÄN</t>
        </is>
      </c>
      <c r="E109" t="inlineStr">
        <is>
          <t>JOKKMOKK</t>
        </is>
      </c>
      <c r="F109" t="inlineStr">
        <is>
          <t>SCA</t>
        </is>
      </c>
      <c r="G109" t="n">
        <v>3.4</v>
      </c>
      <c r="H109" t="n">
        <v>0</v>
      </c>
      <c r="I109" t="n">
        <v>0</v>
      </c>
      <c r="J109" t="n">
        <v>0</v>
      </c>
      <c r="K109" t="n">
        <v>0</v>
      </c>
      <c r="L109" t="n">
        <v>0</v>
      </c>
      <c r="M109" t="n">
        <v>0</v>
      </c>
      <c r="N109" t="n">
        <v>0</v>
      </c>
      <c r="O109" t="n">
        <v>0</v>
      </c>
      <c r="P109" t="n">
        <v>0</v>
      </c>
      <c r="Q109" t="n">
        <v>0</v>
      </c>
      <c r="R109" s="2" t="inlineStr"/>
    </row>
    <row r="110" ht="15" customHeight="1">
      <c r="A110" t="inlineStr">
        <is>
          <t>A 71954-2021</t>
        </is>
      </c>
      <c r="B110" s="1" t="n">
        <v>44543</v>
      </c>
      <c r="C110" s="1" t="n">
        <v>45924</v>
      </c>
      <c r="D110" t="inlineStr">
        <is>
          <t>NORRBOTTENS LÄN</t>
        </is>
      </c>
      <c r="E110" t="inlineStr">
        <is>
          <t>JOKKMOKK</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71922-2021</t>
        </is>
      </c>
      <c r="B111" s="1" t="n">
        <v>44543</v>
      </c>
      <c r="C111" s="1" t="n">
        <v>45924</v>
      </c>
      <c r="D111" t="inlineStr">
        <is>
          <t>NORRBOTTENS LÄN</t>
        </is>
      </c>
      <c r="E111" t="inlineStr">
        <is>
          <t>JOKKMOKK</t>
        </is>
      </c>
      <c r="F111" t="inlineStr">
        <is>
          <t>SCA</t>
        </is>
      </c>
      <c r="G111" t="n">
        <v>6.8</v>
      </c>
      <c r="H111" t="n">
        <v>0</v>
      </c>
      <c r="I111" t="n">
        <v>0</v>
      </c>
      <c r="J111" t="n">
        <v>0</v>
      </c>
      <c r="K111" t="n">
        <v>0</v>
      </c>
      <c r="L111" t="n">
        <v>0</v>
      </c>
      <c r="M111" t="n">
        <v>0</v>
      </c>
      <c r="N111" t="n">
        <v>0</v>
      </c>
      <c r="O111" t="n">
        <v>0</v>
      </c>
      <c r="P111" t="n">
        <v>0</v>
      </c>
      <c r="Q111" t="n">
        <v>0</v>
      </c>
      <c r="R111" s="2" t="inlineStr"/>
    </row>
    <row r="112" ht="15" customHeight="1">
      <c r="A112" t="inlineStr">
        <is>
          <t>A 52043-2020</t>
        </is>
      </c>
      <c r="B112" s="1" t="n">
        <v>44116</v>
      </c>
      <c r="C112" s="1" t="n">
        <v>45924</v>
      </c>
      <c r="D112" t="inlineStr">
        <is>
          <t>NORRBOTTENS LÄN</t>
        </is>
      </c>
      <c r="E112" t="inlineStr">
        <is>
          <t>JOKKMOKK</t>
        </is>
      </c>
      <c r="F112" t="inlineStr">
        <is>
          <t>SCA</t>
        </is>
      </c>
      <c r="G112" t="n">
        <v>2.1</v>
      </c>
      <c r="H112" t="n">
        <v>0</v>
      </c>
      <c r="I112" t="n">
        <v>0</v>
      </c>
      <c r="J112" t="n">
        <v>0</v>
      </c>
      <c r="K112" t="n">
        <v>0</v>
      </c>
      <c r="L112" t="n">
        <v>0</v>
      </c>
      <c r="M112" t="n">
        <v>0</v>
      </c>
      <c r="N112" t="n">
        <v>0</v>
      </c>
      <c r="O112" t="n">
        <v>0</v>
      </c>
      <c r="P112" t="n">
        <v>0</v>
      </c>
      <c r="Q112" t="n">
        <v>0</v>
      </c>
      <c r="R112" s="2" t="inlineStr"/>
    </row>
    <row r="113" ht="15" customHeight="1">
      <c r="A113" t="inlineStr">
        <is>
          <t>A 1631-2022</t>
        </is>
      </c>
      <c r="B113" s="1" t="n">
        <v>44573</v>
      </c>
      <c r="C113" s="1" t="n">
        <v>45924</v>
      </c>
      <c r="D113" t="inlineStr">
        <is>
          <t>NORRBOTTENS LÄN</t>
        </is>
      </c>
      <c r="E113" t="inlineStr">
        <is>
          <t>JOKKMOKK</t>
        </is>
      </c>
      <c r="F113" t="inlineStr">
        <is>
          <t>SCA</t>
        </is>
      </c>
      <c r="G113" t="n">
        <v>7.1</v>
      </c>
      <c r="H113" t="n">
        <v>0</v>
      </c>
      <c r="I113" t="n">
        <v>0</v>
      </c>
      <c r="J113" t="n">
        <v>0</v>
      </c>
      <c r="K113" t="n">
        <v>0</v>
      </c>
      <c r="L113" t="n">
        <v>0</v>
      </c>
      <c r="M113" t="n">
        <v>0</v>
      </c>
      <c r="N113" t="n">
        <v>0</v>
      </c>
      <c r="O113" t="n">
        <v>0</v>
      </c>
      <c r="P113" t="n">
        <v>0</v>
      </c>
      <c r="Q113" t="n">
        <v>0</v>
      </c>
      <c r="R113" s="2" t="inlineStr"/>
    </row>
    <row r="114" ht="15" customHeight="1">
      <c r="A114" t="inlineStr">
        <is>
          <t>A 8855-2021</t>
        </is>
      </c>
      <c r="B114" s="1" t="n">
        <v>44246</v>
      </c>
      <c r="C114" s="1" t="n">
        <v>45924</v>
      </c>
      <c r="D114" t="inlineStr">
        <is>
          <t>NORRBOTTENS LÄN</t>
        </is>
      </c>
      <c r="E114" t="inlineStr">
        <is>
          <t>JOKKMOKK</t>
        </is>
      </c>
      <c r="F114" t="inlineStr">
        <is>
          <t>SCA</t>
        </is>
      </c>
      <c r="G114" t="n">
        <v>14.3</v>
      </c>
      <c r="H114" t="n">
        <v>0</v>
      </c>
      <c r="I114" t="n">
        <v>0</v>
      </c>
      <c r="J114" t="n">
        <v>0</v>
      </c>
      <c r="K114" t="n">
        <v>0</v>
      </c>
      <c r="L114" t="n">
        <v>0</v>
      </c>
      <c r="M114" t="n">
        <v>0</v>
      </c>
      <c r="N114" t="n">
        <v>0</v>
      </c>
      <c r="O114" t="n">
        <v>0</v>
      </c>
      <c r="P114" t="n">
        <v>0</v>
      </c>
      <c r="Q114" t="n">
        <v>0</v>
      </c>
      <c r="R114" s="2" t="inlineStr"/>
    </row>
    <row r="115" ht="15" customHeight="1">
      <c r="A115" t="inlineStr">
        <is>
          <t>A 29073-2021</t>
        </is>
      </c>
      <c r="B115" s="1" t="n">
        <v>44358</v>
      </c>
      <c r="C115" s="1" t="n">
        <v>45924</v>
      </c>
      <c r="D115" t="inlineStr">
        <is>
          <t>NORRBOTTENS LÄN</t>
        </is>
      </c>
      <c r="E115" t="inlineStr">
        <is>
          <t>JOKKMOKK</t>
        </is>
      </c>
      <c r="F115" t="inlineStr">
        <is>
          <t>Sveaskog</t>
        </is>
      </c>
      <c r="G115" t="n">
        <v>9.6</v>
      </c>
      <c r="H115" t="n">
        <v>0</v>
      </c>
      <c r="I115" t="n">
        <v>0</v>
      </c>
      <c r="J115" t="n">
        <v>0</v>
      </c>
      <c r="K115" t="n">
        <v>0</v>
      </c>
      <c r="L115" t="n">
        <v>0</v>
      </c>
      <c r="M115" t="n">
        <v>0</v>
      </c>
      <c r="N115" t="n">
        <v>0</v>
      </c>
      <c r="O115" t="n">
        <v>0</v>
      </c>
      <c r="P115" t="n">
        <v>0</v>
      </c>
      <c r="Q115" t="n">
        <v>0</v>
      </c>
      <c r="R115" s="2" t="inlineStr"/>
    </row>
    <row r="116" ht="15" customHeight="1">
      <c r="A116" t="inlineStr">
        <is>
          <t>A 71370-2021</t>
        </is>
      </c>
      <c r="B116" s="1" t="n">
        <v>44539</v>
      </c>
      <c r="C116" s="1" t="n">
        <v>45924</v>
      </c>
      <c r="D116" t="inlineStr">
        <is>
          <t>NORRBOTTENS LÄN</t>
        </is>
      </c>
      <c r="E116" t="inlineStr">
        <is>
          <t>JOKKMOKK</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45924</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65652-2020</t>
        </is>
      </c>
      <c r="B118" s="1" t="n">
        <v>44172</v>
      </c>
      <c r="C118" s="1" t="n">
        <v>45924</v>
      </c>
      <c r="D118" t="inlineStr">
        <is>
          <t>NORRBOTTENS LÄN</t>
        </is>
      </c>
      <c r="E118" t="inlineStr">
        <is>
          <t>JOKKMOKK</t>
        </is>
      </c>
      <c r="G118" t="n">
        <v>6.2</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45924</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62757-2020</t>
        </is>
      </c>
      <c r="B120" s="1" t="n">
        <v>44161</v>
      </c>
      <c r="C120" s="1" t="n">
        <v>45924</v>
      </c>
      <c r="D120" t="inlineStr">
        <is>
          <t>NORRBOTTENS LÄN</t>
        </is>
      </c>
      <c r="E120" t="inlineStr">
        <is>
          <t>JOKKMOKK</t>
        </is>
      </c>
      <c r="F120" t="inlineStr">
        <is>
          <t>Sveaskog</t>
        </is>
      </c>
      <c r="G120" t="n">
        <v>3.4</v>
      </c>
      <c r="H120" t="n">
        <v>0</v>
      </c>
      <c r="I120" t="n">
        <v>0</v>
      </c>
      <c r="J120" t="n">
        <v>0</v>
      </c>
      <c r="K120" t="n">
        <v>0</v>
      </c>
      <c r="L120" t="n">
        <v>0</v>
      </c>
      <c r="M120" t="n">
        <v>0</v>
      </c>
      <c r="N120" t="n">
        <v>0</v>
      </c>
      <c r="O120" t="n">
        <v>0</v>
      </c>
      <c r="P120" t="n">
        <v>0</v>
      </c>
      <c r="Q120" t="n">
        <v>0</v>
      </c>
      <c r="R120" s="2" t="inlineStr"/>
    </row>
    <row r="121" ht="15" customHeight="1">
      <c r="A121" t="inlineStr">
        <is>
          <t>A 12576-2022</t>
        </is>
      </c>
      <c r="B121" s="1" t="n">
        <v>44638</v>
      </c>
      <c r="C121" s="1" t="n">
        <v>45924</v>
      </c>
      <c r="D121" t="inlineStr">
        <is>
          <t>NORRBOTTENS LÄN</t>
        </is>
      </c>
      <c r="E121" t="inlineStr">
        <is>
          <t>JOKKMOKK</t>
        </is>
      </c>
      <c r="F121" t="inlineStr">
        <is>
          <t>SCA</t>
        </is>
      </c>
      <c r="G121" t="n">
        <v>5.1</v>
      </c>
      <c r="H121" t="n">
        <v>0</v>
      </c>
      <c r="I121" t="n">
        <v>0</v>
      </c>
      <c r="J121" t="n">
        <v>0</v>
      </c>
      <c r="K121" t="n">
        <v>0</v>
      </c>
      <c r="L121" t="n">
        <v>0</v>
      </c>
      <c r="M121" t="n">
        <v>0</v>
      </c>
      <c r="N121" t="n">
        <v>0</v>
      </c>
      <c r="O121" t="n">
        <v>0</v>
      </c>
      <c r="P121" t="n">
        <v>0</v>
      </c>
      <c r="Q121" t="n">
        <v>0</v>
      </c>
      <c r="R121" s="2" t="inlineStr"/>
    </row>
    <row r="122" ht="15" customHeight="1">
      <c r="A122" t="inlineStr">
        <is>
          <t>A 29625-2023</t>
        </is>
      </c>
      <c r="B122" s="1" t="n">
        <v>45106.94556712963</v>
      </c>
      <c r="C122" s="1" t="n">
        <v>45924</v>
      </c>
      <c r="D122" t="inlineStr">
        <is>
          <t>NORRBOTTENS LÄN</t>
        </is>
      </c>
      <c r="E122" t="inlineStr">
        <is>
          <t>JOKKMOKK</t>
        </is>
      </c>
      <c r="F122" t="inlineStr">
        <is>
          <t>SCA</t>
        </is>
      </c>
      <c r="G122" t="n">
        <v>7.2</v>
      </c>
      <c r="H122" t="n">
        <v>0</v>
      </c>
      <c r="I122" t="n">
        <v>0</v>
      </c>
      <c r="J122" t="n">
        <v>0</v>
      </c>
      <c r="K122" t="n">
        <v>0</v>
      </c>
      <c r="L122" t="n">
        <v>0</v>
      </c>
      <c r="M122" t="n">
        <v>0</v>
      </c>
      <c r="N122" t="n">
        <v>0</v>
      </c>
      <c r="O122" t="n">
        <v>0</v>
      </c>
      <c r="P122" t="n">
        <v>0</v>
      </c>
      <c r="Q122" t="n">
        <v>0</v>
      </c>
      <c r="R122" s="2" t="inlineStr"/>
    </row>
    <row r="123" ht="15" customHeight="1">
      <c r="A123" t="inlineStr">
        <is>
          <t>A 30292-2023</t>
        </is>
      </c>
      <c r="B123" s="1" t="n">
        <v>45110</v>
      </c>
      <c r="C123" s="1" t="n">
        <v>45924</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43783-2021</t>
        </is>
      </c>
      <c r="B124" s="1" t="n">
        <v>44433</v>
      </c>
      <c r="C124" s="1" t="n">
        <v>45924</v>
      </c>
      <c r="D124" t="inlineStr">
        <is>
          <t>NORRBOTTENS LÄN</t>
        </is>
      </c>
      <c r="E124" t="inlineStr">
        <is>
          <t>JOKKMOKK</t>
        </is>
      </c>
      <c r="G124" t="n">
        <v>2.3</v>
      </c>
      <c r="H124" t="n">
        <v>0</v>
      </c>
      <c r="I124" t="n">
        <v>0</v>
      </c>
      <c r="J124" t="n">
        <v>0</v>
      </c>
      <c r="K124" t="n">
        <v>0</v>
      </c>
      <c r="L124" t="n">
        <v>0</v>
      </c>
      <c r="M124" t="n">
        <v>0</v>
      </c>
      <c r="N124" t="n">
        <v>0</v>
      </c>
      <c r="O124" t="n">
        <v>0</v>
      </c>
      <c r="P124" t="n">
        <v>0</v>
      </c>
      <c r="Q124" t="n">
        <v>0</v>
      </c>
      <c r="R124" s="2" t="inlineStr"/>
    </row>
    <row r="125" ht="15" customHeight="1">
      <c r="A125" t="inlineStr">
        <is>
          <t>A 43785-2021</t>
        </is>
      </c>
      <c r="B125" s="1" t="n">
        <v>44433</v>
      </c>
      <c r="C125" s="1" t="n">
        <v>45924</v>
      </c>
      <c r="D125" t="inlineStr">
        <is>
          <t>NORRBOTTENS LÄN</t>
        </is>
      </c>
      <c r="E125" t="inlineStr">
        <is>
          <t>JOKKMOKK</t>
        </is>
      </c>
      <c r="G125" t="n">
        <v>3.8</v>
      </c>
      <c r="H125" t="n">
        <v>0</v>
      </c>
      <c r="I125" t="n">
        <v>0</v>
      </c>
      <c r="J125" t="n">
        <v>0</v>
      </c>
      <c r="K125" t="n">
        <v>0</v>
      </c>
      <c r="L125" t="n">
        <v>0</v>
      </c>
      <c r="M125" t="n">
        <v>0</v>
      </c>
      <c r="N125" t="n">
        <v>0</v>
      </c>
      <c r="O125" t="n">
        <v>0</v>
      </c>
      <c r="P125" t="n">
        <v>0</v>
      </c>
      <c r="Q125" t="n">
        <v>0</v>
      </c>
      <c r="R125" s="2" t="inlineStr"/>
    </row>
    <row r="126" ht="15" customHeight="1">
      <c r="A126" t="inlineStr">
        <is>
          <t>A 65542-2020</t>
        </is>
      </c>
      <c r="B126" s="1" t="n">
        <v>44173</v>
      </c>
      <c r="C126" s="1" t="n">
        <v>45924</v>
      </c>
      <c r="D126" t="inlineStr">
        <is>
          <t>NORRBOTTENS LÄN</t>
        </is>
      </c>
      <c r="E126" t="inlineStr">
        <is>
          <t>JOKKMOKK</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56199-2021</t>
        </is>
      </c>
      <c r="B127" s="1" t="n">
        <v>44477</v>
      </c>
      <c r="C127" s="1" t="n">
        <v>45924</v>
      </c>
      <c r="D127" t="inlineStr">
        <is>
          <t>NORRBOTTENS LÄN</t>
        </is>
      </c>
      <c r="E127" t="inlineStr">
        <is>
          <t>JOKKMOKK</t>
        </is>
      </c>
      <c r="G127" t="n">
        <v>1</v>
      </c>
      <c r="H127" t="n">
        <v>0</v>
      </c>
      <c r="I127" t="n">
        <v>0</v>
      </c>
      <c r="J127" t="n">
        <v>0</v>
      </c>
      <c r="K127" t="n">
        <v>0</v>
      </c>
      <c r="L127" t="n">
        <v>0</v>
      </c>
      <c r="M127" t="n">
        <v>0</v>
      </c>
      <c r="N127" t="n">
        <v>0</v>
      </c>
      <c r="O127" t="n">
        <v>0</v>
      </c>
      <c r="P127" t="n">
        <v>0</v>
      </c>
      <c r="Q127" t="n">
        <v>0</v>
      </c>
      <c r="R127" s="2" t="inlineStr"/>
    </row>
    <row r="128" ht="15" customHeight="1">
      <c r="A128" t="inlineStr">
        <is>
          <t>A 16018-2024</t>
        </is>
      </c>
      <c r="B128" s="1" t="n">
        <v>45405.67028935185</v>
      </c>
      <c r="C128" s="1" t="n">
        <v>45924</v>
      </c>
      <c r="D128" t="inlineStr">
        <is>
          <t>NORRBOTTENS LÄN</t>
        </is>
      </c>
      <c r="E128" t="inlineStr">
        <is>
          <t>JOKKMOKK</t>
        </is>
      </c>
      <c r="G128" t="n">
        <v>1.8</v>
      </c>
      <c r="H128" t="n">
        <v>0</v>
      </c>
      <c r="I128" t="n">
        <v>0</v>
      </c>
      <c r="J128" t="n">
        <v>0</v>
      </c>
      <c r="K128" t="n">
        <v>0</v>
      </c>
      <c r="L128" t="n">
        <v>0</v>
      </c>
      <c r="M128" t="n">
        <v>0</v>
      </c>
      <c r="N128" t="n">
        <v>0</v>
      </c>
      <c r="O128" t="n">
        <v>0</v>
      </c>
      <c r="P128" t="n">
        <v>0</v>
      </c>
      <c r="Q128" t="n">
        <v>0</v>
      </c>
      <c r="R128" s="2" t="inlineStr"/>
    </row>
    <row r="129" ht="15" customHeight="1">
      <c r="A129" t="inlineStr">
        <is>
          <t>A 14869-2025</t>
        </is>
      </c>
      <c r="B129" s="1" t="n">
        <v>45743.44828703703</v>
      </c>
      <c r="C129" s="1" t="n">
        <v>45924</v>
      </c>
      <c r="D129" t="inlineStr">
        <is>
          <t>NORRBOTTENS LÄN</t>
        </is>
      </c>
      <c r="E129" t="inlineStr">
        <is>
          <t>JOKKMOKK</t>
        </is>
      </c>
      <c r="G129" t="n">
        <v>4.9</v>
      </c>
      <c r="H129" t="n">
        <v>0</v>
      </c>
      <c r="I129" t="n">
        <v>0</v>
      </c>
      <c r="J129" t="n">
        <v>0</v>
      </c>
      <c r="K129" t="n">
        <v>0</v>
      </c>
      <c r="L129" t="n">
        <v>0</v>
      </c>
      <c r="M129" t="n">
        <v>0</v>
      </c>
      <c r="N129" t="n">
        <v>0</v>
      </c>
      <c r="O129" t="n">
        <v>0</v>
      </c>
      <c r="P129" t="n">
        <v>0</v>
      </c>
      <c r="Q129" t="n">
        <v>0</v>
      </c>
      <c r="R129" s="2" t="inlineStr"/>
    </row>
    <row r="130" ht="15" customHeight="1">
      <c r="A130" t="inlineStr">
        <is>
          <t>A 43997-2024</t>
        </is>
      </c>
      <c r="B130" s="1" t="n">
        <v>45572.54165509259</v>
      </c>
      <c r="C130" s="1" t="n">
        <v>45924</v>
      </c>
      <c r="D130" t="inlineStr">
        <is>
          <t>NORRBOTTENS LÄN</t>
        </is>
      </c>
      <c r="E130" t="inlineStr">
        <is>
          <t>JOKKMOKK</t>
        </is>
      </c>
      <c r="F130" t="inlineStr">
        <is>
          <t>Sveaskog</t>
        </is>
      </c>
      <c r="G130" t="n">
        <v>17.4</v>
      </c>
      <c r="H130" t="n">
        <v>0</v>
      </c>
      <c r="I130" t="n">
        <v>0</v>
      </c>
      <c r="J130" t="n">
        <v>0</v>
      </c>
      <c r="K130" t="n">
        <v>0</v>
      </c>
      <c r="L130" t="n">
        <v>0</v>
      </c>
      <c r="M130" t="n">
        <v>0</v>
      </c>
      <c r="N130" t="n">
        <v>0</v>
      </c>
      <c r="O130" t="n">
        <v>0</v>
      </c>
      <c r="P130" t="n">
        <v>0</v>
      </c>
      <c r="Q130" t="n">
        <v>0</v>
      </c>
      <c r="R130" s="2" t="inlineStr"/>
    </row>
    <row r="131" ht="15" customHeight="1">
      <c r="A131" t="inlineStr">
        <is>
          <t>A 8360-2021</t>
        </is>
      </c>
      <c r="B131" s="1" t="n">
        <v>44244</v>
      </c>
      <c r="C131" s="1" t="n">
        <v>45924</v>
      </c>
      <c r="D131" t="inlineStr">
        <is>
          <t>NORRBOTTENS LÄN</t>
        </is>
      </c>
      <c r="E131" t="inlineStr">
        <is>
          <t>JOKKMOKK</t>
        </is>
      </c>
      <c r="F131" t="inlineStr">
        <is>
          <t>SCA</t>
        </is>
      </c>
      <c r="G131" t="n">
        <v>5</v>
      </c>
      <c r="H131" t="n">
        <v>0</v>
      </c>
      <c r="I131" t="n">
        <v>0</v>
      </c>
      <c r="J131" t="n">
        <v>0</v>
      </c>
      <c r="K131" t="n">
        <v>0</v>
      </c>
      <c r="L131" t="n">
        <v>0</v>
      </c>
      <c r="M131" t="n">
        <v>0</v>
      </c>
      <c r="N131" t="n">
        <v>0</v>
      </c>
      <c r="O131" t="n">
        <v>0</v>
      </c>
      <c r="P131" t="n">
        <v>0</v>
      </c>
      <c r="Q131" t="n">
        <v>0</v>
      </c>
      <c r="R131" s="2" t="inlineStr"/>
    </row>
    <row r="132" ht="15" customHeight="1">
      <c r="A132" t="inlineStr">
        <is>
          <t>A 69883-2021</t>
        </is>
      </c>
      <c r="B132" s="1" t="n">
        <v>44532</v>
      </c>
      <c r="C132" s="1" t="n">
        <v>45924</v>
      </c>
      <c r="D132" t="inlineStr">
        <is>
          <t>NORRBOTTENS LÄN</t>
        </is>
      </c>
      <c r="E132" t="inlineStr">
        <is>
          <t>JOKKMOKK</t>
        </is>
      </c>
      <c r="G132" t="n">
        <v>12.5</v>
      </c>
      <c r="H132" t="n">
        <v>0</v>
      </c>
      <c r="I132" t="n">
        <v>0</v>
      </c>
      <c r="J132" t="n">
        <v>0</v>
      </c>
      <c r="K132" t="n">
        <v>0</v>
      </c>
      <c r="L132" t="n">
        <v>0</v>
      </c>
      <c r="M132" t="n">
        <v>0</v>
      </c>
      <c r="N132" t="n">
        <v>0</v>
      </c>
      <c r="O132" t="n">
        <v>0</v>
      </c>
      <c r="P132" t="n">
        <v>0</v>
      </c>
      <c r="Q132" t="n">
        <v>0</v>
      </c>
      <c r="R132" s="2" t="inlineStr"/>
    </row>
    <row r="133" ht="15" customHeight="1">
      <c r="A133" t="inlineStr">
        <is>
          <t>A 24740-2025</t>
        </is>
      </c>
      <c r="B133" s="1" t="n">
        <v>45799.34543981482</v>
      </c>
      <c r="C133" s="1" t="n">
        <v>45924</v>
      </c>
      <c r="D133" t="inlineStr">
        <is>
          <t>NORRBOTTENS LÄN</t>
        </is>
      </c>
      <c r="E133" t="inlineStr">
        <is>
          <t>JOKKMOKK</t>
        </is>
      </c>
      <c r="F133" t="inlineStr">
        <is>
          <t>SCA</t>
        </is>
      </c>
      <c r="G133" t="n">
        <v>5.9</v>
      </c>
      <c r="H133" t="n">
        <v>0</v>
      </c>
      <c r="I133" t="n">
        <v>0</v>
      </c>
      <c r="J133" t="n">
        <v>0</v>
      </c>
      <c r="K133" t="n">
        <v>0</v>
      </c>
      <c r="L133" t="n">
        <v>0</v>
      </c>
      <c r="M133" t="n">
        <v>0</v>
      </c>
      <c r="N133" t="n">
        <v>0</v>
      </c>
      <c r="O133" t="n">
        <v>0</v>
      </c>
      <c r="P133" t="n">
        <v>0</v>
      </c>
      <c r="Q133" t="n">
        <v>0</v>
      </c>
      <c r="R133" s="2" t="inlineStr"/>
    </row>
    <row r="134" ht="15" customHeight="1">
      <c r="A134" t="inlineStr">
        <is>
          <t>A 24743-2025</t>
        </is>
      </c>
      <c r="B134" s="1" t="n">
        <v>45799.34598379629</v>
      </c>
      <c r="C134" s="1" t="n">
        <v>45924</v>
      </c>
      <c r="D134" t="inlineStr">
        <is>
          <t>NORRBOTTENS LÄN</t>
        </is>
      </c>
      <c r="E134" t="inlineStr">
        <is>
          <t>JOKKMOKK</t>
        </is>
      </c>
      <c r="F134" t="inlineStr">
        <is>
          <t>SCA</t>
        </is>
      </c>
      <c r="G134" t="n">
        <v>3.1</v>
      </c>
      <c r="H134" t="n">
        <v>0</v>
      </c>
      <c r="I134" t="n">
        <v>0</v>
      </c>
      <c r="J134" t="n">
        <v>0</v>
      </c>
      <c r="K134" t="n">
        <v>0</v>
      </c>
      <c r="L134" t="n">
        <v>0</v>
      </c>
      <c r="M134" t="n">
        <v>0</v>
      </c>
      <c r="N134" t="n">
        <v>0</v>
      </c>
      <c r="O134" t="n">
        <v>0</v>
      </c>
      <c r="P134" t="n">
        <v>0</v>
      </c>
      <c r="Q134" t="n">
        <v>0</v>
      </c>
      <c r="R134" s="2" t="inlineStr"/>
    </row>
    <row r="135" ht="15" customHeight="1">
      <c r="A135" t="inlineStr">
        <is>
          <t>A 51220-2022</t>
        </is>
      </c>
      <c r="B135" s="1" t="n">
        <v>44868</v>
      </c>
      <c r="C135" s="1" t="n">
        <v>45924</v>
      </c>
      <c r="D135" t="inlineStr">
        <is>
          <t>NORRBOTTENS LÄN</t>
        </is>
      </c>
      <c r="E135" t="inlineStr">
        <is>
          <t>JOKKMOKK</t>
        </is>
      </c>
      <c r="F135" t="inlineStr">
        <is>
          <t>Sveaskog</t>
        </is>
      </c>
      <c r="G135" t="n">
        <v>0.7</v>
      </c>
      <c r="H135" t="n">
        <v>0</v>
      </c>
      <c r="I135" t="n">
        <v>0</v>
      </c>
      <c r="J135" t="n">
        <v>0</v>
      </c>
      <c r="K135" t="n">
        <v>0</v>
      </c>
      <c r="L135" t="n">
        <v>0</v>
      </c>
      <c r="M135" t="n">
        <v>0</v>
      </c>
      <c r="N135" t="n">
        <v>0</v>
      </c>
      <c r="O135" t="n">
        <v>0</v>
      </c>
      <c r="P135" t="n">
        <v>0</v>
      </c>
      <c r="Q135" t="n">
        <v>0</v>
      </c>
      <c r="R135" s="2" t="inlineStr"/>
    </row>
    <row r="136" ht="15" customHeight="1">
      <c r="A136" t="inlineStr">
        <is>
          <t>A 60193-2023</t>
        </is>
      </c>
      <c r="B136" s="1" t="n">
        <v>45258</v>
      </c>
      <c r="C136" s="1" t="n">
        <v>45924</v>
      </c>
      <c r="D136" t="inlineStr">
        <is>
          <t>NORRBOTTENS LÄN</t>
        </is>
      </c>
      <c r="E136" t="inlineStr">
        <is>
          <t>JOKKMOKK</t>
        </is>
      </c>
      <c r="F136" t="inlineStr">
        <is>
          <t>Allmännings- och besparingsskogar</t>
        </is>
      </c>
      <c r="G136" t="n">
        <v>11.1</v>
      </c>
      <c r="H136" t="n">
        <v>0</v>
      </c>
      <c r="I136" t="n">
        <v>0</v>
      </c>
      <c r="J136" t="n">
        <v>0</v>
      </c>
      <c r="K136" t="n">
        <v>0</v>
      </c>
      <c r="L136" t="n">
        <v>0</v>
      </c>
      <c r="M136" t="n">
        <v>0</v>
      </c>
      <c r="N136" t="n">
        <v>0</v>
      </c>
      <c r="O136" t="n">
        <v>0</v>
      </c>
      <c r="P136" t="n">
        <v>0</v>
      </c>
      <c r="Q136" t="n">
        <v>0</v>
      </c>
      <c r="R136" s="2" t="inlineStr"/>
    </row>
    <row r="137" ht="15" customHeight="1">
      <c r="A137" t="inlineStr">
        <is>
          <t>A 23019-2023</t>
        </is>
      </c>
      <c r="B137" s="1" t="n">
        <v>45073</v>
      </c>
      <c r="C137" s="1" t="n">
        <v>45924</v>
      </c>
      <c r="D137" t="inlineStr">
        <is>
          <t>NORRBOTTENS LÄN</t>
        </is>
      </c>
      <c r="E137" t="inlineStr">
        <is>
          <t>JOKKMOKK</t>
        </is>
      </c>
      <c r="F137" t="inlineStr">
        <is>
          <t>SCA</t>
        </is>
      </c>
      <c r="G137" t="n">
        <v>6.3</v>
      </c>
      <c r="H137" t="n">
        <v>0</v>
      </c>
      <c r="I137" t="n">
        <v>0</v>
      </c>
      <c r="J137" t="n">
        <v>0</v>
      </c>
      <c r="K137" t="n">
        <v>0</v>
      </c>
      <c r="L137" t="n">
        <v>0</v>
      </c>
      <c r="M137" t="n">
        <v>0</v>
      </c>
      <c r="N137" t="n">
        <v>0</v>
      </c>
      <c r="O137" t="n">
        <v>0</v>
      </c>
      <c r="P137" t="n">
        <v>0</v>
      </c>
      <c r="Q137" t="n">
        <v>0</v>
      </c>
      <c r="R137" s="2" t="inlineStr"/>
    </row>
    <row r="138" ht="15" customHeight="1">
      <c r="A138" t="inlineStr">
        <is>
          <t>A 2040-2025</t>
        </is>
      </c>
      <c r="B138" s="1" t="n">
        <v>45671</v>
      </c>
      <c r="C138" s="1" t="n">
        <v>45924</v>
      </c>
      <c r="D138" t="inlineStr">
        <is>
          <t>NORRBOTTENS LÄN</t>
        </is>
      </c>
      <c r="E138" t="inlineStr">
        <is>
          <t>JOKKMOKK</t>
        </is>
      </c>
      <c r="G138" t="n">
        <v>5.1</v>
      </c>
      <c r="H138" t="n">
        <v>0</v>
      </c>
      <c r="I138" t="n">
        <v>0</v>
      </c>
      <c r="J138" t="n">
        <v>0</v>
      </c>
      <c r="K138" t="n">
        <v>0</v>
      </c>
      <c r="L138" t="n">
        <v>0</v>
      </c>
      <c r="M138" t="n">
        <v>0</v>
      </c>
      <c r="N138" t="n">
        <v>0</v>
      </c>
      <c r="O138" t="n">
        <v>0</v>
      </c>
      <c r="P138" t="n">
        <v>0</v>
      </c>
      <c r="Q138" t="n">
        <v>0</v>
      </c>
      <c r="R138" s="2" t="inlineStr"/>
    </row>
    <row r="139" ht="15" customHeight="1">
      <c r="A139" t="inlineStr">
        <is>
          <t>A 9852-2023</t>
        </is>
      </c>
      <c r="B139" s="1" t="n">
        <v>44984</v>
      </c>
      <c r="C139" s="1" t="n">
        <v>45924</v>
      </c>
      <c r="D139" t="inlineStr">
        <is>
          <t>NORRBOTTENS LÄN</t>
        </is>
      </c>
      <c r="E139" t="inlineStr">
        <is>
          <t>JOKKMOKK</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28036-2024</t>
        </is>
      </c>
      <c r="B140" s="1" t="n">
        <v>45476.49958333333</v>
      </c>
      <c r="C140" s="1" t="n">
        <v>45924</v>
      </c>
      <c r="D140" t="inlineStr">
        <is>
          <t>NORRBOTTENS LÄN</t>
        </is>
      </c>
      <c r="E140" t="inlineStr">
        <is>
          <t>JOKKMOKK</t>
        </is>
      </c>
      <c r="G140" t="n">
        <v>7.4</v>
      </c>
      <c r="H140" t="n">
        <v>0</v>
      </c>
      <c r="I140" t="n">
        <v>0</v>
      </c>
      <c r="J140" t="n">
        <v>0</v>
      </c>
      <c r="K140" t="n">
        <v>0</v>
      </c>
      <c r="L140" t="n">
        <v>0</v>
      </c>
      <c r="M140" t="n">
        <v>0</v>
      </c>
      <c r="N140" t="n">
        <v>0</v>
      </c>
      <c r="O140" t="n">
        <v>0</v>
      </c>
      <c r="P140" t="n">
        <v>0</v>
      </c>
      <c r="Q140" t="n">
        <v>0</v>
      </c>
      <c r="R140" s="2" t="inlineStr"/>
    </row>
    <row r="141" ht="15" customHeight="1">
      <c r="A141" t="inlineStr">
        <is>
          <t>A 24746-2025</t>
        </is>
      </c>
      <c r="B141" s="1" t="n">
        <v>45799.34662037037</v>
      </c>
      <c r="C141" s="1" t="n">
        <v>45924</v>
      </c>
      <c r="D141" t="inlineStr">
        <is>
          <t>NORRBOTTENS LÄN</t>
        </is>
      </c>
      <c r="E141" t="inlineStr">
        <is>
          <t>JOKKMOKK</t>
        </is>
      </c>
      <c r="F141" t="inlineStr">
        <is>
          <t>SCA</t>
        </is>
      </c>
      <c r="G141" t="n">
        <v>6.1</v>
      </c>
      <c r="H141" t="n">
        <v>0</v>
      </c>
      <c r="I141" t="n">
        <v>0</v>
      </c>
      <c r="J141" t="n">
        <v>0</v>
      </c>
      <c r="K141" t="n">
        <v>0</v>
      </c>
      <c r="L141" t="n">
        <v>0</v>
      </c>
      <c r="M141" t="n">
        <v>0</v>
      </c>
      <c r="N141" t="n">
        <v>0</v>
      </c>
      <c r="O141" t="n">
        <v>0</v>
      </c>
      <c r="P141" t="n">
        <v>0</v>
      </c>
      <c r="Q141" t="n">
        <v>0</v>
      </c>
      <c r="R141" s="2" t="inlineStr"/>
    </row>
    <row r="142" ht="15" customHeight="1">
      <c r="A142" t="inlineStr">
        <is>
          <t>A 52564-2024</t>
        </is>
      </c>
      <c r="B142" s="1" t="n">
        <v>45609</v>
      </c>
      <c r="C142" s="1" t="n">
        <v>45924</v>
      </c>
      <c r="D142" t="inlineStr">
        <is>
          <t>NORRBOTTENS LÄN</t>
        </is>
      </c>
      <c r="E142" t="inlineStr">
        <is>
          <t>JOKKMOKK</t>
        </is>
      </c>
      <c r="F142" t="inlineStr">
        <is>
          <t>Allmännings- och besparingsskogar</t>
        </is>
      </c>
      <c r="G142" t="n">
        <v>16.5</v>
      </c>
      <c r="H142" t="n">
        <v>0</v>
      </c>
      <c r="I142" t="n">
        <v>0</v>
      </c>
      <c r="J142" t="n">
        <v>0</v>
      </c>
      <c r="K142" t="n">
        <v>0</v>
      </c>
      <c r="L142" t="n">
        <v>0</v>
      </c>
      <c r="M142" t="n">
        <v>0</v>
      </c>
      <c r="N142" t="n">
        <v>0</v>
      </c>
      <c r="O142" t="n">
        <v>0</v>
      </c>
      <c r="P142" t="n">
        <v>0</v>
      </c>
      <c r="Q142" t="n">
        <v>0</v>
      </c>
      <c r="R142" s="2" t="inlineStr"/>
    </row>
    <row r="143" ht="15" customHeight="1">
      <c r="A143" t="inlineStr">
        <is>
          <t>A 14567-2024</t>
        </is>
      </c>
      <c r="B143" s="1" t="n">
        <v>45394</v>
      </c>
      <c r="C143" s="1" t="n">
        <v>45924</v>
      </c>
      <c r="D143" t="inlineStr">
        <is>
          <t>NORRBOTTENS LÄN</t>
        </is>
      </c>
      <c r="E143" t="inlineStr">
        <is>
          <t>JOKKMOKK</t>
        </is>
      </c>
      <c r="G143" t="n">
        <v>24.5</v>
      </c>
      <c r="H143" t="n">
        <v>0</v>
      </c>
      <c r="I143" t="n">
        <v>0</v>
      </c>
      <c r="J143" t="n">
        <v>0</v>
      </c>
      <c r="K143" t="n">
        <v>0</v>
      </c>
      <c r="L143" t="n">
        <v>0</v>
      </c>
      <c r="M143" t="n">
        <v>0</v>
      </c>
      <c r="N143" t="n">
        <v>0</v>
      </c>
      <c r="O143" t="n">
        <v>0</v>
      </c>
      <c r="P143" t="n">
        <v>0</v>
      </c>
      <c r="Q143" t="n">
        <v>0</v>
      </c>
      <c r="R143" s="2" t="inlineStr"/>
    </row>
    <row r="144" ht="15" customHeight="1">
      <c r="A144" t="inlineStr">
        <is>
          <t>A 31209-2023</t>
        </is>
      </c>
      <c r="B144" s="1" t="n">
        <v>45113.95096064815</v>
      </c>
      <c r="C144" s="1" t="n">
        <v>45924</v>
      </c>
      <c r="D144" t="inlineStr">
        <is>
          <t>NORRBOTTENS LÄN</t>
        </is>
      </c>
      <c r="E144" t="inlineStr">
        <is>
          <t>JOKKMOKK</t>
        </is>
      </c>
      <c r="F144" t="inlineStr">
        <is>
          <t>SCA</t>
        </is>
      </c>
      <c r="G144" t="n">
        <v>5.7</v>
      </c>
      <c r="H144" t="n">
        <v>0</v>
      </c>
      <c r="I144" t="n">
        <v>0</v>
      </c>
      <c r="J144" t="n">
        <v>0</v>
      </c>
      <c r="K144" t="n">
        <v>0</v>
      </c>
      <c r="L144" t="n">
        <v>0</v>
      </c>
      <c r="M144" t="n">
        <v>0</v>
      </c>
      <c r="N144" t="n">
        <v>0</v>
      </c>
      <c r="O144" t="n">
        <v>0</v>
      </c>
      <c r="P144" t="n">
        <v>0</v>
      </c>
      <c r="Q144" t="n">
        <v>0</v>
      </c>
      <c r="R144" s="2" t="inlineStr"/>
    </row>
    <row r="145" ht="15" customHeight="1">
      <c r="A145" t="inlineStr">
        <is>
          <t>A 6437-2025</t>
        </is>
      </c>
      <c r="B145" s="1" t="n">
        <v>45699</v>
      </c>
      <c r="C145" s="1" t="n">
        <v>45924</v>
      </c>
      <c r="D145" t="inlineStr">
        <is>
          <t>NORRBOTTENS LÄN</t>
        </is>
      </c>
      <c r="E145" t="inlineStr">
        <is>
          <t>JOKKMOKK</t>
        </is>
      </c>
      <c r="G145" t="n">
        <v>3.4</v>
      </c>
      <c r="H145" t="n">
        <v>0</v>
      </c>
      <c r="I145" t="n">
        <v>0</v>
      </c>
      <c r="J145" t="n">
        <v>0</v>
      </c>
      <c r="K145" t="n">
        <v>0</v>
      </c>
      <c r="L145" t="n">
        <v>0</v>
      </c>
      <c r="M145" t="n">
        <v>0</v>
      </c>
      <c r="N145" t="n">
        <v>0</v>
      </c>
      <c r="O145" t="n">
        <v>0</v>
      </c>
      <c r="P145" t="n">
        <v>0</v>
      </c>
      <c r="Q145" t="n">
        <v>0</v>
      </c>
      <c r="R145" s="2" t="inlineStr"/>
    </row>
    <row r="146" ht="15" customHeight="1">
      <c r="A146" t="inlineStr">
        <is>
          <t>A 37828-2024</t>
        </is>
      </c>
      <c r="B146" s="1" t="n">
        <v>45544</v>
      </c>
      <c r="C146" s="1" t="n">
        <v>45924</v>
      </c>
      <c r="D146" t="inlineStr">
        <is>
          <t>NORRBOTTENS LÄN</t>
        </is>
      </c>
      <c r="E146" t="inlineStr">
        <is>
          <t>JOKKMOKK</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60164-2023</t>
        </is>
      </c>
      <c r="B147" s="1" t="n">
        <v>45258</v>
      </c>
      <c r="C147" s="1" t="n">
        <v>45924</v>
      </c>
      <c r="D147" t="inlineStr">
        <is>
          <t>NORRBOTTENS LÄN</t>
        </is>
      </c>
      <c r="E147" t="inlineStr">
        <is>
          <t>JOKKMOKK</t>
        </is>
      </c>
      <c r="F147" t="inlineStr">
        <is>
          <t>Allmännings- och besparingsskogar</t>
        </is>
      </c>
      <c r="G147" t="n">
        <v>14.3</v>
      </c>
      <c r="H147" t="n">
        <v>0</v>
      </c>
      <c r="I147" t="n">
        <v>0</v>
      </c>
      <c r="J147" t="n">
        <v>0</v>
      </c>
      <c r="K147" t="n">
        <v>0</v>
      </c>
      <c r="L147" t="n">
        <v>0</v>
      </c>
      <c r="M147" t="n">
        <v>0</v>
      </c>
      <c r="N147" t="n">
        <v>0</v>
      </c>
      <c r="O147" t="n">
        <v>0</v>
      </c>
      <c r="P147" t="n">
        <v>0</v>
      </c>
      <c r="Q147" t="n">
        <v>0</v>
      </c>
      <c r="R147" s="2" t="inlineStr"/>
    </row>
    <row r="148" ht="15" customHeight="1">
      <c r="A148" t="inlineStr">
        <is>
          <t>A 60418-2023</t>
        </is>
      </c>
      <c r="B148" s="1" t="n">
        <v>45259.49666666667</v>
      </c>
      <c r="C148" s="1" t="n">
        <v>45924</v>
      </c>
      <c r="D148" t="inlineStr">
        <is>
          <t>NORRBOTTENS LÄN</t>
        </is>
      </c>
      <c r="E148" t="inlineStr">
        <is>
          <t>JOKKMOKK</t>
        </is>
      </c>
      <c r="F148" t="inlineStr">
        <is>
          <t>Allmännings- och besparingsskogar</t>
        </is>
      </c>
      <c r="G148" t="n">
        <v>12.7</v>
      </c>
      <c r="H148" t="n">
        <v>0</v>
      </c>
      <c r="I148" t="n">
        <v>0</v>
      </c>
      <c r="J148" t="n">
        <v>0</v>
      </c>
      <c r="K148" t="n">
        <v>0</v>
      </c>
      <c r="L148" t="n">
        <v>0</v>
      </c>
      <c r="M148" t="n">
        <v>0</v>
      </c>
      <c r="N148" t="n">
        <v>0</v>
      </c>
      <c r="O148" t="n">
        <v>0</v>
      </c>
      <c r="P148" t="n">
        <v>0</v>
      </c>
      <c r="Q148" t="n">
        <v>0</v>
      </c>
      <c r="R148" s="2" t="inlineStr"/>
    </row>
    <row r="149" ht="15" customHeight="1">
      <c r="A149" t="inlineStr">
        <is>
          <t>A 57183-2020</t>
        </is>
      </c>
      <c r="B149" s="1" t="n">
        <v>44138</v>
      </c>
      <c r="C149" s="1" t="n">
        <v>45924</v>
      </c>
      <c r="D149" t="inlineStr">
        <is>
          <t>NORRBOTTENS LÄN</t>
        </is>
      </c>
      <c r="E149" t="inlineStr">
        <is>
          <t>JOKKMOKK</t>
        </is>
      </c>
      <c r="F149" t="inlineStr">
        <is>
          <t>Övriga Aktiebolag</t>
        </is>
      </c>
      <c r="G149" t="n">
        <v>0.9</v>
      </c>
      <c r="H149" t="n">
        <v>0</v>
      </c>
      <c r="I149" t="n">
        <v>0</v>
      </c>
      <c r="J149" t="n">
        <v>0</v>
      </c>
      <c r="K149" t="n">
        <v>0</v>
      </c>
      <c r="L149" t="n">
        <v>0</v>
      </c>
      <c r="M149" t="n">
        <v>0</v>
      </c>
      <c r="N149" t="n">
        <v>0</v>
      </c>
      <c r="O149" t="n">
        <v>0</v>
      </c>
      <c r="P149" t="n">
        <v>0</v>
      </c>
      <c r="Q149" t="n">
        <v>0</v>
      </c>
      <c r="R149" s="2" t="inlineStr"/>
    </row>
    <row r="150" ht="15" customHeight="1">
      <c r="A150" t="inlineStr">
        <is>
          <t>A 55635-2024</t>
        </is>
      </c>
      <c r="B150" s="1" t="n">
        <v>45622</v>
      </c>
      <c r="C150" s="1" t="n">
        <v>45924</v>
      </c>
      <c r="D150" t="inlineStr">
        <is>
          <t>NORRBOTTENS LÄN</t>
        </is>
      </c>
      <c r="E150" t="inlineStr">
        <is>
          <t>JOKKMOKK</t>
        </is>
      </c>
      <c r="F150" t="inlineStr">
        <is>
          <t>Allmännings- och besparingsskogar</t>
        </is>
      </c>
      <c r="G150" t="n">
        <v>16</v>
      </c>
      <c r="H150" t="n">
        <v>0</v>
      </c>
      <c r="I150" t="n">
        <v>0</v>
      </c>
      <c r="J150" t="n">
        <v>0</v>
      </c>
      <c r="K150" t="n">
        <v>0</v>
      </c>
      <c r="L150" t="n">
        <v>0</v>
      </c>
      <c r="M150" t="n">
        <v>0</v>
      </c>
      <c r="N150" t="n">
        <v>0</v>
      </c>
      <c r="O150" t="n">
        <v>0</v>
      </c>
      <c r="P150" t="n">
        <v>0</v>
      </c>
      <c r="Q150" t="n">
        <v>0</v>
      </c>
      <c r="R150" s="2" t="inlineStr"/>
    </row>
    <row r="151" ht="15" customHeight="1">
      <c r="A151" t="inlineStr">
        <is>
          <t>A 52130-2024</t>
        </is>
      </c>
      <c r="B151" s="1" t="n">
        <v>45608</v>
      </c>
      <c r="C151" s="1" t="n">
        <v>45924</v>
      </c>
      <c r="D151" t="inlineStr">
        <is>
          <t>NORRBOTTENS LÄN</t>
        </is>
      </c>
      <c r="E151" t="inlineStr">
        <is>
          <t>JOKKMOKK</t>
        </is>
      </c>
      <c r="G151" t="n">
        <v>84</v>
      </c>
      <c r="H151" t="n">
        <v>0</v>
      </c>
      <c r="I151" t="n">
        <v>0</v>
      </c>
      <c r="J151" t="n">
        <v>0</v>
      </c>
      <c r="K151" t="n">
        <v>0</v>
      </c>
      <c r="L151" t="n">
        <v>0</v>
      </c>
      <c r="M151" t="n">
        <v>0</v>
      </c>
      <c r="N151" t="n">
        <v>0</v>
      </c>
      <c r="O151" t="n">
        <v>0</v>
      </c>
      <c r="P151" t="n">
        <v>0</v>
      </c>
      <c r="Q151" t="n">
        <v>0</v>
      </c>
      <c r="R151" s="2" t="inlineStr"/>
    </row>
    <row r="152" ht="15" customHeight="1">
      <c r="A152" t="inlineStr">
        <is>
          <t>A 34752-2021</t>
        </is>
      </c>
      <c r="B152" s="1" t="n">
        <v>44382</v>
      </c>
      <c r="C152" s="1" t="n">
        <v>45924</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49953-2024</t>
        </is>
      </c>
      <c r="B153" s="1" t="n">
        <v>45597</v>
      </c>
      <c r="C153" s="1" t="n">
        <v>45924</v>
      </c>
      <c r="D153" t="inlineStr">
        <is>
          <t>NORRBOTTENS LÄN</t>
        </is>
      </c>
      <c r="E153" t="inlineStr">
        <is>
          <t>JOKKMOKK</t>
        </is>
      </c>
      <c r="F153" t="inlineStr">
        <is>
          <t>Allmännings- och besparingsskogar</t>
        </is>
      </c>
      <c r="G153" t="n">
        <v>9.4</v>
      </c>
      <c r="H153" t="n">
        <v>0</v>
      </c>
      <c r="I153" t="n">
        <v>0</v>
      </c>
      <c r="J153" t="n">
        <v>0</v>
      </c>
      <c r="K153" t="n">
        <v>0</v>
      </c>
      <c r="L153" t="n">
        <v>0</v>
      </c>
      <c r="M153" t="n">
        <v>0</v>
      </c>
      <c r="N153" t="n">
        <v>0</v>
      </c>
      <c r="O153" t="n">
        <v>0</v>
      </c>
      <c r="P153" t="n">
        <v>0</v>
      </c>
      <c r="Q153" t="n">
        <v>0</v>
      </c>
      <c r="R153" s="2" t="inlineStr"/>
    </row>
    <row r="154" ht="15" customHeight="1">
      <c r="A154" t="inlineStr">
        <is>
          <t>A 18602-2024</t>
        </is>
      </c>
      <c r="B154" s="1" t="n">
        <v>45425</v>
      </c>
      <c r="C154" s="1" t="n">
        <v>45924</v>
      </c>
      <c r="D154" t="inlineStr">
        <is>
          <t>NORRBOTTENS LÄN</t>
        </is>
      </c>
      <c r="E154" t="inlineStr">
        <is>
          <t>JOKKMOKK</t>
        </is>
      </c>
      <c r="G154" t="n">
        <v>4.6</v>
      </c>
      <c r="H154" t="n">
        <v>0</v>
      </c>
      <c r="I154" t="n">
        <v>0</v>
      </c>
      <c r="J154" t="n">
        <v>0</v>
      </c>
      <c r="K154" t="n">
        <v>0</v>
      </c>
      <c r="L154" t="n">
        <v>0</v>
      </c>
      <c r="M154" t="n">
        <v>0</v>
      </c>
      <c r="N154" t="n">
        <v>0</v>
      </c>
      <c r="O154" t="n">
        <v>0</v>
      </c>
      <c r="P154" t="n">
        <v>0</v>
      </c>
      <c r="Q154" t="n">
        <v>0</v>
      </c>
      <c r="R154" s="2" t="inlineStr"/>
    </row>
    <row r="155" ht="15" customHeight="1">
      <c r="A155" t="inlineStr">
        <is>
          <t>A 49562-2024</t>
        </is>
      </c>
      <c r="B155" s="1" t="n">
        <v>45596</v>
      </c>
      <c r="C155" s="1" t="n">
        <v>45924</v>
      </c>
      <c r="D155" t="inlineStr">
        <is>
          <t>NORRBOTTENS LÄN</t>
        </is>
      </c>
      <c r="E155" t="inlineStr">
        <is>
          <t>JOKKMOKK</t>
        </is>
      </c>
      <c r="F155" t="inlineStr">
        <is>
          <t>Allmännings- och besparingsskogar</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50628-2024</t>
        </is>
      </c>
      <c r="B156" s="1" t="n">
        <v>45601.66423611111</v>
      </c>
      <c r="C156" s="1" t="n">
        <v>45924</v>
      </c>
      <c r="D156" t="inlineStr">
        <is>
          <t>NORRBOTTENS LÄN</t>
        </is>
      </c>
      <c r="E156" t="inlineStr">
        <is>
          <t>JOKKMOKK</t>
        </is>
      </c>
      <c r="F156" t="inlineStr">
        <is>
          <t>Allmännings- och besparingsskogar</t>
        </is>
      </c>
      <c r="G156" t="n">
        <v>2.4</v>
      </c>
      <c r="H156" t="n">
        <v>0</v>
      </c>
      <c r="I156" t="n">
        <v>0</v>
      </c>
      <c r="J156" t="n">
        <v>0</v>
      </c>
      <c r="K156" t="n">
        <v>0</v>
      </c>
      <c r="L156" t="n">
        <v>0</v>
      </c>
      <c r="M156" t="n">
        <v>0</v>
      </c>
      <c r="N156" t="n">
        <v>0</v>
      </c>
      <c r="O156" t="n">
        <v>0</v>
      </c>
      <c r="P156" t="n">
        <v>0</v>
      </c>
      <c r="Q156" t="n">
        <v>0</v>
      </c>
      <c r="R156" s="2" t="inlineStr"/>
    </row>
    <row r="157" ht="15" customHeight="1">
      <c r="A157" t="inlineStr">
        <is>
          <t>A 9349-2023</t>
        </is>
      </c>
      <c r="B157" s="1" t="n">
        <v>44980</v>
      </c>
      <c r="C157" s="1" t="n">
        <v>45924</v>
      </c>
      <c r="D157" t="inlineStr">
        <is>
          <t>NORRBOTTENS LÄN</t>
        </is>
      </c>
      <c r="E157" t="inlineStr">
        <is>
          <t>JOKKMOKK</t>
        </is>
      </c>
      <c r="F157" t="inlineStr">
        <is>
          <t>SCA</t>
        </is>
      </c>
      <c r="G157" t="n">
        <v>5.2</v>
      </c>
      <c r="H157" t="n">
        <v>0</v>
      </c>
      <c r="I157" t="n">
        <v>0</v>
      </c>
      <c r="J157" t="n">
        <v>0</v>
      </c>
      <c r="K157" t="n">
        <v>0</v>
      </c>
      <c r="L157" t="n">
        <v>0</v>
      </c>
      <c r="M157" t="n">
        <v>0</v>
      </c>
      <c r="N157" t="n">
        <v>0</v>
      </c>
      <c r="O157" t="n">
        <v>0</v>
      </c>
      <c r="P157" t="n">
        <v>0</v>
      </c>
      <c r="Q157" t="n">
        <v>0</v>
      </c>
      <c r="R157" s="2" t="inlineStr"/>
    </row>
    <row r="158" ht="15" customHeight="1">
      <c r="A158" t="inlineStr">
        <is>
          <t>A 9351-2023</t>
        </is>
      </c>
      <c r="B158" s="1" t="n">
        <v>44980</v>
      </c>
      <c r="C158" s="1" t="n">
        <v>45924</v>
      </c>
      <c r="D158" t="inlineStr">
        <is>
          <t>NORRBOTTENS LÄN</t>
        </is>
      </c>
      <c r="E158" t="inlineStr">
        <is>
          <t>JOKKMOKK</t>
        </is>
      </c>
      <c r="F158" t="inlineStr">
        <is>
          <t>SCA</t>
        </is>
      </c>
      <c r="G158" t="n">
        <v>2.3</v>
      </c>
      <c r="H158" t="n">
        <v>0</v>
      </c>
      <c r="I158" t="n">
        <v>0</v>
      </c>
      <c r="J158" t="n">
        <v>0</v>
      </c>
      <c r="K158" t="n">
        <v>0</v>
      </c>
      <c r="L158" t="n">
        <v>0</v>
      </c>
      <c r="M158" t="n">
        <v>0</v>
      </c>
      <c r="N158" t="n">
        <v>0</v>
      </c>
      <c r="O158" t="n">
        <v>0</v>
      </c>
      <c r="P158" t="n">
        <v>0</v>
      </c>
      <c r="Q158" t="n">
        <v>0</v>
      </c>
      <c r="R158" s="2" t="inlineStr"/>
    </row>
    <row r="159" ht="15" customHeight="1">
      <c r="A159" t="inlineStr">
        <is>
          <t>A 51336-2024</t>
        </is>
      </c>
      <c r="B159" s="1" t="n">
        <v>45604.34443287037</v>
      </c>
      <c r="C159" s="1" t="n">
        <v>45924</v>
      </c>
      <c r="D159" t="inlineStr">
        <is>
          <t>NORRBOTTENS LÄN</t>
        </is>
      </c>
      <c r="E159" t="inlineStr">
        <is>
          <t>JOKKMOKK</t>
        </is>
      </c>
      <c r="F159" t="inlineStr">
        <is>
          <t>SCA</t>
        </is>
      </c>
      <c r="G159" t="n">
        <v>2.6</v>
      </c>
      <c r="H159" t="n">
        <v>0</v>
      </c>
      <c r="I159" t="n">
        <v>0</v>
      </c>
      <c r="J159" t="n">
        <v>0</v>
      </c>
      <c r="K159" t="n">
        <v>0</v>
      </c>
      <c r="L159" t="n">
        <v>0</v>
      </c>
      <c r="M159" t="n">
        <v>0</v>
      </c>
      <c r="N159" t="n">
        <v>0</v>
      </c>
      <c r="O159" t="n">
        <v>0</v>
      </c>
      <c r="P159" t="n">
        <v>0</v>
      </c>
      <c r="Q159" t="n">
        <v>0</v>
      </c>
      <c r="R159" s="2" t="inlineStr"/>
    </row>
    <row r="160" ht="15" customHeight="1">
      <c r="A160" t="inlineStr">
        <is>
          <t>A 45510-2022</t>
        </is>
      </c>
      <c r="B160" s="1" t="n">
        <v>44841</v>
      </c>
      <c r="C160" s="1" t="n">
        <v>45924</v>
      </c>
      <c r="D160" t="inlineStr">
        <is>
          <t>NORRBOTTENS LÄN</t>
        </is>
      </c>
      <c r="E160" t="inlineStr">
        <is>
          <t>JOKKMOKK</t>
        </is>
      </c>
      <c r="F160" t="inlineStr">
        <is>
          <t>Övriga Aktiebolag</t>
        </is>
      </c>
      <c r="G160" t="n">
        <v>2.1</v>
      </c>
      <c r="H160" t="n">
        <v>0</v>
      </c>
      <c r="I160" t="n">
        <v>0</v>
      </c>
      <c r="J160" t="n">
        <v>0</v>
      </c>
      <c r="K160" t="n">
        <v>0</v>
      </c>
      <c r="L160" t="n">
        <v>0</v>
      </c>
      <c r="M160" t="n">
        <v>0</v>
      </c>
      <c r="N160" t="n">
        <v>0</v>
      </c>
      <c r="O160" t="n">
        <v>0</v>
      </c>
      <c r="P160" t="n">
        <v>0</v>
      </c>
      <c r="Q160" t="n">
        <v>0</v>
      </c>
      <c r="R160" s="2" t="inlineStr"/>
    </row>
    <row r="161" ht="15" customHeight="1">
      <c r="A161" t="inlineStr">
        <is>
          <t>A 71369-2021</t>
        </is>
      </c>
      <c r="B161" s="1" t="n">
        <v>44539.94476851852</v>
      </c>
      <c r="C161" s="1" t="n">
        <v>45924</v>
      </c>
      <c r="D161" t="inlineStr">
        <is>
          <t>NORRBOTTENS LÄN</t>
        </is>
      </c>
      <c r="E161" t="inlineStr">
        <is>
          <t>JOKKMOKK</t>
        </is>
      </c>
      <c r="F161" t="inlineStr">
        <is>
          <t>SCA</t>
        </is>
      </c>
      <c r="G161" t="n">
        <v>15.7</v>
      </c>
      <c r="H161" t="n">
        <v>0</v>
      </c>
      <c r="I161" t="n">
        <v>0</v>
      </c>
      <c r="J161" t="n">
        <v>0</v>
      </c>
      <c r="K161" t="n">
        <v>0</v>
      </c>
      <c r="L161" t="n">
        <v>0</v>
      </c>
      <c r="M161" t="n">
        <v>0</v>
      </c>
      <c r="N161" t="n">
        <v>0</v>
      </c>
      <c r="O161" t="n">
        <v>0</v>
      </c>
      <c r="P161" t="n">
        <v>0</v>
      </c>
      <c r="Q161" t="n">
        <v>0</v>
      </c>
      <c r="R161" s="2" t="inlineStr"/>
    </row>
    <row r="162" ht="15" customHeight="1">
      <c r="A162" t="inlineStr">
        <is>
          <t>A 35675-2024</t>
        </is>
      </c>
      <c r="B162" s="1" t="n">
        <v>45532</v>
      </c>
      <c r="C162" s="1" t="n">
        <v>45924</v>
      </c>
      <c r="D162" t="inlineStr">
        <is>
          <t>NORRBOTTENS LÄN</t>
        </is>
      </c>
      <c r="E162" t="inlineStr">
        <is>
          <t>JOKKMOKK</t>
        </is>
      </c>
      <c r="G162" t="n">
        <v>1.4</v>
      </c>
      <c r="H162" t="n">
        <v>0</v>
      </c>
      <c r="I162" t="n">
        <v>0</v>
      </c>
      <c r="J162" t="n">
        <v>0</v>
      </c>
      <c r="K162" t="n">
        <v>0</v>
      </c>
      <c r="L162" t="n">
        <v>0</v>
      </c>
      <c r="M162" t="n">
        <v>0</v>
      </c>
      <c r="N162" t="n">
        <v>0</v>
      </c>
      <c r="O162" t="n">
        <v>0</v>
      </c>
      <c r="P162" t="n">
        <v>0</v>
      </c>
      <c r="Q162" t="n">
        <v>0</v>
      </c>
      <c r="R162" s="2" t="inlineStr"/>
    </row>
    <row r="163" ht="15" customHeight="1">
      <c r="A163" t="inlineStr">
        <is>
          <t>A 18537-2023</t>
        </is>
      </c>
      <c r="B163" s="1" t="n">
        <v>45028</v>
      </c>
      <c r="C163" s="1" t="n">
        <v>45924</v>
      </c>
      <c r="D163" t="inlineStr">
        <is>
          <t>NORRBOTTENS LÄN</t>
        </is>
      </c>
      <c r="E163" t="inlineStr">
        <is>
          <t>JOKKMOKK</t>
        </is>
      </c>
      <c r="G163" t="n">
        <v>1</v>
      </c>
      <c r="H163" t="n">
        <v>0</v>
      </c>
      <c r="I163" t="n">
        <v>0</v>
      </c>
      <c r="J163" t="n">
        <v>0</v>
      </c>
      <c r="K163" t="n">
        <v>0</v>
      </c>
      <c r="L163" t="n">
        <v>0</v>
      </c>
      <c r="M163" t="n">
        <v>0</v>
      </c>
      <c r="N163" t="n">
        <v>0</v>
      </c>
      <c r="O163" t="n">
        <v>0</v>
      </c>
      <c r="P163" t="n">
        <v>0</v>
      </c>
      <c r="Q163" t="n">
        <v>0</v>
      </c>
      <c r="R163" s="2" t="inlineStr"/>
    </row>
    <row r="164" ht="15" customHeight="1">
      <c r="A164" t="inlineStr">
        <is>
          <t>A 1615-2024</t>
        </is>
      </c>
      <c r="B164" s="1" t="n">
        <v>45306</v>
      </c>
      <c r="C164" s="1" t="n">
        <v>45924</v>
      </c>
      <c r="D164" t="inlineStr">
        <is>
          <t>NORRBOTTENS LÄN</t>
        </is>
      </c>
      <c r="E164" t="inlineStr">
        <is>
          <t>JOKKMOKK</t>
        </is>
      </c>
      <c r="G164" t="n">
        <v>10.8</v>
      </c>
      <c r="H164" t="n">
        <v>0</v>
      </c>
      <c r="I164" t="n">
        <v>0</v>
      </c>
      <c r="J164" t="n">
        <v>0</v>
      </c>
      <c r="K164" t="n">
        <v>0</v>
      </c>
      <c r="L164" t="n">
        <v>0</v>
      </c>
      <c r="M164" t="n">
        <v>0</v>
      </c>
      <c r="N164" t="n">
        <v>0</v>
      </c>
      <c r="O164" t="n">
        <v>0</v>
      </c>
      <c r="P164" t="n">
        <v>0</v>
      </c>
      <c r="Q164" t="n">
        <v>0</v>
      </c>
      <c r="R164" s="2" t="inlineStr"/>
    </row>
    <row r="165" ht="15" customHeight="1">
      <c r="A165" t="inlineStr">
        <is>
          <t>A 6777-2023</t>
        </is>
      </c>
      <c r="B165" s="1" t="n">
        <v>44966</v>
      </c>
      <c r="C165" s="1" t="n">
        <v>45924</v>
      </c>
      <c r="D165" t="inlineStr">
        <is>
          <t>NORRBOTTENS LÄN</t>
        </is>
      </c>
      <c r="E165" t="inlineStr">
        <is>
          <t>JOKKMOKK</t>
        </is>
      </c>
      <c r="G165" t="n">
        <v>2.2</v>
      </c>
      <c r="H165" t="n">
        <v>0</v>
      </c>
      <c r="I165" t="n">
        <v>0</v>
      </c>
      <c r="J165" t="n">
        <v>0</v>
      </c>
      <c r="K165" t="n">
        <v>0</v>
      </c>
      <c r="L165" t="n">
        <v>0</v>
      </c>
      <c r="M165" t="n">
        <v>0</v>
      </c>
      <c r="N165" t="n">
        <v>0</v>
      </c>
      <c r="O165" t="n">
        <v>0</v>
      </c>
      <c r="P165" t="n">
        <v>0</v>
      </c>
      <c r="Q165" t="n">
        <v>0</v>
      </c>
      <c r="R165" s="2" t="inlineStr"/>
    </row>
    <row r="166" ht="15" customHeight="1">
      <c r="A166" t="inlineStr">
        <is>
          <t>A 31534-2024</t>
        </is>
      </c>
      <c r="B166" s="1" t="n">
        <v>45505</v>
      </c>
      <c r="C166" s="1" t="n">
        <v>45924</v>
      </c>
      <c r="D166" t="inlineStr">
        <is>
          <t>NORRBOTTENS LÄN</t>
        </is>
      </c>
      <c r="E166" t="inlineStr">
        <is>
          <t>JOKKMOKK</t>
        </is>
      </c>
      <c r="F166" t="inlineStr">
        <is>
          <t>SCA</t>
        </is>
      </c>
      <c r="G166" t="n">
        <v>3.4</v>
      </c>
      <c r="H166" t="n">
        <v>0</v>
      </c>
      <c r="I166" t="n">
        <v>0</v>
      </c>
      <c r="J166" t="n">
        <v>0</v>
      </c>
      <c r="K166" t="n">
        <v>0</v>
      </c>
      <c r="L166" t="n">
        <v>0</v>
      </c>
      <c r="M166" t="n">
        <v>0</v>
      </c>
      <c r="N166" t="n">
        <v>0</v>
      </c>
      <c r="O166" t="n">
        <v>0</v>
      </c>
      <c r="P166" t="n">
        <v>0</v>
      </c>
      <c r="Q166" t="n">
        <v>0</v>
      </c>
      <c r="R166" s="2" t="inlineStr"/>
    </row>
    <row r="167" ht="15" customHeight="1">
      <c r="A167" t="inlineStr">
        <is>
          <t>A 27657-2024</t>
        </is>
      </c>
      <c r="B167" s="1" t="n">
        <v>45474.95196759259</v>
      </c>
      <c r="C167" s="1" t="n">
        <v>45924</v>
      </c>
      <c r="D167" t="inlineStr">
        <is>
          <t>NORRBOTTENS LÄN</t>
        </is>
      </c>
      <c r="E167" t="inlineStr">
        <is>
          <t>JOKKMOKK</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27658-2024</t>
        </is>
      </c>
      <c r="B168" s="1" t="n">
        <v>45474.95246527778</v>
      </c>
      <c r="C168" s="1" t="n">
        <v>45924</v>
      </c>
      <c r="D168" t="inlineStr">
        <is>
          <t>NORRBOTTENS LÄN</t>
        </is>
      </c>
      <c r="E168" t="inlineStr">
        <is>
          <t>JOKKMOKK</t>
        </is>
      </c>
      <c r="F168" t="inlineStr">
        <is>
          <t>SCA</t>
        </is>
      </c>
      <c r="G168" t="n">
        <v>1</v>
      </c>
      <c r="H168" t="n">
        <v>0</v>
      </c>
      <c r="I168" t="n">
        <v>0</v>
      </c>
      <c r="J168" t="n">
        <v>0</v>
      </c>
      <c r="K168" t="n">
        <v>0</v>
      </c>
      <c r="L168" t="n">
        <v>0</v>
      </c>
      <c r="M168" t="n">
        <v>0</v>
      </c>
      <c r="N168" t="n">
        <v>0</v>
      </c>
      <c r="O168" t="n">
        <v>0</v>
      </c>
      <c r="P168" t="n">
        <v>0</v>
      </c>
      <c r="Q168" t="n">
        <v>0</v>
      </c>
      <c r="R168" s="2" t="inlineStr"/>
    </row>
    <row r="169" ht="15" customHeight="1">
      <c r="A169" t="inlineStr">
        <is>
          <t>A 49477-2024</t>
        </is>
      </c>
      <c r="B169" s="1" t="n">
        <v>45596.34576388889</v>
      </c>
      <c r="C169" s="1" t="n">
        <v>45924</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45596.34599537037</v>
      </c>
      <c r="C170" s="1" t="n">
        <v>45924</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14815-2024</t>
        </is>
      </c>
      <c r="B171" s="1" t="n">
        <v>45397.95770833334</v>
      </c>
      <c r="C171" s="1" t="n">
        <v>45924</v>
      </c>
      <c r="D171" t="inlineStr">
        <is>
          <t>NORRBOTTENS LÄN</t>
        </is>
      </c>
      <c r="E171" t="inlineStr">
        <is>
          <t>JOKKMOKK</t>
        </is>
      </c>
      <c r="F171" t="inlineStr">
        <is>
          <t>SCA</t>
        </is>
      </c>
      <c r="G171" t="n">
        <v>54.1</v>
      </c>
      <c r="H171" t="n">
        <v>0</v>
      </c>
      <c r="I171" t="n">
        <v>0</v>
      </c>
      <c r="J171" t="n">
        <v>0</v>
      </c>
      <c r="K171" t="n">
        <v>0</v>
      </c>
      <c r="L171" t="n">
        <v>0</v>
      </c>
      <c r="M171" t="n">
        <v>0</v>
      </c>
      <c r="N171" t="n">
        <v>0</v>
      </c>
      <c r="O171" t="n">
        <v>0</v>
      </c>
      <c r="P171" t="n">
        <v>0</v>
      </c>
      <c r="Q171" t="n">
        <v>0</v>
      </c>
      <c r="R171" s="2" t="inlineStr"/>
    </row>
    <row r="172" ht="15" customHeight="1">
      <c r="A172" t="inlineStr">
        <is>
          <t>A 52733-2024</t>
        </is>
      </c>
      <c r="B172" s="1" t="n">
        <v>45610</v>
      </c>
      <c r="C172" s="1" t="n">
        <v>45924</v>
      </c>
      <c r="D172" t="inlineStr">
        <is>
          <t>NORRBOTTENS LÄN</t>
        </is>
      </c>
      <c r="E172" t="inlineStr">
        <is>
          <t>JOKKMOKK</t>
        </is>
      </c>
      <c r="F172" t="inlineStr">
        <is>
          <t>Allmännings- och besparingsskogar</t>
        </is>
      </c>
      <c r="G172" t="n">
        <v>6.1</v>
      </c>
      <c r="H172" t="n">
        <v>0</v>
      </c>
      <c r="I172" t="n">
        <v>0</v>
      </c>
      <c r="J172" t="n">
        <v>0</v>
      </c>
      <c r="K172" t="n">
        <v>0</v>
      </c>
      <c r="L172" t="n">
        <v>0</v>
      </c>
      <c r="M172" t="n">
        <v>0</v>
      </c>
      <c r="N172" t="n">
        <v>0</v>
      </c>
      <c r="O172" t="n">
        <v>0</v>
      </c>
      <c r="P172" t="n">
        <v>0</v>
      </c>
      <c r="Q172" t="n">
        <v>0</v>
      </c>
      <c r="R172" s="2" t="inlineStr"/>
    </row>
    <row r="173" ht="15" customHeight="1">
      <c r="A173" t="inlineStr">
        <is>
          <t>A 30401-2024</t>
        </is>
      </c>
      <c r="B173" s="1" t="n">
        <v>45491</v>
      </c>
      <c r="C173" s="1" t="n">
        <v>45924</v>
      </c>
      <c r="D173" t="inlineStr">
        <is>
          <t>NORRBOTTENS LÄN</t>
        </is>
      </c>
      <c r="E173" t="inlineStr">
        <is>
          <t>JOKKMOKK</t>
        </is>
      </c>
      <c r="G173" t="n">
        <v>1</v>
      </c>
      <c r="H173" t="n">
        <v>0</v>
      </c>
      <c r="I173" t="n">
        <v>0</v>
      </c>
      <c r="J173" t="n">
        <v>0</v>
      </c>
      <c r="K173" t="n">
        <v>0</v>
      </c>
      <c r="L173" t="n">
        <v>0</v>
      </c>
      <c r="M173" t="n">
        <v>0</v>
      </c>
      <c r="N173" t="n">
        <v>0</v>
      </c>
      <c r="O173" t="n">
        <v>0</v>
      </c>
      <c r="P173" t="n">
        <v>0</v>
      </c>
      <c r="Q173" t="n">
        <v>0</v>
      </c>
      <c r="R173" s="2" t="inlineStr"/>
    </row>
    <row r="174" ht="15" customHeight="1">
      <c r="A174" t="inlineStr">
        <is>
          <t>A 61760-2024</t>
        </is>
      </c>
      <c r="B174" s="1" t="n">
        <v>45649</v>
      </c>
      <c r="C174" s="1" t="n">
        <v>45924</v>
      </c>
      <c r="D174" t="inlineStr">
        <is>
          <t>NORRBOTTENS LÄN</t>
        </is>
      </c>
      <c r="E174" t="inlineStr">
        <is>
          <t>JOKKMOKK</t>
        </is>
      </c>
      <c r="F174" t="inlineStr">
        <is>
          <t>Övriga statliga verk och myndigheter</t>
        </is>
      </c>
      <c r="G174" t="n">
        <v>19.3</v>
      </c>
      <c r="H174" t="n">
        <v>0</v>
      </c>
      <c r="I174" t="n">
        <v>0</v>
      </c>
      <c r="J174" t="n">
        <v>0</v>
      </c>
      <c r="K174" t="n">
        <v>0</v>
      </c>
      <c r="L174" t="n">
        <v>0</v>
      </c>
      <c r="M174" t="n">
        <v>0</v>
      </c>
      <c r="N174" t="n">
        <v>0</v>
      </c>
      <c r="O174" t="n">
        <v>0</v>
      </c>
      <c r="P174" t="n">
        <v>0</v>
      </c>
      <c r="Q174" t="n">
        <v>0</v>
      </c>
      <c r="R174" s="2" t="inlineStr"/>
    </row>
    <row r="175" ht="15" customHeight="1">
      <c r="A175" t="inlineStr">
        <is>
          <t>A 40836-2022</t>
        </is>
      </c>
      <c r="B175" s="1" t="n">
        <v>44824</v>
      </c>
      <c r="C175" s="1" t="n">
        <v>45924</v>
      </c>
      <c r="D175" t="inlineStr">
        <is>
          <t>NORRBOTTENS LÄN</t>
        </is>
      </c>
      <c r="E175" t="inlineStr">
        <is>
          <t>JOKKMOKK</t>
        </is>
      </c>
      <c r="F175" t="inlineStr">
        <is>
          <t>SCA</t>
        </is>
      </c>
      <c r="G175" t="n">
        <v>229.8</v>
      </c>
      <c r="H175" t="n">
        <v>0</v>
      </c>
      <c r="I175" t="n">
        <v>0</v>
      </c>
      <c r="J175" t="n">
        <v>0</v>
      </c>
      <c r="K175" t="n">
        <v>0</v>
      </c>
      <c r="L175" t="n">
        <v>0</v>
      </c>
      <c r="M175" t="n">
        <v>0</v>
      </c>
      <c r="N175" t="n">
        <v>0</v>
      </c>
      <c r="O175" t="n">
        <v>0</v>
      </c>
      <c r="P175" t="n">
        <v>0</v>
      </c>
      <c r="Q175" t="n">
        <v>0</v>
      </c>
      <c r="R175" s="2" t="inlineStr"/>
    </row>
    <row r="176" ht="15" customHeight="1">
      <c r="A176" t="inlineStr">
        <is>
          <t>A 47157-2024</t>
        </is>
      </c>
      <c r="B176" s="1" t="n">
        <v>45586</v>
      </c>
      <c r="C176" s="1" t="n">
        <v>45924</v>
      </c>
      <c r="D176" t="inlineStr">
        <is>
          <t>NORRBOTTENS LÄN</t>
        </is>
      </c>
      <c r="E176" t="inlineStr">
        <is>
          <t>JOKKMOKK</t>
        </is>
      </c>
      <c r="G176" t="n">
        <v>0.6</v>
      </c>
      <c r="H176" t="n">
        <v>0</v>
      </c>
      <c r="I176" t="n">
        <v>0</v>
      </c>
      <c r="J176" t="n">
        <v>0</v>
      </c>
      <c r="K176" t="n">
        <v>0</v>
      </c>
      <c r="L176" t="n">
        <v>0</v>
      </c>
      <c r="M176" t="n">
        <v>0</v>
      </c>
      <c r="N176" t="n">
        <v>0</v>
      </c>
      <c r="O176" t="n">
        <v>0</v>
      </c>
      <c r="P176" t="n">
        <v>0</v>
      </c>
      <c r="Q176" t="n">
        <v>0</v>
      </c>
      <c r="R176" s="2" t="inlineStr"/>
    </row>
    <row r="177" ht="15" customHeight="1">
      <c r="A177" t="inlineStr">
        <is>
          <t>A 27685-2025</t>
        </is>
      </c>
      <c r="B177" s="1" t="n">
        <v>45813.65023148148</v>
      </c>
      <c r="C177" s="1" t="n">
        <v>45924</v>
      </c>
      <c r="D177" t="inlineStr">
        <is>
          <t>NORRBOTTENS LÄN</t>
        </is>
      </c>
      <c r="E177" t="inlineStr">
        <is>
          <t>JOKKMOKK</t>
        </is>
      </c>
      <c r="G177" t="n">
        <v>2</v>
      </c>
      <c r="H177" t="n">
        <v>0</v>
      </c>
      <c r="I177" t="n">
        <v>0</v>
      </c>
      <c r="J177" t="n">
        <v>0</v>
      </c>
      <c r="K177" t="n">
        <v>0</v>
      </c>
      <c r="L177" t="n">
        <v>0</v>
      </c>
      <c r="M177" t="n">
        <v>0</v>
      </c>
      <c r="N177" t="n">
        <v>0</v>
      </c>
      <c r="O177" t="n">
        <v>0</v>
      </c>
      <c r="P177" t="n">
        <v>0</v>
      </c>
      <c r="Q177" t="n">
        <v>0</v>
      </c>
      <c r="R177" s="2" t="inlineStr"/>
    </row>
    <row r="178" ht="15" customHeight="1">
      <c r="A178" t="inlineStr">
        <is>
          <t>A 51304-2022</t>
        </is>
      </c>
      <c r="B178" s="1" t="n">
        <v>44868</v>
      </c>
      <c r="C178" s="1" t="n">
        <v>45924</v>
      </c>
      <c r="D178" t="inlineStr">
        <is>
          <t>NORRBOTTENS LÄN</t>
        </is>
      </c>
      <c r="E178" t="inlineStr">
        <is>
          <t>JOKKMOKK</t>
        </is>
      </c>
      <c r="G178" t="n">
        <v>1.5</v>
      </c>
      <c r="H178" t="n">
        <v>0</v>
      </c>
      <c r="I178" t="n">
        <v>0</v>
      </c>
      <c r="J178" t="n">
        <v>0</v>
      </c>
      <c r="K178" t="n">
        <v>0</v>
      </c>
      <c r="L178" t="n">
        <v>0</v>
      </c>
      <c r="M178" t="n">
        <v>0</v>
      </c>
      <c r="N178" t="n">
        <v>0</v>
      </c>
      <c r="O178" t="n">
        <v>0</v>
      </c>
      <c r="P178" t="n">
        <v>0</v>
      </c>
      <c r="Q178" t="n">
        <v>0</v>
      </c>
      <c r="R178" s="2" t="inlineStr"/>
    </row>
    <row r="179" ht="15" customHeight="1">
      <c r="A179" t="inlineStr">
        <is>
          <t>A 33323-2024</t>
        </is>
      </c>
      <c r="B179" s="1" t="n">
        <v>45518.97305555556</v>
      </c>
      <c r="C179" s="1" t="n">
        <v>45924</v>
      </c>
      <c r="D179" t="inlineStr">
        <is>
          <t>NORRBOTTENS LÄN</t>
        </is>
      </c>
      <c r="E179" t="inlineStr">
        <is>
          <t>JOKKMOKK</t>
        </is>
      </c>
      <c r="F179" t="inlineStr">
        <is>
          <t>SCA</t>
        </is>
      </c>
      <c r="G179" t="n">
        <v>16.7</v>
      </c>
      <c r="H179" t="n">
        <v>0</v>
      </c>
      <c r="I179" t="n">
        <v>0</v>
      </c>
      <c r="J179" t="n">
        <v>0</v>
      </c>
      <c r="K179" t="n">
        <v>0</v>
      </c>
      <c r="L179" t="n">
        <v>0</v>
      </c>
      <c r="M179" t="n">
        <v>0</v>
      </c>
      <c r="N179" t="n">
        <v>0</v>
      </c>
      <c r="O179" t="n">
        <v>0</v>
      </c>
      <c r="P179" t="n">
        <v>0</v>
      </c>
      <c r="Q179" t="n">
        <v>0</v>
      </c>
      <c r="R179" s="2" t="inlineStr"/>
    </row>
    <row r="180" ht="15" customHeight="1">
      <c r="A180" t="inlineStr">
        <is>
          <t>A 19493-2025</t>
        </is>
      </c>
      <c r="B180" s="1" t="n">
        <v>45770.38886574074</v>
      </c>
      <c r="C180" s="1" t="n">
        <v>45924</v>
      </c>
      <c r="D180" t="inlineStr">
        <is>
          <t>NORRBOTTENS LÄN</t>
        </is>
      </c>
      <c r="E180" t="inlineStr">
        <is>
          <t>JOKKMOKK</t>
        </is>
      </c>
      <c r="F180" t="inlineStr">
        <is>
          <t>SCA</t>
        </is>
      </c>
      <c r="G180" t="n">
        <v>7.1</v>
      </c>
      <c r="H180" t="n">
        <v>0</v>
      </c>
      <c r="I180" t="n">
        <v>0</v>
      </c>
      <c r="J180" t="n">
        <v>0</v>
      </c>
      <c r="K180" t="n">
        <v>0</v>
      </c>
      <c r="L180" t="n">
        <v>0</v>
      </c>
      <c r="M180" t="n">
        <v>0</v>
      </c>
      <c r="N180" t="n">
        <v>0</v>
      </c>
      <c r="O180" t="n">
        <v>0</v>
      </c>
      <c r="P180" t="n">
        <v>0</v>
      </c>
      <c r="Q180" t="n">
        <v>0</v>
      </c>
      <c r="R180" s="2" t="inlineStr"/>
    </row>
    <row r="181" ht="15" customHeight="1">
      <c r="A181" t="inlineStr">
        <is>
          <t>A 25722-2024</t>
        </is>
      </c>
      <c r="B181" s="1" t="n">
        <v>45463</v>
      </c>
      <c r="C181" s="1" t="n">
        <v>45924</v>
      </c>
      <c r="D181" t="inlineStr">
        <is>
          <t>NORRBOTTENS LÄN</t>
        </is>
      </c>
      <c r="E181" t="inlineStr">
        <is>
          <t>JOKKMOKK</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29213-2024</t>
        </is>
      </c>
      <c r="B182" s="1" t="n">
        <v>45482</v>
      </c>
      <c r="C182" s="1" t="n">
        <v>45924</v>
      </c>
      <c r="D182" t="inlineStr">
        <is>
          <t>NORRBOTTENS LÄN</t>
        </is>
      </c>
      <c r="E182" t="inlineStr">
        <is>
          <t>JOKKMOKK</t>
        </is>
      </c>
      <c r="G182" t="n">
        <v>55</v>
      </c>
      <c r="H182" t="n">
        <v>0</v>
      </c>
      <c r="I182" t="n">
        <v>0</v>
      </c>
      <c r="J182" t="n">
        <v>0</v>
      </c>
      <c r="K182" t="n">
        <v>0</v>
      </c>
      <c r="L182" t="n">
        <v>0</v>
      </c>
      <c r="M182" t="n">
        <v>0</v>
      </c>
      <c r="N182" t="n">
        <v>0</v>
      </c>
      <c r="O182" t="n">
        <v>0</v>
      </c>
      <c r="P182" t="n">
        <v>0</v>
      </c>
      <c r="Q182" t="n">
        <v>0</v>
      </c>
      <c r="R182" s="2" t="inlineStr"/>
    </row>
    <row r="183" ht="15" customHeight="1">
      <c r="A183" t="inlineStr">
        <is>
          <t>A 49483-2021</t>
        </is>
      </c>
      <c r="B183" s="1" t="n">
        <v>44454</v>
      </c>
      <c r="C183" s="1" t="n">
        <v>45924</v>
      </c>
      <c r="D183" t="inlineStr">
        <is>
          <t>NORRBOTTENS LÄN</t>
        </is>
      </c>
      <c r="E183" t="inlineStr">
        <is>
          <t>JOKKMOKK</t>
        </is>
      </c>
      <c r="F183" t="inlineStr">
        <is>
          <t>SCA</t>
        </is>
      </c>
      <c r="G183" t="n">
        <v>24.2</v>
      </c>
      <c r="H183" t="n">
        <v>0</v>
      </c>
      <c r="I183" t="n">
        <v>0</v>
      </c>
      <c r="J183" t="n">
        <v>0</v>
      </c>
      <c r="K183" t="n">
        <v>0</v>
      </c>
      <c r="L183" t="n">
        <v>0</v>
      </c>
      <c r="M183" t="n">
        <v>0</v>
      </c>
      <c r="N183" t="n">
        <v>0</v>
      </c>
      <c r="O183" t="n">
        <v>0</v>
      </c>
      <c r="P183" t="n">
        <v>0</v>
      </c>
      <c r="Q183" t="n">
        <v>0</v>
      </c>
      <c r="R183" s="2" t="inlineStr"/>
    </row>
    <row r="184" ht="15" customHeight="1">
      <c r="A184" t="inlineStr">
        <is>
          <t>A 25715-2024</t>
        </is>
      </c>
      <c r="B184" s="1" t="n">
        <v>45463</v>
      </c>
      <c r="C184" s="1" t="n">
        <v>45924</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52882-2023</t>
        </is>
      </c>
      <c r="B185" s="1" t="n">
        <v>45222</v>
      </c>
      <c r="C185" s="1" t="n">
        <v>45924</v>
      </c>
      <c r="D185" t="inlineStr">
        <is>
          <t>NORRBOTTENS LÄN</t>
        </is>
      </c>
      <c r="E185" t="inlineStr">
        <is>
          <t>JOKKMOKK</t>
        </is>
      </c>
      <c r="G185" t="n">
        <v>56.1</v>
      </c>
      <c r="H185" t="n">
        <v>0</v>
      </c>
      <c r="I185" t="n">
        <v>0</v>
      </c>
      <c r="J185" t="n">
        <v>0</v>
      </c>
      <c r="K185" t="n">
        <v>0</v>
      </c>
      <c r="L185" t="n">
        <v>0</v>
      </c>
      <c r="M185" t="n">
        <v>0</v>
      </c>
      <c r="N185" t="n">
        <v>0</v>
      </c>
      <c r="O185" t="n">
        <v>0</v>
      </c>
      <c r="P185" t="n">
        <v>0</v>
      </c>
      <c r="Q185" t="n">
        <v>0</v>
      </c>
      <c r="R185" s="2" t="inlineStr"/>
    </row>
    <row r="186" ht="15" customHeight="1">
      <c r="A186" t="inlineStr">
        <is>
          <t>A 28591-2025</t>
        </is>
      </c>
      <c r="B186" s="1" t="n">
        <v>45819.59027777778</v>
      </c>
      <c r="C186" s="1" t="n">
        <v>45924</v>
      </c>
      <c r="D186" t="inlineStr">
        <is>
          <t>NORRBOTTENS LÄN</t>
        </is>
      </c>
      <c r="E186" t="inlineStr">
        <is>
          <t>JOKKMOKK</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48339-2024</t>
        </is>
      </c>
      <c r="B187" s="1" t="n">
        <v>45590</v>
      </c>
      <c r="C187" s="1" t="n">
        <v>45924</v>
      </c>
      <c r="D187" t="inlineStr">
        <is>
          <t>NORRBOTTENS LÄN</t>
        </is>
      </c>
      <c r="E187" t="inlineStr">
        <is>
          <t>JOKKMOKK</t>
        </is>
      </c>
      <c r="F187" t="inlineStr">
        <is>
          <t>Allmännings- och besparingsskogar</t>
        </is>
      </c>
      <c r="G187" t="n">
        <v>24.9</v>
      </c>
      <c r="H187" t="n">
        <v>0</v>
      </c>
      <c r="I187" t="n">
        <v>0</v>
      </c>
      <c r="J187" t="n">
        <v>0</v>
      </c>
      <c r="K187" t="n">
        <v>0</v>
      </c>
      <c r="L187" t="n">
        <v>0</v>
      </c>
      <c r="M187" t="n">
        <v>0</v>
      </c>
      <c r="N187" t="n">
        <v>0</v>
      </c>
      <c r="O187" t="n">
        <v>0</v>
      </c>
      <c r="P187" t="n">
        <v>0</v>
      </c>
      <c r="Q187" t="n">
        <v>0</v>
      </c>
      <c r="R187" s="2" t="inlineStr"/>
    </row>
    <row r="188" ht="15" customHeight="1">
      <c r="A188" t="inlineStr">
        <is>
          <t>A 40658-2024</t>
        </is>
      </c>
      <c r="B188" s="1" t="n">
        <v>45558</v>
      </c>
      <c r="C188" s="1" t="n">
        <v>45924</v>
      </c>
      <c r="D188" t="inlineStr">
        <is>
          <t>NORRBOTTENS LÄN</t>
        </is>
      </c>
      <c r="E188" t="inlineStr">
        <is>
          <t>JOKKMOKK</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28639-2025</t>
        </is>
      </c>
      <c r="B189" s="1" t="n">
        <v>45819.63649305556</v>
      </c>
      <c r="C189" s="1" t="n">
        <v>45924</v>
      </c>
      <c r="D189" t="inlineStr">
        <is>
          <t>NORRBOTTENS LÄN</t>
        </is>
      </c>
      <c r="E189" t="inlineStr">
        <is>
          <t>JOKKMOKK</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28601-2025</t>
        </is>
      </c>
      <c r="B190" s="1" t="n">
        <v>45819.59802083333</v>
      </c>
      <c r="C190" s="1" t="n">
        <v>45924</v>
      </c>
      <c r="D190" t="inlineStr">
        <is>
          <t>NORRBOTTENS LÄN</t>
        </is>
      </c>
      <c r="E190" t="inlineStr">
        <is>
          <t>JOKKMOKK</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46442-2023</t>
        </is>
      </c>
      <c r="B191" s="1" t="n">
        <v>45197.59248842593</v>
      </c>
      <c r="C191" s="1" t="n">
        <v>45924</v>
      </c>
      <c r="D191" t="inlineStr">
        <is>
          <t>NORRBOTTENS LÄN</t>
        </is>
      </c>
      <c r="E191" t="inlineStr">
        <is>
          <t>JOKKMOKK</t>
        </is>
      </c>
      <c r="G191" t="n">
        <v>6.4</v>
      </c>
      <c r="H191" t="n">
        <v>0</v>
      </c>
      <c r="I191" t="n">
        <v>0</v>
      </c>
      <c r="J191" t="n">
        <v>0</v>
      </c>
      <c r="K191" t="n">
        <v>0</v>
      </c>
      <c r="L191" t="n">
        <v>0</v>
      </c>
      <c r="M191" t="n">
        <v>0</v>
      </c>
      <c r="N191" t="n">
        <v>0</v>
      </c>
      <c r="O191" t="n">
        <v>0</v>
      </c>
      <c r="P191" t="n">
        <v>0</v>
      </c>
      <c r="Q191" t="n">
        <v>0</v>
      </c>
      <c r="R191" s="2" t="inlineStr"/>
    </row>
    <row r="192" ht="15" customHeight="1">
      <c r="A192" t="inlineStr">
        <is>
          <t>A 49679-2024</t>
        </is>
      </c>
      <c r="B192" s="1" t="n">
        <v>45596.6649537037</v>
      </c>
      <c r="C192" s="1" t="n">
        <v>45924</v>
      </c>
      <c r="D192" t="inlineStr">
        <is>
          <t>NORRBOTTENS LÄN</t>
        </is>
      </c>
      <c r="E192" t="inlineStr">
        <is>
          <t>JOKKMOKK</t>
        </is>
      </c>
      <c r="F192" t="inlineStr">
        <is>
          <t>Allmännings- och besparingsskogar</t>
        </is>
      </c>
      <c r="G192" t="n">
        <v>14.1</v>
      </c>
      <c r="H192" t="n">
        <v>0</v>
      </c>
      <c r="I192" t="n">
        <v>0</v>
      </c>
      <c r="J192" t="n">
        <v>0</v>
      </c>
      <c r="K192" t="n">
        <v>0</v>
      </c>
      <c r="L192" t="n">
        <v>0</v>
      </c>
      <c r="M192" t="n">
        <v>0</v>
      </c>
      <c r="N192" t="n">
        <v>0</v>
      </c>
      <c r="O192" t="n">
        <v>0</v>
      </c>
      <c r="P192" t="n">
        <v>0</v>
      </c>
      <c r="Q192" t="n">
        <v>0</v>
      </c>
      <c r="R192" s="2" t="inlineStr"/>
    </row>
    <row r="193" ht="15" customHeight="1">
      <c r="A193" t="inlineStr">
        <is>
          <t>A 29333-2025</t>
        </is>
      </c>
      <c r="B193" s="1" t="n">
        <v>45824</v>
      </c>
      <c r="C193" s="1" t="n">
        <v>45924</v>
      </c>
      <c r="D193" t="inlineStr">
        <is>
          <t>NORRBOTTENS LÄN</t>
        </is>
      </c>
      <c r="E193" t="inlineStr">
        <is>
          <t>JOKKMOKK</t>
        </is>
      </c>
      <c r="G193" t="n">
        <v>17.3</v>
      </c>
      <c r="H193" t="n">
        <v>0</v>
      </c>
      <c r="I193" t="n">
        <v>0</v>
      </c>
      <c r="J193" t="n">
        <v>0</v>
      </c>
      <c r="K193" t="n">
        <v>0</v>
      </c>
      <c r="L193" t="n">
        <v>0</v>
      </c>
      <c r="M193" t="n">
        <v>0</v>
      </c>
      <c r="N193" t="n">
        <v>0</v>
      </c>
      <c r="O193" t="n">
        <v>0</v>
      </c>
      <c r="P193" t="n">
        <v>0</v>
      </c>
      <c r="Q193" t="n">
        <v>0</v>
      </c>
      <c r="R193" s="2" t="inlineStr"/>
    </row>
    <row r="194" ht="15" customHeight="1">
      <c r="A194" t="inlineStr">
        <is>
          <t>A 56523-2021</t>
        </is>
      </c>
      <c r="B194" s="1" t="n">
        <v>44477</v>
      </c>
      <c r="C194" s="1" t="n">
        <v>45924</v>
      </c>
      <c r="D194" t="inlineStr">
        <is>
          <t>NORRBOTTENS LÄN</t>
        </is>
      </c>
      <c r="E194" t="inlineStr">
        <is>
          <t>JOKKMOKK</t>
        </is>
      </c>
      <c r="G194" t="n">
        <v>6.6</v>
      </c>
      <c r="H194" t="n">
        <v>0</v>
      </c>
      <c r="I194" t="n">
        <v>0</v>
      </c>
      <c r="J194" t="n">
        <v>0</v>
      </c>
      <c r="K194" t="n">
        <v>0</v>
      </c>
      <c r="L194" t="n">
        <v>0</v>
      </c>
      <c r="M194" t="n">
        <v>0</v>
      </c>
      <c r="N194" t="n">
        <v>0</v>
      </c>
      <c r="O194" t="n">
        <v>0</v>
      </c>
      <c r="P194" t="n">
        <v>0</v>
      </c>
      <c r="Q194" t="n">
        <v>0</v>
      </c>
      <c r="R194" s="2" t="inlineStr"/>
    </row>
    <row r="195" ht="15" customHeight="1">
      <c r="A195" t="inlineStr">
        <is>
          <t>A 33827-2024</t>
        </is>
      </c>
      <c r="B195" s="1" t="n">
        <v>45520</v>
      </c>
      <c r="C195" s="1" t="n">
        <v>45924</v>
      </c>
      <c r="D195" t="inlineStr">
        <is>
          <t>NORRBOTTENS LÄN</t>
        </is>
      </c>
      <c r="E195" t="inlineStr">
        <is>
          <t>JOKKMOKK</t>
        </is>
      </c>
      <c r="F195" t="inlineStr">
        <is>
          <t>SCA</t>
        </is>
      </c>
      <c r="G195" t="n">
        <v>12.8</v>
      </c>
      <c r="H195" t="n">
        <v>0</v>
      </c>
      <c r="I195" t="n">
        <v>0</v>
      </c>
      <c r="J195" t="n">
        <v>0</v>
      </c>
      <c r="K195" t="n">
        <v>0</v>
      </c>
      <c r="L195" t="n">
        <v>0</v>
      </c>
      <c r="M195" t="n">
        <v>0</v>
      </c>
      <c r="N195" t="n">
        <v>0</v>
      </c>
      <c r="O195" t="n">
        <v>0</v>
      </c>
      <c r="P195" t="n">
        <v>0</v>
      </c>
      <c r="Q195" t="n">
        <v>0</v>
      </c>
      <c r="R195" s="2" t="inlineStr"/>
    </row>
    <row r="196" ht="15" customHeight="1">
      <c r="A196" t="inlineStr">
        <is>
          <t>A 29446-2025</t>
        </is>
      </c>
      <c r="B196" s="1" t="n">
        <v>45824</v>
      </c>
      <c r="C196" s="1" t="n">
        <v>45924</v>
      </c>
      <c r="D196" t="inlineStr">
        <is>
          <t>NORRBOTTENS LÄN</t>
        </is>
      </c>
      <c r="E196" t="inlineStr">
        <is>
          <t>JOKKMOKK</t>
        </is>
      </c>
      <c r="G196" t="n">
        <v>68.5</v>
      </c>
      <c r="H196" t="n">
        <v>0</v>
      </c>
      <c r="I196" t="n">
        <v>0</v>
      </c>
      <c r="J196" t="n">
        <v>0</v>
      </c>
      <c r="K196" t="n">
        <v>0</v>
      </c>
      <c r="L196" t="n">
        <v>0</v>
      </c>
      <c r="M196" t="n">
        <v>0</v>
      </c>
      <c r="N196" t="n">
        <v>0</v>
      </c>
      <c r="O196" t="n">
        <v>0</v>
      </c>
      <c r="P196" t="n">
        <v>0</v>
      </c>
      <c r="Q196" t="n">
        <v>0</v>
      </c>
      <c r="R196" s="2" t="inlineStr"/>
    </row>
    <row r="197" ht="15" customHeight="1">
      <c r="A197" t="inlineStr">
        <is>
          <t>A 29418-2025</t>
        </is>
      </c>
      <c r="B197" s="1" t="n">
        <v>45824.63607638889</v>
      </c>
      <c r="C197" s="1" t="n">
        <v>45924</v>
      </c>
      <c r="D197" t="inlineStr">
        <is>
          <t>NORRBOTTENS LÄN</t>
        </is>
      </c>
      <c r="E197" t="inlineStr">
        <is>
          <t>JOKKMOKK</t>
        </is>
      </c>
      <c r="G197" t="n">
        <v>17.8</v>
      </c>
      <c r="H197" t="n">
        <v>0</v>
      </c>
      <c r="I197" t="n">
        <v>0</v>
      </c>
      <c r="J197" t="n">
        <v>0</v>
      </c>
      <c r="K197" t="n">
        <v>0</v>
      </c>
      <c r="L197" t="n">
        <v>0</v>
      </c>
      <c r="M197" t="n">
        <v>0</v>
      </c>
      <c r="N197" t="n">
        <v>0</v>
      </c>
      <c r="O197" t="n">
        <v>0</v>
      </c>
      <c r="P197" t="n">
        <v>0</v>
      </c>
      <c r="Q197" t="n">
        <v>0</v>
      </c>
      <c r="R197" s="2" t="inlineStr"/>
    </row>
    <row r="198" ht="15" customHeight="1">
      <c r="A198" t="inlineStr">
        <is>
          <t>A 26131-2023</t>
        </is>
      </c>
      <c r="B198" s="1" t="n">
        <v>45086</v>
      </c>
      <c r="C198" s="1" t="n">
        <v>45924</v>
      </c>
      <c r="D198" t="inlineStr">
        <is>
          <t>NORRBOTTENS LÄN</t>
        </is>
      </c>
      <c r="E198" t="inlineStr">
        <is>
          <t>JOKKMOKK</t>
        </is>
      </c>
      <c r="G198" t="n">
        <v>35.6</v>
      </c>
      <c r="H198" t="n">
        <v>0</v>
      </c>
      <c r="I198" t="n">
        <v>0</v>
      </c>
      <c r="J198" t="n">
        <v>0</v>
      </c>
      <c r="K198" t="n">
        <v>0</v>
      </c>
      <c r="L198" t="n">
        <v>0</v>
      </c>
      <c r="M198" t="n">
        <v>0</v>
      </c>
      <c r="N198" t="n">
        <v>0</v>
      </c>
      <c r="O198" t="n">
        <v>0</v>
      </c>
      <c r="P198" t="n">
        <v>0</v>
      </c>
      <c r="Q198" t="n">
        <v>0</v>
      </c>
      <c r="R198" s="2" t="inlineStr"/>
    </row>
    <row r="199" ht="15" customHeight="1">
      <c r="A199" t="inlineStr">
        <is>
          <t>A 29212-2024</t>
        </is>
      </c>
      <c r="B199" s="1" t="n">
        <v>45482</v>
      </c>
      <c r="C199" s="1" t="n">
        <v>45924</v>
      </c>
      <c r="D199" t="inlineStr">
        <is>
          <t>NORRBOTTENS LÄN</t>
        </is>
      </c>
      <c r="E199" t="inlineStr">
        <is>
          <t>JOKKMOKK</t>
        </is>
      </c>
      <c r="G199" t="n">
        <v>8.5</v>
      </c>
      <c r="H199" t="n">
        <v>0</v>
      </c>
      <c r="I199" t="n">
        <v>0</v>
      </c>
      <c r="J199" t="n">
        <v>0</v>
      </c>
      <c r="K199" t="n">
        <v>0</v>
      </c>
      <c r="L199" t="n">
        <v>0</v>
      </c>
      <c r="M199" t="n">
        <v>0</v>
      </c>
      <c r="N199" t="n">
        <v>0</v>
      </c>
      <c r="O199" t="n">
        <v>0</v>
      </c>
      <c r="P199" t="n">
        <v>0</v>
      </c>
      <c r="Q199" t="n">
        <v>0</v>
      </c>
      <c r="R199" s="2" t="inlineStr"/>
    </row>
    <row r="200" ht="15" customHeight="1">
      <c r="A200" t="inlineStr">
        <is>
          <t>A 59788-2024</t>
        </is>
      </c>
      <c r="B200" s="1" t="n">
        <v>45639.58282407407</v>
      </c>
      <c r="C200" s="1" t="n">
        <v>45924</v>
      </c>
      <c r="D200" t="inlineStr">
        <is>
          <t>NORRBOTTENS LÄN</t>
        </is>
      </c>
      <c r="E200" t="inlineStr">
        <is>
          <t>JOKKMOKK</t>
        </is>
      </c>
      <c r="F200" t="inlineStr">
        <is>
          <t>Sveaskog</t>
        </is>
      </c>
      <c r="G200" t="n">
        <v>11.4</v>
      </c>
      <c r="H200" t="n">
        <v>0</v>
      </c>
      <c r="I200" t="n">
        <v>0</v>
      </c>
      <c r="J200" t="n">
        <v>0</v>
      </c>
      <c r="K200" t="n">
        <v>0</v>
      </c>
      <c r="L200" t="n">
        <v>0</v>
      </c>
      <c r="M200" t="n">
        <v>0</v>
      </c>
      <c r="N200" t="n">
        <v>0</v>
      </c>
      <c r="O200" t="n">
        <v>0</v>
      </c>
      <c r="P200" t="n">
        <v>0</v>
      </c>
      <c r="Q200" t="n">
        <v>0</v>
      </c>
      <c r="R200" s="2" t="inlineStr"/>
    </row>
    <row r="201" ht="15" customHeight="1">
      <c r="A201" t="inlineStr">
        <is>
          <t>A 30178-2025</t>
        </is>
      </c>
      <c r="B201" s="1" t="n">
        <v>45827.34571759259</v>
      </c>
      <c r="C201" s="1" t="n">
        <v>45924</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453-2025</t>
        </is>
      </c>
      <c r="B202" s="1" t="n">
        <v>45664.4005787037</v>
      </c>
      <c r="C202" s="1" t="n">
        <v>45924</v>
      </c>
      <c r="D202" t="inlineStr">
        <is>
          <t>NORRBOTTENS LÄN</t>
        </is>
      </c>
      <c r="E202" t="inlineStr">
        <is>
          <t>JOKKMOKK</t>
        </is>
      </c>
      <c r="F202" t="inlineStr">
        <is>
          <t>Övriga statliga verk och myndigheter</t>
        </is>
      </c>
      <c r="G202" t="n">
        <v>5</v>
      </c>
      <c r="H202" t="n">
        <v>0</v>
      </c>
      <c r="I202" t="n">
        <v>0</v>
      </c>
      <c r="J202" t="n">
        <v>0</v>
      </c>
      <c r="K202" t="n">
        <v>0</v>
      </c>
      <c r="L202" t="n">
        <v>0</v>
      </c>
      <c r="M202" t="n">
        <v>0</v>
      </c>
      <c r="N202" t="n">
        <v>0</v>
      </c>
      <c r="O202" t="n">
        <v>0</v>
      </c>
      <c r="P202" t="n">
        <v>0</v>
      </c>
      <c r="Q202" t="n">
        <v>0</v>
      </c>
      <c r="R202" s="2" t="inlineStr"/>
    </row>
    <row r="203" ht="15" customHeight="1">
      <c r="A203" t="inlineStr">
        <is>
          <t>A 41923-2021</t>
        </is>
      </c>
      <c r="B203" s="1" t="n">
        <v>44425</v>
      </c>
      <c r="C203" s="1" t="n">
        <v>45924</v>
      </c>
      <c r="D203" t="inlineStr">
        <is>
          <t>NORRBOTTENS LÄN</t>
        </is>
      </c>
      <c r="E203" t="inlineStr">
        <is>
          <t>JOKKMOKK</t>
        </is>
      </c>
      <c r="F203" t="inlineStr">
        <is>
          <t>Övriga statliga verk och myndigheter</t>
        </is>
      </c>
      <c r="G203" t="n">
        <v>22</v>
      </c>
      <c r="H203" t="n">
        <v>0</v>
      </c>
      <c r="I203" t="n">
        <v>0</v>
      </c>
      <c r="J203" t="n">
        <v>0</v>
      </c>
      <c r="K203" t="n">
        <v>0</v>
      </c>
      <c r="L203" t="n">
        <v>0</v>
      </c>
      <c r="M203" t="n">
        <v>0</v>
      </c>
      <c r="N203" t="n">
        <v>0</v>
      </c>
      <c r="O203" t="n">
        <v>0</v>
      </c>
      <c r="P203" t="n">
        <v>0</v>
      </c>
      <c r="Q203" t="n">
        <v>0</v>
      </c>
      <c r="R203" s="2" t="inlineStr"/>
    </row>
    <row r="204" ht="15" customHeight="1">
      <c r="A204" t="inlineStr">
        <is>
          <t>A 2826-2025</t>
        </is>
      </c>
      <c r="B204" s="1" t="n">
        <v>45677.61483796296</v>
      </c>
      <c r="C204" s="1" t="n">
        <v>45924</v>
      </c>
      <c r="D204" t="inlineStr">
        <is>
          <t>NORRBOTTENS LÄN</t>
        </is>
      </c>
      <c r="E204" t="inlineStr">
        <is>
          <t>JOKKMOKK</t>
        </is>
      </c>
      <c r="F204" t="inlineStr">
        <is>
          <t>Övriga statliga verk och myndigheter</t>
        </is>
      </c>
      <c r="G204" t="n">
        <v>10.5</v>
      </c>
      <c r="H204" t="n">
        <v>0</v>
      </c>
      <c r="I204" t="n">
        <v>0</v>
      </c>
      <c r="J204" t="n">
        <v>0</v>
      </c>
      <c r="K204" t="n">
        <v>0</v>
      </c>
      <c r="L204" t="n">
        <v>0</v>
      </c>
      <c r="M204" t="n">
        <v>0</v>
      </c>
      <c r="N204" t="n">
        <v>0</v>
      </c>
      <c r="O204" t="n">
        <v>0</v>
      </c>
      <c r="P204" t="n">
        <v>0</v>
      </c>
      <c r="Q204" t="n">
        <v>0</v>
      </c>
      <c r="R204" s="2" t="inlineStr"/>
    </row>
    <row r="205" ht="15" customHeight="1">
      <c r="A205" t="inlineStr">
        <is>
          <t>A 48586-2022</t>
        </is>
      </c>
      <c r="B205" s="1" t="n">
        <v>44854</v>
      </c>
      <c r="C205" s="1" t="n">
        <v>45924</v>
      </c>
      <c r="D205" t="inlineStr">
        <is>
          <t>NORRBOTTENS LÄN</t>
        </is>
      </c>
      <c r="E205" t="inlineStr">
        <is>
          <t>JOKKMOKK</t>
        </is>
      </c>
      <c r="F205" t="inlineStr">
        <is>
          <t>Övriga statliga verk och myndigheter</t>
        </is>
      </c>
      <c r="G205" t="n">
        <v>26.1</v>
      </c>
      <c r="H205" t="n">
        <v>0</v>
      </c>
      <c r="I205" t="n">
        <v>0</v>
      </c>
      <c r="J205" t="n">
        <v>0</v>
      </c>
      <c r="K205" t="n">
        <v>0</v>
      </c>
      <c r="L205" t="n">
        <v>0</v>
      </c>
      <c r="M205" t="n">
        <v>0</v>
      </c>
      <c r="N205" t="n">
        <v>0</v>
      </c>
      <c r="O205" t="n">
        <v>0</v>
      </c>
      <c r="P205" t="n">
        <v>0</v>
      </c>
      <c r="Q205" t="n">
        <v>0</v>
      </c>
      <c r="R205" s="2" t="inlineStr"/>
    </row>
    <row r="206" ht="15" customHeight="1">
      <c r="A206" t="inlineStr">
        <is>
          <t>A 34609-2024</t>
        </is>
      </c>
      <c r="B206" s="1" t="n">
        <v>45526</v>
      </c>
      <c r="C206" s="1" t="n">
        <v>45924</v>
      </c>
      <c r="D206" t="inlineStr">
        <is>
          <t>NORRBOTTENS LÄN</t>
        </is>
      </c>
      <c r="E206" t="inlineStr">
        <is>
          <t>JOKKMOKK</t>
        </is>
      </c>
      <c r="G206" t="n">
        <v>27</v>
      </c>
      <c r="H206" t="n">
        <v>0</v>
      </c>
      <c r="I206" t="n">
        <v>0</v>
      </c>
      <c r="J206" t="n">
        <v>0</v>
      </c>
      <c r="K206" t="n">
        <v>0</v>
      </c>
      <c r="L206" t="n">
        <v>0</v>
      </c>
      <c r="M206" t="n">
        <v>0</v>
      </c>
      <c r="N206" t="n">
        <v>0</v>
      </c>
      <c r="O206" t="n">
        <v>0</v>
      </c>
      <c r="P206" t="n">
        <v>0</v>
      </c>
      <c r="Q206" t="n">
        <v>0</v>
      </c>
      <c r="R206" s="2" t="inlineStr"/>
    </row>
    <row r="207" ht="15" customHeight="1">
      <c r="A207" t="inlineStr">
        <is>
          <t>A 45468-2022</t>
        </is>
      </c>
      <c r="B207" s="1" t="n">
        <v>44841</v>
      </c>
      <c r="C207" s="1" t="n">
        <v>45924</v>
      </c>
      <c r="D207" t="inlineStr">
        <is>
          <t>NORRBOTTENS LÄN</t>
        </is>
      </c>
      <c r="E207" t="inlineStr">
        <is>
          <t>JOKKMOKK</t>
        </is>
      </c>
      <c r="F207" t="inlineStr">
        <is>
          <t>Övriga Aktiebolag</t>
        </is>
      </c>
      <c r="G207" t="n">
        <v>2.1</v>
      </c>
      <c r="H207" t="n">
        <v>0</v>
      </c>
      <c r="I207" t="n">
        <v>0</v>
      </c>
      <c r="J207" t="n">
        <v>0</v>
      </c>
      <c r="K207" t="n">
        <v>0</v>
      </c>
      <c r="L207" t="n">
        <v>0</v>
      </c>
      <c r="M207" t="n">
        <v>0</v>
      </c>
      <c r="N207" t="n">
        <v>0</v>
      </c>
      <c r="O207" t="n">
        <v>0</v>
      </c>
      <c r="P207" t="n">
        <v>0</v>
      </c>
      <c r="Q207" t="n">
        <v>0</v>
      </c>
      <c r="R207" s="2" t="inlineStr"/>
    </row>
    <row r="208" ht="15" customHeight="1">
      <c r="A208" t="inlineStr">
        <is>
          <t>A 30177-2025</t>
        </is>
      </c>
      <c r="B208" s="1" t="n">
        <v>45827.34537037037</v>
      </c>
      <c r="C208" s="1" t="n">
        <v>45924</v>
      </c>
      <c r="D208" t="inlineStr">
        <is>
          <t>NORRBOTTENS LÄN</t>
        </is>
      </c>
      <c r="E208" t="inlineStr">
        <is>
          <t>JOKKMOKK</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30185-2025</t>
        </is>
      </c>
      <c r="B209" s="1" t="n">
        <v>45827.34717592593</v>
      </c>
      <c r="C209" s="1" t="n">
        <v>45924</v>
      </c>
      <c r="D209" t="inlineStr">
        <is>
          <t>NORRBOTTENS LÄN</t>
        </is>
      </c>
      <c r="E209" t="inlineStr">
        <is>
          <t>JOKKMOKK</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30181-2025</t>
        </is>
      </c>
      <c r="B210" s="1" t="n">
        <v>45827.34607638889</v>
      </c>
      <c r="C210" s="1" t="n">
        <v>45924</v>
      </c>
      <c r="D210" t="inlineStr">
        <is>
          <t>NORRBOTTENS LÄN</t>
        </is>
      </c>
      <c r="E210" t="inlineStr">
        <is>
          <t>JOKKMOKK</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30182-2025</t>
        </is>
      </c>
      <c r="B211" s="1" t="n">
        <v>45827.34640046296</v>
      </c>
      <c r="C211" s="1" t="n">
        <v>45924</v>
      </c>
      <c r="D211" t="inlineStr">
        <is>
          <t>NORRBOTTENS LÄN</t>
        </is>
      </c>
      <c r="E211" t="inlineStr">
        <is>
          <t>JOKKMOKK</t>
        </is>
      </c>
      <c r="F211" t="inlineStr">
        <is>
          <t>SCA</t>
        </is>
      </c>
      <c r="G211" t="n">
        <v>9.9</v>
      </c>
      <c r="H211" t="n">
        <v>0</v>
      </c>
      <c r="I211" t="n">
        <v>0</v>
      </c>
      <c r="J211" t="n">
        <v>0</v>
      </c>
      <c r="K211" t="n">
        <v>0</v>
      </c>
      <c r="L211" t="n">
        <v>0</v>
      </c>
      <c r="M211" t="n">
        <v>0</v>
      </c>
      <c r="N211" t="n">
        <v>0</v>
      </c>
      <c r="O211" t="n">
        <v>0</v>
      </c>
      <c r="P211" t="n">
        <v>0</v>
      </c>
      <c r="Q211" t="n">
        <v>0</v>
      </c>
      <c r="R211" s="2" t="inlineStr"/>
    </row>
    <row r="212" ht="15" customHeight="1">
      <c r="A212" t="inlineStr">
        <is>
          <t>A 30184-2025</t>
        </is>
      </c>
      <c r="B212" s="1" t="n">
        <v>45827.34695601852</v>
      </c>
      <c r="C212" s="1" t="n">
        <v>45924</v>
      </c>
      <c r="D212" t="inlineStr">
        <is>
          <t>NORRBOTTENS LÄN</t>
        </is>
      </c>
      <c r="E212" t="inlineStr">
        <is>
          <t>JOKKMOKK</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30189-2025</t>
        </is>
      </c>
      <c r="B213" s="1" t="n">
        <v>45827.34756944444</v>
      </c>
      <c r="C213" s="1" t="n">
        <v>45924</v>
      </c>
      <c r="D213" t="inlineStr">
        <is>
          <t>NORRBOTTENS LÄN</t>
        </is>
      </c>
      <c r="E213" t="inlineStr">
        <is>
          <t>JOKKMOKK</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29853-2025</t>
        </is>
      </c>
      <c r="B214" s="1" t="n">
        <v>45826.34438657408</v>
      </c>
      <c r="C214" s="1" t="n">
        <v>45924</v>
      </c>
      <c r="D214" t="inlineStr">
        <is>
          <t>NORRBOTTENS LÄN</t>
        </is>
      </c>
      <c r="E214" t="inlineStr">
        <is>
          <t>JOKKMOKK</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29857-2025</t>
        </is>
      </c>
      <c r="B215" s="1" t="n">
        <v>45826.3453125</v>
      </c>
      <c r="C215" s="1" t="n">
        <v>45924</v>
      </c>
      <c r="D215" t="inlineStr">
        <is>
          <t>NORRBOTTENS LÄN</t>
        </is>
      </c>
      <c r="E215" t="inlineStr">
        <is>
          <t>JOKKMOKK</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29856-2025</t>
        </is>
      </c>
      <c r="B216" s="1" t="n">
        <v>45826.345</v>
      </c>
      <c r="C216" s="1" t="n">
        <v>45924</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29858-2025</t>
        </is>
      </c>
      <c r="B217" s="1" t="n">
        <v>45826.34565972222</v>
      </c>
      <c r="C217" s="1" t="n">
        <v>45924</v>
      </c>
      <c r="D217" t="inlineStr">
        <is>
          <t>NORRBOTTENS LÄN</t>
        </is>
      </c>
      <c r="E217" t="inlineStr">
        <is>
          <t>JOKKMOKK</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51617-2024</t>
        </is>
      </c>
      <c r="B218" s="1" t="n">
        <v>45604.71908564815</v>
      </c>
      <c r="C218" s="1" t="n">
        <v>45924</v>
      </c>
      <c r="D218" t="inlineStr">
        <is>
          <t>NORRBOTTENS LÄN</t>
        </is>
      </c>
      <c r="E218" t="inlineStr">
        <is>
          <t>JOKKMOKK</t>
        </is>
      </c>
      <c r="F218" t="inlineStr">
        <is>
          <t>SCA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20270-2025</t>
        </is>
      </c>
      <c r="B219" s="1" t="n">
        <v>45773.71444444444</v>
      </c>
      <c r="C219" s="1" t="n">
        <v>45924</v>
      </c>
      <c r="D219" t="inlineStr">
        <is>
          <t>NORRBOTTENS LÄN</t>
        </is>
      </c>
      <c r="E219" t="inlineStr">
        <is>
          <t>JOKKMOKK</t>
        </is>
      </c>
      <c r="G219" t="n">
        <v>90.09999999999999</v>
      </c>
      <c r="H219" t="n">
        <v>0</v>
      </c>
      <c r="I219" t="n">
        <v>0</v>
      </c>
      <c r="J219" t="n">
        <v>0</v>
      </c>
      <c r="K219" t="n">
        <v>0</v>
      </c>
      <c r="L219" t="n">
        <v>0</v>
      </c>
      <c r="M219" t="n">
        <v>0</v>
      </c>
      <c r="N219" t="n">
        <v>0</v>
      </c>
      <c r="O219" t="n">
        <v>0</v>
      </c>
      <c r="P219" t="n">
        <v>0</v>
      </c>
      <c r="Q219" t="n">
        <v>0</v>
      </c>
      <c r="R219" s="2" t="inlineStr"/>
    </row>
    <row r="220" ht="15" customHeight="1">
      <c r="A220" t="inlineStr">
        <is>
          <t>A 44145-2024</t>
        </is>
      </c>
      <c r="B220" s="1" t="n">
        <v>45572.66908564815</v>
      </c>
      <c r="C220" s="1" t="n">
        <v>45924</v>
      </c>
      <c r="D220" t="inlineStr">
        <is>
          <t>NORRBOTTENS LÄN</t>
        </is>
      </c>
      <c r="E220" t="inlineStr">
        <is>
          <t>JOKKMOKK</t>
        </is>
      </c>
      <c r="F220" t="inlineStr">
        <is>
          <t>Sveaskog</t>
        </is>
      </c>
      <c r="G220" t="n">
        <v>4.7</v>
      </c>
      <c r="H220" t="n">
        <v>0</v>
      </c>
      <c r="I220" t="n">
        <v>0</v>
      </c>
      <c r="J220" t="n">
        <v>0</v>
      </c>
      <c r="K220" t="n">
        <v>0</v>
      </c>
      <c r="L220" t="n">
        <v>0</v>
      </c>
      <c r="M220" t="n">
        <v>0</v>
      </c>
      <c r="N220" t="n">
        <v>0</v>
      </c>
      <c r="O220" t="n">
        <v>0</v>
      </c>
      <c r="P220" t="n">
        <v>0</v>
      </c>
      <c r="Q220" t="n">
        <v>0</v>
      </c>
      <c r="R220" s="2" t="inlineStr"/>
    </row>
    <row r="221" ht="15" customHeight="1">
      <c r="A221" t="inlineStr">
        <is>
          <t>A 9874-2023</t>
        </is>
      </c>
      <c r="B221" s="1" t="n">
        <v>44984.94069444444</v>
      </c>
      <c r="C221" s="1" t="n">
        <v>45924</v>
      </c>
      <c r="D221" t="inlineStr">
        <is>
          <t>NORRBOTTENS LÄN</t>
        </is>
      </c>
      <c r="E221" t="inlineStr">
        <is>
          <t>JOKKMOKK</t>
        </is>
      </c>
      <c r="G221" t="n">
        <v>1.7</v>
      </c>
      <c r="H221" t="n">
        <v>0</v>
      </c>
      <c r="I221" t="n">
        <v>0</v>
      </c>
      <c r="J221" t="n">
        <v>0</v>
      </c>
      <c r="K221" t="n">
        <v>0</v>
      </c>
      <c r="L221" t="n">
        <v>0</v>
      </c>
      <c r="M221" t="n">
        <v>0</v>
      </c>
      <c r="N221" t="n">
        <v>0</v>
      </c>
      <c r="O221" t="n">
        <v>0</v>
      </c>
      <c r="P221" t="n">
        <v>0</v>
      </c>
      <c r="Q221" t="n">
        <v>0</v>
      </c>
      <c r="R221" s="2" t="inlineStr"/>
    </row>
    <row r="222" ht="15" customHeight="1">
      <c r="A222" t="inlineStr">
        <is>
          <t>A 9875-2023</t>
        </is>
      </c>
      <c r="B222" s="1" t="n">
        <v>44984.94076388889</v>
      </c>
      <c r="C222" s="1" t="n">
        <v>45924</v>
      </c>
      <c r="D222" t="inlineStr">
        <is>
          <t>NORRBOTTENS LÄN</t>
        </is>
      </c>
      <c r="E222" t="inlineStr">
        <is>
          <t>JOKKMOKK</t>
        </is>
      </c>
      <c r="G222" t="n">
        <v>0.6</v>
      </c>
      <c r="H222" t="n">
        <v>0</v>
      </c>
      <c r="I222" t="n">
        <v>0</v>
      </c>
      <c r="J222" t="n">
        <v>0</v>
      </c>
      <c r="K222" t="n">
        <v>0</v>
      </c>
      <c r="L222" t="n">
        <v>0</v>
      </c>
      <c r="M222" t="n">
        <v>0</v>
      </c>
      <c r="N222" t="n">
        <v>0</v>
      </c>
      <c r="O222" t="n">
        <v>0</v>
      </c>
      <c r="P222" t="n">
        <v>0</v>
      </c>
      <c r="Q222" t="n">
        <v>0</v>
      </c>
      <c r="R222" s="2" t="inlineStr"/>
    </row>
    <row r="223" ht="15" customHeight="1">
      <c r="A223" t="inlineStr">
        <is>
          <t>A 3055-2025</t>
        </is>
      </c>
      <c r="B223" s="1" t="n">
        <v>45678.61530092593</v>
      </c>
      <c r="C223" s="1" t="n">
        <v>45924</v>
      </c>
      <c r="D223" t="inlineStr">
        <is>
          <t>NORRBOTTENS LÄN</t>
        </is>
      </c>
      <c r="E223" t="inlineStr">
        <is>
          <t>JOKKMOKK</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7845-2024</t>
        </is>
      </c>
      <c r="B224" s="1" t="n">
        <v>45349</v>
      </c>
      <c r="C224" s="1" t="n">
        <v>45924</v>
      </c>
      <c r="D224" t="inlineStr">
        <is>
          <t>NORRBOTTENS LÄN</t>
        </is>
      </c>
      <c r="E224" t="inlineStr">
        <is>
          <t>JOKKMOKK</t>
        </is>
      </c>
      <c r="G224" t="n">
        <v>3</v>
      </c>
      <c r="H224" t="n">
        <v>0</v>
      </c>
      <c r="I224" t="n">
        <v>0</v>
      </c>
      <c r="J224" t="n">
        <v>0</v>
      </c>
      <c r="K224" t="n">
        <v>0</v>
      </c>
      <c r="L224" t="n">
        <v>0</v>
      </c>
      <c r="M224" t="n">
        <v>0</v>
      </c>
      <c r="N224" t="n">
        <v>0</v>
      </c>
      <c r="O224" t="n">
        <v>0</v>
      </c>
      <c r="P224" t="n">
        <v>0</v>
      </c>
      <c r="Q224" t="n">
        <v>0</v>
      </c>
      <c r="R224" s="2" t="inlineStr"/>
    </row>
    <row r="225" ht="15" customHeight="1">
      <c r="A225" t="inlineStr">
        <is>
          <t>A 25720-2023</t>
        </is>
      </c>
      <c r="B225" s="1" t="n">
        <v>45090</v>
      </c>
      <c r="C225" s="1" t="n">
        <v>45924</v>
      </c>
      <c r="D225" t="inlineStr">
        <is>
          <t>NORRBOTTENS LÄN</t>
        </is>
      </c>
      <c r="E225" t="inlineStr">
        <is>
          <t>JOKKMOKK</t>
        </is>
      </c>
      <c r="G225" t="n">
        <v>2.1</v>
      </c>
      <c r="H225" t="n">
        <v>0</v>
      </c>
      <c r="I225" t="n">
        <v>0</v>
      </c>
      <c r="J225" t="n">
        <v>0</v>
      </c>
      <c r="K225" t="n">
        <v>0</v>
      </c>
      <c r="L225" t="n">
        <v>0</v>
      </c>
      <c r="M225" t="n">
        <v>0</v>
      </c>
      <c r="N225" t="n">
        <v>0</v>
      </c>
      <c r="O225" t="n">
        <v>0</v>
      </c>
      <c r="P225" t="n">
        <v>0</v>
      </c>
      <c r="Q225" t="n">
        <v>0</v>
      </c>
      <c r="R225" s="2" t="inlineStr"/>
    </row>
    <row r="226" ht="15" customHeight="1">
      <c r="A226" t="inlineStr">
        <is>
          <t>A 32900-2023</t>
        </is>
      </c>
      <c r="B226" s="1" t="n">
        <v>45124</v>
      </c>
      <c r="C226" s="1" t="n">
        <v>45924</v>
      </c>
      <c r="D226" t="inlineStr">
        <is>
          <t>NORRBOTTENS LÄN</t>
        </is>
      </c>
      <c r="E226" t="inlineStr">
        <is>
          <t>JOKKMOKK</t>
        </is>
      </c>
      <c r="F226" t="inlineStr">
        <is>
          <t>SCA</t>
        </is>
      </c>
      <c r="G226" t="n">
        <v>4.4</v>
      </c>
      <c r="H226" t="n">
        <v>0</v>
      </c>
      <c r="I226" t="n">
        <v>0</v>
      </c>
      <c r="J226" t="n">
        <v>0</v>
      </c>
      <c r="K226" t="n">
        <v>0</v>
      </c>
      <c r="L226" t="n">
        <v>0</v>
      </c>
      <c r="M226" t="n">
        <v>0</v>
      </c>
      <c r="N226" t="n">
        <v>0</v>
      </c>
      <c r="O226" t="n">
        <v>0</v>
      </c>
      <c r="P226" t="n">
        <v>0</v>
      </c>
      <c r="Q226" t="n">
        <v>0</v>
      </c>
      <c r="R226" s="2" t="inlineStr"/>
    </row>
    <row r="227" ht="15" customHeight="1">
      <c r="A227" t="inlineStr">
        <is>
          <t>A 31918-2025</t>
        </is>
      </c>
      <c r="B227" s="1" t="n">
        <v>45834</v>
      </c>
      <c r="C227" s="1" t="n">
        <v>45924</v>
      </c>
      <c r="D227" t="inlineStr">
        <is>
          <t>NORRBOTTENS LÄN</t>
        </is>
      </c>
      <c r="E227" t="inlineStr">
        <is>
          <t>JOKKMOKK</t>
        </is>
      </c>
      <c r="G227" t="n">
        <v>15.2</v>
      </c>
      <c r="H227" t="n">
        <v>0</v>
      </c>
      <c r="I227" t="n">
        <v>0</v>
      </c>
      <c r="J227" t="n">
        <v>0</v>
      </c>
      <c r="K227" t="n">
        <v>0</v>
      </c>
      <c r="L227" t="n">
        <v>0</v>
      </c>
      <c r="M227" t="n">
        <v>0</v>
      </c>
      <c r="N227" t="n">
        <v>0</v>
      </c>
      <c r="O227" t="n">
        <v>0</v>
      </c>
      <c r="P227" t="n">
        <v>0</v>
      </c>
      <c r="Q227" t="n">
        <v>0</v>
      </c>
      <c r="R227" s="2" t="inlineStr"/>
    </row>
    <row r="228" ht="15" customHeight="1">
      <c r="A228" t="inlineStr">
        <is>
          <t>A 32670-2025</t>
        </is>
      </c>
      <c r="B228" s="1" t="n">
        <v>45838.70071759259</v>
      </c>
      <c r="C228" s="1" t="n">
        <v>45924</v>
      </c>
      <c r="D228" t="inlineStr">
        <is>
          <t>NORRBOTTENS LÄN</t>
        </is>
      </c>
      <c r="E228" t="inlineStr">
        <is>
          <t>JOKKMOKK</t>
        </is>
      </c>
      <c r="F228" t="inlineStr">
        <is>
          <t>Sveaskog</t>
        </is>
      </c>
      <c r="G228" t="n">
        <v>6.8</v>
      </c>
      <c r="H228" t="n">
        <v>0</v>
      </c>
      <c r="I228" t="n">
        <v>0</v>
      </c>
      <c r="J228" t="n">
        <v>0</v>
      </c>
      <c r="K228" t="n">
        <v>0</v>
      </c>
      <c r="L228" t="n">
        <v>0</v>
      </c>
      <c r="M228" t="n">
        <v>0</v>
      </c>
      <c r="N228" t="n">
        <v>0</v>
      </c>
      <c r="O228" t="n">
        <v>0</v>
      </c>
      <c r="P228" t="n">
        <v>0</v>
      </c>
      <c r="Q228" t="n">
        <v>0</v>
      </c>
      <c r="R228" s="2" t="inlineStr"/>
    </row>
    <row r="229" ht="15" customHeight="1">
      <c r="A229" t="inlineStr">
        <is>
          <t>A 27650-2024</t>
        </is>
      </c>
      <c r="B229" s="1" t="n">
        <v>45474.94802083333</v>
      </c>
      <c r="C229" s="1" t="n">
        <v>45924</v>
      </c>
      <c r="D229" t="inlineStr">
        <is>
          <t>NORRBOTTENS LÄN</t>
        </is>
      </c>
      <c r="E229" t="inlineStr">
        <is>
          <t>JOKKMOKK</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27651-2024</t>
        </is>
      </c>
      <c r="B230" s="1" t="n">
        <v>45474</v>
      </c>
      <c r="C230" s="1" t="n">
        <v>45924</v>
      </c>
      <c r="D230" t="inlineStr">
        <is>
          <t>NORRBOTTENS LÄN</t>
        </is>
      </c>
      <c r="E230" t="inlineStr">
        <is>
          <t>JOKKMOKK</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34639-2024</t>
        </is>
      </c>
      <c r="B231" s="1" t="n">
        <v>45526.47293981481</v>
      </c>
      <c r="C231" s="1" t="n">
        <v>45924</v>
      </c>
      <c r="D231" t="inlineStr">
        <is>
          <t>NORRBOTTENS LÄN</t>
        </is>
      </c>
      <c r="E231" t="inlineStr">
        <is>
          <t>JOKKMOKK</t>
        </is>
      </c>
      <c r="G231" t="n">
        <v>7.7</v>
      </c>
      <c r="H231" t="n">
        <v>0</v>
      </c>
      <c r="I231" t="n">
        <v>0</v>
      </c>
      <c r="J231" t="n">
        <v>0</v>
      </c>
      <c r="K231" t="n">
        <v>0</v>
      </c>
      <c r="L231" t="n">
        <v>0</v>
      </c>
      <c r="M231" t="n">
        <v>0</v>
      </c>
      <c r="N231" t="n">
        <v>0</v>
      </c>
      <c r="O231" t="n">
        <v>0</v>
      </c>
      <c r="P231" t="n">
        <v>0</v>
      </c>
      <c r="Q231" t="n">
        <v>0</v>
      </c>
      <c r="R231" s="2" t="inlineStr"/>
    </row>
    <row r="232" ht="15" customHeight="1">
      <c r="A232" t="inlineStr">
        <is>
          <t>A 33551-2025</t>
        </is>
      </c>
      <c r="B232" s="1" t="n">
        <v>45841.57357638889</v>
      </c>
      <c r="C232" s="1" t="n">
        <v>45924</v>
      </c>
      <c r="D232" t="inlineStr">
        <is>
          <t>NORRBOTTENS LÄN</t>
        </is>
      </c>
      <c r="E232" t="inlineStr">
        <is>
          <t>JOKKMOKK</t>
        </is>
      </c>
      <c r="F232" t="inlineStr">
        <is>
          <t>SCA</t>
        </is>
      </c>
      <c r="G232" t="n">
        <v>7.9</v>
      </c>
      <c r="H232" t="n">
        <v>0</v>
      </c>
      <c r="I232" t="n">
        <v>0</v>
      </c>
      <c r="J232" t="n">
        <v>0</v>
      </c>
      <c r="K232" t="n">
        <v>0</v>
      </c>
      <c r="L232" t="n">
        <v>0</v>
      </c>
      <c r="M232" t="n">
        <v>0</v>
      </c>
      <c r="N232" t="n">
        <v>0</v>
      </c>
      <c r="O232" t="n">
        <v>0</v>
      </c>
      <c r="P232" t="n">
        <v>0</v>
      </c>
      <c r="Q232" t="n">
        <v>0</v>
      </c>
      <c r="R232" s="2" t="inlineStr"/>
    </row>
    <row r="233" ht="15" customHeight="1">
      <c r="A233" t="inlineStr">
        <is>
          <t>A 33515-2025</t>
        </is>
      </c>
      <c r="B233" s="1" t="n">
        <v>45841.53164351852</v>
      </c>
      <c r="C233" s="1" t="n">
        <v>45924</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33523-2025</t>
        </is>
      </c>
      <c r="B234" s="1" t="n">
        <v>45841.54601851852</v>
      </c>
      <c r="C234" s="1" t="n">
        <v>45924</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61761-2024</t>
        </is>
      </c>
      <c r="B235" s="1" t="n">
        <v>45649</v>
      </c>
      <c r="C235" s="1" t="n">
        <v>45924</v>
      </c>
      <c r="D235" t="inlineStr">
        <is>
          <t>NORRBOTTENS LÄN</t>
        </is>
      </c>
      <c r="E235" t="inlineStr">
        <is>
          <t>JOKKMOKK</t>
        </is>
      </c>
      <c r="F235" t="inlineStr">
        <is>
          <t>Övriga statliga verk och myndigheter</t>
        </is>
      </c>
      <c r="G235" t="n">
        <v>3.7</v>
      </c>
      <c r="H235" t="n">
        <v>0</v>
      </c>
      <c r="I235" t="n">
        <v>0</v>
      </c>
      <c r="J235" t="n">
        <v>0</v>
      </c>
      <c r="K235" t="n">
        <v>0</v>
      </c>
      <c r="L235" t="n">
        <v>0</v>
      </c>
      <c r="M235" t="n">
        <v>0</v>
      </c>
      <c r="N235" t="n">
        <v>0</v>
      </c>
      <c r="O235" t="n">
        <v>0</v>
      </c>
      <c r="P235" t="n">
        <v>0</v>
      </c>
      <c r="Q235" t="n">
        <v>0</v>
      </c>
      <c r="R235" s="2" t="inlineStr"/>
    </row>
    <row r="236" ht="15" customHeight="1">
      <c r="A236" t="inlineStr">
        <is>
          <t>A 33554-2025</t>
        </is>
      </c>
      <c r="B236" s="1" t="n">
        <v>45841.57400462963</v>
      </c>
      <c r="C236" s="1" t="n">
        <v>45924</v>
      </c>
      <c r="D236" t="inlineStr">
        <is>
          <t>NORRBOTTENS LÄN</t>
        </is>
      </c>
      <c r="E236" t="inlineStr">
        <is>
          <t>JOKKMOKK</t>
        </is>
      </c>
      <c r="F236" t="inlineStr">
        <is>
          <t>SCA</t>
        </is>
      </c>
      <c r="G236" t="n">
        <v>11.4</v>
      </c>
      <c r="H236" t="n">
        <v>0</v>
      </c>
      <c r="I236" t="n">
        <v>0</v>
      </c>
      <c r="J236" t="n">
        <v>0</v>
      </c>
      <c r="K236" t="n">
        <v>0</v>
      </c>
      <c r="L236" t="n">
        <v>0</v>
      </c>
      <c r="M236" t="n">
        <v>0</v>
      </c>
      <c r="N236" t="n">
        <v>0</v>
      </c>
      <c r="O236" t="n">
        <v>0</v>
      </c>
      <c r="P236" t="n">
        <v>0</v>
      </c>
      <c r="Q236" t="n">
        <v>0</v>
      </c>
      <c r="R236" s="2" t="inlineStr"/>
    </row>
    <row r="237" ht="15" customHeight="1">
      <c r="A237" t="inlineStr">
        <is>
          <t>A 38226-2025</t>
        </is>
      </c>
      <c r="B237" s="1" t="n">
        <v>45883.34521990741</v>
      </c>
      <c r="C237" s="1" t="n">
        <v>45924</v>
      </c>
      <c r="D237" t="inlineStr">
        <is>
          <t>NORRBOTTENS LÄN</t>
        </is>
      </c>
      <c r="E237" t="inlineStr">
        <is>
          <t>JOKKMOKK</t>
        </is>
      </c>
      <c r="F237" t="inlineStr">
        <is>
          <t>SCA</t>
        </is>
      </c>
      <c r="G237" t="n">
        <v>14.5</v>
      </c>
      <c r="H237" t="n">
        <v>0</v>
      </c>
      <c r="I237" t="n">
        <v>0</v>
      </c>
      <c r="J237" t="n">
        <v>0</v>
      </c>
      <c r="K237" t="n">
        <v>0</v>
      </c>
      <c r="L237" t="n">
        <v>0</v>
      </c>
      <c r="M237" t="n">
        <v>0</v>
      </c>
      <c r="N237" t="n">
        <v>0</v>
      </c>
      <c r="O237" t="n">
        <v>0</v>
      </c>
      <c r="P237" t="n">
        <v>0</v>
      </c>
      <c r="Q237" t="n">
        <v>0</v>
      </c>
      <c r="R237" s="2" t="inlineStr"/>
    </row>
    <row r="238" ht="15" customHeight="1">
      <c r="A238" t="inlineStr">
        <is>
          <t>A 38228-2025</t>
        </is>
      </c>
      <c r="B238" s="1" t="n">
        <v>45883.34554398148</v>
      </c>
      <c r="C238" s="1" t="n">
        <v>45924</v>
      </c>
      <c r="D238" t="inlineStr">
        <is>
          <t>NORRBOTTENS LÄN</t>
        </is>
      </c>
      <c r="E238" t="inlineStr">
        <is>
          <t>JOKKMOKK</t>
        </is>
      </c>
      <c r="F238" t="inlineStr">
        <is>
          <t>SCA</t>
        </is>
      </c>
      <c r="G238" t="n">
        <v>14.5</v>
      </c>
      <c r="H238" t="n">
        <v>0</v>
      </c>
      <c r="I238" t="n">
        <v>0</v>
      </c>
      <c r="J238" t="n">
        <v>0</v>
      </c>
      <c r="K238" t="n">
        <v>0</v>
      </c>
      <c r="L238" t="n">
        <v>0</v>
      </c>
      <c r="M238" t="n">
        <v>0</v>
      </c>
      <c r="N238" t="n">
        <v>0</v>
      </c>
      <c r="O238" t="n">
        <v>0</v>
      </c>
      <c r="P238" t="n">
        <v>0</v>
      </c>
      <c r="Q238" t="n">
        <v>0</v>
      </c>
      <c r="R238" s="2" t="inlineStr"/>
    </row>
    <row r="239" ht="15" customHeight="1">
      <c r="A239" t="inlineStr">
        <is>
          <t>A 33349-2025</t>
        </is>
      </c>
      <c r="B239" s="1" t="n">
        <v>45841.3704050926</v>
      </c>
      <c r="C239" s="1" t="n">
        <v>45924</v>
      </c>
      <c r="D239" t="inlineStr">
        <is>
          <t>NORRBOTTENS LÄN</t>
        </is>
      </c>
      <c r="E239" t="inlineStr">
        <is>
          <t>JOKKMOKK</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38579-2025</t>
        </is>
      </c>
      <c r="B240" s="1" t="n">
        <v>45884.46925925926</v>
      </c>
      <c r="C240" s="1" t="n">
        <v>45924</v>
      </c>
      <c r="D240" t="inlineStr">
        <is>
          <t>NORRBOTTENS LÄN</t>
        </is>
      </c>
      <c r="E240" t="inlineStr">
        <is>
          <t>JOKKMOKK</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33740-2025</t>
        </is>
      </c>
      <c r="B241" s="1" t="n">
        <v>45842.34456018519</v>
      </c>
      <c r="C241" s="1" t="n">
        <v>45924</v>
      </c>
      <c r="D241" t="inlineStr">
        <is>
          <t>NORRBOTTENS LÄN</t>
        </is>
      </c>
      <c r="E241" t="inlineStr">
        <is>
          <t>JOKKMOKK</t>
        </is>
      </c>
      <c r="F241" t="inlineStr">
        <is>
          <t>SCA</t>
        </is>
      </c>
      <c r="G241" t="n">
        <v>23.3</v>
      </c>
      <c r="H241" t="n">
        <v>0</v>
      </c>
      <c r="I241" t="n">
        <v>0</v>
      </c>
      <c r="J241" t="n">
        <v>0</v>
      </c>
      <c r="K241" t="n">
        <v>0</v>
      </c>
      <c r="L241" t="n">
        <v>0</v>
      </c>
      <c r="M241" t="n">
        <v>0</v>
      </c>
      <c r="N241" t="n">
        <v>0</v>
      </c>
      <c r="O241" t="n">
        <v>0</v>
      </c>
      <c r="P241" t="n">
        <v>0</v>
      </c>
      <c r="Q241" t="n">
        <v>0</v>
      </c>
      <c r="R241" s="2" t="inlineStr"/>
    </row>
    <row r="242" ht="15" customHeight="1">
      <c r="A242" t="inlineStr">
        <is>
          <t>A 35876-2022</t>
        </is>
      </c>
      <c r="B242" s="1" t="n">
        <v>44802</v>
      </c>
      <c r="C242" s="1" t="n">
        <v>45924</v>
      </c>
      <c r="D242" t="inlineStr">
        <is>
          <t>NORRBOTTENS LÄN</t>
        </is>
      </c>
      <c r="E242" t="inlineStr">
        <is>
          <t>JOKKMOKK</t>
        </is>
      </c>
      <c r="G242" t="n">
        <v>9.5</v>
      </c>
      <c r="H242" t="n">
        <v>0</v>
      </c>
      <c r="I242" t="n">
        <v>0</v>
      </c>
      <c r="J242" t="n">
        <v>0</v>
      </c>
      <c r="K242" t="n">
        <v>0</v>
      </c>
      <c r="L242" t="n">
        <v>0</v>
      </c>
      <c r="M242" t="n">
        <v>0</v>
      </c>
      <c r="N242" t="n">
        <v>0</v>
      </c>
      <c r="O242" t="n">
        <v>0</v>
      </c>
      <c r="P242" t="n">
        <v>0</v>
      </c>
      <c r="Q242" t="n">
        <v>0</v>
      </c>
      <c r="R242" s="2" t="inlineStr"/>
    </row>
    <row r="243" ht="15" customHeight="1">
      <c r="A243" t="inlineStr">
        <is>
          <t>A 33741-2025</t>
        </is>
      </c>
      <c r="B243" s="1" t="n">
        <v>45842.3446875</v>
      </c>
      <c r="C243" s="1" t="n">
        <v>45924</v>
      </c>
      <c r="D243" t="inlineStr">
        <is>
          <t>NORRBOTTENS LÄN</t>
        </is>
      </c>
      <c r="E243" t="inlineStr">
        <is>
          <t>JOKKMOKK</t>
        </is>
      </c>
      <c r="F243" t="inlineStr">
        <is>
          <t>SCA</t>
        </is>
      </c>
      <c r="G243" t="n">
        <v>5.1</v>
      </c>
      <c r="H243" t="n">
        <v>0</v>
      </c>
      <c r="I243" t="n">
        <v>0</v>
      </c>
      <c r="J243" t="n">
        <v>0</v>
      </c>
      <c r="K243" t="n">
        <v>0</v>
      </c>
      <c r="L243" t="n">
        <v>0</v>
      </c>
      <c r="M243" t="n">
        <v>0</v>
      </c>
      <c r="N243" t="n">
        <v>0</v>
      </c>
      <c r="O243" t="n">
        <v>0</v>
      </c>
      <c r="P243" t="n">
        <v>0</v>
      </c>
      <c r="Q243" t="n">
        <v>0</v>
      </c>
      <c r="R243" s="2" t="inlineStr"/>
    </row>
    <row r="244" ht="15" customHeight="1">
      <c r="A244" t="inlineStr">
        <is>
          <t>A 38595-2025</t>
        </is>
      </c>
      <c r="B244" s="1" t="n">
        <v>45884.49027777778</v>
      </c>
      <c r="C244" s="1" t="n">
        <v>45924</v>
      </c>
      <c r="D244" t="inlineStr">
        <is>
          <t>NORRBOTTENS LÄN</t>
        </is>
      </c>
      <c r="E244" t="inlineStr">
        <is>
          <t>JOKKMOKK</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47208-2022</t>
        </is>
      </c>
      <c r="B245" s="1" t="n">
        <v>44851</v>
      </c>
      <c r="C245" s="1" t="n">
        <v>45924</v>
      </c>
      <c r="D245" t="inlineStr">
        <is>
          <t>NORRBOTTENS LÄN</t>
        </is>
      </c>
      <c r="E245" t="inlineStr">
        <is>
          <t>JOKKMOKK</t>
        </is>
      </c>
      <c r="G245" t="n">
        <v>1.2</v>
      </c>
      <c r="H245" t="n">
        <v>0</v>
      </c>
      <c r="I245" t="n">
        <v>0</v>
      </c>
      <c r="J245" t="n">
        <v>0</v>
      </c>
      <c r="K245" t="n">
        <v>0</v>
      </c>
      <c r="L245" t="n">
        <v>0</v>
      </c>
      <c r="M245" t="n">
        <v>0</v>
      </c>
      <c r="N245" t="n">
        <v>0</v>
      </c>
      <c r="O245" t="n">
        <v>0</v>
      </c>
      <c r="P245" t="n">
        <v>0</v>
      </c>
      <c r="Q245" t="n">
        <v>0</v>
      </c>
      <c r="R245" s="2" t="inlineStr"/>
    </row>
    <row r="246" ht="15" customHeight="1">
      <c r="A246" t="inlineStr">
        <is>
          <t>A 9854-2023</t>
        </is>
      </c>
      <c r="B246" s="1" t="n">
        <v>44984</v>
      </c>
      <c r="C246" s="1" t="n">
        <v>45924</v>
      </c>
      <c r="D246" t="inlineStr">
        <is>
          <t>NORRBOTTENS LÄN</t>
        </is>
      </c>
      <c r="E246" t="inlineStr">
        <is>
          <t>JOKKMOKK</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9859-2023</t>
        </is>
      </c>
      <c r="B247" s="1" t="n">
        <v>44984.93940972222</v>
      </c>
      <c r="C247" s="1" t="n">
        <v>45924</v>
      </c>
      <c r="D247" t="inlineStr">
        <is>
          <t>NORRBOTTENS LÄN</t>
        </is>
      </c>
      <c r="E247" t="inlineStr">
        <is>
          <t>JOKKMOKK</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9864-2023</t>
        </is>
      </c>
      <c r="B248" s="1" t="n">
        <v>44984</v>
      </c>
      <c r="C248" s="1" t="n">
        <v>45924</v>
      </c>
      <c r="D248" t="inlineStr">
        <is>
          <t>NORRBOTTENS LÄN</t>
        </is>
      </c>
      <c r="E248" t="inlineStr">
        <is>
          <t>JOKKMOKK</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36113-2024</t>
        </is>
      </c>
      <c r="B249" s="1" t="n">
        <v>45534.30302083334</v>
      </c>
      <c r="C249" s="1" t="n">
        <v>45924</v>
      </c>
      <c r="D249" t="inlineStr">
        <is>
          <t>NORRBOTTENS LÄN</t>
        </is>
      </c>
      <c r="E249" t="inlineStr">
        <is>
          <t>JOKKMOKK</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38223-2025</t>
        </is>
      </c>
      <c r="B250" s="1" t="n">
        <v>45883</v>
      </c>
      <c r="C250" s="1" t="n">
        <v>45924</v>
      </c>
      <c r="D250" t="inlineStr">
        <is>
          <t>NORRBOTTENS LÄN</t>
        </is>
      </c>
      <c r="E250" t="inlineStr">
        <is>
          <t>JOKKMOKK</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457-2025</t>
        </is>
      </c>
      <c r="B251" s="1" t="n">
        <v>45664</v>
      </c>
      <c r="C251" s="1" t="n">
        <v>45924</v>
      </c>
      <c r="D251" t="inlineStr">
        <is>
          <t>NORRBOTTENS LÄN</t>
        </is>
      </c>
      <c r="E251" t="inlineStr">
        <is>
          <t>JOKKMOKK</t>
        </is>
      </c>
      <c r="F251" t="inlineStr">
        <is>
          <t>Övriga statliga verk och myndigheter</t>
        </is>
      </c>
      <c r="G251" t="n">
        <v>8</v>
      </c>
      <c r="H251" t="n">
        <v>0</v>
      </c>
      <c r="I251" t="n">
        <v>0</v>
      </c>
      <c r="J251" t="n">
        <v>0</v>
      </c>
      <c r="K251" t="n">
        <v>0</v>
      </c>
      <c r="L251" t="n">
        <v>0</v>
      </c>
      <c r="M251" t="n">
        <v>0</v>
      </c>
      <c r="N251" t="n">
        <v>0</v>
      </c>
      <c r="O251" t="n">
        <v>0</v>
      </c>
      <c r="P251" t="n">
        <v>0</v>
      </c>
      <c r="Q251" t="n">
        <v>0</v>
      </c>
      <c r="R251" s="2" t="inlineStr"/>
    </row>
    <row r="252" ht="15" customHeight="1">
      <c r="A252" t="inlineStr">
        <is>
          <t>A 458-2025</t>
        </is>
      </c>
      <c r="B252" s="1" t="n">
        <v>45664</v>
      </c>
      <c r="C252" s="1" t="n">
        <v>45924</v>
      </c>
      <c r="D252" t="inlineStr">
        <is>
          <t>NORRBOTTENS LÄN</t>
        </is>
      </c>
      <c r="E252" t="inlineStr">
        <is>
          <t>JOKKMOKK</t>
        </is>
      </c>
      <c r="F252" t="inlineStr">
        <is>
          <t>Övriga statliga verk och myndigheter</t>
        </is>
      </c>
      <c r="G252" t="n">
        <v>10.3</v>
      </c>
      <c r="H252" t="n">
        <v>0</v>
      </c>
      <c r="I252" t="n">
        <v>0</v>
      </c>
      <c r="J252" t="n">
        <v>0</v>
      </c>
      <c r="K252" t="n">
        <v>0</v>
      </c>
      <c r="L252" t="n">
        <v>0</v>
      </c>
      <c r="M252" t="n">
        <v>0</v>
      </c>
      <c r="N252" t="n">
        <v>0</v>
      </c>
      <c r="O252" t="n">
        <v>0</v>
      </c>
      <c r="P252" t="n">
        <v>0</v>
      </c>
      <c r="Q252" t="n">
        <v>0</v>
      </c>
      <c r="R252" s="2" t="inlineStr"/>
    </row>
    <row r="253" ht="15" customHeight="1">
      <c r="A253" t="inlineStr">
        <is>
          <t>A 3206-2025</t>
        </is>
      </c>
      <c r="B253" s="1" t="n">
        <v>45679</v>
      </c>
      <c r="C253" s="1" t="n">
        <v>45924</v>
      </c>
      <c r="D253" t="inlineStr">
        <is>
          <t>NORRBOTTENS LÄN</t>
        </is>
      </c>
      <c r="E253" t="inlineStr">
        <is>
          <t>JOKKMOKK</t>
        </is>
      </c>
      <c r="F253" t="inlineStr">
        <is>
          <t>SCA</t>
        </is>
      </c>
      <c r="G253" t="n">
        <v>9.1</v>
      </c>
      <c r="H253" t="n">
        <v>0</v>
      </c>
      <c r="I253" t="n">
        <v>0</v>
      </c>
      <c r="J253" t="n">
        <v>0</v>
      </c>
      <c r="K253" t="n">
        <v>0</v>
      </c>
      <c r="L253" t="n">
        <v>0</v>
      </c>
      <c r="M253" t="n">
        <v>0</v>
      </c>
      <c r="N253" t="n">
        <v>0</v>
      </c>
      <c r="O253" t="n">
        <v>0</v>
      </c>
      <c r="P253" t="n">
        <v>0</v>
      </c>
      <c r="Q253" t="n">
        <v>0</v>
      </c>
      <c r="R253" s="2" t="inlineStr"/>
    </row>
    <row r="254" ht="15" customHeight="1">
      <c r="A254" t="inlineStr">
        <is>
          <t>A 39846-2025</t>
        </is>
      </c>
      <c r="B254" s="1" t="n">
        <v>45891.58376157407</v>
      </c>
      <c r="C254" s="1" t="n">
        <v>45924</v>
      </c>
      <c r="D254" t="inlineStr">
        <is>
          <t>NORRBOTTENS LÄN</t>
        </is>
      </c>
      <c r="E254" t="inlineStr">
        <is>
          <t>JOKKMOKK</t>
        </is>
      </c>
      <c r="F254" t="inlineStr">
        <is>
          <t>Sveaskog</t>
        </is>
      </c>
      <c r="G254" t="n">
        <v>7.1</v>
      </c>
      <c r="H254" t="n">
        <v>0</v>
      </c>
      <c r="I254" t="n">
        <v>0</v>
      </c>
      <c r="J254" t="n">
        <v>0</v>
      </c>
      <c r="K254" t="n">
        <v>0</v>
      </c>
      <c r="L254" t="n">
        <v>0</v>
      </c>
      <c r="M254" t="n">
        <v>0</v>
      </c>
      <c r="N254" t="n">
        <v>0</v>
      </c>
      <c r="O254" t="n">
        <v>0</v>
      </c>
      <c r="P254" t="n">
        <v>0</v>
      </c>
      <c r="Q254" t="n">
        <v>0</v>
      </c>
      <c r="R254" s="2" t="inlineStr"/>
    </row>
    <row r="255" ht="15" customHeight="1">
      <c r="A255" t="inlineStr">
        <is>
          <t>A 35040-2025</t>
        </is>
      </c>
      <c r="B255" s="1" t="n">
        <v>45852.34420138889</v>
      </c>
      <c r="C255" s="1" t="n">
        <v>45924</v>
      </c>
      <c r="D255" t="inlineStr">
        <is>
          <t>NORRBOTTENS LÄN</t>
        </is>
      </c>
      <c r="E255" t="inlineStr">
        <is>
          <t>JOKKMOKK</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56851-2020</t>
        </is>
      </c>
      <c r="B256" s="1" t="n">
        <v>44133</v>
      </c>
      <c r="C256" s="1" t="n">
        <v>45924</v>
      </c>
      <c r="D256" t="inlineStr">
        <is>
          <t>NORRBOTTENS LÄN</t>
        </is>
      </c>
      <c r="E256" t="inlineStr">
        <is>
          <t>JOKKMOKK</t>
        </is>
      </c>
      <c r="F256" t="inlineStr">
        <is>
          <t>Övriga Aktiebolag</t>
        </is>
      </c>
      <c r="G256" t="n">
        <v>10.7</v>
      </c>
      <c r="H256" t="n">
        <v>0</v>
      </c>
      <c r="I256" t="n">
        <v>0</v>
      </c>
      <c r="J256" t="n">
        <v>0</v>
      </c>
      <c r="K256" t="n">
        <v>0</v>
      </c>
      <c r="L256" t="n">
        <v>0</v>
      </c>
      <c r="M256" t="n">
        <v>0</v>
      </c>
      <c r="N256" t="n">
        <v>0</v>
      </c>
      <c r="O256" t="n">
        <v>0</v>
      </c>
      <c r="P256" t="n">
        <v>0</v>
      </c>
      <c r="Q256" t="n">
        <v>0</v>
      </c>
      <c r="R256" s="2" t="inlineStr"/>
    </row>
    <row r="257" ht="15" customHeight="1">
      <c r="A257" t="inlineStr">
        <is>
          <t>A 53100-2022</t>
        </is>
      </c>
      <c r="B257" s="1" t="n">
        <v>44873</v>
      </c>
      <c r="C257" s="1" t="n">
        <v>45924</v>
      </c>
      <c r="D257" t="inlineStr">
        <is>
          <t>NORRBOTTENS LÄN</t>
        </is>
      </c>
      <c r="E257" t="inlineStr">
        <is>
          <t>JOKKMOKK</t>
        </is>
      </c>
      <c r="F257" t="inlineStr">
        <is>
          <t>Övriga statliga verk och myndigheter</t>
        </is>
      </c>
      <c r="G257" t="n">
        <v>37.1</v>
      </c>
      <c r="H257" t="n">
        <v>0</v>
      </c>
      <c r="I257" t="n">
        <v>0</v>
      </c>
      <c r="J257" t="n">
        <v>0</v>
      </c>
      <c r="K257" t="n">
        <v>0</v>
      </c>
      <c r="L257" t="n">
        <v>0</v>
      </c>
      <c r="M257" t="n">
        <v>0</v>
      </c>
      <c r="N257" t="n">
        <v>0</v>
      </c>
      <c r="O257" t="n">
        <v>0</v>
      </c>
      <c r="P257" t="n">
        <v>0</v>
      </c>
      <c r="Q257" t="n">
        <v>0</v>
      </c>
      <c r="R257" s="2" t="inlineStr"/>
    </row>
    <row r="258" ht="15" customHeight="1">
      <c r="A258" t="inlineStr">
        <is>
          <t>A 5670-2025</t>
        </is>
      </c>
      <c r="B258" s="1" t="n">
        <v>45693</v>
      </c>
      <c r="C258" s="1" t="n">
        <v>45924</v>
      </c>
      <c r="D258" t="inlineStr">
        <is>
          <t>NORRBOTTENS LÄN</t>
        </is>
      </c>
      <c r="E258" t="inlineStr">
        <is>
          <t>JOKKMOKK</t>
        </is>
      </c>
      <c r="G258" t="n">
        <v>2.1</v>
      </c>
      <c r="H258" t="n">
        <v>0</v>
      </c>
      <c r="I258" t="n">
        <v>0</v>
      </c>
      <c r="J258" t="n">
        <v>0</v>
      </c>
      <c r="K258" t="n">
        <v>0</v>
      </c>
      <c r="L258" t="n">
        <v>0</v>
      </c>
      <c r="M258" t="n">
        <v>0</v>
      </c>
      <c r="N258" t="n">
        <v>0</v>
      </c>
      <c r="O258" t="n">
        <v>0</v>
      </c>
      <c r="P258" t="n">
        <v>0</v>
      </c>
      <c r="Q258" t="n">
        <v>0</v>
      </c>
      <c r="R258" s="2" t="inlineStr"/>
    </row>
    <row r="259" ht="15" customHeight="1">
      <c r="A259" t="inlineStr">
        <is>
          <t>A 31208-2023</t>
        </is>
      </c>
      <c r="B259" s="1" t="n">
        <v>45113.95083333334</v>
      </c>
      <c r="C259" s="1" t="n">
        <v>45924</v>
      </c>
      <c r="D259" t="inlineStr">
        <is>
          <t>NORRBOTTENS LÄN</t>
        </is>
      </c>
      <c r="E259" t="inlineStr">
        <is>
          <t>JOKKMOKK</t>
        </is>
      </c>
      <c r="F259" t="inlineStr">
        <is>
          <t>SCA</t>
        </is>
      </c>
      <c r="G259" t="n">
        <v>10.3</v>
      </c>
      <c r="H259" t="n">
        <v>0</v>
      </c>
      <c r="I259" t="n">
        <v>0</v>
      </c>
      <c r="J259" t="n">
        <v>0</v>
      </c>
      <c r="K259" t="n">
        <v>0</v>
      </c>
      <c r="L259" t="n">
        <v>0</v>
      </c>
      <c r="M259" t="n">
        <v>0</v>
      </c>
      <c r="N259" t="n">
        <v>0</v>
      </c>
      <c r="O259" t="n">
        <v>0</v>
      </c>
      <c r="P259" t="n">
        <v>0</v>
      </c>
      <c r="Q259" t="n">
        <v>0</v>
      </c>
      <c r="R259" s="2" t="inlineStr"/>
    </row>
    <row r="260" ht="15" customHeight="1">
      <c r="A260" t="inlineStr">
        <is>
          <t>A 40808-2025</t>
        </is>
      </c>
      <c r="B260" s="1" t="n">
        <v>45897.46922453704</v>
      </c>
      <c r="C260" s="1" t="n">
        <v>45924</v>
      </c>
      <c r="D260" t="inlineStr">
        <is>
          <t>NORRBOTTENS LÄN</t>
        </is>
      </c>
      <c r="E260" t="inlineStr">
        <is>
          <t>JOKKMOKK</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50716-2022</t>
        </is>
      </c>
      <c r="B261" s="1" t="n">
        <v>44862</v>
      </c>
      <c r="C261" s="1" t="n">
        <v>45924</v>
      </c>
      <c r="D261" t="inlineStr">
        <is>
          <t>NORRBOTTENS LÄN</t>
        </is>
      </c>
      <c r="E261" t="inlineStr">
        <is>
          <t>JOKKMOKK</t>
        </is>
      </c>
      <c r="G261" t="n">
        <v>30.2</v>
      </c>
      <c r="H261" t="n">
        <v>0</v>
      </c>
      <c r="I261" t="n">
        <v>0</v>
      </c>
      <c r="J261" t="n">
        <v>0</v>
      </c>
      <c r="K261" t="n">
        <v>0</v>
      </c>
      <c r="L261" t="n">
        <v>0</v>
      </c>
      <c r="M261" t="n">
        <v>0</v>
      </c>
      <c r="N261" t="n">
        <v>0</v>
      </c>
      <c r="O261" t="n">
        <v>0</v>
      </c>
      <c r="P261" t="n">
        <v>0</v>
      </c>
      <c r="Q261" t="n">
        <v>0</v>
      </c>
      <c r="R261" s="2" t="inlineStr"/>
    </row>
    <row r="262" ht="15" customHeight="1">
      <c r="A262" t="inlineStr">
        <is>
          <t>A 40756-2025</t>
        </is>
      </c>
      <c r="B262" s="1" t="n">
        <v>45897.38686342593</v>
      </c>
      <c r="C262" s="1" t="n">
        <v>45924</v>
      </c>
      <c r="D262" t="inlineStr">
        <is>
          <t>NORRBOTTENS LÄN</t>
        </is>
      </c>
      <c r="E262" t="inlineStr">
        <is>
          <t>JOKKMOKK</t>
        </is>
      </c>
      <c r="G262" t="n">
        <v>24.7</v>
      </c>
      <c r="H262" t="n">
        <v>0</v>
      </c>
      <c r="I262" t="n">
        <v>0</v>
      </c>
      <c r="J262" t="n">
        <v>0</v>
      </c>
      <c r="K262" t="n">
        <v>0</v>
      </c>
      <c r="L262" t="n">
        <v>0</v>
      </c>
      <c r="M262" t="n">
        <v>0</v>
      </c>
      <c r="N262" t="n">
        <v>0</v>
      </c>
      <c r="O262" t="n">
        <v>0</v>
      </c>
      <c r="P262" t="n">
        <v>0</v>
      </c>
      <c r="Q262" t="n">
        <v>0</v>
      </c>
      <c r="R262" s="2" t="inlineStr"/>
    </row>
    <row r="263" ht="15" customHeight="1">
      <c r="A263" t="inlineStr">
        <is>
          <t>A 59849-2023</t>
        </is>
      </c>
      <c r="B263" s="1" t="n">
        <v>45257</v>
      </c>
      <c r="C263" s="1" t="n">
        <v>45924</v>
      </c>
      <c r="D263" t="inlineStr">
        <is>
          <t>NORRBOTTENS LÄN</t>
        </is>
      </c>
      <c r="E263" t="inlineStr">
        <is>
          <t>JOKKMOKK</t>
        </is>
      </c>
      <c r="F263" t="inlineStr">
        <is>
          <t>Allmännings- och besparingsskogar</t>
        </is>
      </c>
      <c r="G263" t="n">
        <v>12.7</v>
      </c>
      <c r="H263" t="n">
        <v>0</v>
      </c>
      <c r="I263" t="n">
        <v>0</v>
      </c>
      <c r="J263" t="n">
        <v>0</v>
      </c>
      <c r="K263" t="n">
        <v>0</v>
      </c>
      <c r="L263" t="n">
        <v>0</v>
      </c>
      <c r="M263" t="n">
        <v>0</v>
      </c>
      <c r="N263" t="n">
        <v>0</v>
      </c>
      <c r="O263" t="n">
        <v>0</v>
      </c>
      <c r="P263" t="n">
        <v>0</v>
      </c>
      <c r="Q263" t="n">
        <v>0</v>
      </c>
      <c r="R263" s="2" t="inlineStr"/>
    </row>
    <row r="264" ht="15" customHeight="1">
      <c r="A264" t="inlineStr">
        <is>
          <t>A 30041-2024</t>
        </is>
      </c>
      <c r="B264" s="1" t="n">
        <v>45488</v>
      </c>
      <c r="C264" s="1" t="n">
        <v>45924</v>
      </c>
      <c r="D264" t="inlineStr">
        <is>
          <t>NORRBOTTENS LÄN</t>
        </is>
      </c>
      <c r="E264" t="inlineStr">
        <is>
          <t>JOKKMOKK</t>
        </is>
      </c>
      <c r="G264" t="n">
        <v>19.9</v>
      </c>
      <c r="H264" t="n">
        <v>0</v>
      </c>
      <c r="I264" t="n">
        <v>0</v>
      </c>
      <c r="J264" t="n">
        <v>0</v>
      </c>
      <c r="K264" t="n">
        <v>0</v>
      </c>
      <c r="L264" t="n">
        <v>0</v>
      </c>
      <c r="M264" t="n">
        <v>0</v>
      </c>
      <c r="N264" t="n">
        <v>0</v>
      </c>
      <c r="O264" t="n">
        <v>0</v>
      </c>
      <c r="P264" t="n">
        <v>0</v>
      </c>
      <c r="Q264" t="n">
        <v>0</v>
      </c>
      <c r="R264" s="2" t="inlineStr"/>
    </row>
    <row r="265" ht="15" customHeight="1">
      <c r="A265" t="inlineStr">
        <is>
          <t>A 4136-2024</t>
        </is>
      </c>
      <c r="B265" s="1" t="n">
        <v>45323</v>
      </c>
      <c r="C265" s="1" t="n">
        <v>45924</v>
      </c>
      <c r="D265" t="inlineStr">
        <is>
          <t>NORRBOTTENS LÄN</t>
        </is>
      </c>
      <c r="E265" t="inlineStr">
        <is>
          <t>JOKKMOKK</t>
        </is>
      </c>
      <c r="G265" t="n">
        <v>27.3</v>
      </c>
      <c r="H265" t="n">
        <v>0</v>
      </c>
      <c r="I265" t="n">
        <v>0</v>
      </c>
      <c r="J265" t="n">
        <v>0</v>
      </c>
      <c r="K265" t="n">
        <v>0</v>
      </c>
      <c r="L265" t="n">
        <v>0</v>
      </c>
      <c r="M265" t="n">
        <v>0</v>
      </c>
      <c r="N265" t="n">
        <v>0</v>
      </c>
      <c r="O265" t="n">
        <v>0</v>
      </c>
      <c r="P265" t="n">
        <v>0</v>
      </c>
      <c r="Q265" t="n">
        <v>0</v>
      </c>
      <c r="R265" s="2" t="inlineStr"/>
    </row>
    <row r="266" ht="15" customHeight="1">
      <c r="A266" t="inlineStr">
        <is>
          <t>A 52855-2024</t>
        </is>
      </c>
      <c r="B266" s="1" t="n">
        <v>45610</v>
      </c>
      <c r="C266" s="1" t="n">
        <v>45924</v>
      </c>
      <c r="D266" t="inlineStr">
        <is>
          <t>NORRBOTTENS LÄN</t>
        </is>
      </c>
      <c r="E266" t="inlineStr">
        <is>
          <t>JOKKMOKK</t>
        </is>
      </c>
      <c r="F266" t="inlineStr">
        <is>
          <t>Allmännings- och besparingsskogar</t>
        </is>
      </c>
      <c r="G266" t="n">
        <v>2.4</v>
      </c>
      <c r="H266" t="n">
        <v>0</v>
      </c>
      <c r="I266" t="n">
        <v>0</v>
      </c>
      <c r="J266" t="n">
        <v>0</v>
      </c>
      <c r="K266" t="n">
        <v>0</v>
      </c>
      <c r="L266" t="n">
        <v>0</v>
      </c>
      <c r="M266" t="n">
        <v>0</v>
      </c>
      <c r="N266" t="n">
        <v>0</v>
      </c>
      <c r="O266" t="n">
        <v>0</v>
      </c>
      <c r="P266" t="n">
        <v>0</v>
      </c>
      <c r="Q266" t="n">
        <v>0</v>
      </c>
      <c r="R266" s="2" t="inlineStr"/>
    </row>
    <row r="267" ht="15" customHeight="1">
      <c r="A267" t="inlineStr">
        <is>
          <t>A 35511-2025</t>
        </is>
      </c>
      <c r="B267" s="1" t="n">
        <v>45856.36497685185</v>
      </c>
      <c r="C267" s="1" t="n">
        <v>45924</v>
      </c>
      <c r="D267" t="inlineStr">
        <is>
          <t>NORRBOTTENS LÄN</t>
        </is>
      </c>
      <c r="E267" t="inlineStr">
        <is>
          <t>JOKKMOKK</t>
        </is>
      </c>
      <c r="F267" t="inlineStr">
        <is>
          <t>SCA</t>
        </is>
      </c>
      <c r="G267" t="n">
        <v>7</v>
      </c>
      <c r="H267" t="n">
        <v>0</v>
      </c>
      <c r="I267" t="n">
        <v>0</v>
      </c>
      <c r="J267" t="n">
        <v>0</v>
      </c>
      <c r="K267" t="n">
        <v>0</v>
      </c>
      <c r="L267" t="n">
        <v>0</v>
      </c>
      <c r="M267" t="n">
        <v>0</v>
      </c>
      <c r="N267" t="n">
        <v>0</v>
      </c>
      <c r="O267" t="n">
        <v>0</v>
      </c>
      <c r="P267" t="n">
        <v>0</v>
      </c>
      <c r="Q267" t="n">
        <v>0</v>
      </c>
      <c r="R267" s="2" t="inlineStr"/>
    </row>
    <row r="268" ht="15" customHeight="1">
      <c r="A268" t="inlineStr">
        <is>
          <t>A 65648-2020</t>
        </is>
      </c>
      <c r="B268" s="1" t="n">
        <v>44172</v>
      </c>
      <c r="C268" s="1" t="n">
        <v>45924</v>
      </c>
      <c r="D268" t="inlineStr">
        <is>
          <t>NORRBOTTENS LÄN</t>
        </is>
      </c>
      <c r="E268" t="inlineStr">
        <is>
          <t>JOKKMOKK</t>
        </is>
      </c>
      <c r="G268" t="n">
        <v>1.8</v>
      </c>
      <c r="H268" t="n">
        <v>0</v>
      </c>
      <c r="I268" t="n">
        <v>0</v>
      </c>
      <c r="J268" t="n">
        <v>0</v>
      </c>
      <c r="K268" t="n">
        <v>0</v>
      </c>
      <c r="L268" t="n">
        <v>0</v>
      </c>
      <c r="M268" t="n">
        <v>0</v>
      </c>
      <c r="N268" t="n">
        <v>0</v>
      </c>
      <c r="O268" t="n">
        <v>0</v>
      </c>
      <c r="P268" t="n">
        <v>0</v>
      </c>
      <c r="Q268" t="n">
        <v>0</v>
      </c>
      <c r="R268" s="2" t="inlineStr"/>
    </row>
    <row r="269" ht="15" customHeight="1">
      <c r="A269" t="inlineStr">
        <is>
          <t>A 35805-2025</t>
        </is>
      </c>
      <c r="B269" s="1" t="n">
        <v>45861.4019212963</v>
      </c>
      <c r="C269" s="1" t="n">
        <v>45924</v>
      </c>
      <c r="D269" t="inlineStr">
        <is>
          <t>NORRBOTTENS LÄN</t>
        </is>
      </c>
      <c r="E269" t="inlineStr">
        <is>
          <t>JOKKMOKK</t>
        </is>
      </c>
      <c r="G269" t="n">
        <v>7</v>
      </c>
      <c r="H269" t="n">
        <v>0</v>
      </c>
      <c r="I269" t="n">
        <v>0</v>
      </c>
      <c r="J269" t="n">
        <v>0</v>
      </c>
      <c r="K269" t="n">
        <v>0</v>
      </c>
      <c r="L269" t="n">
        <v>0</v>
      </c>
      <c r="M269" t="n">
        <v>0</v>
      </c>
      <c r="N269" t="n">
        <v>0</v>
      </c>
      <c r="O269" t="n">
        <v>0</v>
      </c>
      <c r="P269" t="n">
        <v>0</v>
      </c>
      <c r="Q269" t="n">
        <v>0</v>
      </c>
      <c r="R269" s="2" t="inlineStr"/>
    </row>
    <row r="270" ht="15" customHeight="1">
      <c r="A270" t="inlineStr">
        <is>
          <t>A 32915-2023</t>
        </is>
      </c>
      <c r="B270" s="1" t="n">
        <v>45124.95214120371</v>
      </c>
      <c r="C270" s="1" t="n">
        <v>45924</v>
      </c>
      <c r="D270" t="inlineStr">
        <is>
          <t>NORRBOTTENS LÄN</t>
        </is>
      </c>
      <c r="E270" t="inlineStr">
        <is>
          <t>JOKKMOKK</t>
        </is>
      </c>
      <c r="F270" t="inlineStr">
        <is>
          <t>SCA</t>
        </is>
      </c>
      <c r="G270" t="n">
        <v>15.1</v>
      </c>
      <c r="H270" t="n">
        <v>0</v>
      </c>
      <c r="I270" t="n">
        <v>0</v>
      </c>
      <c r="J270" t="n">
        <v>0</v>
      </c>
      <c r="K270" t="n">
        <v>0</v>
      </c>
      <c r="L270" t="n">
        <v>0</v>
      </c>
      <c r="M270" t="n">
        <v>0</v>
      </c>
      <c r="N270" t="n">
        <v>0</v>
      </c>
      <c r="O270" t="n">
        <v>0</v>
      </c>
      <c r="P270" t="n">
        <v>0</v>
      </c>
      <c r="Q270" t="n">
        <v>0</v>
      </c>
      <c r="R270" s="2" t="inlineStr"/>
    </row>
    <row r="271" ht="15" customHeight="1">
      <c r="A271" t="inlineStr">
        <is>
          <t>A 35749-2025</t>
        </is>
      </c>
      <c r="B271" s="1" t="n">
        <v>45860</v>
      </c>
      <c r="C271" s="1" t="n">
        <v>45924</v>
      </c>
      <c r="D271" t="inlineStr">
        <is>
          <t>NORRBOTTENS LÄN</t>
        </is>
      </c>
      <c r="E271" t="inlineStr">
        <is>
          <t>JOKKMOKK</t>
        </is>
      </c>
      <c r="G271" t="n">
        <v>4.2</v>
      </c>
      <c r="H271" t="n">
        <v>0</v>
      </c>
      <c r="I271" t="n">
        <v>0</v>
      </c>
      <c r="J271" t="n">
        <v>0</v>
      </c>
      <c r="K271" t="n">
        <v>0</v>
      </c>
      <c r="L271" t="n">
        <v>0</v>
      </c>
      <c r="M271" t="n">
        <v>0</v>
      </c>
      <c r="N271" t="n">
        <v>0</v>
      </c>
      <c r="O271" t="n">
        <v>0</v>
      </c>
      <c r="P271" t="n">
        <v>0</v>
      </c>
      <c r="Q271" t="n">
        <v>0</v>
      </c>
      <c r="R271" s="2" t="inlineStr"/>
    </row>
    <row r="272" ht="15" customHeight="1">
      <c r="A272" t="inlineStr">
        <is>
          <t>A 42095-2025</t>
        </is>
      </c>
      <c r="B272" s="1" t="n">
        <v>45903.71916666667</v>
      </c>
      <c r="C272" s="1" t="n">
        <v>45924</v>
      </c>
      <c r="D272" t="inlineStr">
        <is>
          <t>NORRBOTTENS LÄN</t>
        </is>
      </c>
      <c r="E272" t="inlineStr">
        <is>
          <t>JOKKMOKK</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42126-2025</t>
        </is>
      </c>
      <c r="B273" s="1" t="n">
        <v>45904.34486111111</v>
      </c>
      <c r="C273" s="1" t="n">
        <v>45924</v>
      </c>
      <c r="D273" t="inlineStr">
        <is>
          <t>NORRBOTTENS LÄN</t>
        </is>
      </c>
      <c r="E273" t="inlineStr">
        <is>
          <t>JOKKMOKK</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42575-2025</t>
        </is>
      </c>
      <c r="B274" s="1" t="n">
        <v>45905.61263888889</v>
      </c>
      <c r="C274" s="1" t="n">
        <v>45924</v>
      </c>
      <c r="D274" t="inlineStr">
        <is>
          <t>NORRBOTTENS LÄN</t>
        </is>
      </c>
      <c r="E274" t="inlineStr">
        <is>
          <t>JOKKMOKK</t>
        </is>
      </c>
      <c r="F274" t="inlineStr">
        <is>
          <t>Sveaskog</t>
        </is>
      </c>
      <c r="G274" t="n">
        <v>17.4</v>
      </c>
      <c r="H274" t="n">
        <v>0</v>
      </c>
      <c r="I274" t="n">
        <v>0</v>
      </c>
      <c r="J274" t="n">
        <v>0</v>
      </c>
      <c r="K274" t="n">
        <v>0</v>
      </c>
      <c r="L274" t="n">
        <v>0</v>
      </c>
      <c r="M274" t="n">
        <v>0</v>
      </c>
      <c r="N274" t="n">
        <v>0</v>
      </c>
      <c r="O274" t="n">
        <v>0</v>
      </c>
      <c r="P274" t="n">
        <v>0</v>
      </c>
      <c r="Q274" t="n">
        <v>0</v>
      </c>
      <c r="R274" s="2" t="inlineStr"/>
    </row>
    <row r="275" ht="15" customHeight="1">
      <c r="A275" t="inlineStr">
        <is>
          <t>A 18493-2025</t>
        </is>
      </c>
      <c r="B275" s="1" t="n">
        <v>45763.34474537037</v>
      </c>
      <c r="C275" s="1" t="n">
        <v>45924</v>
      </c>
      <c r="D275" t="inlineStr">
        <is>
          <t>NORRBOTTENS LÄN</t>
        </is>
      </c>
      <c r="E275" t="inlineStr">
        <is>
          <t>JOKKMOKK</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61640-2024</t>
        </is>
      </c>
      <c r="B276" s="1" t="n">
        <v>45646.68362268519</v>
      </c>
      <c r="C276" s="1" t="n">
        <v>45924</v>
      </c>
      <c r="D276" t="inlineStr">
        <is>
          <t>NORRBOTTENS LÄN</t>
        </is>
      </c>
      <c r="E276" t="inlineStr">
        <is>
          <t>JOKKMOKK</t>
        </is>
      </c>
      <c r="G276" t="n">
        <v>10.6</v>
      </c>
      <c r="H276" t="n">
        <v>0</v>
      </c>
      <c r="I276" t="n">
        <v>0</v>
      </c>
      <c r="J276" t="n">
        <v>0</v>
      </c>
      <c r="K276" t="n">
        <v>0</v>
      </c>
      <c r="L276" t="n">
        <v>0</v>
      </c>
      <c r="M276" t="n">
        <v>0</v>
      </c>
      <c r="N276" t="n">
        <v>0</v>
      </c>
      <c r="O276" t="n">
        <v>0</v>
      </c>
      <c r="P276" t="n">
        <v>0</v>
      </c>
      <c r="Q276" t="n">
        <v>0</v>
      </c>
      <c r="R276" s="2" t="inlineStr"/>
    </row>
    <row r="277" ht="15" customHeight="1">
      <c r="A277" t="inlineStr">
        <is>
          <t>A 61641-2024</t>
        </is>
      </c>
      <c r="B277" s="1" t="n">
        <v>45646</v>
      </c>
      <c r="C277" s="1" t="n">
        <v>45924</v>
      </c>
      <c r="D277" t="inlineStr">
        <is>
          <t>NORRBOTTENS LÄN</t>
        </is>
      </c>
      <c r="E277" t="inlineStr">
        <is>
          <t>JOKKMOKK</t>
        </is>
      </c>
      <c r="G277" t="n">
        <v>3.2</v>
      </c>
      <c r="H277" t="n">
        <v>0</v>
      </c>
      <c r="I277" t="n">
        <v>0</v>
      </c>
      <c r="J277" t="n">
        <v>0</v>
      </c>
      <c r="K277" t="n">
        <v>0</v>
      </c>
      <c r="L277" t="n">
        <v>0</v>
      </c>
      <c r="M277" t="n">
        <v>0</v>
      </c>
      <c r="N277" t="n">
        <v>0</v>
      </c>
      <c r="O277" t="n">
        <v>0</v>
      </c>
      <c r="P277" t="n">
        <v>0</v>
      </c>
      <c r="Q277" t="n">
        <v>0</v>
      </c>
      <c r="R277" s="2" t="inlineStr"/>
    </row>
    <row r="278" ht="15" customHeight="1">
      <c r="A278" t="inlineStr">
        <is>
          <t>A 52181-2023</t>
        </is>
      </c>
      <c r="B278" s="1" t="n">
        <v>45224</v>
      </c>
      <c r="C278" s="1" t="n">
        <v>45924</v>
      </c>
      <c r="D278" t="inlineStr">
        <is>
          <t>NORRBOTTENS LÄN</t>
        </is>
      </c>
      <c r="E278" t="inlineStr">
        <is>
          <t>JOKKMOKK</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42322-2025</t>
        </is>
      </c>
      <c r="B279" s="1" t="n">
        <v>45904.67839120371</v>
      </c>
      <c r="C279" s="1" t="n">
        <v>45924</v>
      </c>
      <c r="D279" t="inlineStr">
        <is>
          <t>NORRBOTTENS LÄN</t>
        </is>
      </c>
      <c r="E279" t="inlineStr">
        <is>
          <t>JOKKMOKK</t>
        </is>
      </c>
      <c r="G279" t="n">
        <v>3.8</v>
      </c>
      <c r="H279" t="n">
        <v>0</v>
      </c>
      <c r="I279" t="n">
        <v>0</v>
      </c>
      <c r="J279" t="n">
        <v>0</v>
      </c>
      <c r="K279" t="n">
        <v>0</v>
      </c>
      <c r="L279" t="n">
        <v>0</v>
      </c>
      <c r="M279" t="n">
        <v>0</v>
      </c>
      <c r="N279" t="n">
        <v>0</v>
      </c>
      <c r="O279" t="n">
        <v>0</v>
      </c>
      <c r="P279" t="n">
        <v>0</v>
      </c>
      <c r="Q279" t="n">
        <v>0</v>
      </c>
      <c r="R279" s="2" t="inlineStr"/>
    </row>
    <row r="280" ht="15" customHeight="1">
      <c r="A280" t="inlineStr">
        <is>
          <t>A 18772-2023</t>
        </is>
      </c>
      <c r="B280" s="1" t="n">
        <v>45043</v>
      </c>
      <c r="C280" s="1" t="n">
        <v>45924</v>
      </c>
      <c r="D280" t="inlineStr">
        <is>
          <t>NORRBOTTENS LÄN</t>
        </is>
      </c>
      <c r="E280" t="inlineStr">
        <is>
          <t>JOKKMOKK</t>
        </is>
      </c>
      <c r="F280" t="inlineStr">
        <is>
          <t>SCA</t>
        </is>
      </c>
      <c r="G280" t="n">
        <v>11.9</v>
      </c>
      <c r="H280" t="n">
        <v>0</v>
      </c>
      <c r="I280" t="n">
        <v>0</v>
      </c>
      <c r="J280" t="n">
        <v>0</v>
      </c>
      <c r="K280" t="n">
        <v>0</v>
      </c>
      <c r="L280" t="n">
        <v>0</v>
      </c>
      <c r="M280" t="n">
        <v>0</v>
      </c>
      <c r="N280" t="n">
        <v>0</v>
      </c>
      <c r="O280" t="n">
        <v>0</v>
      </c>
      <c r="P280" t="n">
        <v>0</v>
      </c>
      <c r="Q280" t="n">
        <v>0</v>
      </c>
      <c r="R280" s="2" t="inlineStr"/>
    </row>
    <row r="281" ht="15" customHeight="1">
      <c r="A281" t="inlineStr">
        <is>
          <t>A 27652-2024</t>
        </is>
      </c>
      <c r="B281" s="1" t="n">
        <v>45474.94982638889</v>
      </c>
      <c r="C281" s="1" t="n">
        <v>45924</v>
      </c>
      <c r="D281" t="inlineStr">
        <is>
          <t>NORRBOTTENS LÄN</t>
        </is>
      </c>
      <c r="E281" t="inlineStr">
        <is>
          <t>JOKKMOKK</t>
        </is>
      </c>
      <c r="F281" t="inlineStr">
        <is>
          <t>SCA</t>
        </is>
      </c>
      <c r="G281" t="n">
        <v>5.3</v>
      </c>
      <c r="H281" t="n">
        <v>0</v>
      </c>
      <c r="I281" t="n">
        <v>0</v>
      </c>
      <c r="J281" t="n">
        <v>0</v>
      </c>
      <c r="K281" t="n">
        <v>0</v>
      </c>
      <c r="L281" t="n">
        <v>0</v>
      </c>
      <c r="M281" t="n">
        <v>0</v>
      </c>
      <c r="N281" t="n">
        <v>0</v>
      </c>
      <c r="O281" t="n">
        <v>0</v>
      </c>
      <c r="P281" t="n">
        <v>0</v>
      </c>
      <c r="Q281" t="n">
        <v>0</v>
      </c>
      <c r="R281" s="2" t="inlineStr"/>
    </row>
    <row r="282" ht="15" customHeight="1">
      <c r="A282" t="inlineStr">
        <is>
          <t>A 42664-2025</t>
        </is>
      </c>
      <c r="B282" s="1" t="n">
        <v>45907.85482638889</v>
      </c>
      <c r="C282" s="1" t="n">
        <v>45924</v>
      </c>
      <c r="D282" t="inlineStr">
        <is>
          <t>NORRBOTTENS LÄN</t>
        </is>
      </c>
      <c r="E282" t="inlineStr">
        <is>
          <t>JOKKMOKK</t>
        </is>
      </c>
      <c r="G282" t="n">
        <v>1.9</v>
      </c>
      <c r="H282" t="n">
        <v>0</v>
      </c>
      <c r="I282" t="n">
        <v>0</v>
      </c>
      <c r="J282" t="n">
        <v>0</v>
      </c>
      <c r="K282" t="n">
        <v>0</v>
      </c>
      <c r="L282" t="n">
        <v>0</v>
      </c>
      <c r="M282" t="n">
        <v>0</v>
      </c>
      <c r="N282" t="n">
        <v>0</v>
      </c>
      <c r="O282" t="n">
        <v>0</v>
      </c>
      <c r="P282" t="n">
        <v>0</v>
      </c>
      <c r="Q282" t="n">
        <v>0</v>
      </c>
      <c r="R282" s="2" t="inlineStr"/>
    </row>
    <row r="283" ht="15" customHeight="1">
      <c r="A283" t="inlineStr">
        <is>
          <t>A 36168-2025</t>
        </is>
      </c>
      <c r="B283" s="1" t="n">
        <v>45867.38582175926</v>
      </c>
      <c r="C283" s="1" t="n">
        <v>45924</v>
      </c>
      <c r="D283" t="inlineStr">
        <is>
          <t>NORRBOTTENS LÄN</t>
        </is>
      </c>
      <c r="E283" t="inlineStr">
        <is>
          <t>JOKKMOKK</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42944-2025</t>
        </is>
      </c>
      <c r="B284" s="1" t="n">
        <v>45909.34434027778</v>
      </c>
      <c r="C284" s="1" t="n">
        <v>45924</v>
      </c>
      <c r="D284" t="inlineStr">
        <is>
          <t>NORRBOTTENS LÄN</t>
        </is>
      </c>
      <c r="E284" t="inlineStr">
        <is>
          <t>JOKKMOKK</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32915-2024</t>
        </is>
      </c>
      <c r="B285" s="1" t="n">
        <v>45516</v>
      </c>
      <c r="C285" s="1" t="n">
        <v>45924</v>
      </c>
      <c r="D285" t="inlineStr">
        <is>
          <t>NORRBOTTENS LÄN</t>
        </is>
      </c>
      <c r="E285" t="inlineStr">
        <is>
          <t>JOKKMOKK</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36357-2025</t>
        </is>
      </c>
      <c r="B286" s="1" t="n">
        <v>45868.5107175926</v>
      </c>
      <c r="C286" s="1" t="n">
        <v>45924</v>
      </c>
      <c r="D286" t="inlineStr">
        <is>
          <t>NORRBOTTENS LÄN</t>
        </is>
      </c>
      <c r="E286" t="inlineStr">
        <is>
          <t>JOKKMOKK</t>
        </is>
      </c>
      <c r="G286" t="n">
        <v>0.5</v>
      </c>
      <c r="H286" t="n">
        <v>0</v>
      </c>
      <c r="I286" t="n">
        <v>0</v>
      </c>
      <c r="J286" t="n">
        <v>0</v>
      </c>
      <c r="K286" t="n">
        <v>0</v>
      </c>
      <c r="L286" t="n">
        <v>0</v>
      </c>
      <c r="M286" t="n">
        <v>0</v>
      </c>
      <c r="N286" t="n">
        <v>0</v>
      </c>
      <c r="O286" t="n">
        <v>0</v>
      </c>
      <c r="P286" t="n">
        <v>0</v>
      </c>
      <c r="Q286" t="n">
        <v>0</v>
      </c>
      <c r="R286" s="2" t="inlineStr"/>
    </row>
    <row r="287" ht="15" customHeight="1">
      <c r="A287" t="inlineStr">
        <is>
          <t>A 26552-2025</t>
        </is>
      </c>
      <c r="B287" s="1" t="n">
        <v>45807</v>
      </c>
      <c r="C287" s="1" t="n">
        <v>45924</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36325-2025</t>
        </is>
      </c>
      <c r="B288" s="1" t="n">
        <v>45868.40723379629</v>
      </c>
      <c r="C288" s="1" t="n">
        <v>45924</v>
      </c>
      <c r="D288" t="inlineStr">
        <is>
          <t>NORRBOTTENS LÄN</t>
        </is>
      </c>
      <c r="E288" t="inlineStr">
        <is>
          <t>JOKKMOKK</t>
        </is>
      </c>
      <c r="F288" t="inlineStr">
        <is>
          <t>SCA</t>
        </is>
      </c>
      <c r="G288" t="n">
        <v>14.4</v>
      </c>
      <c r="H288" t="n">
        <v>0</v>
      </c>
      <c r="I288" t="n">
        <v>0</v>
      </c>
      <c r="J288" t="n">
        <v>0</v>
      </c>
      <c r="K288" t="n">
        <v>0</v>
      </c>
      <c r="L288" t="n">
        <v>0</v>
      </c>
      <c r="M288" t="n">
        <v>0</v>
      </c>
      <c r="N288" t="n">
        <v>0</v>
      </c>
      <c r="O288" t="n">
        <v>0</v>
      </c>
      <c r="P288" t="n">
        <v>0</v>
      </c>
      <c r="Q288" t="n">
        <v>0</v>
      </c>
      <c r="R288" s="2" t="inlineStr"/>
    </row>
    <row r="289" ht="15" customHeight="1">
      <c r="A289" t="inlineStr">
        <is>
          <t>A 43997-2025</t>
        </is>
      </c>
      <c r="B289" s="1" t="n">
        <v>45915.44868055556</v>
      </c>
      <c r="C289" s="1" t="n">
        <v>45924</v>
      </c>
      <c r="D289" t="inlineStr">
        <is>
          <t>NORRBOTTENS LÄN</t>
        </is>
      </c>
      <c r="E289" t="inlineStr">
        <is>
          <t>JOKKMOKK</t>
        </is>
      </c>
      <c r="G289" t="n">
        <v>4.5</v>
      </c>
      <c r="H289" t="n">
        <v>0</v>
      </c>
      <c r="I289" t="n">
        <v>0</v>
      </c>
      <c r="J289" t="n">
        <v>0</v>
      </c>
      <c r="K289" t="n">
        <v>0</v>
      </c>
      <c r="L289" t="n">
        <v>0</v>
      </c>
      <c r="M289" t="n">
        <v>0</v>
      </c>
      <c r="N289" t="n">
        <v>0</v>
      </c>
      <c r="O289" t="n">
        <v>0</v>
      </c>
      <c r="P289" t="n">
        <v>0</v>
      </c>
      <c r="Q289" t="n">
        <v>0</v>
      </c>
      <c r="R289" s="2" t="inlineStr"/>
    </row>
    <row r="290" ht="15" customHeight="1">
      <c r="A290" t="inlineStr">
        <is>
          <t>A 10630-2025</t>
        </is>
      </c>
      <c r="B290" s="1" t="n">
        <v>45721.63606481482</v>
      </c>
      <c r="C290" s="1" t="n">
        <v>45924</v>
      </c>
      <c r="D290" t="inlineStr">
        <is>
          <t>NORRBOTTENS LÄN</t>
        </is>
      </c>
      <c r="E290" t="inlineStr">
        <is>
          <t>JOKKMOKK</t>
        </is>
      </c>
      <c r="G290" t="n">
        <v>1.7</v>
      </c>
      <c r="H290" t="n">
        <v>0</v>
      </c>
      <c r="I290" t="n">
        <v>0</v>
      </c>
      <c r="J290" t="n">
        <v>0</v>
      </c>
      <c r="K290" t="n">
        <v>0</v>
      </c>
      <c r="L290" t="n">
        <v>0</v>
      </c>
      <c r="M290" t="n">
        <v>0</v>
      </c>
      <c r="N290" t="n">
        <v>0</v>
      </c>
      <c r="O290" t="n">
        <v>0</v>
      </c>
      <c r="P290" t="n">
        <v>0</v>
      </c>
      <c r="Q290" t="n">
        <v>0</v>
      </c>
      <c r="R290" s="2" t="inlineStr"/>
    </row>
    <row r="291" ht="15" customHeight="1">
      <c r="A291" t="inlineStr">
        <is>
          <t>A 31535-2024</t>
        </is>
      </c>
      <c r="B291" s="1" t="n">
        <v>45505</v>
      </c>
      <c r="C291" s="1" t="n">
        <v>45924</v>
      </c>
      <c r="D291" t="inlineStr">
        <is>
          <t>NORRBOTTENS LÄN</t>
        </is>
      </c>
      <c r="E291" t="inlineStr">
        <is>
          <t>JOKKMOKK</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53172-2024</t>
        </is>
      </c>
      <c r="B292" s="1" t="n">
        <v>45611.65689814815</v>
      </c>
      <c r="C292" s="1" t="n">
        <v>45924</v>
      </c>
      <c r="D292" t="inlineStr">
        <is>
          <t>NORRBOTTENS LÄN</t>
        </is>
      </c>
      <c r="E292" t="inlineStr">
        <is>
          <t>JOKKMOKK</t>
        </is>
      </c>
      <c r="F292" t="inlineStr">
        <is>
          <t>Allmännings- och besparingsskogar</t>
        </is>
      </c>
      <c r="G292" t="n">
        <v>6.5</v>
      </c>
      <c r="H292" t="n">
        <v>0</v>
      </c>
      <c r="I292" t="n">
        <v>0</v>
      </c>
      <c r="J292" t="n">
        <v>0</v>
      </c>
      <c r="K292" t="n">
        <v>0</v>
      </c>
      <c r="L292" t="n">
        <v>0</v>
      </c>
      <c r="M292" t="n">
        <v>0</v>
      </c>
      <c r="N292" t="n">
        <v>0</v>
      </c>
      <c r="O292" t="n">
        <v>0</v>
      </c>
      <c r="P292" t="n">
        <v>0</v>
      </c>
      <c r="Q292" t="n">
        <v>0</v>
      </c>
      <c r="R292" s="2" t="inlineStr"/>
    </row>
    <row r="293" ht="15" customHeight="1">
      <c r="A293" t="inlineStr">
        <is>
          <t>A 43658-2025</t>
        </is>
      </c>
      <c r="B293" s="1" t="n">
        <v>45912.34276620371</v>
      </c>
      <c r="C293" s="1" t="n">
        <v>45924</v>
      </c>
      <c r="D293" t="inlineStr">
        <is>
          <t>NORRBOTTENS LÄN</t>
        </is>
      </c>
      <c r="E293" t="inlineStr">
        <is>
          <t>JOKKMOKK</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32957-2024</t>
        </is>
      </c>
      <c r="B294" s="1" t="n">
        <v>45517.3762037037</v>
      </c>
      <c r="C294" s="1" t="n">
        <v>45924</v>
      </c>
      <c r="D294" t="inlineStr">
        <is>
          <t>NORRBOTTENS LÄN</t>
        </is>
      </c>
      <c r="E294" t="inlineStr">
        <is>
          <t>JOKKMOKK</t>
        </is>
      </c>
      <c r="F294" t="inlineStr">
        <is>
          <t>Sveaskog</t>
        </is>
      </c>
      <c r="G294" t="n">
        <v>5.4</v>
      </c>
      <c r="H294" t="n">
        <v>0</v>
      </c>
      <c r="I294" t="n">
        <v>0</v>
      </c>
      <c r="J294" t="n">
        <v>0</v>
      </c>
      <c r="K294" t="n">
        <v>0</v>
      </c>
      <c r="L294" t="n">
        <v>0</v>
      </c>
      <c r="M294" t="n">
        <v>0</v>
      </c>
      <c r="N294" t="n">
        <v>0</v>
      </c>
      <c r="O294" t="n">
        <v>0</v>
      </c>
      <c r="P294" t="n">
        <v>0</v>
      </c>
      <c r="Q294" t="n">
        <v>0</v>
      </c>
      <c r="R294" s="2" t="inlineStr"/>
    </row>
    <row r="295" ht="15" customHeight="1">
      <c r="A295" t="inlineStr">
        <is>
          <t>A 42481-2024</t>
        </is>
      </c>
      <c r="B295" s="1" t="n">
        <v>45565.49210648148</v>
      </c>
      <c r="C295" s="1" t="n">
        <v>45924</v>
      </c>
      <c r="D295" t="inlineStr">
        <is>
          <t>NORRBOTTENS LÄN</t>
        </is>
      </c>
      <c r="E295" t="inlineStr">
        <is>
          <t>JOKKMOKK</t>
        </is>
      </c>
      <c r="F295" t="inlineStr">
        <is>
          <t>SCA</t>
        </is>
      </c>
      <c r="G295" t="n">
        <v>25.2</v>
      </c>
      <c r="H295" t="n">
        <v>0</v>
      </c>
      <c r="I295" t="n">
        <v>0</v>
      </c>
      <c r="J295" t="n">
        <v>0</v>
      </c>
      <c r="K295" t="n">
        <v>0</v>
      </c>
      <c r="L295" t="n">
        <v>0</v>
      </c>
      <c r="M295" t="n">
        <v>0</v>
      </c>
      <c r="N295" t="n">
        <v>0</v>
      </c>
      <c r="O295" t="n">
        <v>0</v>
      </c>
      <c r="P295" t="n">
        <v>0</v>
      </c>
      <c r="Q295" t="n">
        <v>0</v>
      </c>
      <c r="R295" s="2" t="inlineStr"/>
    </row>
    <row r="296" ht="15" customHeight="1">
      <c r="A296" t="inlineStr">
        <is>
          <t>A 2037-2025</t>
        </is>
      </c>
      <c r="B296" s="1" t="n">
        <v>45671</v>
      </c>
      <c r="C296" s="1" t="n">
        <v>45924</v>
      </c>
      <c r="D296" t="inlineStr">
        <is>
          <t>NORRBOTTENS LÄN</t>
        </is>
      </c>
      <c r="E296" t="inlineStr">
        <is>
          <t>JOKKMOKK</t>
        </is>
      </c>
      <c r="G296" t="n">
        <v>5.4</v>
      </c>
      <c r="H296" t="n">
        <v>0</v>
      </c>
      <c r="I296" t="n">
        <v>0</v>
      </c>
      <c r="J296" t="n">
        <v>0</v>
      </c>
      <c r="K296" t="n">
        <v>0</v>
      </c>
      <c r="L296" t="n">
        <v>0</v>
      </c>
      <c r="M296" t="n">
        <v>0</v>
      </c>
      <c r="N296" t="n">
        <v>0</v>
      </c>
      <c r="O296" t="n">
        <v>0</v>
      </c>
      <c r="P296" t="n">
        <v>0</v>
      </c>
      <c r="Q296" t="n">
        <v>0</v>
      </c>
      <c r="R296" s="2" t="inlineStr"/>
    </row>
    <row r="297" ht="15" customHeight="1">
      <c r="A297" t="inlineStr">
        <is>
          <t>A 10596-2025</t>
        </is>
      </c>
      <c r="B297" s="1" t="n">
        <v>45721</v>
      </c>
      <c r="C297" s="1" t="n">
        <v>45924</v>
      </c>
      <c r="D297" t="inlineStr">
        <is>
          <t>NORRBOTTENS LÄN</t>
        </is>
      </c>
      <c r="E297" t="inlineStr">
        <is>
          <t>JOKKMOKK</t>
        </is>
      </c>
      <c r="G297" t="n">
        <v>17.7</v>
      </c>
      <c r="H297" t="n">
        <v>0</v>
      </c>
      <c r="I297" t="n">
        <v>0</v>
      </c>
      <c r="J297" t="n">
        <v>0</v>
      </c>
      <c r="K297" t="n">
        <v>0</v>
      </c>
      <c r="L297" t="n">
        <v>0</v>
      </c>
      <c r="M297" t="n">
        <v>0</v>
      </c>
      <c r="N297" t="n">
        <v>0</v>
      </c>
      <c r="O297" t="n">
        <v>0</v>
      </c>
      <c r="P297" t="n">
        <v>0</v>
      </c>
      <c r="Q297" t="n">
        <v>0</v>
      </c>
      <c r="R297" s="2" t="inlineStr"/>
    </row>
    <row r="298" ht="15" customHeight="1">
      <c r="A298" t="inlineStr">
        <is>
          <t>A 53232-2024</t>
        </is>
      </c>
      <c r="B298" s="1" t="n">
        <v>45613.67967592592</v>
      </c>
      <c r="C298" s="1" t="n">
        <v>45924</v>
      </c>
      <c r="D298" t="inlineStr">
        <is>
          <t>NORRBOTTENS LÄN</t>
        </is>
      </c>
      <c r="E298" t="inlineStr">
        <is>
          <t>JOKKMOKK</t>
        </is>
      </c>
      <c r="G298" t="n">
        <v>1.9</v>
      </c>
      <c r="H298" t="n">
        <v>0</v>
      </c>
      <c r="I298" t="n">
        <v>0</v>
      </c>
      <c r="J298" t="n">
        <v>0</v>
      </c>
      <c r="K298" t="n">
        <v>0</v>
      </c>
      <c r="L298" t="n">
        <v>0</v>
      </c>
      <c r="M298" t="n">
        <v>0</v>
      </c>
      <c r="N298" t="n">
        <v>0</v>
      </c>
      <c r="O298" t="n">
        <v>0</v>
      </c>
      <c r="P298" t="n">
        <v>0</v>
      </c>
      <c r="Q298" t="n">
        <v>0</v>
      </c>
      <c r="R298" s="2" t="inlineStr"/>
    </row>
    <row r="299" ht="15" customHeight="1">
      <c r="A299" t="inlineStr">
        <is>
          <t>A 44606-2025</t>
        </is>
      </c>
      <c r="B299" s="1" t="n">
        <v>45917.4485300926</v>
      </c>
      <c r="C299" s="1" t="n">
        <v>45924</v>
      </c>
      <c r="D299" t="inlineStr">
        <is>
          <t>NORRBOTTENS LÄN</t>
        </is>
      </c>
      <c r="E299" t="inlineStr">
        <is>
          <t>JOKKMOKK</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32899-2023</t>
        </is>
      </c>
      <c r="B300" s="1" t="n">
        <v>45124</v>
      </c>
      <c r="C300" s="1" t="n">
        <v>45924</v>
      </c>
      <c r="D300" t="inlineStr">
        <is>
          <t>NORRBOTTENS LÄN</t>
        </is>
      </c>
      <c r="E300" t="inlineStr">
        <is>
          <t>JOKKMOKK</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37120-2025</t>
        </is>
      </c>
      <c r="B301" s="1" t="n">
        <v>45875.51827546296</v>
      </c>
      <c r="C301" s="1" t="n">
        <v>45924</v>
      </c>
      <c r="D301" t="inlineStr">
        <is>
          <t>NORRBOTTENS LÄN</t>
        </is>
      </c>
      <c r="E301" t="inlineStr">
        <is>
          <t>JOKKMOKK</t>
        </is>
      </c>
      <c r="G301" t="n">
        <v>17.6</v>
      </c>
      <c r="H301" t="n">
        <v>0</v>
      </c>
      <c r="I301" t="n">
        <v>0</v>
      </c>
      <c r="J301" t="n">
        <v>0</v>
      </c>
      <c r="K301" t="n">
        <v>0</v>
      </c>
      <c r="L301" t="n">
        <v>0</v>
      </c>
      <c r="M301" t="n">
        <v>0</v>
      </c>
      <c r="N301" t="n">
        <v>0</v>
      </c>
      <c r="O301" t="n">
        <v>0</v>
      </c>
      <c r="P301" t="n">
        <v>0</v>
      </c>
      <c r="Q301" t="n">
        <v>0</v>
      </c>
      <c r="R301" s="2" t="inlineStr"/>
    </row>
    <row r="302" ht="15" customHeight="1">
      <c r="A302" t="inlineStr">
        <is>
          <t>A 37206-2025</t>
        </is>
      </c>
      <c r="B302" s="1" t="n">
        <v>45875.69855324074</v>
      </c>
      <c r="C302" s="1" t="n">
        <v>45924</v>
      </c>
      <c r="D302" t="inlineStr">
        <is>
          <t>NORRBOTTENS LÄN</t>
        </is>
      </c>
      <c r="E302" t="inlineStr">
        <is>
          <t>JOKKMOKK</t>
        </is>
      </c>
      <c r="G302" t="n">
        <v>2.9</v>
      </c>
      <c r="H302" t="n">
        <v>0</v>
      </c>
      <c r="I302" t="n">
        <v>0</v>
      </c>
      <c r="J302" t="n">
        <v>0</v>
      </c>
      <c r="K302" t="n">
        <v>0</v>
      </c>
      <c r="L302" t="n">
        <v>0</v>
      </c>
      <c r="M302" t="n">
        <v>0</v>
      </c>
      <c r="N302" t="n">
        <v>0</v>
      </c>
      <c r="O302" t="n">
        <v>0</v>
      </c>
      <c r="P302" t="n">
        <v>0</v>
      </c>
      <c r="Q302" t="n">
        <v>0</v>
      </c>
      <c r="R302" s="2" t="inlineStr"/>
    </row>
    <row r="303" ht="15" customHeight="1">
      <c r="A303" t="inlineStr">
        <is>
          <t>A 40779-2025</t>
        </is>
      </c>
      <c r="B303" s="1" t="n">
        <v>45897</v>
      </c>
      <c r="C303" s="1" t="n">
        <v>45924</v>
      </c>
      <c r="D303" t="inlineStr">
        <is>
          <t>NORRBOTTENS LÄN</t>
        </is>
      </c>
      <c r="E303" t="inlineStr">
        <is>
          <t>JOKKMOKK</t>
        </is>
      </c>
      <c r="F303" t="inlineStr">
        <is>
          <t>Sveaskog</t>
        </is>
      </c>
      <c r="G303" t="n">
        <v>53.8</v>
      </c>
      <c r="H303" t="n">
        <v>0</v>
      </c>
      <c r="I303" t="n">
        <v>0</v>
      </c>
      <c r="J303" t="n">
        <v>0</v>
      </c>
      <c r="K303" t="n">
        <v>0</v>
      </c>
      <c r="L303" t="n">
        <v>0</v>
      </c>
      <c r="M303" t="n">
        <v>0</v>
      </c>
      <c r="N303" t="n">
        <v>0</v>
      </c>
      <c r="O303" t="n">
        <v>0</v>
      </c>
      <c r="P303" t="n">
        <v>0</v>
      </c>
      <c r="Q303" t="n">
        <v>0</v>
      </c>
      <c r="R303" s="2" t="inlineStr"/>
    </row>
    <row r="304" ht="15" customHeight="1">
      <c r="A304" t="inlineStr">
        <is>
          <t>A 44691-2025</t>
        </is>
      </c>
      <c r="B304" s="1" t="n">
        <v>45917.59425925926</v>
      </c>
      <c r="C304" s="1" t="n">
        <v>45924</v>
      </c>
      <c r="D304" t="inlineStr">
        <is>
          <t>NORRBOTTENS LÄN</t>
        </is>
      </c>
      <c r="E304" t="inlineStr">
        <is>
          <t>JOKKMOKK</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33014-2023</t>
        </is>
      </c>
      <c r="B305" s="1" t="n">
        <v>45113</v>
      </c>
      <c r="C305" s="1" t="n">
        <v>45924</v>
      </c>
      <c r="D305" t="inlineStr">
        <is>
          <t>NORRBOTTENS LÄN</t>
        </is>
      </c>
      <c r="E305" t="inlineStr">
        <is>
          <t>JOKKMOKK</t>
        </is>
      </c>
      <c r="F305" t="inlineStr">
        <is>
          <t>Övriga statliga verk och myndigheter</t>
        </is>
      </c>
      <c r="G305" t="n">
        <v>7.2</v>
      </c>
      <c r="H305" t="n">
        <v>0</v>
      </c>
      <c r="I305" t="n">
        <v>0</v>
      </c>
      <c r="J305" t="n">
        <v>0</v>
      </c>
      <c r="K305" t="n">
        <v>0</v>
      </c>
      <c r="L305" t="n">
        <v>0</v>
      </c>
      <c r="M305" t="n">
        <v>0</v>
      </c>
      <c r="N305" t="n">
        <v>0</v>
      </c>
      <c r="O305" t="n">
        <v>0</v>
      </c>
      <c r="P305" t="n">
        <v>0</v>
      </c>
      <c r="Q305" t="n">
        <v>0</v>
      </c>
      <c r="R305" s="2" t="inlineStr"/>
    </row>
    <row r="306" ht="15" customHeight="1">
      <c r="A306" t="inlineStr">
        <is>
          <t>A 52280-2021</t>
        </is>
      </c>
      <c r="B306" s="1" t="n">
        <v>44462</v>
      </c>
      <c r="C306" s="1" t="n">
        <v>45924</v>
      </c>
      <c r="D306" t="inlineStr">
        <is>
          <t>NORRBOTTENS LÄN</t>
        </is>
      </c>
      <c r="E306" t="inlineStr">
        <is>
          <t>JOKKMOKK</t>
        </is>
      </c>
      <c r="F306" t="inlineStr">
        <is>
          <t>Övriga statliga verk och myndigheter</t>
        </is>
      </c>
      <c r="G306" t="n">
        <v>25.9</v>
      </c>
      <c r="H306" t="n">
        <v>0</v>
      </c>
      <c r="I306" t="n">
        <v>0</v>
      </c>
      <c r="J306" t="n">
        <v>0</v>
      </c>
      <c r="K306" t="n">
        <v>0</v>
      </c>
      <c r="L306" t="n">
        <v>0</v>
      </c>
      <c r="M306" t="n">
        <v>0</v>
      </c>
      <c r="N306" t="n">
        <v>0</v>
      </c>
      <c r="O306" t="n">
        <v>0</v>
      </c>
      <c r="P306" t="n">
        <v>0</v>
      </c>
      <c r="Q306" t="n">
        <v>0</v>
      </c>
      <c r="R306" s="2" t="inlineStr"/>
    </row>
    <row r="307" ht="15" customHeight="1">
      <c r="A307" t="inlineStr">
        <is>
          <t>A 52901-2023</t>
        </is>
      </c>
      <c r="B307" s="1" t="n">
        <v>45222</v>
      </c>
      <c r="C307" s="1" t="n">
        <v>45924</v>
      </c>
      <c r="D307" t="inlineStr">
        <is>
          <t>NORRBOTTENS LÄN</t>
        </is>
      </c>
      <c r="E307" t="inlineStr">
        <is>
          <t>JOKKMOKK</t>
        </is>
      </c>
      <c r="G307" t="n">
        <v>16.6</v>
      </c>
      <c r="H307" t="n">
        <v>0</v>
      </c>
      <c r="I307" t="n">
        <v>0</v>
      </c>
      <c r="J307" t="n">
        <v>0</v>
      </c>
      <c r="K307" t="n">
        <v>0</v>
      </c>
      <c r="L307" t="n">
        <v>0</v>
      </c>
      <c r="M307" t="n">
        <v>0</v>
      </c>
      <c r="N307" t="n">
        <v>0</v>
      </c>
      <c r="O307" t="n">
        <v>0</v>
      </c>
      <c r="P307" t="n">
        <v>0</v>
      </c>
      <c r="Q307" t="n">
        <v>0</v>
      </c>
      <c r="R307" s="2" t="inlineStr"/>
    </row>
    <row r="308" ht="15" customHeight="1">
      <c r="A308" t="inlineStr">
        <is>
          <t>A 56168-2022</t>
        </is>
      </c>
      <c r="B308" s="1" t="n">
        <v>44889</v>
      </c>
      <c r="C308" s="1" t="n">
        <v>45924</v>
      </c>
      <c r="D308" t="inlineStr">
        <is>
          <t>NORRBOTTENS LÄN</t>
        </is>
      </c>
      <c r="E308" t="inlineStr">
        <is>
          <t>JOKKMOKK</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45065-2025</t>
        </is>
      </c>
      <c r="B309" s="1" t="n">
        <v>45919.34540509259</v>
      </c>
      <c r="C309" s="1" t="n">
        <v>45924</v>
      </c>
      <c r="D309" t="inlineStr">
        <is>
          <t>NORRBOTTENS LÄN</t>
        </is>
      </c>
      <c r="E309" t="inlineStr">
        <is>
          <t>JOKKMOKK</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40432-2024</t>
        </is>
      </c>
      <c r="B310" s="1" t="n">
        <v>45555.47401620371</v>
      </c>
      <c r="C310" s="1" t="n">
        <v>45924</v>
      </c>
      <c r="D310" t="inlineStr">
        <is>
          <t>NORRBOTTENS LÄN</t>
        </is>
      </c>
      <c r="E310" t="inlineStr">
        <is>
          <t>JOKKMOKK</t>
        </is>
      </c>
      <c r="G310" t="n">
        <v>0.5</v>
      </c>
      <c r="H310" t="n">
        <v>0</v>
      </c>
      <c r="I310" t="n">
        <v>0</v>
      </c>
      <c r="J310" t="n">
        <v>0</v>
      </c>
      <c r="K310" t="n">
        <v>0</v>
      </c>
      <c r="L310" t="n">
        <v>0</v>
      </c>
      <c r="M310" t="n">
        <v>0</v>
      </c>
      <c r="N310" t="n">
        <v>0</v>
      </c>
      <c r="O310" t="n">
        <v>0</v>
      </c>
      <c r="P310" t="n">
        <v>0</v>
      </c>
      <c r="Q310" t="n">
        <v>0</v>
      </c>
      <c r="R310" s="2" t="inlineStr"/>
    </row>
    <row r="311" ht="15" customHeight="1">
      <c r="A311" t="inlineStr">
        <is>
          <t>A 44151-2024</t>
        </is>
      </c>
      <c r="B311" s="1" t="n">
        <v>45572.67773148148</v>
      </c>
      <c r="C311" s="1" t="n">
        <v>45924</v>
      </c>
      <c r="D311" t="inlineStr">
        <is>
          <t>NORRBOTTENS LÄN</t>
        </is>
      </c>
      <c r="E311" t="inlineStr">
        <is>
          <t>JOKKMOKK</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49474-2024</t>
        </is>
      </c>
      <c r="B312" s="1" t="n">
        <v>45596.34523148148</v>
      </c>
      <c r="C312" s="1" t="n">
        <v>45924</v>
      </c>
      <c r="D312" t="inlineStr">
        <is>
          <t>NORRBOTTENS LÄN</t>
        </is>
      </c>
      <c r="E312" t="inlineStr">
        <is>
          <t>JOKKMOKK</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45924</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41403-2025</t>
        </is>
      </c>
      <c r="B314" s="1" t="n">
        <v>45901.344375</v>
      </c>
      <c r="C314" s="1" t="n">
        <v>45924</v>
      </c>
      <c r="D314" t="inlineStr">
        <is>
          <t>NORRBOTTENS LÄN</t>
        </is>
      </c>
      <c r="E314" t="inlineStr">
        <is>
          <t>JOKKMOKK</t>
        </is>
      </c>
      <c r="F314" t="inlineStr">
        <is>
          <t>SCA</t>
        </is>
      </c>
      <c r="G314" t="n">
        <v>2.9</v>
      </c>
      <c r="H314" t="n">
        <v>0</v>
      </c>
      <c r="I314" t="n">
        <v>0</v>
      </c>
      <c r="J314" t="n">
        <v>0</v>
      </c>
      <c r="K314" t="n">
        <v>0</v>
      </c>
      <c r="L314" t="n">
        <v>0</v>
      </c>
      <c r="M314" t="n">
        <v>0</v>
      </c>
      <c r="N314" t="n">
        <v>0</v>
      </c>
      <c r="O314" t="n">
        <v>0</v>
      </c>
      <c r="P314" t="n">
        <v>0</v>
      </c>
      <c r="Q314" t="n">
        <v>0</v>
      </c>
      <c r="R314" s="2" t="inlineStr"/>
    </row>
    <row r="315" ht="15" customHeight="1">
      <c r="A315" t="inlineStr">
        <is>
          <t>A 45201-2025</t>
        </is>
      </c>
      <c r="B315" s="1" t="n">
        <v>45919.56230324074</v>
      </c>
      <c r="C315" s="1" t="n">
        <v>45924</v>
      </c>
      <c r="D315" t="inlineStr">
        <is>
          <t>NORRBOTTENS LÄN</t>
        </is>
      </c>
      <c r="E315" t="inlineStr">
        <is>
          <t>JOKKMOKK</t>
        </is>
      </c>
      <c r="F315" t="inlineStr">
        <is>
          <t>Sveaskog</t>
        </is>
      </c>
      <c r="G315" t="n">
        <v>21.8</v>
      </c>
      <c r="H315" t="n">
        <v>0</v>
      </c>
      <c r="I315" t="n">
        <v>0</v>
      </c>
      <c r="J315" t="n">
        <v>0</v>
      </c>
      <c r="K315" t="n">
        <v>0</v>
      </c>
      <c r="L315" t="n">
        <v>0</v>
      </c>
      <c r="M315" t="n">
        <v>0</v>
      </c>
      <c r="N315" t="n">
        <v>0</v>
      </c>
      <c r="O315" t="n">
        <v>0</v>
      </c>
      <c r="P315" t="n">
        <v>0</v>
      </c>
      <c r="Q315" t="n">
        <v>0</v>
      </c>
      <c r="R315" s="2" t="inlineStr"/>
    </row>
    <row r="316" ht="15" customHeight="1">
      <c r="A316" t="inlineStr">
        <is>
          <t>A 43803-2025</t>
        </is>
      </c>
      <c r="B316" s="1" t="n">
        <v>45912</v>
      </c>
      <c r="C316" s="1" t="n">
        <v>45924</v>
      </c>
      <c r="D316" t="inlineStr">
        <is>
          <t>NORRBOTTENS LÄN</t>
        </is>
      </c>
      <c r="E316" t="inlineStr">
        <is>
          <t>JOKKMOKK</t>
        </is>
      </c>
      <c r="F316" t="inlineStr">
        <is>
          <t>SCA</t>
        </is>
      </c>
      <c r="G316" t="n">
        <v>6.2</v>
      </c>
      <c r="H316" t="n">
        <v>0</v>
      </c>
      <c r="I316" t="n">
        <v>0</v>
      </c>
      <c r="J316" t="n">
        <v>0</v>
      </c>
      <c r="K316" t="n">
        <v>0</v>
      </c>
      <c r="L316" t="n">
        <v>0</v>
      </c>
      <c r="M316" t="n">
        <v>0</v>
      </c>
      <c r="N316" t="n">
        <v>0</v>
      </c>
      <c r="O316" t="n">
        <v>0</v>
      </c>
      <c r="P316" t="n">
        <v>0</v>
      </c>
      <c r="Q316" t="n">
        <v>0</v>
      </c>
      <c r="R316" s="2" t="inlineStr"/>
    </row>
    <row r="317" ht="15" customHeight="1">
      <c r="A317" t="inlineStr">
        <is>
          <t>A 44842-2025</t>
        </is>
      </c>
      <c r="B317" s="1" t="n">
        <v>45918.42957175926</v>
      </c>
      <c r="C317" s="1" t="n">
        <v>45924</v>
      </c>
      <c r="D317" t="inlineStr">
        <is>
          <t>NORRBOTTENS LÄN</t>
        </is>
      </c>
      <c r="E317" t="inlineStr">
        <is>
          <t>JOKKMOKK</t>
        </is>
      </c>
      <c r="G317" t="n">
        <v>7.7</v>
      </c>
      <c r="H317" t="n">
        <v>0</v>
      </c>
      <c r="I317" t="n">
        <v>0</v>
      </c>
      <c r="J317" t="n">
        <v>0</v>
      </c>
      <c r="K317" t="n">
        <v>0</v>
      </c>
      <c r="L317" t="n">
        <v>0</v>
      </c>
      <c r="M317" t="n">
        <v>0</v>
      </c>
      <c r="N317" t="n">
        <v>0</v>
      </c>
      <c r="O317" t="n">
        <v>0</v>
      </c>
      <c r="P317" t="n">
        <v>0</v>
      </c>
      <c r="Q317" t="n">
        <v>0</v>
      </c>
      <c r="R317" s="2" t="inlineStr"/>
    </row>
    <row r="318" ht="15" customHeight="1">
      <c r="A318" t="inlineStr">
        <is>
          <t>A 40771-2023</t>
        </is>
      </c>
      <c r="B318" s="1" t="n">
        <v>45170.95657407407</v>
      </c>
      <c r="C318" s="1" t="n">
        <v>45924</v>
      </c>
      <c r="D318" t="inlineStr">
        <is>
          <t>NORRBOTTENS LÄN</t>
        </is>
      </c>
      <c r="E318" t="inlineStr">
        <is>
          <t>JOKKMOKK</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6778-2023</t>
        </is>
      </c>
      <c r="B319" s="1" t="n">
        <v>44966</v>
      </c>
      <c r="C319" s="1" t="n">
        <v>45924</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45064-2025</t>
        </is>
      </c>
      <c r="B320" s="1" t="n">
        <v>45919.34533564815</v>
      </c>
      <c r="C320" s="1" t="n">
        <v>45924</v>
      </c>
      <c r="D320" t="inlineStr">
        <is>
          <t>NORRBOTTENS LÄN</t>
        </is>
      </c>
      <c r="E320" t="inlineStr">
        <is>
          <t>JOKKMOKK</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45924</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48210-2024</t>
        </is>
      </c>
      <c r="B322" s="1" t="n">
        <v>45590</v>
      </c>
      <c r="C322" s="1" t="n">
        <v>45924</v>
      </c>
      <c r="D322" t="inlineStr">
        <is>
          <t>NORRBOTTENS LÄN</t>
        </is>
      </c>
      <c r="E322" t="inlineStr">
        <is>
          <t>JOKKMOKK</t>
        </is>
      </c>
      <c r="F322" t="inlineStr">
        <is>
          <t>SCA</t>
        </is>
      </c>
      <c r="G322" t="n">
        <v>6.5</v>
      </c>
      <c r="H322" t="n">
        <v>0</v>
      </c>
      <c r="I322" t="n">
        <v>0</v>
      </c>
      <c r="J322" t="n">
        <v>0</v>
      </c>
      <c r="K322" t="n">
        <v>0</v>
      </c>
      <c r="L322" t="n">
        <v>0</v>
      </c>
      <c r="M322" t="n">
        <v>0</v>
      </c>
      <c r="N322" t="n">
        <v>0</v>
      </c>
      <c r="O322" t="n">
        <v>0</v>
      </c>
      <c r="P322" t="n">
        <v>0</v>
      </c>
      <c r="Q322" t="n">
        <v>0</v>
      </c>
      <c r="R322" s="2" t="inlineStr"/>
    </row>
    <row r="323" ht="15" customHeight="1">
      <c r="A323" t="inlineStr">
        <is>
          <t>A 44958-2025</t>
        </is>
      </c>
      <c r="B323" s="1" t="n">
        <v>45918.61519675926</v>
      </c>
      <c r="C323" s="1" t="n">
        <v>45924</v>
      </c>
      <c r="D323" t="inlineStr">
        <is>
          <t>NORRBOTTENS LÄN</t>
        </is>
      </c>
      <c r="E323" t="inlineStr">
        <is>
          <t>JOKKMOKK</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36607-2021</t>
        </is>
      </c>
      <c r="B324" s="1" t="n">
        <v>44391</v>
      </c>
      <c r="C324" s="1" t="n">
        <v>45924</v>
      </c>
      <c r="D324" t="inlineStr">
        <is>
          <t>NORRBOTTENS LÄN</t>
        </is>
      </c>
      <c r="E324" t="inlineStr">
        <is>
          <t>JOKKMOKK</t>
        </is>
      </c>
      <c r="F324" t="inlineStr">
        <is>
          <t>Allmännings- och besparingsskogar</t>
        </is>
      </c>
      <c r="G324" t="n">
        <v>9.5</v>
      </c>
      <c r="H324" t="n">
        <v>0</v>
      </c>
      <c r="I324" t="n">
        <v>0</v>
      </c>
      <c r="J324" t="n">
        <v>0</v>
      </c>
      <c r="K324" t="n">
        <v>0</v>
      </c>
      <c r="L324" t="n">
        <v>0</v>
      </c>
      <c r="M324" t="n">
        <v>0</v>
      </c>
      <c r="N324" t="n">
        <v>0</v>
      </c>
      <c r="O324" t="n">
        <v>0</v>
      </c>
      <c r="P324" t="n">
        <v>0</v>
      </c>
      <c r="Q324" t="n">
        <v>0</v>
      </c>
      <c r="R324" s="2" t="inlineStr"/>
    </row>
    <row r="325" ht="15" customHeight="1">
      <c r="A325" t="inlineStr">
        <is>
          <t>A 50820-2024</t>
        </is>
      </c>
      <c r="B325" s="1" t="n">
        <v>45602</v>
      </c>
      <c r="C325" s="1" t="n">
        <v>45924</v>
      </c>
      <c r="D325" t="inlineStr">
        <is>
          <t>NORRBOTTENS LÄN</t>
        </is>
      </c>
      <c r="E325" t="inlineStr">
        <is>
          <t>JOKKMOKK</t>
        </is>
      </c>
      <c r="F325" t="inlineStr">
        <is>
          <t>Allmännings- och besparingsskogar</t>
        </is>
      </c>
      <c r="G325" t="n">
        <v>4</v>
      </c>
      <c r="H325" t="n">
        <v>0</v>
      </c>
      <c r="I325" t="n">
        <v>0</v>
      </c>
      <c r="J325" t="n">
        <v>0</v>
      </c>
      <c r="K325" t="n">
        <v>0</v>
      </c>
      <c r="L325" t="n">
        <v>0</v>
      </c>
      <c r="M325" t="n">
        <v>0</v>
      </c>
      <c r="N325" t="n">
        <v>0</v>
      </c>
      <c r="O325" t="n">
        <v>0</v>
      </c>
      <c r="P325" t="n">
        <v>0</v>
      </c>
      <c r="Q325" t="n">
        <v>0</v>
      </c>
      <c r="R325" s="2" t="inlineStr"/>
    </row>
    <row r="326" ht="15" customHeight="1">
      <c r="A326" t="inlineStr">
        <is>
          <t>A 37694-2025</t>
        </is>
      </c>
      <c r="B326" s="1" t="n">
        <v>45880.57349537037</v>
      </c>
      <c r="C326" s="1" t="n">
        <v>45924</v>
      </c>
      <c r="D326" t="inlineStr">
        <is>
          <t>NORRBOTTENS LÄN</t>
        </is>
      </c>
      <c r="E326" t="inlineStr">
        <is>
          <t>JOKKMOKK</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28090-2023</t>
        </is>
      </c>
      <c r="B327" s="1" t="n">
        <v>45099</v>
      </c>
      <c r="C327" s="1" t="n">
        <v>45924</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37917-2025</t>
        </is>
      </c>
      <c r="B328" s="1" t="n">
        <v>45881.57443287037</v>
      </c>
      <c r="C328" s="1" t="n">
        <v>45924</v>
      </c>
      <c r="D328" t="inlineStr">
        <is>
          <t>NORRBOTTENS LÄN</t>
        </is>
      </c>
      <c r="E328" t="inlineStr">
        <is>
          <t>JOKKMOKK</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27653-2024</t>
        </is>
      </c>
      <c r="B329" s="1" t="n">
        <v>45474.95037037037</v>
      </c>
      <c r="C329" s="1" t="n">
        <v>45924</v>
      </c>
      <c r="D329" t="inlineStr">
        <is>
          <t>NORRBOTTENS LÄN</t>
        </is>
      </c>
      <c r="E329" t="inlineStr">
        <is>
          <t>JOKKMOKK</t>
        </is>
      </c>
      <c r="F329" t="inlineStr">
        <is>
          <t>SCA</t>
        </is>
      </c>
      <c r="G329" t="n">
        <v>7.1</v>
      </c>
      <c r="H329" t="n">
        <v>0</v>
      </c>
      <c r="I329" t="n">
        <v>0</v>
      </c>
      <c r="J329" t="n">
        <v>0</v>
      </c>
      <c r="K329" t="n">
        <v>0</v>
      </c>
      <c r="L329" t="n">
        <v>0</v>
      </c>
      <c r="M329" t="n">
        <v>0</v>
      </c>
      <c r="N329" t="n">
        <v>0</v>
      </c>
      <c r="O329" t="n">
        <v>0</v>
      </c>
      <c r="P329" t="n">
        <v>0</v>
      </c>
      <c r="Q329" t="n">
        <v>0</v>
      </c>
      <c r="R329" s="2" t="inlineStr"/>
    </row>
    <row r="330" ht="15" customHeight="1">
      <c r="A330" t="inlineStr">
        <is>
          <t>A 27654-2024</t>
        </is>
      </c>
      <c r="B330" s="1" t="n">
        <v>45474</v>
      </c>
      <c r="C330" s="1" t="n">
        <v>45924</v>
      </c>
      <c r="D330" t="inlineStr">
        <is>
          <t>NORRBOTTENS LÄN</t>
        </is>
      </c>
      <c r="E330" t="inlineStr">
        <is>
          <t>JOKKMOKK</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27656-2024</t>
        </is>
      </c>
      <c r="B331" s="1" t="n">
        <v>45474</v>
      </c>
      <c r="C331" s="1" t="n">
        <v>45924</v>
      </c>
      <c r="D331" t="inlineStr">
        <is>
          <t>NORRBOTTENS LÄN</t>
        </is>
      </c>
      <c r="E331" t="inlineStr">
        <is>
          <t>JOKKMOKK</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24052-2023</t>
        </is>
      </c>
      <c r="B332" s="1" t="n">
        <v>45078</v>
      </c>
      <c r="C332" s="1" t="n">
        <v>45924</v>
      </c>
      <c r="D332" t="inlineStr">
        <is>
          <t>NORRBOTTENS LÄN</t>
        </is>
      </c>
      <c r="E332" t="inlineStr">
        <is>
          <t>JOKKMOKK</t>
        </is>
      </c>
      <c r="F332" t="inlineStr">
        <is>
          <t>Naturvårdsverket</t>
        </is>
      </c>
      <c r="G332" t="n">
        <v>58.1</v>
      </c>
      <c r="H332" t="n">
        <v>0</v>
      </c>
      <c r="I332" t="n">
        <v>0</v>
      </c>
      <c r="J332" t="n">
        <v>0</v>
      </c>
      <c r="K332" t="n">
        <v>0</v>
      </c>
      <c r="L332" t="n">
        <v>0</v>
      </c>
      <c r="M332" t="n">
        <v>0</v>
      </c>
      <c r="N332" t="n">
        <v>0</v>
      </c>
      <c r="O332" t="n">
        <v>0</v>
      </c>
      <c r="P332" t="n">
        <v>0</v>
      </c>
      <c r="Q332" t="n">
        <v>0</v>
      </c>
      <c r="R332" s="2" t="inlineStr"/>
    </row>
    <row r="333" ht="15" customHeight="1">
      <c r="A333" t="inlineStr">
        <is>
          <t>A 52812-2024</t>
        </is>
      </c>
      <c r="B333" s="1" t="n">
        <v>45610.58070601852</v>
      </c>
      <c r="C333" s="1" t="n">
        <v>45924</v>
      </c>
      <c r="D333" t="inlineStr">
        <is>
          <t>NORRBOTTENS LÄN</t>
        </is>
      </c>
      <c r="E333" t="inlineStr">
        <is>
          <t>JOKKMOKK</t>
        </is>
      </c>
      <c r="G333" t="n">
        <v>84</v>
      </c>
      <c r="H333" t="n">
        <v>0</v>
      </c>
      <c r="I333" t="n">
        <v>0</v>
      </c>
      <c r="J333" t="n">
        <v>0</v>
      </c>
      <c r="K333" t="n">
        <v>0</v>
      </c>
      <c r="L333" t="n">
        <v>0</v>
      </c>
      <c r="M333" t="n">
        <v>0</v>
      </c>
      <c r="N333" t="n">
        <v>0</v>
      </c>
      <c r="O333" t="n">
        <v>0</v>
      </c>
      <c r="P333" t="n">
        <v>0</v>
      </c>
      <c r="Q333" t="n">
        <v>0</v>
      </c>
      <c r="R333" s="2" t="inlineStr"/>
    </row>
    <row r="334" ht="15" customHeight="1">
      <c r="A334" t="inlineStr">
        <is>
          <t>A 52289-2024</t>
        </is>
      </c>
      <c r="B334" s="1" t="n">
        <v>45608.69555555555</v>
      </c>
      <c r="C334" s="1" t="n">
        <v>45924</v>
      </c>
      <c r="D334" t="inlineStr">
        <is>
          <t>NORRBOTTENS LÄN</t>
        </is>
      </c>
      <c r="E334" t="inlineStr">
        <is>
          <t>JOKKMOKK</t>
        </is>
      </c>
      <c r="F334" t="inlineStr">
        <is>
          <t>Allmännings- och besparingsskogar</t>
        </is>
      </c>
      <c r="G334" t="n">
        <v>11.6</v>
      </c>
      <c r="H334" t="n">
        <v>0</v>
      </c>
      <c r="I334" t="n">
        <v>0</v>
      </c>
      <c r="J334" t="n">
        <v>0</v>
      </c>
      <c r="K334" t="n">
        <v>0</v>
      </c>
      <c r="L334" t="n">
        <v>0</v>
      </c>
      <c r="M334" t="n">
        <v>0</v>
      </c>
      <c r="N334" t="n">
        <v>0</v>
      </c>
      <c r="O334" t="n">
        <v>0</v>
      </c>
      <c r="P334" t="n">
        <v>0</v>
      </c>
      <c r="Q334" t="n">
        <v>0</v>
      </c>
      <c r="R334" s="2" t="inlineStr"/>
    </row>
    <row r="335" ht="15" customHeight="1">
      <c r="A335" t="inlineStr">
        <is>
          <t>A 50651-2024</t>
        </is>
      </c>
      <c r="B335" s="1" t="n">
        <v>45601.70364583333</v>
      </c>
      <c r="C335" s="1" t="n">
        <v>45924</v>
      </c>
      <c r="D335" t="inlineStr">
        <is>
          <t>NORRBOTTENS LÄN</t>
        </is>
      </c>
      <c r="E335" t="inlineStr">
        <is>
          <t>JOKKMOKK</t>
        </is>
      </c>
      <c r="F335" t="inlineStr">
        <is>
          <t>Allmännings- och besparingsskogar</t>
        </is>
      </c>
      <c r="G335" t="n">
        <v>6.1</v>
      </c>
      <c r="H335" t="n">
        <v>0</v>
      </c>
      <c r="I335" t="n">
        <v>0</v>
      </c>
      <c r="J335" t="n">
        <v>0</v>
      </c>
      <c r="K335" t="n">
        <v>0</v>
      </c>
      <c r="L335" t="n">
        <v>0</v>
      </c>
      <c r="M335" t="n">
        <v>0</v>
      </c>
      <c r="N335" t="n">
        <v>0</v>
      </c>
      <c r="O335" t="n">
        <v>0</v>
      </c>
      <c r="P335" t="n">
        <v>0</v>
      </c>
      <c r="Q335" t="n">
        <v>0</v>
      </c>
      <c r="R335" s="2" t="inlineStr"/>
    </row>
    <row r="336" ht="15" customHeight="1">
      <c r="A336" t="inlineStr">
        <is>
          <t>A 60390-2023</t>
        </is>
      </c>
      <c r="B336" s="1" t="n">
        <v>45259.43483796297</v>
      </c>
      <c r="C336" s="1" t="n">
        <v>45924</v>
      </c>
      <c r="D336" t="inlineStr">
        <is>
          <t>NORRBOTTENS LÄN</t>
        </is>
      </c>
      <c r="E336" t="inlineStr">
        <is>
          <t>JOKKMOKK</t>
        </is>
      </c>
      <c r="F336" t="inlineStr">
        <is>
          <t>Sveaskog</t>
        </is>
      </c>
      <c r="G336" t="n">
        <v>10.9</v>
      </c>
      <c r="H336" t="n">
        <v>0</v>
      </c>
      <c r="I336" t="n">
        <v>0</v>
      </c>
      <c r="J336" t="n">
        <v>0</v>
      </c>
      <c r="K336" t="n">
        <v>0</v>
      </c>
      <c r="L336" t="n">
        <v>0</v>
      </c>
      <c r="M336" t="n">
        <v>0</v>
      </c>
      <c r="N336" t="n">
        <v>0</v>
      </c>
      <c r="O336" t="n">
        <v>0</v>
      </c>
      <c r="P336" t="n">
        <v>0</v>
      </c>
      <c r="Q336" t="n">
        <v>0</v>
      </c>
      <c r="R336" s="2" t="inlineStr"/>
    </row>
    <row r="337" ht="15" customHeight="1">
      <c r="A337" t="inlineStr">
        <is>
          <t>A 30399-2024</t>
        </is>
      </c>
      <c r="B337" s="1" t="n">
        <v>45491</v>
      </c>
      <c r="C337" s="1" t="n">
        <v>45924</v>
      </c>
      <c r="D337" t="inlineStr">
        <is>
          <t>NORRBOTTENS LÄN</t>
        </is>
      </c>
      <c r="E337" t="inlineStr">
        <is>
          <t>JOKKMOKK</t>
        </is>
      </c>
      <c r="G337" t="n">
        <v>4.6</v>
      </c>
      <c r="H337" t="n">
        <v>0</v>
      </c>
      <c r="I337" t="n">
        <v>0</v>
      </c>
      <c r="J337" t="n">
        <v>0</v>
      </c>
      <c r="K337" t="n">
        <v>0</v>
      </c>
      <c r="L337" t="n">
        <v>0</v>
      </c>
      <c r="M337" t="n">
        <v>0</v>
      </c>
      <c r="N337" t="n">
        <v>0</v>
      </c>
      <c r="O337" t="n">
        <v>0</v>
      </c>
      <c r="P337" t="n">
        <v>0</v>
      </c>
      <c r="Q337" t="n">
        <v>0</v>
      </c>
      <c r="R337" s="2" t="inlineStr"/>
    </row>
    <row r="338" ht="15" customHeight="1">
      <c r="A338" t="inlineStr">
        <is>
          <t>A 425-2025</t>
        </is>
      </c>
      <c r="B338" s="1" t="n">
        <v>45664.34549768519</v>
      </c>
      <c r="C338" s="1" t="n">
        <v>45924</v>
      </c>
      <c r="D338" t="inlineStr">
        <is>
          <t>NORRBOTTENS LÄN</t>
        </is>
      </c>
      <c r="E338" t="inlineStr">
        <is>
          <t>JOKKMOKK</t>
        </is>
      </c>
      <c r="F338" t="inlineStr">
        <is>
          <t>Övriga statliga verk och myndigheter</t>
        </is>
      </c>
      <c r="G338" t="n">
        <v>36.5</v>
      </c>
      <c r="H338" t="n">
        <v>0</v>
      </c>
      <c r="I338" t="n">
        <v>0</v>
      </c>
      <c r="J338" t="n">
        <v>0</v>
      </c>
      <c r="K338" t="n">
        <v>0</v>
      </c>
      <c r="L338" t="n">
        <v>0</v>
      </c>
      <c r="M338" t="n">
        <v>0</v>
      </c>
      <c r="N338" t="n">
        <v>0</v>
      </c>
      <c r="O338" t="n">
        <v>0</v>
      </c>
      <c r="P338" t="n">
        <v>0</v>
      </c>
      <c r="Q338" t="n">
        <v>0</v>
      </c>
      <c r="R338" s="2" t="inlineStr"/>
    </row>
    <row r="339" ht="15" customHeight="1">
      <c r="A339" t="inlineStr">
        <is>
          <t>A 60275-2023</t>
        </is>
      </c>
      <c r="B339" s="1" t="n">
        <v>45258.67847222222</v>
      </c>
      <c r="C339" s="1" t="n">
        <v>45924</v>
      </c>
      <c r="D339" t="inlineStr">
        <is>
          <t>NORRBOTTENS LÄN</t>
        </is>
      </c>
      <c r="E339" t="inlineStr">
        <is>
          <t>JOKKMOKK</t>
        </is>
      </c>
      <c r="G339" t="n">
        <v>3.2</v>
      </c>
      <c r="H339" t="n">
        <v>0</v>
      </c>
      <c r="I339" t="n">
        <v>0</v>
      </c>
      <c r="J339" t="n">
        <v>0</v>
      </c>
      <c r="K339" t="n">
        <v>0</v>
      </c>
      <c r="L339" t="n">
        <v>0</v>
      </c>
      <c r="M339" t="n">
        <v>0</v>
      </c>
      <c r="N339" t="n">
        <v>0</v>
      </c>
      <c r="O339" t="n">
        <v>0</v>
      </c>
      <c r="P339" t="n">
        <v>0</v>
      </c>
      <c r="Q339" t="n">
        <v>0</v>
      </c>
      <c r="R339" s="2" t="inlineStr"/>
    </row>
    <row r="340" ht="15" customHeight="1">
      <c r="A340" t="inlineStr">
        <is>
          <t>A 16864-2023</t>
        </is>
      </c>
      <c r="B340" s="1" t="n">
        <v>45028</v>
      </c>
      <c r="C340" s="1" t="n">
        <v>45924</v>
      </c>
      <c r="D340" t="inlineStr">
        <is>
          <t>NORRBOTTENS LÄN</t>
        </is>
      </c>
      <c r="E340" t="inlineStr">
        <is>
          <t>JOKKMOKK</t>
        </is>
      </c>
      <c r="G340" t="n">
        <v>4</v>
      </c>
      <c r="H340" t="n">
        <v>0</v>
      </c>
      <c r="I340" t="n">
        <v>0</v>
      </c>
      <c r="J340" t="n">
        <v>0</v>
      </c>
      <c r="K340" t="n">
        <v>0</v>
      </c>
      <c r="L340" t="n">
        <v>0</v>
      </c>
      <c r="M340" t="n">
        <v>0</v>
      </c>
      <c r="N340" t="n">
        <v>0</v>
      </c>
      <c r="O340" t="n">
        <v>0</v>
      </c>
      <c r="P340" t="n">
        <v>0</v>
      </c>
      <c r="Q340" t="n">
        <v>0</v>
      </c>
      <c r="R340" s="2" t="inlineStr"/>
    </row>
    <row r="341" ht="15" customHeight="1">
      <c r="A341" t="inlineStr">
        <is>
          <t>A 26962-2023</t>
        </is>
      </c>
      <c r="B341" s="1" t="n">
        <v>45093</v>
      </c>
      <c r="C341" s="1" t="n">
        <v>45924</v>
      </c>
      <c r="D341" t="inlineStr">
        <is>
          <t>NORRBOTTENS LÄN</t>
        </is>
      </c>
      <c r="E341" t="inlineStr">
        <is>
          <t>JOKKMOKK</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16972-2025</t>
        </is>
      </c>
      <c r="B342" s="1" t="n">
        <v>45755.46942129629</v>
      </c>
      <c r="C342" s="1" t="n">
        <v>45924</v>
      </c>
      <c r="D342" t="inlineStr">
        <is>
          <t>NORRBOTTENS LÄN</t>
        </is>
      </c>
      <c r="E342" t="inlineStr">
        <is>
          <t>JOKKMOKK</t>
        </is>
      </c>
      <c r="F342" t="inlineStr">
        <is>
          <t>SCA</t>
        </is>
      </c>
      <c r="G342" t="n">
        <v>4.5</v>
      </c>
      <c r="H342" t="n">
        <v>0</v>
      </c>
      <c r="I342" t="n">
        <v>0</v>
      </c>
      <c r="J342" t="n">
        <v>0</v>
      </c>
      <c r="K342" t="n">
        <v>0</v>
      </c>
      <c r="L342" t="n">
        <v>0</v>
      </c>
      <c r="M342" t="n">
        <v>0</v>
      </c>
      <c r="N342" t="n">
        <v>0</v>
      </c>
      <c r="O342" t="n">
        <v>0</v>
      </c>
      <c r="P342" t="n">
        <v>0</v>
      </c>
      <c r="Q342" t="n">
        <v>0</v>
      </c>
      <c r="R342" s="2" t="inlineStr"/>
    </row>
    <row r="343" ht="15" customHeight="1">
      <c r="A343" t="inlineStr">
        <is>
          <t>A 26969-2024</t>
        </is>
      </c>
      <c r="B343" s="1" t="n">
        <v>45471.27252314815</v>
      </c>
      <c r="C343" s="1" t="n">
        <v>45924</v>
      </c>
      <c r="D343" t="inlineStr">
        <is>
          <t>NORRBOTTENS LÄN</t>
        </is>
      </c>
      <c r="E343" t="inlineStr">
        <is>
          <t>JOKKMOKK</t>
        </is>
      </c>
      <c r="F343" t="inlineStr">
        <is>
          <t>Sveaskog</t>
        </is>
      </c>
      <c r="G343" t="n">
        <v>5.9</v>
      </c>
      <c r="H343" t="n">
        <v>0</v>
      </c>
      <c r="I343" t="n">
        <v>0</v>
      </c>
      <c r="J343" t="n">
        <v>0</v>
      </c>
      <c r="K343" t="n">
        <v>0</v>
      </c>
      <c r="L343" t="n">
        <v>0</v>
      </c>
      <c r="M343" t="n">
        <v>0</v>
      </c>
      <c r="N343" t="n">
        <v>0</v>
      </c>
      <c r="O343" t="n">
        <v>0</v>
      </c>
      <c r="P343" t="n">
        <v>0</v>
      </c>
      <c r="Q343" t="n">
        <v>0</v>
      </c>
      <c r="R343" s="2" t="inlineStr"/>
    </row>
    <row r="344" ht="15" customHeight="1">
      <c r="A344" t="inlineStr">
        <is>
          <t>A 28319-2021</t>
        </is>
      </c>
      <c r="B344" s="1" t="n">
        <v>44355</v>
      </c>
      <c r="C344" s="1" t="n">
        <v>45924</v>
      </c>
      <c r="D344" t="inlineStr">
        <is>
          <t>NORRBOTTENS LÄN</t>
        </is>
      </c>
      <c r="E344" t="inlineStr">
        <is>
          <t>JOKKMOKK</t>
        </is>
      </c>
      <c r="F344" t="inlineStr">
        <is>
          <t>Övriga statliga verk och myndigheter</t>
        </is>
      </c>
      <c r="G344" t="n">
        <v>40</v>
      </c>
      <c r="H344" t="n">
        <v>0</v>
      </c>
      <c r="I344" t="n">
        <v>0</v>
      </c>
      <c r="J344" t="n">
        <v>0</v>
      </c>
      <c r="K344" t="n">
        <v>0</v>
      </c>
      <c r="L344" t="n">
        <v>0</v>
      </c>
      <c r="M344" t="n">
        <v>0</v>
      </c>
      <c r="N344" t="n">
        <v>0</v>
      </c>
      <c r="O344" t="n">
        <v>0</v>
      </c>
      <c r="P344" t="n">
        <v>0</v>
      </c>
      <c r="Q344" t="n">
        <v>0</v>
      </c>
      <c r="R344" s="2" t="inlineStr"/>
    </row>
    <row r="345" ht="15" customHeight="1">
      <c r="A345" t="inlineStr">
        <is>
          <t>A 9865-2023</t>
        </is>
      </c>
      <c r="B345" s="1" t="n">
        <v>44984</v>
      </c>
      <c r="C345" s="1" t="n">
        <v>45924</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59849-2021</t>
        </is>
      </c>
      <c r="B346" s="1" t="n">
        <v>44493</v>
      </c>
      <c r="C346" s="1" t="n">
        <v>45924</v>
      </c>
      <c r="D346" t="inlineStr">
        <is>
          <t>NORRBOTTENS LÄN</t>
        </is>
      </c>
      <c r="E346" t="inlineStr">
        <is>
          <t>JOKKMOKK</t>
        </is>
      </c>
      <c r="F346" t="inlineStr">
        <is>
          <t>Övriga Aktiebolag</t>
        </is>
      </c>
      <c r="G346" t="n">
        <v>11.7</v>
      </c>
      <c r="H346" t="n">
        <v>0</v>
      </c>
      <c r="I346" t="n">
        <v>0</v>
      </c>
      <c r="J346" t="n">
        <v>0</v>
      </c>
      <c r="K346" t="n">
        <v>0</v>
      </c>
      <c r="L346" t="n">
        <v>0</v>
      </c>
      <c r="M346" t="n">
        <v>0</v>
      </c>
      <c r="N346" t="n">
        <v>0</v>
      </c>
      <c r="O346" t="n">
        <v>0</v>
      </c>
      <c r="P346" t="n">
        <v>0</v>
      </c>
      <c r="Q346" t="n">
        <v>0</v>
      </c>
      <c r="R346" s="2" t="inlineStr"/>
    </row>
    <row r="347" ht="15" customHeight="1">
      <c r="A347" t="inlineStr">
        <is>
          <t>A 45469-2022</t>
        </is>
      </c>
      <c r="B347" s="1" t="n">
        <v>44841</v>
      </c>
      <c r="C347" s="1" t="n">
        <v>45924</v>
      </c>
      <c r="D347" t="inlineStr">
        <is>
          <t>NORRBOTTENS LÄN</t>
        </is>
      </c>
      <c r="E347" t="inlineStr">
        <is>
          <t>JOKKMOKK</t>
        </is>
      </c>
      <c r="F347" t="inlineStr">
        <is>
          <t>Övriga Aktiebolag</t>
        </is>
      </c>
      <c r="G347" t="n">
        <v>3.4</v>
      </c>
      <c r="H347" t="n">
        <v>0</v>
      </c>
      <c r="I347" t="n">
        <v>0</v>
      </c>
      <c r="J347" t="n">
        <v>0</v>
      </c>
      <c r="K347" t="n">
        <v>0</v>
      </c>
      <c r="L347" t="n">
        <v>0</v>
      </c>
      <c r="M347" t="n">
        <v>0</v>
      </c>
      <c r="N347" t="n">
        <v>0</v>
      </c>
      <c r="O347" t="n">
        <v>0</v>
      </c>
      <c r="P347" t="n">
        <v>0</v>
      </c>
      <c r="Q347" t="n">
        <v>0</v>
      </c>
      <c r="R347" s="2" t="inlineStr"/>
    </row>
    <row r="348" ht="15" customHeight="1">
      <c r="A348" t="inlineStr">
        <is>
          <t>A 45505-2022</t>
        </is>
      </c>
      <c r="B348" s="1" t="n">
        <v>44841</v>
      </c>
      <c r="C348" s="1" t="n">
        <v>45924</v>
      </c>
      <c r="D348" t="inlineStr">
        <is>
          <t>NORRBOTTENS LÄN</t>
        </is>
      </c>
      <c r="E348" t="inlineStr">
        <is>
          <t>JOKKMOKK</t>
        </is>
      </c>
      <c r="F348" t="inlineStr">
        <is>
          <t>Övriga Aktiebolag</t>
        </is>
      </c>
      <c r="G348" t="n">
        <v>1</v>
      </c>
      <c r="H348" t="n">
        <v>0</v>
      </c>
      <c r="I348" t="n">
        <v>0</v>
      </c>
      <c r="J348" t="n">
        <v>0</v>
      </c>
      <c r="K348" t="n">
        <v>0</v>
      </c>
      <c r="L348" t="n">
        <v>0</v>
      </c>
      <c r="M348" t="n">
        <v>0</v>
      </c>
      <c r="N348" t="n">
        <v>0</v>
      </c>
      <c r="O348" t="n">
        <v>0</v>
      </c>
      <c r="P348" t="n">
        <v>0</v>
      </c>
      <c r="Q348" t="n">
        <v>0</v>
      </c>
      <c r="R348" s="2" t="inlineStr"/>
    </row>
    <row r="349" ht="15" customHeight="1">
      <c r="A349" t="inlineStr">
        <is>
          <t>A 7273-2021</t>
        </is>
      </c>
      <c r="B349" s="1" t="n">
        <v>44238</v>
      </c>
      <c r="C349" s="1" t="n">
        <v>45924</v>
      </c>
      <c r="D349" t="inlineStr">
        <is>
          <t>NORRBOTTENS LÄN</t>
        </is>
      </c>
      <c r="E349" t="inlineStr">
        <is>
          <t>JOKKMOKK</t>
        </is>
      </c>
      <c r="F349" t="inlineStr">
        <is>
          <t>Övriga statliga verk och myndigheter</t>
        </is>
      </c>
      <c r="G349" t="n">
        <v>19.8</v>
      </c>
      <c r="H349" t="n">
        <v>0</v>
      </c>
      <c r="I349" t="n">
        <v>0</v>
      </c>
      <c r="J349" t="n">
        <v>0</v>
      </c>
      <c r="K349" t="n">
        <v>0</v>
      </c>
      <c r="L349" t="n">
        <v>0</v>
      </c>
      <c r="M349" t="n">
        <v>0</v>
      </c>
      <c r="N349" t="n">
        <v>0</v>
      </c>
      <c r="O349" t="n">
        <v>0</v>
      </c>
      <c r="P349" t="n">
        <v>0</v>
      </c>
      <c r="Q349" t="n">
        <v>0</v>
      </c>
      <c r="R349" s="2" t="inlineStr"/>
    </row>
    <row r="350" ht="15" customHeight="1">
      <c r="A350" t="inlineStr">
        <is>
          <t>A 36361-2024</t>
        </is>
      </c>
      <c r="B350" s="1" t="n">
        <v>45534.64626157407</v>
      </c>
      <c r="C350" s="1" t="n">
        <v>45924</v>
      </c>
      <c r="D350" t="inlineStr">
        <is>
          <t>NORRBOTTENS LÄN</t>
        </is>
      </c>
      <c r="E350" t="inlineStr">
        <is>
          <t>JOKKMOKK</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9860-2023</t>
        </is>
      </c>
      <c r="B351" s="1" t="n">
        <v>44984</v>
      </c>
      <c r="C351" s="1" t="n">
        <v>45924</v>
      </c>
      <c r="D351" t="inlineStr">
        <is>
          <t>NORRBOTTENS LÄN</t>
        </is>
      </c>
      <c r="E351" t="inlineStr">
        <is>
          <t>JOKKMOKK</t>
        </is>
      </c>
      <c r="F351" t="inlineStr">
        <is>
          <t>SCA</t>
        </is>
      </c>
      <c r="G351" t="n">
        <v>8</v>
      </c>
      <c r="H351" t="n">
        <v>0</v>
      </c>
      <c r="I351" t="n">
        <v>0</v>
      </c>
      <c r="J351" t="n">
        <v>0</v>
      </c>
      <c r="K351" t="n">
        <v>0</v>
      </c>
      <c r="L351" t="n">
        <v>0</v>
      </c>
      <c r="M351" t="n">
        <v>0</v>
      </c>
      <c r="N351" t="n">
        <v>0</v>
      </c>
      <c r="O351" t="n">
        <v>0</v>
      </c>
      <c r="P351" t="n">
        <v>0</v>
      </c>
      <c r="Q351" t="n">
        <v>0</v>
      </c>
      <c r="R351" s="2" t="inlineStr"/>
    </row>
    <row r="352" ht="15" customHeight="1">
      <c r="A352" t="inlineStr">
        <is>
          <t>A 9863-2023</t>
        </is>
      </c>
      <c r="B352" s="1" t="n">
        <v>44984</v>
      </c>
      <c r="C352" s="1" t="n">
        <v>45924</v>
      </c>
      <c r="D352" t="inlineStr">
        <is>
          <t>NORRBOTTENS LÄN</t>
        </is>
      </c>
      <c r="E352" t="inlineStr">
        <is>
          <t>JOKKMOKK</t>
        </is>
      </c>
      <c r="F352" t="inlineStr">
        <is>
          <t>SCA</t>
        </is>
      </c>
      <c r="G352" t="n">
        <v>14.4</v>
      </c>
      <c r="H352" t="n">
        <v>0</v>
      </c>
      <c r="I352" t="n">
        <v>0</v>
      </c>
      <c r="J352" t="n">
        <v>0</v>
      </c>
      <c r="K352" t="n">
        <v>0</v>
      </c>
      <c r="L352" t="n">
        <v>0</v>
      </c>
      <c r="M352" t="n">
        <v>0</v>
      </c>
      <c r="N352" t="n">
        <v>0</v>
      </c>
      <c r="O352" t="n">
        <v>0</v>
      </c>
      <c r="P352" t="n">
        <v>0</v>
      </c>
      <c r="Q352" t="n">
        <v>0</v>
      </c>
      <c r="R352" s="2" t="inlineStr"/>
    </row>
    <row r="353" ht="15" customHeight="1">
      <c r="A353" t="inlineStr">
        <is>
          <t>A 9872-2023</t>
        </is>
      </c>
      <c r="B353" s="1" t="n">
        <v>44984</v>
      </c>
      <c r="C353" s="1" t="n">
        <v>45924</v>
      </c>
      <c r="D353" t="inlineStr">
        <is>
          <t>NORRBOTTENS LÄN</t>
        </is>
      </c>
      <c r="E353" t="inlineStr">
        <is>
          <t>JOKKMOKK</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9873-2023</t>
        </is>
      </c>
      <c r="B354" s="1" t="n">
        <v>44984</v>
      </c>
      <c r="C354" s="1" t="n">
        <v>45924</v>
      </c>
      <c r="D354" t="inlineStr">
        <is>
          <t>NORRBOTTENS LÄN</t>
        </is>
      </c>
      <c r="E354" t="inlineStr">
        <is>
          <t>JOKKMOKK</t>
        </is>
      </c>
      <c r="G354" t="n">
        <v>1.6</v>
      </c>
      <c r="H354" t="n">
        <v>0</v>
      </c>
      <c r="I354" t="n">
        <v>0</v>
      </c>
      <c r="J354" t="n">
        <v>0</v>
      </c>
      <c r="K354" t="n">
        <v>0</v>
      </c>
      <c r="L354" t="n">
        <v>0</v>
      </c>
      <c r="M354" t="n">
        <v>0</v>
      </c>
      <c r="N354" t="n">
        <v>0</v>
      </c>
      <c r="O354" t="n">
        <v>0</v>
      </c>
      <c r="P354" t="n">
        <v>0</v>
      </c>
      <c r="Q354" t="n">
        <v>0</v>
      </c>
      <c r="R354" s="2" t="inlineStr"/>
    </row>
    <row r="355" ht="15" customHeight="1">
      <c r="A355" t="inlineStr">
        <is>
          <t>A 9877-2023</t>
        </is>
      </c>
      <c r="B355" s="1" t="n">
        <v>44984.94033564815</v>
      </c>
      <c r="C355" s="1" t="n">
        <v>45924</v>
      </c>
      <c r="D355" t="inlineStr">
        <is>
          <t>NORRBOTTENS LÄN</t>
        </is>
      </c>
      <c r="E355" t="inlineStr">
        <is>
          <t>JOKKMOKK</t>
        </is>
      </c>
      <c r="F355" t="inlineStr">
        <is>
          <t>SCA</t>
        </is>
      </c>
      <c r="G355" t="n">
        <v>5.4</v>
      </c>
      <c r="H355" t="n">
        <v>0</v>
      </c>
      <c r="I355" t="n">
        <v>0</v>
      </c>
      <c r="J355" t="n">
        <v>0</v>
      </c>
      <c r="K355" t="n">
        <v>0</v>
      </c>
      <c r="L355" t="n">
        <v>0</v>
      </c>
      <c r="M355" t="n">
        <v>0</v>
      </c>
      <c r="N355" t="n">
        <v>0</v>
      </c>
      <c r="O355" t="n">
        <v>0</v>
      </c>
      <c r="P355" t="n">
        <v>0</v>
      </c>
      <c r="Q355" t="n">
        <v>0</v>
      </c>
      <c r="R355" s="2" t="inlineStr"/>
    </row>
    <row r="356" ht="15" customHeight="1">
      <c r="A356" t="inlineStr">
        <is>
          <t>A 13863-2025</t>
        </is>
      </c>
      <c r="B356" s="1" t="n">
        <v>45737.57435185185</v>
      </c>
      <c r="C356" s="1" t="n">
        <v>45924</v>
      </c>
      <c r="D356" t="inlineStr">
        <is>
          <t>NORRBOTTENS LÄN</t>
        </is>
      </c>
      <c r="E356" t="inlineStr">
        <is>
          <t>JOKKMOKK</t>
        </is>
      </c>
      <c r="G356" t="n">
        <v>0.9</v>
      </c>
      <c r="H356" t="n">
        <v>0</v>
      </c>
      <c r="I356" t="n">
        <v>0</v>
      </c>
      <c r="J356" t="n">
        <v>0</v>
      </c>
      <c r="K356" t="n">
        <v>0</v>
      </c>
      <c r="L356" t="n">
        <v>0</v>
      </c>
      <c r="M356" t="n">
        <v>0</v>
      </c>
      <c r="N356" t="n">
        <v>0</v>
      </c>
      <c r="O356" t="n">
        <v>0</v>
      </c>
      <c r="P356" t="n">
        <v>0</v>
      </c>
      <c r="Q356" t="n">
        <v>0</v>
      </c>
      <c r="R356" s="2" t="inlineStr"/>
    </row>
    <row r="357" ht="15" customHeight="1">
      <c r="A357" t="inlineStr">
        <is>
          <t>A 13864-2025</t>
        </is>
      </c>
      <c r="B357" s="1" t="n">
        <v>45737.57438657407</v>
      </c>
      <c r="C357" s="1" t="n">
        <v>45924</v>
      </c>
      <c r="D357" t="inlineStr">
        <is>
          <t>NORRBOTTENS LÄN</t>
        </is>
      </c>
      <c r="E357" t="inlineStr">
        <is>
          <t>JOKKMOKK</t>
        </is>
      </c>
      <c r="G357" t="n">
        <v>1.7</v>
      </c>
      <c r="H357" t="n">
        <v>0</v>
      </c>
      <c r="I357" t="n">
        <v>0</v>
      </c>
      <c r="J357" t="n">
        <v>0</v>
      </c>
      <c r="K357" t="n">
        <v>0</v>
      </c>
      <c r="L357" t="n">
        <v>0</v>
      </c>
      <c r="M357" t="n">
        <v>0</v>
      </c>
      <c r="N357" t="n">
        <v>0</v>
      </c>
      <c r="O357" t="n">
        <v>0</v>
      </c>
      <c r="P357" t="n">
        <v>0</v>
      </c>
      <c r="Q357" t="n">
        <v>0</v>
      </c>
      <c r="R357" s="2" t="inlineStr"/>
    </row>
    <row r="358" ht="15" customHeight="1">
      <c r="A358" t="inlineStr">
        <is>
          <t>A 30313-2024</t>
        </is>
      </c>
      <c r="B358" s="1" t="n">
        <v>45490</v>
      </c>
      <c r="C358" s="1" t="n">
        <v>45924</v>
      </c>
      <c r="D358" t="inlineStr">
        <is>
          <t>NORRBOTTENS LÄN</t>
        </is>
      </c>
      <c r="E358" t="inlineStr">
        <is>
          <t>JOKKMOKK</t>
        </is>
      </c>
      <c r="G358" t="n">
        <v>3.4</v>
      </c>
      <c r="H358" t="n">
        <v>0</v>
      </c>
      <c r="I358" t="n">
        <v>0</v>
      </c>
      <c r="J358" t="n">
        <v>0</v>
      </c>
      <c r="K358" t="n">
        <v>0</v>
      </c>
      <c r="L358" t="n">
        <v>0</v>
      </c>
      <c r="M358" t="n">
        <v>0</v>
      </c>
      <c r="N358" t="n">
        <v>0</v>
      </c>
      <c r="O358" t="n">
        <v>0</v>
      </c>
      <c r="P358" t="n">
        <v>0</v>
      </c>
      <c r="Q358" t="n">
        <v>0</v>
      </c>
      <c r="R358" s="2" t="inlineStr"/>
    </row>
    <row r="359" ht="15" customHeight="1">
      <c r="A359" t="inlineStr">
        <is>
          <t>A 18903-2025</t>
        </is>
      </c>
      <c r="B359" s="1" t="n">
        <v>45764.46019675926</v>
      </c>
      <c r="C359" s="1" t="n">
        <v>45924</v>
      </c>
      <c r="D359" t="inlineStr">
        <is>
          <t>NORRBOTTENS LÄN</t>
        </is>
      </c>
      <c r="E359" t="inlineStr">
        <is>
          <t>JOKKMOKK</t>
        </is>
      </c>
      <c r="G359" t="n">
        <v>9.1</v>
      </c>
      <c r="H359" t="n">
        <v>0</v>
      </c>
      <c r="I359" t="n">
        <v>0</v>
      </c>
      <c r="J359" t="n">
        <v>0</v>
      </c>
      <c r="K359" t="n">
        <v>0</v>
      </c>
      <c r="L359" t="n">
        <v>0</v>
      </c>
      <c r="M359" t="n">
        <v>0</v>
      </c>
      <c r="N359" t="n">
        <v>0</v>
      </c>
      <c r="O359" t="n">
        <v>0</v>
      </c>
      <c r="P359" t="n">
        <v>0</v>
      </c>
      <c r="Q359" t="n">
        <v>0</v>
      </c>
      <c r="R359" s="2" t="inlineStr"/>
    </row>
    <row r="360" ht="15" customHeight="1">
      <c r="A360" t="inlineStr">
        <is>
          <t>A 34598-2024</t>
        </is>
      </c>
      <c r="B360" s="1" t="n">
        <v>45526.39714120371</v>
      </c>
      <c r="C360" s="1" t="n">
        <v>45924</v>
      </c>
      <c r="D360" t="inlineStr">
        <is>
          <t>NORRBOTTENS LÄN</t>
        </is>
      </c>
      <c r="E360" t="inlineStr">
        <is>
          <t>JOKKMOKK</t>
        </is>
      </c>
      <c r="G360" t="n">
        <v>2.5</v>
      </c>
      <c r="H360" t="n">
        <v>0</v>
      </c>
      <c r="I360" t="n">
        <v>0</v>
      </c>
      <c r="J360" t="n">
        <v>0</v>
      </c>
      <c r="K360" t="n">
        <v>0</v>
      </c>
      <c r="L360" t="n">
        <v>0</v>
      </c>
      <c r="M360" t="n">
        <v>0</v>
      </c>
      <c r="N360" t="n">
        <v>0</v>
      </c>
      <c r="O360" t="n">
        <v>0</v>
      </c>
      <c r="P360" t="n">
        <v>0</v>
      </c>
      <c r="Q360" t="n">
        <v>0</v>
      </c>
      <c r="R360" s="2" t="inlineStr"/>
    </row>
    <row r="361" ht="15" customHeight="1">
      <c r="A361" t="inlineStr">
        <is>
          <t>A 50436-2024</t>
        </is>
      </c>
      <c r="B361" s="1" t="n">
        <v>45601.4096875</v>
      </c>
      <c r="C361" s="1" t="n">
        <v>45924</v>
      </c>
      <c r="D361" t="inlineStr">
        <is>
          <t>NORRBOTTENS LÄN</t>
        </is>
      </c>
      <c r="E361" t="inlineStr">
        <is>
          <t>JOKKMOKK</t>
        </is>
      </c>
      <c r="F361" t="inlineStr">
        <is>
          <t>Allmännings- och besparingsskogar</t>
        </is>
      </c>
      <c r="G361" t="n">
        <v>6.5</v>
      </c>
      <c r="H361" t="n">
        <v>0</v>
      </c>
      <c r="I361" t="n">
        <v>0</v>
      </c>
      <c r="J361" t="n">
        <v>0</v>
      </c>
      <c r="K361" t="n">
        <v>0</v>
      </c>
      <c r="L361" t="n">
        <v>0</v>
      </c>
      <c r="M361" t="n">
        <v>0</v>
      </c>
      <c r="N361" t="n">
        <v>0</v>
      </c>
      <c r="O361" t="n">
        <v>0</v>
      </c>
      <c r="P361" t="n">
        <v>0</v>
      </c>
      <c r="Q361" t="n">
        <v>0</v>
      </c>
      <c r="R361" s="2" t="inlineStr"/>
    </row>
    <row r="362" ht="15" customHeight="1">
      <c r="A362" t="inlineStr">
        <is>
          <t>A 59793-2024</t>
        </is>
      </c>
      <c r="B362" s="1" t="n">
        <v>45639.58967592593</v>
      </c>
      <c r="C362" s="1" t="n">
        <v>45924</v>
      </c>
      <c r="D362" t="inlineStr">
        <is>
          <t>NORRBOTTENS LÄN</t>
        </is>
      </c>
      <c r="E362" t="inlineStr">
        <is>
          <t>JOKKMOKK</t>
        </is>
      </c>
      <c r="F362" t="inlineStr">
        <is>
          <t>Sveaskog</t>
        </is>
      </c>
      <c r="G362" t="n">
        <v>10.8</v>
      </c>
      <c r="H362" t="n">
        <v>0</v>
      </c>
      <c r="I362" t="n">
        <v>0</v>
      </c>
      <c r="J362" t="n">
        <v>0</v>
      </c>
      <c r="K362" t="n">
        <v>0</v>
      </c>
      <c r="L362" t="n">
        <v>0</v>
      </c>
      <c r="M362" t="n">
        <v>0</v>
      </c>
      <c r="N362" t="n">
        <v>0</v>
      </c>
      <c r="O362" t="n">
        <v>0</v>
      </c>
      <c r="P362" t="n">
        <v>0</v>
      </c>
      <c r="Q362" t="n">
        <v>0</v>
      </c>
      <c r="R362" s="2" t="inlineStr"/>
    </row>
    <row r="363" ht="15" customHeight="1">
      <c r="A363" t="inlineStr">
        <is>
          <t>A 30291-2023</t>
        </is>
      </c>
      <c r="B363" s="1" t="n">
        <v>45110.92523148148</v>
      </c>
      <c r="C363" s="1" t="n">
        <v>45924</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60142-2020</t>
        </is>
      </c>
      <c r="B364" s="1" t="n">
        <v>44151</v>
      </c>
      <c r="C364" s="1" t="n">
        <v>45924</v>
      </c>
      <c r="D364" t="inlineStr">
        <is>
          <t>NORRBOTTENS LÄN</t>
        </is>
      </c>
      <c r="E364" t="inlineStr">
        <is>
          <t>JOKKMOKK</t>
        </is>
      </c>
      <c r="F364" t="inlineStr">
        <is>
          <t>Övriga Aktiebolag</t>
        </is>
      </c>
      <c r="G364" t="n">
        <v>0.9</v>
      </c>
      <c r="H364" t="n">
        <v>0</v>
      </c>
      <c r="I364" t="n">
        <v>0</v>
      </c>
      <c r="J364" t="n">
        <v>0</v>
      </c>
      <c r="K364" t="n">
        <v>0</v>
      </c>
      <c r="L364" t="n">
        <v>0</v>
      </c>
      <c r="M364" t="n">
        <v>0</v>
      </c>
      <c r="N364" t="n">
        <v>0</v>
      </c>
      <c r="O364" t="n">
        <v>0</v>
      </c>
      <c r="P364" t="n">
        <v>0</v>
      </c>
      <c r="Q364" t="n">
        <v>0</v>
      </c>
      <c r="R364" s="2" t="inlineStr"/>
    </row>
    <row r="365" ht="15" customHeight="1">
      <c r="A365" t="inlineStr">
        <is>
          <t>A 50258-2023</t>
        </is>
      </c>
      <c r="B365" s="1" t="n">
        <v>45216</v>
      </c>
      <c r="C365" s="1" t="n">
        <v>45924</v>
      </c>
      <c r="D365" t="inlineStr">
        <is>
          <t>NORRBOTTENS LÄN</t>
        </is>
      </c>
      <c r="E365" t="inlineStr">
        <is>
          <t>JOKKMOKK</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50496-2024</t>
        </is>
      </c>
      <c r="B366" s="1" t="n">
        <v>45601.51266203704</v>
      </c>
      <c r="C366" s="1" t="n">
        <v>45924</v>
      </c>
      <c r="D366" t="inlineStr">
        <is>
          <t>NORRBOTTENS LÄN</t>
        </is>
      </c>
      <c r="E366" t="inlineStr">
        <is>
          <t>JOKKMOKK</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16336-2023</t>
        </is>
      </c>
      <c r="B367" s="1" t="n">
        <v>45022</v>
      </c>
      <c r="C367" s="1" t="n">
        <v>45924</v>
      </c>
      <c r="D367" t="inlineStr">
        <is>
          <t>NORRBOTTENS LÄN</t>
        </is>
      </c>
      <c r="E367" t="inlineStr">
        <is>
          <t>JOKKMOKK</t>
        </is>
      </c>
      <c r="F367" t="inlineStr">
        <is>
          <t>Övriga statliga verk och myndigheter</t>
        </is>
      </c>
      <c r="G367" t="n">
        <v>130.2</v>
      </c>
      <c r="H367" t="n">
        <v>0</v>
      </c>
      <c r="I367" t="n">
        <v>0</v>
      </c>
      <c r="J367" t="n">
        <v>0</v>
      </c>
      <c r="K367" t="n">
        <v>0</v>
      </c>
      <c r="L367" t="n">
        <v>0</v>
      </c>
      <c r="M367" t="n">
        <v>0</v>
      </c>
      <c r="N367" t="n">
        <v>0</v>
      </c>
      <c r="O367" t="n">
        <v>0</v>
      </c>
      <c r="P367" t="n">
        <v>0</v>
      </c>
      <c r="Q367" t="n">
        <v>0</v>
      </c>
      <c r="R367" s="2" t="inlineStr"/>
    </row>
    <row r="368" ht="15" customHeight="1">
      <c r="A368" t="inlineStr">
        <is>
          <t>A 16847-2023</t>
        </is>
      </c>
      <c r="B368" s="1" t="n">
        <v>45028</v>
      </c>
      <c r="C368" s="1" t="n">
        <v>45924</v>
      </c>
      <c r="D368" t="inlineStr">
        <is>
          <t>NORRBOTTENS LÄN</t>
        </is>
      </c>
      <c r="E368" t="inlineStr">
        <is>
          <t>JOKKMOKK</t>
        </is>
      </c>
      <c r="G368" t="n">
        <v>7.3</v>
      </c>
      <c r="H368" t="n">
        <v>0</v>
      </c>
      <c r="I368" t="n">
        <v>0</v>
      </c>
      <c r="J368" t="n">
        <v>0</v>
      </c>
      <c r="K368" t="n">
        <v>0</v>
      </c>
      <c r="L368" t="n">
        <v>0</v>
      </c>
      <c r="M368" t="n">
        <v>0</v>
      </c>
      <c r="N368" t="n">
        <v>0</v>
      </c>
      <c r="O368" t="n">
        <v>0</v>
      </c>
      <c r="P368" t="n">
        <v>0</v>
      </c>
      <c r="Q368" t="n">
        <v>0</v>
      </c>
      <c r="R368" s="2" t="inlineStr"/>
    </row>
    <row r="369" ht="15" customHeight="1">
      <c r="A369" t="inlineStr">
        <is>
          <t>A 51261-2024</t>
        </is>
      </c>
      <c r="B369" s="1" t="n">
        <v>45603.69465277778</v>
      </c>
      <c r="C369" s="1" t="n">
        <v>45924</v>
      </c>
      <c r="D369" t="inlineStr">
        <is>
          <t>NORRBOTTENS LÄN</t>
        </is>
      </c>
      <c r="E369" t="inlineStr">
        <is>
          <t>JOKKMOKK</t>
        </is>
      </c>
      <c r="F369" t="inlineStr">
        <is>
          <t>Allmännings- och besparingsskogar</t>
        </is>
      </c>
      <c r="G369" t="n">
        <v>11</v>
      </c>
      <c r="H369" t="n">
        <v>0</v>
      </c>
      <c r="I369" t="n">
        <v>0</v>
      </c>
      <c r="J369" t="n">
        <v>0</v>
      </c>
      <c r="K369" t="n">
        <v>0</v>
      </c>
      <c r="L369" t="n">
        <v>0</v>
      </c>
      <c r="M369" t="n">
        <v>0</v>
      </c>
      <c r="N369" t="n">
        <v>0</v>
      </c>
      <c r="O369" t="n">
        <v>0</v>
      </c>
      <c r="P369" t="n">
        <v>0</v>
      </c>
      <c r="Q369" t="n">
        <v>0</v>
      </c>
      <c r="R369" s="2" t="inlineStr"/>
    </row>
    <row r="370" ht="15" customHeight="1">
      <c r="A370" t="inlineStr">
        <is>
          <t>A 45333-2024</t>
        </is>
      </c>
      <c r="B370" s="1" t="n">
        <v>45576</v>
      </c>
      <c r="C370" s="1" t="n">
        <v>45924</v>
      </c>
      <c r="D370" t="inlineStr">
        <is>
          <t>NORRBOTTENS LÄN</t>
        </is>
      </c>
      <c r="E370" t="inlineStr">
        <is>
          <t>JOKKMOKK</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68636-2020</t>
        </is>
      </c>
      <c r="B371" s="1" t="n">
        <v>44186</v>
      </c>
      <c r="C371" s="1" t="n">
        <v>45924</v>
      </c>
      <c r="D371" t="inlineStr">
        <is>
          <t>NORRBOTTENS LÄN</t>
        </is>
      </c>
      <c r="E371" t="inlineStr">
        <is>
          <t>JOKKMOKK</t>
        </is>
      </c>
      <c r="F371" t="inlineStr">
        <is>
          <t>SCA</t>
        </is>
      </c>
      <c r="G371" t="n">
        <v>42.3</v>
      </c>
      <c r="H371" t="n">
        <v>0</v>
      </c>
      <c r="I371" t="n">
        <v>0</v>
      </c>
      <c r="J371" t="n">
        <v>0</v>
      </c>
      <c r="K371" t="n">
        <v>0</v>
      </c>
      <c r="L371" t="n">
        <v>0</v>
      </c>
      <c r="M371" t="n">
        <v>0</v>
      </c>
      <c r="N371" t="n">
        <v>0</v>
      </c>
      <c r="O371" t="n">
        <v>0</v>
      </c>
      <c r="P371" t="n">
        <v>0</v>
      </c>
      <c r="Q371" t="n">
        <v>0</v>
      </c>
      <c r="R371" s="2" t="inlineStr"/>
    </row>
    <row r="372" ht="15" customHeight="1">
      <c r="A372" t="inlineStr">
        <is>
          <t>A 51269-2024</t>
        </is>
      </c>
      <c r="B372" s="1" t="n">
        <v>45603.71284722222</v>
      </c>
      <c r="C372" s="1" t="n">
        <v>45924</v>
      </c>
      <c r="D372" t="inlineStr">
        <is>
          <t>NORRBOTTENS LÄN</t>
        </is>
      </c>
      <c r="E372" t="inlineStr">
        <is>
          <t>JOKKMOKK</t>
        </is>
      </c>
      <c r="F372" t="inlineStr">
        <is>
          <t>Allmännings- och besparingsskogar</t>
        </is>
      </c>
      <c r="G372" t="n">
        <v>4.4</v>
      </c>
      <c r="H372" t="n">
        <v>0</v>
      </c>
      <c r="I372" t="n">
        <v>0</v>
      </c>
      <c r="J372" t="n">
        <v>0</v>
      </c>
      <c r="K372" t="n">
        <v>0</v>
      </c>
      <c r="L372" t="n">
        <v>0</v>
      </c>
      <c r="M372" t="n">
        <v>0</v>
      </c>
      <c r="N372" t="n">
        <v>0</v>
      </c>
      <c r="O372" t="n">
        <v>0</v>
      </c>
      <c r="P372" t="n">
        <v>0</v>
      </c>
      <c r="Q372" t="n">
        <v>0</v>
      </c>
      <c r="R372" s="2" t="inlineStr"/>
    </row>
    <row r="373" ht="15" customHeight="1">
      <c r="A373" t="inlineStr">
        <is>
          <t>A 61762-2024</t>
        </is>
      </c>
      <c r="B373" s="1" t="n">
        <v>45649</v>
      </c>
      <c r="C373" s="1" t="n">
        <v>45924</v>
      </c>
      <c r="D373" t="inlineStr">
        <is>
          <t>NORRBOTTENS LÄN</t>
        </is>
      </c>
      <c r="E373" t="inlineStr">
        <is>
          <t>JOKKMOKK</t>
        </is>
      </c>
      <c r="F373" t="inlineStr">
        <is>
          <t>Övriga statliga verk och myndigheter</t>
        </is>
      </c>
      <c r="G373" t="n">
        <v>15.4</v>
      </c>
      <c r="H373" t="n">
        <v>0</v>
      </c>
      <c r="I373" t="n">
        <v>0</v>
      </c>
      <c r="J373" t="n">
        <v>0</v>
      </c>
      <c r="K373" t="n">
        <v>0</v>
      </c>
      <c r="L373" t="n">
        <v>0</v>
      </c>
      <c r="M373" t="n">
        <v>0</v>
      </c>
      <c r="N373" t="n">
        <v>0</v>
      </c>
      <c r="O373" t="n">
        <v>0</v>
      </c>
      <c r="P373" t="n">
        <v>0</v>
      </c>
      <c r="Q373" t="n">
        <v>0</v>
      </c>
      <c r="R373" s="2" t="inlineStr"/>
    </row>
    <row r="374" ht="15" customHeight="1">
      <c r="A374" t="inlineStr">
        <is>
          <t>A 34062-2021</t>
        </is>
      </c>
      <c r="B374" s="1" t="n">
        <v>44378</v>
      </c>
      <c r="C374" s="1" t="n">
        <v>45924</v>
      </c>
      <c r="D374" t="inlineStr">
        <is>
          <t>NORRBOTTENS LÄN</t>
        </is>
      </c>
      <c r="E374" t="inlineStr">
        <is>
          <t>JOKKMOKK</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44646-2021</t>
        </is>
      </c>
      <c r="B375" s="1" t="n">
        <v>44437</v>
      </c>
      <c r="C375" s="1" t="n">
        <v>45924</v>
      </c>
      <c r="D375" t="inlineStr">
        <is>
          <t>NORRBOTTENS LÄN</t>
        </is>
      </c>
      <c r="E375" t="inlineStr">
        <is>
          <t>JOKKMOKK</t>
        </is>
      </c>
      <c r="G375" t="n">
        <v>10</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45924</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31902-2021</t>
        </is>
      </c>
      <c r="B377" s="1" t="n">
        <v>44370</v>
      </c>
      <c r="C377" s="1" t="n">
        <v>45924</v>
      </c>
      <c r="D377" t="inlineStr">
        <is>
          <t>NORRBOTTENS LÄN</t>
        </is>
      </c>
      <c r="E377" t="inlineStr">
        <is>
          <t>JOKKMOKK</t>
        </is>
      </c>
      <c r="G377" t="n">
        <v>20</v>
      </c>
      <c r="H377" t="n">
        <v>0</v>
      </c>
      <c r="I377" t="n">
        <v>0</v>
      </c>
      <c r="J377" t="n">
        <v>0</v>
      </c>
      <c r="K377" t="n">
        <v>0</v>
      </c>
      <c r="L377" t="n">
        <v>0</v>
      </c>
      <c r="M377" t="n">
        <v>0</v>
      </c>
      <c r="N377" t="n">
        <v>0</v>
      </c>
      <c r="O377" t="n">
        <v>0</v>
      </c>
      <c r="P377" t="n">
        <v>0</v>
      </c>
      <c r="Q377" t="n">
        <v>0</v>
      </c>
      <c r="R377" s="2" t="inlineStr"/>
    </row>
    <row r="378" ht="15" customHeight="1">
      <c r="A378" t="inlineStr">
        <is>
          <t>A 4661-2022</t>
        </is>
      </c>
      <c r="B378" s="1" t="n">
        <v>44589</v>
      </c>
      <c r="C378" s="1" t="n">
        <v>45924</v>
      </c>
      <c r="D378" t="inlineStr">
        <is>
          <t>NORRBOTTENS LÄN</t>
        </is>
      </c>
      <c r="E378" t="inlineStr">
        <is>
          <t>JOKKMOKK</t>
        </is>
      </c>
      <c r="G378" t="n">
        <v>39.5</v>
      </c>
      <c r="H378" t="n">
        <v>0</v>
      </c>
      <c r="I378" t="n">
        <v>0</v>
      </c>
      <c r="J378" t="n">
        <v>0</v>
      </c>
      <c r="K378" t="n">
        <v>0</v>
      </c>
      <c r="L378" t="n">
        <v>0</v>
      </c>
      <c r="M378" t="n">
        <v>0</v>
      </c>
      <c r="N378" t="n">
        <v>0</v>
      </c>
      <c r="O378" t="n">
        <v>0</v>
      </c>
      <c r="P378" t="n">
        <v>0</v>
      </c>
      <c r="Q378" t="n">
        <v>0</v>
      </c>
      <c r="R378" s="2" t="inlineStr"/>
    </row>
    <row r="379" ht="15" customHeight="1">
      <c r="A379" t="inlineStr">
        <is>
          <t>A 40106-2023</t>
        </is>
      </c>
      <c r="B379" s="1" t="n">
        <v>45168.93785879629</v>
      </c>
      <c r="C379" s="1" t="n">
        <v>45924</v>
      </c>
      <c r="D379" t="inlineStr">
        <is>
          <t>NORRBOTTENS LÄN</t>
        </is>
      </c>
      <c r="E379" t="inlineStr">
        <is>
          <t>JOKKMOKK</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40345-2024</t>
        </is>
      </c>
      <c r="B380" s="1" t="n">
        <v>45555.344375</v>
      </c>
      <c r="C380" s="1" t="n">
        <v>45924</v>
      </c>
      <c r="D380" t="inlineStr">
        <is>
          <t>NORRBOTTENS LÄN</t>
        </is>
      </c>
      <c r="E380" t="inlineStr">
        <is>
          <t>JOKKMOKK</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11657-2024</t>
        </is>
      </c>
      <c r="B381" s="1" t="n">
        <v>45373</v>
      </c>
      <c r="C381" s="1" t="n">
        <v>45924</v>
      </c>
      <c r="D381" t="inlineStr">
        <is>
          <t>NORRBOTTENS LÄN</t>
        </is>
      </c>
      <c r="E381" t="inlineStr">
        <is>
          <t>JOKKMOKK</t>
        </is>
      </c>
      <c r="G381" t="n">
        <v>14.3</v>
      </c>
      <c r="H381" t="n">
        <v>0</v>
      </c>
      <c r="I381" t="n">
        <v>0</v>
      </c>
      <c r="J381" t="n">
        <v>0</v>
      </c>
      <c r="K381" t="n">
        <v>0</v>
      </c>
      <c r="L381" t="n">
        <v>0</v>
      </c>
      <c r="M381" t="n">
        <v>0</v>
      </c>
      <c r="N381" t="n">
        <v>0</v>
      </c>
      <c r="O381" t="n">
        <v>0</v>
      </c>
      <c r="P381" t="n">
        <v>0</v>
      </c>
      <c r="Q381" t="n">
        <v>0</v>
      </c>
      <c r="R381" s="2" t="inlineStr"/>
    </row>
    <row r="382" ht="15" customHeight="1">
      <c r="A382" t="inlineStr">
        <is>
          <t>A 60215-2023</t>
        </is>
      </c>
      <c r="B382" s="1" t="n">
        <v>45258.60766203704</v>
      </c>
      <c r="C382" s="1" t="n">
        <v>45924</v>
      </c>
      <c r="D382" t="inlineStr">
        <is>
          <t>NORRBOTTENS LÄN</t>
        </is>
      </c>
      <c r="E382" t="inlineStr">
        <is>
          <t>JOKKMOKK</t>
        </is>
      </c>
      <c r="F382" t="inlineStr">
        <is>
          <t>Allmännings- och besparingsskogar</t>
        </is>
      </c>
      <c r="G382" t="n">
        <v>7.8</v>
      </c>
      <c r="H382" t="n">
        <v>0</v>
      </c>
      <c r="I382" t="n">
        <v>0</v>
      </c>
      <c r="J382" t="n">
        <v>0</v>
      </c>
      <c r="K382" t="n">
        <v>0</v>
      </c>
      <c r="L382" t="n">
        <v>0</v>
      </c>
      <c r="M382" t="n">
        <v>0</v>
      </c>
      <c r="N382" t="n">
        <v>0</v>
      </c>
      <c r="O382" t="n">
        <v>0</v>
      </c>
      <c r="P382" t="n">
        <v>0</v>
      </c>
      <c r="Q382" t="n">
        <v>0</v>
      </c>
      <c r="R382" s="2" t="inlineStr"/>
    </row>
    <row r="383" ht="15" customHeight="1">
      <c r="A383" t="inlineStr">
        <is>
          <t>A 30511-2023</t>
        </is>
      </c>
      <c r="B383" s="1" t="n">
        <v>45111</v>
      </c>
      <c r="C383" s="1" t="n">
        <v>45924</v>
      </c>
      <c r="D383" t="inlineStr">
        <is>
          <t>NORRBOTTENS LÄN</t>
        </is>
      </c>
      <c r="E383" t="inlineStr">
        <is>
          <t>JOKKMOKK</t>
        </is>
      </c>
      <c r="G383" t="n">
        <v>0.9</v>
      </c>
      <c r="H383" t="n">
        <v>0</v>
      </c>
      <c r="I383" t="n">
        <v>0</v>
      </c>
      <c r="J383" t="n">
        <v>0</v>
      </c>
      <c r="K383" t="n">
        <v>0</v>
      </c>
      <c r="L383" t="n">
        <v>0</v>
      </c>
      <c r="M383" t="n">
        <v>0</v>
      </c>
      <c r="N383" t="n">
        <v>0</v>
      </c>
      <c r="O383" t="n">
        <v>0</v>
      </c>
      <c r="P383" t="n">
        <v>0</v>
      </c>
      <c r="Q383" t="n">
        <v>0</v>
      </c>
      <c r="R383" s="2" t="inlineStr"/>
    </row>
    <row r="384" ht="15" customHeight="1">
      <c r="A384" t="inlineStr">
        <is>
          <t>A 32853-2024</t>
        </is>
      </c>
      <c r="B384" s="1" t="n">
        <v>45516.63964120371</v>
      </c>
      <c r="C384" s="1" t="n">
        <v>45924</v>
      </c>
      <c r="D384" t="inlineStr">
        <is>
          <t>NORRBOTTENS LÄN</t>
        </is>
      </c>
      <c r="E384" t="inlineStr">
        <is>
          <t>JOKKMOKK</t>
        </is>
      </c>
      <c r="F384" t="inlineStr">
        <is>
          <t>Sveaskog</t>
        </is>
      </c>
      <c r="G384" t="n">
        <v>40.4</v>
      </c>
      <c r="H384" t="n">
        <v>0</v>
      </c>
      <c r="I384" t="n">
        <v>0</v>
      </c>
      <c r="J384" t="n">
        <v>0</v>
      </c>
      <c r="K384" t="n">
        <v>0</v>
      </c>
      <c r="L384" t="n">
        <v>0</v>
      </c>
      <c r="M384" t="n">
        <v>0</v>
      </c>
      <c r="N384" t="n">
        <v>0</v>
      </c>
      <c r="O384" t="n">
        <v>0</v>
      </c>
      <c r="P384" t="n">
        <v>0</v>
      </c>
      <c r="Q384" t="n">
        <v>0</v>
      </c>
      <c r="R384" s="2" t="inlineStr"/>
    </row>
    <row r="385" ht="15" customHeight="1">
      <c r="A385" t="inlineStr">
        <is>
          <t>A 39684-2023</t>
        </is>
      </c>
      <c r="B385" s="1" t="n">
        <v>45166</v>
      </c>
      <c r="C385" s="1" t="n">
        <v>45924</v>
      </c>
      <c r="D385" t="inlineStr">
        <is>
          <t>NORRBOTTENS LÄN</t>
        </is>
      </c>
      <c r="E385" t="inlineStr">
        <is>
          <t>JOKKMOKK</t>
        </is>
      </c>
      <c r="G385" t="n">
        <v>6.8</v>
      </c>
      <c r="H385" t="n">
        <v>0</v>
      </c>
      <c r="I385" t="n">
        <v>0</v>
      </c>
      <c r="J385" t="n">
        <v>0</v>
      </c>
      <c r="K385" t="n">
        <v>0</v>
      </c>
      <c r="L385" t="n">
        <v>0</v>
      </c>
      <c r="M385" t="n">
        <v>0</v>
      </c>
      <c r="N385" t="n">
        <v>0</v>
      </c>
      <c r="O385" t="n">
        <v>0</v>
      </c>
      <c r="P385" t="n">
        <v>0</v>
      </c>
      <c r="Q385" t="n">
        <v>0</v>
      </c>
      <c r="R385" s="2" t="inlineStr"/>
    </row>
    <row r="386" ht="15" customHeight="1">
      <c r="A386" t="inlineStr">
        <is>
          <t>A 17784-2025</t>
        </is>
      </c>
      <c r="B386" s="1" t="n">
        <v>45758</v>
      </c>
      <c r="C386" s="1" t="n">
        <v>45924</v>
      </c>
      <c r="D386" t="inlineStr">
        <is>
          <t>NORRBOTTENS LÄN</t>
        </is>
      </c>
      <c r="E386" t="inlineStr">
        <is>
          <t>JOKKMOKK</t>
        </is>
      </c>
      <c r="F386" t="inlineStr">
        <is>
          <t>SCA</t>
        </is>
      </c>
      <c r="G386" t="n">
        <v>11.2</v>
      </c>
      <c r="H386" t="n">
        <v>0</v>
      </c>
      <c r="I386" t="n">
        <v>0</v>
      </c>
      <c r="J386" t="n">
        <v>0</v>
      </c>
      <c r="K386" t="n">
        <v>0</v>
      </c>
      <c r="L386" t="n">
        <v>0</v>
      </c>
      <c r="M386" t="n">
        <v>0</v>
      </c>
      <c r="N386" t="n">
        <v>0</v>
      </c>
      <c r="O386" t="n">
        <v>0</v>
      </c>
      <c r="P386" t="n">
        <v>0</v>
      </c>
      <c r="Q386" t="n">
        <v>0</v>
      </c>
      <c r="R386" s="2" t="inlineStr"/>
    </row>
    <row r="387" ht="15" customHeight="1">
      <c r="A387" t="inlineStr">
        <is>
          <t>A 2031-2025</t>
        </is>
      </c>
      <c r="B387" s="1" t="n">
        <v>45672</v>
      </c>
      <c r="C387" s="1" t="n">
        <v>45924</v>
      </c>
      <c r="D387" t="inlineStr">
        <is>
          <t>NORRBOTTENS LÄN</t>
        </is>
      </c>
      <c r="E387" t="inlineStr">
        <is>
          <t>JOKKMOKK</t>
        </is>
      </c>
      <c r="F387" t="inlineStr">
        <is>
          <t>Övriga statliga verk och myndigheter</t>
        </is>
      </c>
      <c r="G387" t="n">
        <v>7.5</v>
      </c>
      <c r="H387" t="n">
        <v>0</v>
      </c>
      <c r="I387" t="n">
        <v>0</v>
      </c>
      <c r="J387" t="n">
        <v>0</v>
      </c>
      <c r="K387" t="n">
        <v>0</v>
      </c>
      <c r="L387" t="n">
        <v>0</v>
      </c>
      <c r="M387" t="n">
        <v>0</v>
      </c>
      <c r="N387" t="n">
        <v>0</v>
      </c>
      <c r="O387" t="n">
        <v>0</v>
      </c>
      <c r="P387" t="n">
        <v>0</v>
      </c>
      <c r="Q387" t="n">
        <v>0</v>
      </c>
      <c r="R387" s="2" t="inlineStr"/>
    </row>
    <row r="388" ht="15" customHeight="1">
      <c r="A388" t="inlineStr">
        <is>
          <t>A 12664-2025</t>
        </is>
      </c>
      <c r="B388" s="1" t="n">
        <v>45733</v>
      </c>
      <c r="C388" s="1" t="n">
        <v>45924</v>
      </c>
      <c r="D388" t="inlineStr">
        <is>
          <t>NORRBOTTENS LÄN</t>
        </is>
      </c>
      <c r="E388" t="inlineStr">
        <is>
          <t>JOKKMOKK</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30305-2024</t>
        </is>
      </c>
      <c r="B389" s="1" t="n">
        <v>45490</v>
      </c>
      <c r="C389" s="1" t="n">
        <v>45924</v>
      </c>
      <c r="D389" t="inlineStr">
        <is>
          <t>NORRBOTTENS LÄN</t>
        </is>
      </c>
      <c r="E389" t="inlineStr">
        <is>
          <t>JOKKMOKK</t>
        </is>
      </c>
      <c r="G389" t="n">
        <v>1.5</v>
      </c>
      <c r="H389" t="n">
        <v>0</v>
      </c>
      <c r="I389" t="n">
        <v>0</v>
      </c>
      <c r="J389" t="n">
        <v>0</v>
      </c>
      <c r="K389" t="n">
        <v>0</v>
      </c>
      <c r="L389" t="n">
        <v>0</v>
      </c>
      <c r="M389" t="n">
        <v>0</v>
      </c>
      <c r="N389" t="n">
        <v>0</v>
      </c>
      <c r="O389" t="n">
        <v>0</v>
      </c>
      <c r="P389" t="n">
        <v>0</v>
      </c>
      <c r="Q389" t="n">
        <v>0</v>
      </c>
      <c r="R389" s="2" t="inlineStr"/>
    </row>
    <row r="390" ht="15" customHeight="1">
      <c r="A390" t="inlineStr">
        <is>
          <t>A 30308-2024</t>
        </is>
      </c>
      <c r="B390" s="1" t="n">
        <v>45490</v>
      </c>
      <c r="C390" s="1" t="n">
        <v>45924</v>
      </c>
      <c r="D390" t="inlineStr">
        <is>
          <t>NORRBOTTENS LÄN</t>
        </is>
      </c>
      <c r="E390" t="inlineStr">
        <is>
          <t>JOKKMOKK</t>
        </is>
      </c>
      <c r="G390" t="n">
        <v>2.2</v>
      </c>
      <c r="H390" t="n">
        <v>0</v>
      </c>
      <c r="I390" t="n">
        <v>0</v>
      </c>
      <c r="J390" t="n">
        <v>0</v>
      </c>
      <c r="K390" t="n">
        <v>0</v>
      </c>
      <c r="L390" t="n">
        <v>0</v>
      </c>
      <c r="M390" t="n">
        <v>0</v>
      </c>
      <c r="N390" t="n">
        <v>0</v>
      </c>
      <c r="O390" t="n">
        <v>0</v>
      </c>
      <c r="P390" t="n">
        <v>0</v>
      </c>
      <c r="Q390" t="n">
        <v>0</v>
      </c>
      <c r="R390" s="2" t="inlineStr"/>
    </row>
    <row r="391" ht="15" customHeight="1">
      <c r="A391" t="inlineStr">
        <is>
          <t>A 30310-2024</t>
        </is>
      </c>
      <c r="B391" s="1" t="n">
        <v>45490</v>
      </c>
      <c r="C391" s="1" t="n">
        <v>45924</v>
      </c>
      <c r="D391" t="inlineStr">
        <is>
          <t>NORRBOTTENS LÄN</t>
        </is>
      </c>
      <c r="E391" t="inlineStr">
        <is>
          <t>JOKKMOKK</t>
        </is>
      </c>
      <c r="G391" t="n">
        <v>2.3</v>
      </c>
      <c r="H391" t="n">
        <v>0</v>
      </c>
      <c r="I391" t="n">
        <v>0</v>
      </c>
      <c r="J391" t="n">
        <v>0</v>
      </c>
      <c r="K391" t="n">
        <v>0</v>
      </c>
      <c r="L391" t="n">
        <v>0</v>
      </c>
      <c r="M391" t="n">
        <v>0</v>
      </c>
      <c r="N391" t="n">
        <v>0</v>
      </c>
      <c r="O391" t="n">
        <v>0</v>
      </c>
      <c r="P391" t="n">
        <v>0</v>
      </c>
      <c r="Q391" t="n">
        <v>0</v>
      </c>
      <c r="R391" s="2" t="inlineStr"/>
    </row>
    <row r="392" ht="15" customHeight="1">
      <c r="A392" t="inlineStr">
        <is>
          <t>A 30312-2024</t>
        </is>
      </c>
      <c r="B392" s="1" t="n">
        <v>45490</v>
      </c>
      <c r="C392" s="1" t="n">
        <v>45924</v>
      </c>
      <c r="D392" t="inlineStr">
        <is>
          <t>NORRBOTTENS LÄN</t>
        </is>
      </c>
      <c r="E392" t="inlineStr">
        <is>
          <t>JOKKMOKK</t>
        </is>
      </c>
      <c r="G392" t="n">
        <v>1.6</v>
      </c>
      <c r="H392" t="n">
        <v>0</v>
      </c>
      <c r="I392" t="n">
        <v>0</v>
      </c>
      <c r="J392" t="n">
        <v>0</v>
      </c>
      <c r="K392" t="n">
        <v>0</v>
      </c>
      <c r="L392" t="n">
        <v>0</v>
      </c>
      <c r="M392" t="n">
        <v>0</v>
      </c>
      <c r="N392" t="n">
        <v>0</v>
      </c>
      <c r="O392" t="n">
        <v>0</v>
      </c>
      <c r="P392" t="n">
        <v>0</v>
      </c>
      <c r="Q392" t="n">
        <v>0</v>
      </c>
      <c r="R392" s="2" t="inlineStr"/>
    </row>
    <row r="393" ht="15" customHeight="1">
      <c r="A393" t="inlineStr">
        <is>
          <t>A 37827-2024</t>
        </is>
      </c>
      <c r="B393" s="1" t="n">
        <v>45544</v>
      </c>
      <c r="C393" s="1" t="n">
        <v>45924</v>
      </c>
      <c r="D393" t="inlineStr">
        <is>
          <t>NORRBOTTENS LÄN</t>
        </is>
      </c>
      <c r="E393" t="inlineStr">
        <is>
          <t>JOKKMOKK</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20593-2023</t>
        </is>
      </c>
      <c r="B394" s="1" t="n">
        <v>45057</v>
      </c>
      <c r="C394" s="1" t="n">
        <v>45924</v>
      </c>
      <c r="D394" t="inlineStr">
        <is>
          <t>NORRBOTTENS LÄN</t>
        </is>
      </c>
      <c r="E394" t="inlineStr">
        <is>
          <t>JOKKMOKK</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45924</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55491-2024</t>
        </is>
      </c>
      <c r="B396" s="1" t="n">
        <v>45622</v>
      </c>
      <c r="C396" s="1" t="n">
        <v>45924</v>
      </c>
      <c r="D396" t="inlineStr">
        <is>
          <t>NORRBOTTENS LÄN</t>
        </is>
      </c>
      <c r="E396" t="inlineStr">
        <is>
          <t>JOKKMOKK</t>
        </is>
      </c>
      <c r="F396" t="inlineStr">
        <is>
          <t>Allmännings- och besparingsskogar</t>
        </is>
      </c>
      <c r="G396" t="n">
        <v>25.2</v>
      </c>
      <c r="H396" t="n">
        <v>0</v>
      </c>
      <c r="I396" t="n">
        <v>0</v>
      </c>
      <c r="J396" t="n">
        <v>0</v>
      </c>
      <c r="K396" t="n">
        <v>0</v>
      </c>
      <c r="L396" t="n">
        <v>0</v>
      </c>
      <c r="M396" t="n">
        <v>0</v>
      </c>
      <c r="N396" t="n">
        <v>0</v>
      </c>
      <c r="O396" t="n">
        <v>0</v>
      </c>
      <c r="P396" t="n">
        <v>0</v>
      </c>
      <c r="Q396" t="n">
        <v>0</v>
      </c>
      <c r="R396" s="2" t="inlineStr"/>
    </row>
    <row r="397" ht="15" customHeight="1">
      <c r="A397" t="inlineStr">
        <is>
          <t>A 42639-2024</t>
        </is>
      </c>
      <c r="B397" s="1" t="n">
        <v>45565.91135416667</v>
      </c>
      <c r="C397" s="1" t="n">
        <v>45924</v>
      </c>
      <c r="D397" t="inlineStr">
        <is>
          <t>NORRBOTTENS LÄN</t>
        </is>
      </c>
      <c r="E397" t="inlineStr">
        <is>
          <t>JOKKMOKK</t>
        </is>
      </c>
      <c r="G397" t="n">
        <v>34.5</v>
      </c>
      <c r="H397" t="n">
        <v>0</v>
      </c>
      <c r="I397" t="n">
        <v>0</v>
      </c>
      <c r="J397" t="n">
        <v>0</v>
      </c>
      <c r="K397" t="n">
        <v>0</v>
      </c>
      <c r="L397" t="n">
        <v>0</v>
      </c>
      <c r="M397" t="n">
        <v>0</v>
      </c>
      <c r="N397" t="n">
        <v>0</v>
      </c>
      <c r="O397" t="n">
        <v>0</v>
      </c>
      <c r="P397" t="n">
        <v>0</v>
      </c>
      <c r="Q397" t="n">
        <v>0</v>
      </c>
      <c r="R397" s="2" t="inlineStr"/>
    </row>
    <row r="398" ht="15" customHeight="1">
      <c r="A398" t="inlineStr">
        <is>
          <t>A 61500-2024</t>
        </is>
      </c>
      <c r="B398" s="1" t="n">
        <v>45645</v>
      </c>
      <c r="C398" s="1" t="n">
        <v>45924</v>
      </c>
      <c r="D398" t="inlineStr">
        <is>
          <t>NORRBOTTENS LÄN</t>
        </is>
      </c>
      <c r="E398" t="inlineStr">
        <is>
          <t>JOKKMOKK</t>
        </is>
      </c>
      <c r="G398" t="n">
        <v>39.8</v>
      </c>
      <c r="H398" t="n">
        <v>0</v>
      </c>
      <c r="I398" t="n">
        <v>0</v>
      </c>
      <c r="J398" t="n">
        <v>0</v>
      </c>
      <c r="K398" t="n">
        <v>0</v>
      </c>
      <c r="L398" t="n">
        <v>0</v>
      </c>
      <c r="M398" t="n">
        <v>0</v>
      </c>
      <c r="N398" t="n">
        <v>0</v>
      </c>
      <c r="O398" t="n">
        <v>0</v>
      </c>
      <c r="P398" t="n">
        <v>0</v>
      </c>
      <c r="Q398" t="n">
        <v>0</v>
      </c>
      <c r="R398" s="2" t="inlineStr"/>
    </row>
    <row r="399" ht="15" customHeight="1">
      <c r="A399" t="inlineStr">
        <is>
          <t>A 46418-2023</t>
        </is>
      </c>
      <c r="B399" s="1" t="n">
        <v>45197</v>
      </c>
      <c r="C399" s="1" t="n">
        <v>45924</v>
      </c>
      <c r="D399" t="inlineStr">
        <is>
          <t>NORRBOTTENS LÄN</t>
        </is>
      </c>
      <c r="E399" t="inlineStr">
        <is>
          <t>JOKKMOKK</t>
        </is>
      </c>
      <c r="G399" t="n">
        <v>7.4</v>
      </c>
      <c r="H399" t="n">
        <v>0</v>
      </c>
      <c r="I399" t="n">
        <v>0</v>
      </c>
      <c r="J399" t="n">
        <v>0</v>
      </c>
      <c r="K399" t="n">
        <v>0</v>
      </c>
      <c r="L399" t="n">
        <v>0</v>
      </c>
      <c r="M399" t="n">
        <v>0</v>
      </c>
      <c r="N399" t="n">
        <v>0</v>
      </c>
      <c r="O399" t="n">
        <v>0</v>
      </c>
      <c r="P399" t="n">
        <v>0</v>
      </c>
      <c r="Q399" t="n">
        <v>0</v>
      </c>
      <c r="R399" s="2" t="inlineStr"/>
    </row>
    <row r="400" ht="15" customHeight="1">
      <c r="A400" t="inlineStr">
        <is>
          <t>A 56412-2021</t>
        </is>
      </c>
      <c r="B400" s="1" t="n">
        <v>44477</v>
      </c>
      <c r="C400" s="1" t="n">
        <v>45924</v>
      </c>
      <c r="D400" t="inlineStr">
        <is>
          <t>NORRBOTTENS LÄN</t>
        </is>
      </c>
      <c r="E400" t="inlineStr">
        <is>
          <t>JOKKMOKK</t>
        </is>
      </c>
      <c r="G400" t="n">
        <v>2.5</v>
      </c>
      <c r="H400" t="n">
        <v>0</v>
      </c>
      <c r="I400" t="n">
        <v>0</v>
      </c>
      <c r="J400" t="n">
        <v>0</v>
      </c>
      <c r="K400" t="n">
        <v>0</v>
      </c>
      <c r="L400" t="n">
        <v>0</v>
      </c>
      <c r="M400" t="n">
        <v>0</v>
      </c>
      <c r="N400" t="n">
        <v>0</v>
      </c>
      <c r="O400" t="n">
        <v>0</v>
      </c>
      <c r="P400" t="n">
        <v>0</v>
      </c>
      <c r="Q400" t="n">
        <v>0</v>
      </c>
      <c r="R400" s="2" t="inlineStr"/>
    </row>
    <row r="401" ht="15" customHeight="1">
      <c r="A401" t="inlineStr">
        <is>
          <t>A 23204-2024</t>
        </is>
      </c>
      <c r="B401" s="1" t="n">
        <v>45451</v>
      </c>
      <c r="C401" s="1" t="n">
        <v>45924</v>
      </c>
      <c r="D401" t="inlineStr">
        <is>
          <t>NORRBOTTENS LÄN</t>
        </is>
      </c>
      <c r="E401" t="inlineStr">
        <is>
          <t>JOKKMOKK</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21710-2025</t>
        </is>
      </c>
      <c r="B402" s="1" t="n">
        <v>45783.53160879629</v>
      </c>
      <c r="C402" s="1" t="n">
        <v>45924</v>
      </c>
      <c r="D402" t="inlineStr">
        <is>
          <t>NORRBOTTENS LÄN</t>
        </is>
      </c>
      <c r="E402" t="inlineStr">
        <is>
          <t>JOKKMOKK</t>
        </is>
      </c>
      <c r="F402" t="inlineStr">
        <is>
          <t>SCA</t>
        </is>
      </c>
      <c r="G402" t="n">
        <v>4.3</v>
      </c>
      <c r="H402" t="n">
        <v>0</v>
      </c>
      <c r="I402" t="n">
        <v>0</v>
      </c>
      <c r="J402" t="n">
        <v>0</v>
      </c>
      <c r="K402" t="n">
        <v>0</v>
      </c>
      <c r="L402" t="n">
        <v>0</v>
      </c>
      <c r="M402" t="n">
        <v>0</v>
      </c>
      <c r="N402" t="n">
        <v>0</v>
      </c>
      <c r="O402" t="n">
        <v>0</v>
      </c>
      <c r="P402" t="n">
        <v>0</v>
      </c>
      <c r="Q402" t="n">
        <v>0</v>
      </c>
      <c r="R402" s="2" t="inlineStr"/>
    </row>
    <row r="403" ht="15" customHeight="1">
      <c r="A403" t="inlineStr">
        <is>
          <t>A 21829-2025</t>
        </is>
      </c>
      <c r="B403" s="1" t="n">
        <v>45783.96920138889</v>
      </c>
      <c r="C403" s="1" t="n">
        <v>45924</v>
      </c>
      <c r="D403" t="inlineStr">
        <is>
          <t>NORRBOTTENS LÄN</t>
        </is>
      </c>
      <c r="E403" t="inlineStr">
        <is>
          <t>JOKKMOKK</t>
        </is>
      </c>
      <c r="G403" t="n">
        <v>7.1</v>
      </c>
      <c r="H403" t="n">
        <v>0</v>
      </c>
      <c r="I403" t="n">
        <v>0</v>
      </c>
      <c r="J403" t="n">
        <v>0</v>
      </c>
      <c r="K403" t="n">
        <v>0</v>
      </c>
      <c r="L403" t="n">
        <v>0</v>
      </c>
      <c r="M403" t="n">
        <v>0</v>
      </c>
      <c r="N403" t="n">
        <v>0</v>
      </c>
      <c r="O403" t="n">
        <v>0</v>
      </c>
      <c r="P403" t="n">
        <v>0</v>
      </c>
      <c r="Q403" t="n">
        <v>0</v>
      </c>
      <c r="R403" s="2" t="inlineStr"/>
    </row>
    <row r="404" ht="15" customHeight="1">
      <c r="A404" t="inlineStr">
        <is>
          <t>A 23203-2024</t>
        </is>
      </c>
      <c r="B404" s="1" t="n">
        <v>45451</v>
      </c>
      <c r="C404" s="1" t="n">
        <v>45924</v>
      </c>
      <c r="D404" t="inlineStr">
        <is>
          <t>NORRBOTTENS LÄN</t>
        </is>
      </c>
      <c r="E404" t="inlineStr">
        <is>
          <t>JOKKMOKK</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23317-2025</t>
        </is>
      </c>
      <c r="B405" s="1" t="n">
        <v>45791.61278935185</v>
      </c>
      <c r="C405" s="1" t="n">
        <v>45924</v>
      </c>
      <c r="D405" t="inlineStr">
        <is>
          <t>NORRBOTTENS LÄN</t>
        </is>
      </c>
      <c r="E405" t="inlineStr">
        <is>
          <t>JOKKMOKK</t>
        </is>
      </c>
      <c r="F405" t="inlineStr">
        <is>
          <t>Sveaskog</t>
        </is>
      </c>
      <c r="G405" t="n">
        <v>22.4</v>
      </c>
      <c r="H405" t="n">
        <v>0</v>
      </c>
      <c r="I405" t="n">
        <v>0</v>
      </c>
      <c r="J405" t="n">
        <v>0</v>
      </c>
      <c r="K405" t="n">
        <v>0</v>
      </c>
      <c r="L405" t="n">
        <v>0</v>
      </c>
      <c r="M405" t="n">
        <v>0</v>
      </c>
      <c r="N405" t="n">
        <v>0</v>
      </c>
      <c r="O405" t="n">
        <v>0</v>
      </c>
      <c r="P405" t="n">
        <v>0</v>
      </c>
      <c r="Q405" t="n">
        <v>0</v>
      </c>
      <c r="R405" s="2" t="inlineStr"/>
    </row>
    <row r="406">
      <c r="A406" t="inlineStr">
        <is>
          <t>A 51293-2024</t>
        </is>
      </c>
      <c r="B406" s="1" t="n">
        <v>45603.92878472222</v>
      </c>
      <c r="C406" s="1" t="n">
        <v>45924</v>
      </c>
      <c r="D406" t="inlineStr">
        <is>
          <t>NORRBOTTENS LÄN</t>
        </is>
      </c>
      <c r="E406" t="inlineStr">
        <is>
          <t>JOKKMOKK</t>
        </is>
      </c>
      <c r="G406" t="n">
        <v>2.5</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2025-09-24T10:17:18Z</dcterms:created>
  <dcterms:modified xmlns:dcterms="http://purl.org/dc/terms/" xmlns:xsi="http://www.w3.org/2001/XMLSchema-instance" xsi:type="dcterms:W3CDTF">2025-09-24T10:17:18Z</dcterms:modified>
</cp:coreProperties>
</file>