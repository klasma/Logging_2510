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45880</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45880</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45880</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45880</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45880</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45880</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45880</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45880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45880</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45880</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45880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45880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45880</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45880</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45880</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45880</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45880</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45880</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45880</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45880</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45880</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45880</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45880</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45880</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45880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45880</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45880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45880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45880</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45880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45880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45880</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45880</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45880</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45880</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45880</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45880</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26837-2025</t>
        </is>
      </c>
      <c r="B46" s="1" t="n">
        <v>45810</v>
      </c>
      <c r="C46" s="1" t="n">
        <v>45880</v>
      </c>
      <c r="D46" t="inlineStr">
        <is>
          <t>NORRBOTTENS LÄN</t>
        </is>
      </c>
      <c r="E46" t="inlineStr">
        <is>
          <t>JOKKMOKK</t>
        </is>
      </c>
      <c r="G46" t="n">
        <v>23.1</v>
      </c>
      <c r="H46" t="n">
        <v>0</v>
      </c>
      <c r="I46" t="n">
        <v>0</v>
      </c>
      <c r="J46" t="n">
        <v>2</v>
      </c>
      <c r="K46" t="n">
        <v>1</v>
      </c>
      <c r="L46" t="n">
        <v>0</v>
      </c>
      <c r="M46" t="n">
        <v>0</v>
      </c>
      <c r="N46" t="n">
        <v>0</v>
      </c>
      <c r="O46" t="n">
        <v>3</v>
      </c>
      <c r="P46" t="n">
        <v>1</v>
      </c>
      <c r="Q46" t="n">
        <v>3</v>
      </c>
      <c r="R46" s="2" t="inlineStr">
        <is>
          <t>Gräddporing
Dvärgbägarlav
Nordtagging</t>
        </is>
      </c>
      <c r="S46">
        <f>HYPERLINK("https://klasma.github.io/Logging_2510/artfynd/A 26837-2025 artfynd.xlsx", "A 26837-2025")</f>
        <v/>
      </c>
      <c r="T46">
        <f>HYPERLINK("https://klasma.github.io/Logging_2510/kartor/A 26837-2025 karta.png", "A 26837-2025")</f>
        <v/>
      </c>
      <c r="V46">
        <f>HYPERLINK("https://klasma.github.io/Logging_2510/klagomål/A 26837-2025 FSC-klagomål.docx", "A 26837-2025")</f>
        <v/>
      </c>
      <c r="W46">
        <f>HYPERLINK("https://klasma.github.io/Logging_2510/klagomålsmail/A 26837-2025 FSC-klagomål mail.docx", "A 26837-2025")</f>
        <v/>
      </c>
      <c r="X46">
        <f>HYPERLINK("https://klasma.github.io/Logging_2510/tillsyn/A 26837-2025 tillsynsbegäran.docx", "A 26837-2025")</f>
        <v/>
      </c>
      <c r="Y46">
        <f>HYPERLINK("https://klasma.github.io/Logging_2510/tillsynsmail/A 26837-2025 tillsynsbegäran mail.docx", "A 26837-2025")</f>
        <v/>
      </c>
    </row>
    <row r="47" ht="15" customHeight="1">
      <c r="A47" t="inlineStr">
        <is>
          <t>A 24408-2022</t>
        </is>
      </c>
      <c r="B47" s="1" t="n">
        <v>44726</v>
      </c>
      <c r="C47" s="1" t="n">
        <v>45880</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45880</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45880</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32982-2023</t>
        </is>
      </c>
      <c r="B50" s="1" t="n">
        <v>45113</v>
      </c>
      <c r="C50" s="1" t="n">
        <v>45880</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45880</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45880</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45880</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40466-2023</t>
        </is>
      </c>
      <c r="B54" s="1" t="n">
        <v>45170</v>
      </c>
      <c r="C54" s="1" t="n">
        <v>45880</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45880</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49525-2024</t>
        </is>
      </c>
      <c r="B56" s="1" t="n">
        <v>45596</v>
      </c>
      <c r="C56" s="1" t="n">
        <v>45880</v>
      </c>
      <c r="D56" t="inlineStr">
        <is>
          <t>NORRBOTTENS LÄN</t>
        </is>
      </c>
      <c r="E56" t="inlineStr">
        <is>
          <t>JOKKMOKK</t>
        </is>
      </c>
      <c r="F56" t="inlineStr">
        <is>
          <t>SCA</t>
        </is>
      </c>
      <c r="G56" t="n">
        <v>2.5</v>
      </c>
      <c r="H56" t="n">
        <v>0</v>
      </c>
      <c r="I56" t="n">
        <v>0</v>
      </c>
      <c r="J56" t="n">
        <v>0</v>
      </c>
      <c r="K56" t="n">
        <v>1</v>
      </c>
      <c r="L56" t="n">
        <v>0</v>
      </c>
      <c r="M56" t="n">
        <v>0</v>
      </c>
      <c r="N56" t="n">
        <v>0</v>
      </c>
      <c r="O56" t="n">
        <v>1</v>
      </c>
      <c r="P56" t="n">
        <v>1</v>
      </c>
      <c r="Q56" t="n">
        <v>1</v>
      </c>
      <c r="R56" s="2" t="inlineStr">
        <is>
          <t>Ringlav</t>
        </is>
      </c>
      <c r="S56">
        <f>HYPERLINK("https://klasma.github.io/Logging_2510/artfynd/A 49525-2024 artfynd.xlsx", "A 49525-2024")</f>
        <v/>
      </c>
      <c r="T56">
        <f>HYPERLINK("https://klasma.github.io/Logging_2510/kartor/A 49525-2024 karta.png", "A 49525-2024")</f>
        <v/>
      </c>
      <c r="V56">
        <f>HYPERLINK("https://klasma.github.io/Logging_2510/klagomål/A 49525-2024 FSC-klagomål.docx", "A 49525-2024")</f>
        <v/>
      </c>
      <c r="W56">
        <f>HYPERLINK("https://klasma.github.io/Logging_2510/klagomålsmail/A 49525-2024 FSC-klagomål mail.docx", "A 49525-2024")</f>
        <v/>
      </c>
      <c r="X56">
        <f>HYPERLINK("https://klasma.github.io/Logging_2510/tillsyn/A 49525-2024 tillsynsbegäran.docx", "A 49525-2024")</f>
        <v/>
      </c>
      <c r="Y56">
        <f>HYPERLINK("https://klasma.github.io/Logging_2510/tillsynsmail/A 49525-2024 tillsynsbegäran mail.docx", "A 49525-2024")</f>
        <v/>
      </c>
    </row>
    <row r="57" ht="15" customHeight="1">
      <c r="A57" t="inlineStr">
        <is>
          <t>A 43023-2024</t>
        </is>
      </c>
      <c r="B57" s="1" t="n">
        <v>45567</v>
      </c>
      <c r="C57" s="1" t="n">
        <v>45880</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45880</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44147-2024</t>
        </is>
      </c>
      <c r="B59" s="1" t="n">
        <v>45572.67306712963</v>
      </c>
      <c r="C59" s="1" t="n">
        <v>45880</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32669-2025</t>
        </is>
      </c>
      <c r="B60" s="1" t="n">
        <v>45838.69793981482</v>
      </c>
      <c r="C60" s="1" t="n">
        <v>45880</v>
      </c>
      <c r="D60" t="inlineStr">
        <is>
          <t>NORRBOTTENS LÄN</t>
        </is>
      </c>
      <c r="E60" t="inlineStr">
        <is>
          <t>JOKKMOKK</t>
        </is>
      </c>
      <c r="F60" t="inlineStr">
        <is>
          <t>Sveaskog</t>
        </is>
      </c>
      <c r="G60" t="n">
        <v>14.6</v>
      </c>
      <c r="H60" t="n">
        <v>1</v>
      </c>
      <c r="I60" t="n">
        <v>1</v>
      </c>
      <c r="J60" t="n">
        <v>0</v>
      </c>
      <c r="K60" t="n">
        <v>0</v>
      </c>
      <c r="L60" t="n">
        <v>0</v>
      </c>
      <c r="M60" t="n">
        <v>0</v>
      </c>
      <c r="N60" t="n">
        <v>0</v>
      </c>
      <c r="O60" t="n">
        <v>0</v>
      </c>
      <c r="P60" t="n">
        <v>0</v>
      </c>
      <c r="Q60" t="n">
        <v>1</v>
      </c>
      <c r="R60" s="2" t="inlineStr">
        <is>
          <t>Plattlummer</t>
        </is>
      </c>
      <c r="S60">
        <f>HYPERLINK("https://klasma.github.io/Logging_2510/artfynd/A 32669-2025 artfynd.xlsx", "A 32669-2025")</f>
        <v/>
      </c>
      <c r="T60">
        <f>HYPERLINK("https://klasma.github.io/Logging_2510/kartor/A 32669-2025 karta.png", "A 32669-2025")</f>
        <v/>
      </c>
      <c r="V60">
        <f>HYPERLINK("https://klasma.github.io/Logging_2510/klagomål/A 32669-2025 FSC-klagomål.docx", "A 32669-2025")</f>
        <v/>
      </c>
      <c r="W60">
        <f>HYPERLINK("https://klasma.github.io/Logging_2510/klagomålsmail/A 32669-2025 FSC-klagomål mail.docx", "A 32669-2025")</f>
        <v/>
      </c>
      <c r="X60">
        <f>HYPERLINK("https://klasma.github.io/Logging_2510/tillsyn/A 32669-2025 tillsynsbegäran.docx", "A 32669-2025")</f>
        <v/>
      </c>
      <c r="Y60">
        <f>HYPERLINK("https://klasma.github.io/Logging_2510/tillsynsmail/A 32669-2025 tillsynsbegäran mail.docx", "A 32669-2025")</f>
        <v/>
      </c>
    </row>
    <row r="61" ht="15" customHeight="1">
      <c r="A61" t="inlineStr">
        <is>
          <t>A 50121-2024</t>
        </is>
      </c>
      <c r="B61" s="1" t="n">
        <v>45600.42096064815</v>
      </c>
      <c r="C61" s="1" t="n">
        <v>45880</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45880</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45880</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34135-2025</t>
        </is>
      </c>
      <c r="B64" s="1" t="n">
        <v>45845.5409375</v>
      </c>
      <c r="C64" s="1" t="n">
        <v>45880</v>
      </c>
      <c r="D64" t="inlineStr">
        <is>
          <t>NORRBOTTENS LÄN</t>
        </is>
      </c>
      <c r="E64" t="inlineStr">
        <is>
          <t>JOKKMOKK</t>
        </is>
      </c>
      <c r="G64" t="n">
        <v>4.8</v>
      </c>
      <c r="H64" t="n">
        <v>0</v>
      </c>
      <c r="I64" t="n">
        <v>0</v>
      </c>
      <c r="J64" t="n">
        <v>1</v>
      </c>
      <c r="K64" t="n">
        <v>0</v>
      </c>
      <c r="L64" t="n">
        <v>0</v>
      </c>
      <c r="M64" t="n">
        <v>0</v>
      </c>
      <c r="N64" t="n">
        <v>0</v>
      </c>
      <c r="O64" t="n">
        <v>1</v>
      </c>
      <c r="P64" t="n">
        <v>0</v>
      </c>
      <c r="Q64" t="n">
        <v>1</v>
      </c>
      <c r="R64" s="2" t="inlineStr">
        <is>
          <t>Svart taggsvamp</t>
        </is>
      </c>
      <c r="S64">
        <f>HYPERLINK("https://klasma.github.io/Logging_2510/artfynd/A 34135-2025 artfynd.xlsx", "A 34135-2025")</f>
        <v/>
      </c>
      <c r="T64">
        <f>HYPERLINK("https://klasma.github.io/Logging_2510/kartor/A 34135-2025 karta.png", "A 34135-2025")</f>
        <v/>
      </c>
      <c r="V64">
        <f>HYPERLINK("https://klasma.github.io/Logging_2510/klagomål/A 34135-2025 FSC-klagomål.docx", "A 34135-2025")</f>
        <v/>
      </c>
      <c r="W64">
        <f>HYPERLINK("https://klasma.github.io/Logging_2510/klagomålsmail/A 34135-2025 FSC-klagomål mail.docx", "A 34135-2025")</f>
        <v/>
      </c>
      <c r="X64">
        <f>HYPERLINK("https://klasma.github.io/Logging_2510/tillsyn/A 34135-2025 tillsynsbegäran.docx", "A 34135-2025")</f>
        <v/>
      </c>
      <c r="Y64">
        <f>HYPERLINK("https://klasma.github.io/Logging_2510/tillsynsmail/A 34135-2025 tillsynsbegäran mail.docx", "A 34135-2025")</f>
        <v/>
      </c>
    </row>
    <row r="65" ht="15" customHeight="1">
      <c r="A65" t="inlineStr">
        <is>
          <t>A 72480-2021</t>
        </is>
      </c>
      <c r="B65" s="1" t="n">
        <v>44545</v>
      </c>
      <c r="C65" s="1" t="n">
        <v>45880</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29859-2025</t>
        </is>
      </c>
      <c r="B66" s="1" t="n">
        <v>45826.34621527778</v>
      </c>
      <c r="C66" s="1" t="n">
        <v>45880</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48338-2020</t>
        </is>
      </c>
      <c r="B67" s="1" t="n">
        <v>44098</v>
      </c>
      <c r="C67" s="1" t="n">
        <v>45880</v>
      </c>
      <c r="D67" t="inlineStr">
        <is>
          <t>NORRBOTTENS LÄN</t>
        </is>
      </c>
      <c r="E67" t="inlineStr">
        <is>
          <t>JOKKMOKK</t>
        </is>
      </c>
      <c r="F67" t="inlineStr">
        <is>
          <t>Allmännings- och besparingsskogar</t>
        </is>
      </c>
      <c r="G67" t="n">
        <v>3.4</v>
      </c>
      <c r="H67" t="n">
        <v>0</v>
      </c>
      <c r="I67" t="n">
        <v>0</v>
      </c>
      <c r="J67" t="n">
        <v>0</v>
      </c>
      <c r="K67" t="n">
        <v>0</v>
      </c>
      <c r="L67" t="n">
        <v>0</v>
      </c>
      <c r="M67" t="n">
        <v>0</v>
      </c>
      <c r="N67" t="n">
        <v>0</v>
      </c>
      <c r="O67" t="n">
        <v>0</v>
      </c>
      <c r="P67" t="n">
        <v>0</v>
      </c>
      <c r="Q67" t="n">
        <v>0</v>
      </c>
      <c r="R67" s="2" t="inlineStr"/>
    </row>
    <row r="68" ht="15" customHeight="1">
      <c r="A68" t="inlineStr">
        <is>
          <t>A 38039-2021</t>
        </is>
      </c>
      <c r="B68" s="1" t="n">
        <v>44404</v>
      </c>
      <c r="C68" s="1" t="n">
        <v>45880</v>
      </c>
      <c r="D68" t="inlineStr">
        <is>
          <t>NORRBOTTENS LÄN</t>
        </is>
      </c>
      <c r="E68" t="inlineStr">
        <is>
          <t>JOKKMOKK</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40248-2022</t>
        </is>
      </c>
      <c r="B69" s="1" t="n">
        <v>44820</v>
      </c>
      <c r="C69" s="1" t="n">
        <v>45880</v>
      </c>
      <c r="D69" t="inlineStr">
        <is>
          <t>NORRBOTTENS LÄN</t>
        </is>
      </c>
      <c r="E69" t="inlineStr">
        <is>
          <t>JOKKMOKK</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38638-2020</t>
        </is>
      </c>
      <c r="B70" s="1" t="n">
        <v>44061</v>
      </c>
      <c r="C70" s="1" t="n">
        <v>45880</v>
      </c>
      <c r="D70" t="inlineStr">
        <is>
          <t>NORRBOTTENS LÄN</t>
        </is>
      </c>
      <c r="E70" t="inlineStr">
        <is>
          <t>JOKKMOKK</t>
        </is>
      </c>
      <c r="F70" t="inlineStr">
        <is>
          <t>Övriga Aktiebolag</t>
        </is>
      </c>
      <c r="G70" t="n">
        <v>22.2</v>
      </c>
      <c r="H70" t="n">
        <v>0</v>
      </c>
      <c r="I70" t="n">
        <v>0</v>
      </c>
      <c r="J70" t="n">
        <v>0</v>
      </c>
      <c r="K70" t="n">
        <v>0</v>
      </c>
      <c r="L70" t="n">
        <v>0</v>
      </c>
      <c r="M70" t="n">
        <v>0</v>
      </c>
      <c r="N70" t="n">
        <v>0</v>
      </c>
      <c r="O70" t="n">
        <v>0</v>
      </c>
      <c r="P70" t="n">
        <v>0</v>
      </c>
      <c r="Q70" t="n">
        <v>0</v>
      </c>
      <c r="R70" s="2" t="inlineStr"/>
    </row>
    <row r="71" ht="15" customHeight="1">
      <c r="A71" t="inlineStr">
        <is>
          <t>A 17000-2022</t>
        </is>
      </c>
      <c r="B71" s="1" t="n">
        <v>44676</v>
      </c>
      <c r="C71" s="1" t="n">
        <v>45880</v>
      </c>
      <c r="D71" t="inlineStr">
        <is>
          <t>NORRBOTTENS LÄN</t>
        </is>
      </c>
      <c r="E71" t="inlineStr">
        <is>
          <t>JOKKMOKK</t>
        </is>
      </c>
      <c r="G71" t="n">
        <v>36.6</v>
      </c>
      <c r="H71" t="n">
        <v>0</v>
      </c>
      <c r="I71" t="n">
        <v>0</v>
      </c>
      <c r="J71" t="n">
        <v>0</v>
      </c>
      <c r="K71" t="n">
        <v>0</v>
      </c>
      <c r="L71" t="n">
        <v>0</v>
      </c>
      <c r="M71" t="n">
        <v>0</v>
      </c>
      <c r="N71" t="n">
        <v>0</v>
      </c>
      <c r="O71" t="n">
        <v>0</v>
      </c>
      <c r="P71" t="n">
        <v>0</v>
      </c>
      <c r="Q71" t="n">
        <v>0</v>
      </c>
      <c r="R71" s="2" t="inlineStr"/>
    </row>
    <row r="72" ht="15" customHeight="1">
      <c r="A72" t="inlineStr">
        <is>
          <t>A 51436-2020</t>
        </is>
      </c>
      <c r="B72" s="1" t="n">
        <v>44113</v>
      </c>
      <c r="C72" s="1" t="n">
        <v>45880</v>
      </c>
      <c r="D72" t="inlineStr">
        <is>
          <t>NORRBOTTENS LÄN</t>
        </is>
      </c>
      <c r="E72" t="inlineStr">
        <is>
          <t>JOKKMOKK</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51438-2020</t>
        </is>
      </c>
      <c r="B73" s="1" t="n">
        <v>44113</v>
      </c>
      <c r="C73" s="1" t="n">
        <v>45880</v>
      </c>
      <c r="D73" t="inlineStr">
        <is>
          <t>NORRBOTTENS LÄN</t>
        </is>
      </c>
      <c r="E73" t="inlineStr">
        <is>
          <t>JOKKMOKK</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68583-2020</t>
        </is>
      </c>
      <c r="B74" s="1" t="n">
        <v>44186</v>
      </c>
      <c r="C74" s="1" t="n">
        <v>45880</v>
      </c>
      <c r="D74" t="inlineStr">
        <is>
          <t>NORRBOTTENS LÄN</t>
        </is>
      </c>
      <c r="E74" t="inlineStr">
        <is>
          <t>JOKKMOKK</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37114-2021</t>
        </is>
      </c>
      <c r="B75" s="1" t="n">
        <v>44393</v>
      </c>
      <c r="C75" s="1" t="n">
        <v>45880</v>
      </c>
      <c r="D75" t="inlineStr">
        <is>
          <t>NORRBOTTENS LÄN</t>
        </is>
      </c>
      <c r="E75" t="inlineStr">
        <is>
          <t>JOKKMOKK</t>
        </is>
      </c>
      <c r="F75" t="inlineStr">
        <is>
          <t>Övriga statliga verk och myndigheter</t>
        </is>
      </c>
      <c r="G75" t="n">
        <v>30</v>
      </c>
      <c r="H75" t="n">
        <v>0</v>
      </c>
      <c r="I75" t="n">
        <v>0</v>
      </c>
      <c r="J75" t="n">
        <v>0</v>
      </c>
      <c r="K75" t="n">
        <v>0</v>
      </c>
      <c r="L75" t="n">
        <v>0</v>
      </c>
      <c r="M75" t="n">
        <v>0</v>
      </c>
      <c r="N75" t="n">
        <v>0</v>
      </c>
      <c r="O75" t="n">
        <v>0</v>
      </c>
      <c r="P75" t="n">
        <v>0</v>
      </c>
      <c r="Q75" t="n">
        <v>0</v>
      </c>
      <c r="R75" s="2" t="inlineStr"/>
    </row>
    <row r="76" ht="15" customHeight="1">
      <c r="A76" t="inlineStr">
        <is>
          <t>A 43781-2021</t>
        </is>
      </c>
      <c r="B76" s="1" t="n">
        <v>44433</v>
      </c>
      <c r="C76" s="1" t="n">
        <v>45880</v>
      </c>
      <c r="D76" t="inlineStr">
        <is>
          <t>NORRBOTTENS LÄN</t>
        </is>
      </c>
      <c r="E76" t="inlineStr">
        <is>
          <t>JOKKMOKK</t>
        </is>
      </c>
      <c r="G76" t="n">
        <v>1.7</v>
      </c>
      <c r="H76" t="n">
        <v>0</v>
      </c>
      <c r="I76" t="n">
        <v>0</v>
      </c>
      <c r="J76" t="n">
        <v>0</v>
      </c>
      <c r="K76" t="n">
        <v>0</v>
      </c>
      <c r="L76" t="n">
        <v>0</v>
      </c>
      <c r="M76" t="n">
        <v>0</v>
      </c>
      <c r="N76" t="n">
        <v>0</v>
      </c>
      <c r="O76" t="n">
        <v>0</v>
      </c>
      <c r="P76" t="n">
        <v>0</v>
      </c>
      <c r="Q76" t="n">
        <v>0</v>
      </c>
      <c r="R76" s="2" t="inlineStr"/>
    </row>
    <row r="77" ht="15" customHeight="1">
      <c r="A77" t="inlineStr">
        <is>
          <t>A 71955-2021</t>
        </is>
      </c>
      <c r="B77" s="1" t="n">
        <v>44543</v>
      </c>
      <c r="C77" s="1" t="n">
        <v>45880</v>
      </c>
      <c r="D77" t="inlineStr">
        <is>
          <t>NORRBOTTENS LÄN</t>
        </is>
      </c>
      <c r="E77" t="inlineStr">
        <is>
          <t>JOKKMOKK</t>
        </is>
      </c>
      <c r="F77" t="inlineStr">
        <is>
          <t>SCA</t>
        </is>
      </c>
      <c r="G77" t="n">
        <v>6.9</v>
      </c>
      <c r="H77" t="n">
        <v>0</v>
      </c>
      <c r="I77" t="n">
        <v>0</v>
      </c>
      <c r="J77" t="n">
        <v>0</v>
      </c>
      <c r="K77" t="n">
        <v>0</v>
      </c>
      <c r="L77" t="n">
        <v>0</v>
      </c>
      <c r="M77" t="n">
        <v>0</v>
      </c>
      <c r="N77" t="n">
        <v>0</v>
      </c>
      <c r="O77" t="n">
        <v>0</v>
      </c>
      <c r="P77" t="n">
        <v>0</v>
      </c>
      <c r="Q77" t="n">
        <v>0</v>
      </c>
      <c r="R77" s="2" t="inlineStr"/>
    </row>
    <row r="78" ht="15" customHeight="1">
      <c r="A78" t="inlineStr">
        <is>
          <t>A 71950-2021</t>
        </is>
      </c>
      <c r="B78" s="1" t="n">
        <v>44543</v>
      </c>
      <c r="C78" s="1" t="n">
        <v>45880</v>
      </c>
      <c r="D78" t="inlineStr">
        <is>
          <t>NORRBOTTENS LÄN</t>
        </is>
      </c>
      <c r="E78" t="inlineStr">
        <is>
          <t>JOKKMOKK</t>
        </is>
      </c>
      <c r="F78" t="inlineStr">
        <is>
          <t>Naturvårdsverket</t>
        </is>
      </c>
      <c r="G78" t="n">
        <v>13.3</v>
      </c>
      <c r="H78" t="n">
        <v>0</v>
      </c>
      <c r="I78" t="n">
        <v>0</v>
      </c>
      <c r="J78" t="n">
        <v>0</v>
      </c>
      <c r="K78" t="n">
        <v>0</v>
      </c>
      <c r="L78" t="n">
        <v>0</v>
      </c>
      <c r="M78" t="n">
        <v>0</v>
      </c>
      <c r="N78" t="n">
        <v>0</v>
      </c>
      <c r="O78" t="n">
        <v>0</v>
      </c>
      <c r="P78" t="n">
        <v>0</v>
      </c>
      <c r="Q78" t="n">
        <v>0</v>
      </c>
      <c r="R78" s="2" t="inlineStr"/>
    </row>
    <row r="79" ht="15" customHeight="1">
      <c r="A79" t="inlineStr">
        <is>
          <t>A 71921-2021</t>
        </is>
      </c>
      <c r="B79" s="1" t="n">
        <v>44543</v>
      </c>
      <c r="C79" s="1" t="n">
        <v>45880</v>
      </c>
      <c r="D79" t="inlineStr">
        <is>
          <t>NORRBOTTENS LÄN</t>
        </is>
      </c>
      <c r="E79" t="inlineStr">
        <is>
          <t>JOKKMOKK</t>
        </is>
      </c>
      <c r="F79" t="inlineStr">
        <is>
          <t>SCA</t>
        </is>
      </c>
      <c r="G79" t="n">
        <v>0.7</v>
      </c>
      <c r="H79" t="n">
        <v>0</v>
      </c>
      <c r="I79" t="n">
        <v>0</v>
      </c>
      <c r="J79" t="n">
        <v>0</v>
      </c>
      <c r="K79" t="n">
        <v>0</v>
      </c>
      <c r="L79" t="n">
        <v>0</v>
      </c>
      <c r="M79" t="n">
        <v>0</v>
      </c>
      <c r="N79" t="n">
        <v>0</v>
      </c>
      <c r="O79" t="n">
        <v>0</v>
      </c>
      <c r="P79" t="n">
        <v>0</v>
      </c>
      <c r="Q79" t="n">
        <v>0</v>
      </c>
      <c r="R79" s="2" t="inlineStr"/>
    </row>
    <row r="80" ht="15" customHeight="1">
      <c r="A80" t="inlineStr">
        <is>
          <t>A 71944-2021</t>
        </is>
      </c>
      <c r="B80" s="1" t="n">
        <v>44543</v>
      </c>
      <c r="C80" s="1" t="n">
        <v>45880</v>
      </c>
      <c r="D80" t="inlineStr">
        <is>
          <t>NORRBOTTENS LÄN</t>
        </is>
      </c>
      <c r="E80" t="inlineStr">
        <is>
          <t>JOKKMOKK</t>
        </is>
      </c>
      <c r="G80" t="n">
        <v>1.2</v>
      </c>
      <c r="H80" t="n">
        <v>0</v>
      </c>
      <c r="I80" t="n">
        <v>0</v>
      </c>
      <c r="J80" t="n">
        <v>0</v>
      </c>
      <c r="K80" t="n">
        <v>0</v>
      </c>
      <c r="L80" t="n">
        <v>0</v>
      </c>
      <c r="M80" t="n">
        <v>0</v>
      </c>
      <c r="N80" t="n">
        <v>0</v>
      </c>
      <c r="O80" t="n">
        <v>0</v>
      </c>
      <c r="P80" t="n">
        <v>0</v>
      </c>
      <c r="Q80" t="n">
        <v>0</v>
      </c>
      <c r="R80" s="2" t="inlineStr"/>
    </row>
    <row r="81" ht="15" customHeight="1">
      <c r="A81" t="inlineStr">
        <is>
          <t>A 8358-2021</t>
        </is>
      </c>
      <c r="B81" s="1" t="n">
        <v>44244</v>
      </c>
      <c r="C81" s="1" t="n">
        <v>45880</v>
      </c>
      <c r="D81" t="inlineStr">
        <is>
          <t>NORRBOTTENS LÄN</t>
        </is>
      </c>
      <c r="E81" t="inlineStr">
        <is>
          <t>JOKKMOKK</t>
        </is>
      </c>
      <c r="F81" t="inlineStr">
        <is>
          <t>SCA</t>
        </is>
      </c>
      <c r="G81" t="n">
        <v>4.5</v>
      </c>
      <c r="H81" t="n">
        <v>0</v>
      </c>
      <c r="I81" t="n">
        <v>0</v>
      </c>
      <c r="J81" t="n">
        <v>0</v>
      </c>
      <c r="K81" t="n">
        <v>0</v>
      </c>
      <c r="L81" t="n">
        <v>0</v>
      </c>
      <c r="M81" t="n">
        <v>0</v>
      </c>
      <c r="N81" t="n">
        <v>0</v>
      </c>
      <c r="O81" t="n">
        <v>0</v>
      </c>
      <c r="P81" t="n">
        <v>0</v>
      </c>
      <c r="Q81" t="n">
        <v>0</v>
      </c>
      <c r="R81" s="2" t="inlineStr"/>
    </row>
    <row r="82" ht="15" customHeight="1">
      <c r="A82" t="inlineStr">
        <is>
          <t>A 37798-2022</t>
        </is>
      </c>
      <c r="B82" s="1" t="n">
        <v>44810</v>
      </c>
      <c r="C82" s="1" t="n">
        <v>45880</v>
      </c>
      <c r="D82" t="inlineStr">
        <is>
          <t>NORRBOTTENS LÄN</t>
        </is>
      </c>
      <c r="E82" t="inlineStr">
        <is>
          <t>JOKKMOKK</t>
        </is>
      </c>
      <c r="G82" t="n">
        <v>0.3</v>
      </c>
      <c r="H82" t="n">
        <v>0</v>
      </c>
      <c r="I82" t="n">
        <v>0</v>
      </c>
      <c r="J82" t="n">
        <v>0</v>
      </c>
      <c r="K82" t="n">
        <v>0</v>
      </c>
      <c r="L82" t="n">
        <v>0</v>
      </c>
      <c r="M82" t="n">
        <v>0</v>
      </c>
      <c r="N82" t="n">
        <v>0</v>
      </c>
      <c r="O82" t="n">
        <v>0</v>
      </c>
      <c r="P82" t="n">
        <v>0</v>
      </c>
      <c r="Q82" t="n">
        <v>0</v>
      </c>
      <c r="R82" s="2" t="inlineStr"/>
    </row>
    <row r="83" ht="15" customHeight="1">
      <c r="A83" t="inlineStr">
        <is>
          <t>A 71936-2021</t>
        </is>
      </c>
      <c r="B83" s="1" t="n">
        <v>44543</v>
      </c>
      <c r="C83" s="1" t="n">
        <v>45880</v>
      </c>
      <c r="D83" t="inlineStr">
        <is>
          <t>NORRBOTTENS LÄN</t>
        </is>
      </c>
      <c r="E83" t="inlineStr">
        <is>
          <t>JOKKMOKK</t>
        </is>
      </c>
      <c r="F83" t="inlineStr">
        <is>
          <t>SCA</t>
        </is>
      </c>
      <c r="G83" t="n">
        <v>6.9</v>
      </c>
      <c r="H83" t="n">
        <v>0</v>
      </c>
      <c r="I83" t="n">
        <v>0</v>
      </c>
      <c r="J83" t="n">
        <v>0</v>
      </c>
      <c r="K83" t="n">
        <v>0</v>
      </c>
      <c r="L83" t="n">
        <v>0</v>
      </c>
      <c r="M83" t="n">
        <v>0</v>
      </c>
      <c r="N83" t="n">
        <v>0</v>
      </c>
      <c r="O83" t="n">
        <v>0</v>
      </c>
      <c r="P83" t="n">
        <v>0</v>
      </c>
      <c r="Q83" t="n">
        <v>0</v>
      </c>
      <c r="R83" s="2" t="inlineStr"/>
    </row>
    <row r="84" ht="15" customHeight="1">
      <c r="A84" t="inlineStr">
        <is>
          <t>A 3772-2022</t>
        </is>
      </c>
      <c r="B84" s="1" t="n">
        <v>44586</v>
      </c>
      <c r="C84" s="1" t="n">
        <v>45880</v>
      </c>
      <c r="D84" t="inlineStr">
        <is>
          <t>NORRBOTTENS LÄN</t>
        </is>
      </c>
      <c r="E84" t="inlineStr">
        <is>
          <t>JOKKMOKK</t>
        </is>
      </c>
      <c r="F84" t="inlineStr">
        <is>
          <t>SCA</t>
        </is>
      </c>
      <c r="G84" t="n">
        <v>2.4</v>
      </c>
      <c r="H84" t="n">
        <v>0</v>
      </c>
      <c r="I84" t="n">
        <v>0</v>
      </c>
      <c r="J84" t="n">
        <v>0</v>
      </c>
      <c r="K84" t="n">
        <v>0</v>
      </c>
      <c r="L84" t="n">
        <v>0</v>
      </c>
      <c r="M84" t="n">
        <v>0</v>
      </c>
      <c r="N84" t="n">
        <v>0</v>
      </c>
      <c r="O84" t="n">
        <v>0</v>
      </c>
      <c r="P84" t="n">
        <v>0</v>
      </c>
      <c r="Q84" t="n">
        <v>0</v>
      </c>
      <c r="R84" s="2" t="inlineStr"/>
    </row>
    <row r="85" ht="15" customHeight="1">
      <c r="A85" t="inlineStr">
        <is>
          <t>A 3776-2022</t>
        </is>
      </c>
      <c r="B85" s="1" t="n">
        <v>44586.93454861111</v>
      </c>
      <c r="C85" s="1" t="n">
        <v>45880</v>
      </c>
      <c r="D85" t="inlineStr">
        <is>
          <t>NORRBOTTENS LÄN</t>
        </is>
      </c>
      <c r="E85" t="inlineStr">
        <is>
          <t>JOKKMOKK</t>
        </is>
      </c>
      <c r="F85" t="inlineStr">
        <is>
          <t>SCA</t>
        </is>
      </c>
      <c r="G85" t="n">
        <v>8</v>
      </c>
      <c r="H85" t="n">
        <v>0</v>
      </c>
      <c r="I85" t="n">
        <v>0</v>
      </c>
      <c r="J85" t="n">
        <v>0</v>
      </c>
      <c r="K85" t="n">
        <v>0</v>
      </c>
      <c r="L85" t="n">
        <v>0</v>
      </c>
      <c r="M85" t="n">
        <v>0</v>
      </c>
      <c r="N85" t="n">
        <v>0</v>
      </c>
      <c r="O85" t="n">
        <v>0</v>
      </c>
      <c r="P85" t="n">
        <v>0</v>
      </c>
      <c r="Q85" t="n">
        <v>0</v>
      </c>
      <c r="R85" s="2" t="inlineStr"/>
    </row>
    <row r="86" ht="15" customHeight="1">
      <c r="A86" t="inlineStr">
        <is>
          <t>A 47252-2020</t>
        </is>
      </c>
      <c r="B86" s="1" t="n">
        <v>44096</v>
      </c>
      <c r="C86" s="1" t="n">
        <v>45880</v>
      </c>
      <c r="D86" t="inlineStr">
        <is>
          <t>NORRBOTTENS LÄN</t>
        </is>
      </c>
      <c r="E86" t="inlineStr">
        <is>
          <t>JOKKMOKK</t>
        </is>
      </c>
      <c r="F86" t="inlineStr">
        <is>
          <t>Övriga Aktiebolag</t>
        </is>
      </c>
      <c r="G86" t="n">
        <v>3.5</v>
      </c>
      <c r="H86" t="n">
        <v>0</v>
      </c>
      <c r="I86" t="n">
        <v>0</v>
      </c>
      <c r="J86" t="n">
        <v>0</v>
      </c>
      <c r="K86" t="n">
        <v>0</v>
      </c>
      <c r="L86" t="n">
        <v>0</v>
      </c>
      <c r="M86" t="n">
        <v>0</v>
      </c>
      <c r="N86" t="n">
        <v>0</v>
      </c>
      <c r="O86" t="n">
        <v>0</v>
      </c>
      <c r="P86" t="n">
        <v>0</v>
      </c>
      <c r="Q86" t="n">
        <v>0</v>
      </c>
      <c r="R86" s="2" t="inlineStr"/>
    </row>
    <row r="87" ht="15" customHeight="1">
      <c r="A87" t="inlineStr">
        <is>
          <t>A 62038-2020</t>
        </is>
      </c>
      <c r="B87" s="1" t="n">
        <v>44158</v>
      </c>
      <c r="C87" s="1" t="n">
        <v>45880</v>
      </c>
      <c r="D87" t="inlineStr">
        <is>
          <t>NORRBOTTENS LÄN</t>
        </is>
      </c>
      <c r="E87" t="inlineStr">
        <is>
          <t>JOKKMOKK</t>
        </is>
      </c>
      <c r="F87" t="inlineStr">
        <is>
          <t>Övriga Aktiebolag</t>
        </is>
      </c>
      <c r="G87" t="n">
        <v>7.3</v>
      </c>
      <c r="H87" t="n">
        <v>0</v>
      </c>
      <c r="I87" t="n">
        <v>0</v>
      </c>
      <c r="J87" t="n">
        <v>0</v>
      </c>
      <c r="K87" t="n">
        <v>0</v>
      </c>
      <c r="L87" t="n">
        <v>0</v>
      </c>
      <c r="M87" t="n">
        <v>0</v>
      </c>
      <c r="N87" t="n">
        <v>0</v>
      </c>
      <c r="O87" t="n">
        <v>0</v>
      </c>
      <c r="P87" t="n">
        <v>0</v>
      </c>
      <c r="Q87" t="n">
        <v>0</v>
      </c>
      <c r="R87" s="2" t="inlineStr"/>
    </row>
    <row r="88" ht="15" customHeight="1">
      <c r="A88" t="inlineStr">
        <is>
          <t>A 29955-2021</t>
        </is>
      </c>
      <c r="B88" s="1" t="n">
        <v>44362</v>
      </c>
      <c r="C88" s="1" t="n">
        <v>45880</v>
      </c>
      <c r="D88" t="inlineStr">
        <is>
          <t>NORRBOTTENS LÄN</t>
        </is>
      </c>
      <c r="E88" t="inlineStr">
        <is>
          <t>JOKKMOKK</t>
        </is>
      </c>
      <c r="G88" t="n">
        <v>14.1</v>
      </c>
      <c r="H88" t="n">
        <v>0</v>
      </c>
      <c r="I88" t="n">
        <v>0</v>
      </c>
      <c r="J88" t="n">
        <v>0</v>
      </c>
      <c r="K88" t="n">
        <v>0</v>
      </c>
      <c r="L88" t="n">
        <v>0</v>
      </c>
      <c r="M88" t="n">
        <v>0</v>
      </c>
      <c r="N88" t="n">
        <v>0</v>
      </c>
      <c r="O88" t="n">
        <v>0</v>
      </c>
      <c r="P88" t="n">
        <v>0</v>
      </c>
      <c r="Q88" t="n">
        <v>0</v>
      </c>
      <c r="R88" s="2" t="inlineStr"/>
    </row>
    <row r="89" ht="15" customHeight="1">
      <c r="A89" t="inlineStr">
        <is>
          <t>A 46375-2020</t>
        </is>
      </c>
      <c r="B89" s="1" t="n">
        <v>44092</v>
      </c>
      <c r="C89" s="1" t="n">
        <v>45880</v>
      </c>
      <c r="D89" t="inlineStr">
        <is>
          <t>NORRBOTTENS LÄN</t>
        </is>
      </c>
      <c r="E89" t="inlineStr">
        <is>
          <t>JOKKMOKK</t>
        </is>
      </c>
      <c r="F89" t="inlineStr">
        <is>
          <t>SCA</t>
        </is>
      </c>
      <c r="G89" t="n">
        <v>25.4</v>
      </c>
      <c r="H89" t="n">
        <v>0</v>
      </c>
      <c r="I89" t="n">
        <v>0</v>
      </c>
      <c r="J89" t="n">
        <v>0</v>
      </c>
      <c r="K89" t="n">
        <v>0</v>
      </c>
      <c r="L89" t="n">
        <v>0</v>
      </c>
      <c r="M89" t="n">
        <v>0</v>
      </c>
      <c r="N89" t="n">
        <v>0</v>
      </c>
      <c r="O89" t="n">
        <v>0</v>
      </c>
      <c r="P89" t="n">
        <v>0</v>
      </c>
      <c r="Q89" t="n">
        <v>0</v>
      </c>
      <c r="R89" s="2" t="inlineStr"/>
    </row>
    <row r="90" ht="15" customHeight="1">
      <c r="A90" t="inlineStr">
        <is>
          <t>A 54863-2020</t>
        </is>
      </c>
      <c r="B90" s="1" t="n">
        <v>44126</v>
      </c>
      <c r="C90" s="1" t="n">
        <v>45880</v>
      </c>
      <c r="D90" t="inlineStr">
        <is>
          <t>NORRBOTTENS LÄN</t>
        </is>
      </c>
      <c r="E90" t="inlineStr">
        <is>
          <t>JOKKMOKK</t>
        </is>
      </c>
      <c r="F90" t="inlineStr">
        <is>
          <t>Allmännings- och besparingsskogar</t>
        </is>
      </c>
      <c r="G90" t="n">
        <v>43.3</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45880</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58578-2020</t>
        </is>
      </c>
      <c r="B92" s="1" t="n">
        <v>44144</v>
      </c>
      <c r="C92" s="1" t="n">
        <v>45880</v>
      </c>
      <c r="D92" t="inlineStr">
        <is>
          <t>NORRBOTTENS LÄN</t>
        </is>
      </c>
      <c r="E92" t="inlineStr">
        <is>
          <t>JOKKMOKK</t>
        </is>
      </c>
      <c r="F92" t="inlineStr">
        <is>
          <t>Övriga statliga verk och myndigheter</t>
        </is>
      </c>
      <c r="G92" t="n">
        <v>20.4</v>
      </c>
      <c r="H92" t="n">
        <v>0</v>
      </c>
      <c r="I92" t="n">
        <v>0</v>
      </c>
      <c r="J92" t="n">
        <v>0</v>
      </c>
      <c r="K92" t="n">
        <v>0</v>
      </c>
      <c r="L92" t="n">
        <v>0</v>
      </c>
      <c r="M92" t="n">
        <v>0</v>
      </c>
      <c r="N92" t="n">
        <v>0</v>
      </c>
      <c r="O92" t="n">
        <v>0</v>
      </c>
      <c r="P92" t="n">
        <v>0</v>
      </c>
      <c r="Q92" t="n">
        <v>0</v>
      </c>
      <c r="R92" s="2" t="inlineStr"/>
    </row>
    <row r="93" ht="15" customHeight="1">
      <c r="A93" t="inlineStr">
        <is>
          <t>A 18248-2022</t>
        </is>
      </c>
      <c r="B93" s="1" t="n">
        <v>44685</v>
      </c>
      <c r="C93" s="1" t="n">
        <v>45880</v>
      </c>
      <c r="D93" t="inlineStr">
        <is>
          <t>NORRBOTTENS LÄN</t>
        </is>
      </c>
      <c r="E93" t="inlineStr">
        <is>
          <t>JOKKMOKK</t>
        </is>
      </c>
      <c r="F93" t="inlineStr">
        <is>
          <t>Övriga statliga verk och myndigheter</t>
        </is>
      </c>
      <c r="G93" t="n">
        <v>1</v>
      </c>
      <c r="H93" t="n">
        <v>0</v>
      </c>
      <c r="I93" t="n">
        <v>0</v>
      </c>
      <c r="J93" t="n">
        <v>0</v>
      </c>
      <c r="K93" t="n">
        <v>0</v>
      </c>
      <c r="L93" t="n">
        <v>0</v>
      </c>
      <c r="M93" t="n">
        <v>0</v>
      </c>
      <c r="N93" t="n">
        <v>0</v>
      </c>
      <c r="O93" t="n">
        <v>0</v>
      </c>
      <c r="P93" t="n">
        <v>0</v>
      </c>
      <c r="Q93" t="n">
        <v>0</v>
      </c>
      <c r="R93" s="2" t="inlineStr"/>
    </row>
    <row r="94" ht="15" customHeight="1">
      <c r="A94" t="inlineStr">
        <is>
          <t>A 38711-2020</t>
        </is>
      </c>
      <c r="B94" s="1" t="n">
        <v>44061</v>
      </c>
      <c r="C94" s="1" t="n">
        <v>45880</v>
      </c>
      <c r="D94" t="inlineStr">
        <is>
          <t>NORRBOTTENS LÄN</t>
        </is>
      </c>
      <c r="E94" t="inlineStr">
        <is>
          <t>JOKKMOKK</t>
        </is>
      </c>
      <c r="F94" t="inlineStr">
        <is>
          <t>Övriga statliga verk och myndigheter</t>
        </is>
      </c>
      <c r="G94" t="n">
        <v>16.1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45880</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45880</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45880</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45880</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45880</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45880</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45880</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45880</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45880</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45880</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45880</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45880</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45880</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45880</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45880</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45880</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46097-2020</t>
        </is>
      </c>
      <c r="B111" s="1" t="n">
        <v>44088</v>
      </c>
      <c r="C111" s="1" t="n">
        <v>45880</v>
      </c>
      <c r="D111" t="inlineStr">
        <is>
          <t>NORRBOTTENS LÄN</t>
        </is>
      </c>
      <c r="E111" t="inlineStr">
        <is>
          <t>JOKKMOKK</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45880</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45880</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45880</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45880</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65542-2020</t>
        </is>
      </c>
      <c r="B116" s="1" t="n">
        <v>44173</v>
      </c>
      <c r="C116" s="1" t="n">
        <v>45880</v>
      </c>
      <c r="D116" t="inlineStr">
        <is>
          <t>NORRBOTTENS LÄN</t>
        </is>
      </c>
      <c r="E116" t="inlineStr">
        <is>
          <t>JOKKMOKK</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45880</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45880</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45880</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45880</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27781-2022</t>
        </is>
      </c>
      <c r="B121" s="1" t="n">
        <v>44743</v>
      </c>
      <c r="C121" s="1" t="n">
        <v>45880</v>
      </c>
      <c r="D121" t="inlineStr">
        <is>
          <t>NORRBOTTENS LÄN</t>
        </is>
      </c>
      <c r="E121" t="inlineStr">
        <is>
          <t>JOKKMOKK</t>
        </is>
      </c>
      <c r="F121" t="inlineStr">
        <is>
          <t>Sveaskog</t>
        </is>
      </c>
      <c r="G121" t="n">
        <v>0.1</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45880</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45880</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45880</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45880</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45880</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23204-2024</t>
        </is>
      </c>
      <c r="B127" s="1" t="n">
        <v>45451</v>
      </c>
      <c r="C127" s="1" t="n">
        <v>45880</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30291-2023</t>
        </is>
      </c>
      <c r="B128" s="1" t="n">
        <v>45110.92523148148</v>
      </c>
      <c r="C128" s="1" t="n">
        <v>45880</v>
      </c>
      <c r="D128" t="inlineStr">
        <is>
          <t>NORRBOTTENS LÄN</t>
        </is>
      </c>
      <c r="E128" t="inlineStr">
        <is>
          <t>JOKKMOKK</t>
        </is>
      </c>
      <c r="G128" t="n">
        <v>1.6</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45880</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2031-2025</t>
        </is>
      </c>
      <c r="B130" s="1" t="n">
        <v>45672</v>
      </c>
      <c r="C130" s="1" t="n">
        <v>45880</v>
      </c>
      <c r="D130" t="inlineStr">
        <is>
          <t>NORRBOTTENS LÄN</t>
        </is>
      </c>
      <c r="E130" t="inlineStr">
        <is>
          <t>JOKKMOKK</t>
        </is>
      </c>
      <c r="F130" t="inlineStr">
        <is>
          <t>Övriga statliga verk och myndigheter</t>
        </is>
      </c>
      <c r="G130" t="n">
        <v>7.5</v>
      </c>
      <c r="H130" t="n">
        <v>0</v>
      </c>
      <c r="I130" t="n">
        <v>0</v>
      </c>
      <c r="J130" t="n">
        <v>0</v>
      </c>
      <c r="K130" t="n">
        <v>0</v>
      </c>
      <c r="L130" t="n">
        <v>0</v>
      </c>
      <c r="M130" t="n">
        <v>0</v>
      </c>
      <c r="N130" t="n">
        <v>0</v>
      </c>
      <c r="O130" t="n">
        <v>0</v>
      </c>
      <c r="P130" t="n">
        <v>0</v>
      </c>
      <c r="Q130" t="n">
        <v>0</v>
      </c>
      <c r="R130" s="2" t="inlineStr"/>
    </row>
    <row r="131" ht="15" customHeight="1">
      <c r="A131" t="inlineStr">
        <is>
          <t>A 52289-2024</t>
        </is>
      </c>
      <c r="B131" s="1" t="n">
        <v>45608.69555555555</v>
      </c>
      <c r="C131" s="1" t="n">
        <v>45880</v>
      </c>
      <c r="D131" t="inlineStr">
        <is>
          <t>NORRBOTTENS LÄN</t>
        </is>
      </c>
      <c r="E131" t="inlineStr">
        <is>
          <t>JOKKMOKK</t>
        </is>
      </c>
      <c r="F131" t="inlineStr">
        <is>
          <t>Allmännings- och besparingsskogar</t>
        </is>
      </c>
      <c r="G131" t="n">
        <v>11.6</v>
      </c>
      <c r="H131" t="n">
        <v>0</v>
      </c>
      <c r="I131" t="n">
        <v>0</v>
      </c>
      <c r="J131" t="n">
        <v>0</v>
      </c>
      <c r="K131" t="n">
        <v>0</v>
      </c>
      <c r="L131" t="n">
        <v>0</v>
      </c>
      <c r="M131" t="n">
        <v>0</v>
      </c>
      <c r="N131" t="n">
        <v>0</v>
      </c>
      <c r="O131" t="n">
        <v>0</v>
      </c>
      <c r="P131" t="n">
        <v>0</v>
      </c>
      <c r="Q131" t="n">
        <v>0</v>
      </c>
      <c r="R131" s="2" t="inlineStr"/>
    </row>
    <row r="132" ht="15" customHeight="1">
      <c r="A132" t="inlineStr">
        <is>
          <t>A 25720-2023</t>
        </is>
      </c>
      <c r="B132" s="1" t="n">
        <v>45090</v>
      </c>
      <c r="C132" s="1" t="n">
        <v>45880</v>
      </c>
      <c r="D132" t="inlineStr">
        <is>
          <t>NORRBOTTENS LÄN</t>
        </is>
      </c>
      <c r="E132" t="inlineStr">
        <is>
          <t>JOKKMOKK</t>
        </is>
      </c>
      <c r="G132" t="n">
        <v>2.1</v>
      </c>
      <c r="H132" t="n">
        <v>0</v>
      </c>
      <c r="I132" t="n">
        <v>0</v>
      </c>
      <c r="J132" t="n">
        <v>0</v>
      </c>
      <c r="K132" t="n">
        <v>0</v>
      </c>
      <c r="L132" t="n">
        <v>0</v>
      </c>
      <c r="M132" t="n">
        <v>0</v>
      </c>
      <c r="N132" t="n">
        <v>0</v>
      </c>
      <c r="O132" t="n">
        <v>0</v>
      </c>
      <c r="P132" t="n">
        <v>0</v>
      </c>
      <c r="Q132" t="n">
        <v>0</v>
      </c>
      <c r="R132" s="2" t="inlineStr"/>
    </row>
    <row r="133" ht="15" customHeight="1">
      <c r="A133" t="inlineStr">
        <is>
          <t>A 29212-2024</t>
        </is>
      </c>
      <c r="B133" s="1" t="n">
        <v>45482</v>
      </c>
      <c r="C133" s="1" t="n">
        <v>45880</v>
      </c>
      <c r="D133" t="inlineStr">
        <is>
          <t>NORRBOTTENS LÄN</t>
        </is>
      </c>
      <c r="E133" t="inlineStr">
        <is>
          <t>JOKKMOKK</t>
        </is>
      </c>
      <c r="G133" t="n">
        <v>8.5</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45880</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32853-2024</t>
        </is>
      </c>
      <c r="B135" s="1" t="n">
        <v>45516.63964120371</v>
      </c>
      <c r="C135" s="1" t="n">
        <v>45880</v>
      </c>
      <c r="D135" t="inlineStr">
        <is>
          <t>NORRBOTTENS LÄN</t>
        </is>
      </c>
      <c r="E135" t="inlineStr">
        <is>
          <t>JOKKMOKK</t>
        </is>
      </c>
      <c r="F135" t="inlineStr">
        <is>
          <t>Sveaskog</t>
        </is>
      </c>
      <c r="G135" t="n">
        <v>40.4</v>
      </c>
      <c r="H135" t="n">
        <v>0</v>
      </c>
      <c r="I135" t="n">
        <v>0</v>
      </c>
      <c r="J135" t="n">
        <v>0</v>
      </c>
      <c r="K135" t="n">
        <v>0</v>
      </c>
      <c r="L135" t="n">
        <v>0</v>
      </c>
      <c r="M135" t="n">
        <v>0</v>
      </c>
      <c r="N135" t="n">
        <v>0</v>
      </c>
      <c r="O135" t="n">
        <v>0</v>
      </c>
      <c r="P135" t="n">
        <v>0</v>
      </c>
      <c r="Q135" t="n">
        <v>0</v>
      </c>
      <c r="R135" s="2" t="inlineStr"/>
    </row>
    <row r="136" ht="15" customHeight="1">
      <c r="A136" t="inlineStr">
        <is>
          <t>A 3206-2025</t>
        </is>
      </c>
      <c r="B136" s="1" t="n">
        <v>45679</v>
      </c>
      <c r="C136" s="1" t="n">
        <v>45880</v>
      </c>
      <c r="D136" t="inlineStr">
        <is>
          <t>NORRBOTTENS LÄN</t>
        </is>
      </c>
      <c r="E136" t="inlineStr">
        <is>
          <t>JOKKMOKK</t>
        </is>
      </c>
      <c r="F136" t="inlineStr">
        <is>
          <t>SCA</t>
        </is>
      </c>
      <c r="G136" t="n">
        <v>9.1</v>
      </c>
      <c r="H136" t="n">
        <v>0</v>
      </c>
      <c r="I136" t="n">
        <v>0</v>
      </c>
      <c r="J136" t="n">
        <v>0</v>
      </c>
      <c r="K136" t="n">
        <v>0</v>
      </c>
      <c r="L136" t="n">
        <v>0</v>
      </c>
      <c r="M136" t="n">
        <v>0</v>
      </c>
      <c r="N136" t="n">
        <v>0</v>
      </c>
      <c r="O136" t="n">
        <v>0</v>
      </c>
      <c r="P136" t="n">
        <v>0</v>
      </c>
      <c r="Q136" t="n">
        <v>0</v>
      </c>
      <c r="R136" s="2" t="inlineStr"/>
    </row>
    <row r="137" ht="15" customHeight="1">
      <c r="A137" t="inlineStr">
        <is>
          <t>A 36113-2024</t>
        </is>
      </c>
      <c r="B137" s="1" t="n">
        <v>45534.30302083334</v>
      </c>
      <c r="C137" s="1" t="n">
        <v>45880</v>
      </c>
      <c r="D137" t="inlineStr">
        <is>
          <t>NORRBOTTENS LÄN</t>
        </is>
      </c>
      <c r="E137" t="inlineStr">
        <is>
          <t>JOKKMOKK</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27651-2024</t>
        </is>
      </c>
      <c r="B138" s="1" t="n">
        <v>45474</v>
      </c>
      <c r="C138" s="1" t="n">
        <v>45880</v>
      </c>
      <c r="D138" t="inlineStr">
        <is>
          <t>NORRBOTTENS LÄN</t>
        </is>
      </c>
      <c r="E138" t="inlineStr">
        <is>
          <t>JOKKMOKK</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10630-2025</t>
        </is>
      </c>
      <c r="B139" s="1" t="n">
        <v>45721.63606481482</v>
      </c>
      <c r="C139" s="1" t="n">
        <v>45880</v>
      </c>
      <c r="D139" t="inlineStr">
        <is>
          <t>NORRBOTTENS LÄN</t>
        </is>
      </c>
      <c r="E139" t="inlineStr">
        <is>
          <t>JOKKMOKK</t>
        </is>
      </c>
      <c r="G139" t="n">
        <v>1.7</v>
      </c>
      <c r="H139" t="n">
        <v>0</v>
      </c>
      <c r="I139" t="n">
        <v>0</v>
      </c>
      <c r="J139" t="n">
        <v>0</v>
      </c>
      <c r="K139" t="n">
        <v>0</v>
      </c>
      <c r="L139" t="n">
        <v>0</v>
      </c>
      <c r="M139" t="n">
        <v>0</v>
      </c>
      <c r="N139" t="n">
        <v>0</v>
      </c>
      <c r="O139" t="n">
        <v>0</v>
      </c>
      <c r="P139" t="n">
        <v>0</v>
      </c>
      <c r="Q139" t="n">
        <v>0</v>
      </c>
      <c r="R139" s="2" t="inlineStr"/>
    </row>
    <row r="140" ht="15" customHeight="1">
      <c r="A140" t="inlineStr">
        <is>
          <t>A 33827-2024</t>
        </is>
      </c>
      <c r="B140" s="1" t="n">
        <v>45520</v>
      </c>
      <c r="C140" s="1" t="n">
        <v>45880</v>
      </c>
      <c r="D140" t="inlineStr">
        <is>
          <t>NORRBOTTENS LÄN</t>
        </is>
      </c>
      <c r="E140" t="inlineStr">
        <is>
          <t>JOKKMOKK</t>
        </is>
      </c>
      <c r="F140" t="inlineStr">
        <is>
          <t>SCA</t>
        </is>
      </c>
      <c r="G140" t="n">
        <v>12.8</v>
      </c>
      <c r="H140" t="n">
        <v>0</v>
      </c>
      <c r="I140" t="n">
        <v>0</v>
      </c>
      <c r="J140" t="n">
        <v>0</v>
      </c>
      <c r="K140" t="n">
        <v>0</v>
      </c>
      <c r="L140" t="n">
        <v>0</v>
      </c>
      <c r="M140" t="n">
        <v>0</v>
      </c>
      <c r="N140" t="n">
        <v>0</v>
      </c>
      <c r="O140" t="n">
        <v>0</v>
      </c>
      <c r="P140" t="n">
        <v>0</v>
      </c>
      <c r="Q140" t="n">
        <v>0</v>
      </c>
      <c r="R140" s="2" t="inlineStr"/>
    </row>
    <row r="141" ht="15" customHeight="1">
      <c r="A141" t="inlineStr">
        <is>
          <t>A 48586-2022</t>
        </is>
      </c>
      <c r="B141" s="1" t="n">
        <v>44854</v>
      </c>
      <c r="C141" s="1" t="n">
        <v>45880</v>
      </c>
      <c r="D141" t="inlineStr">
        <is>
          <t>NORRBOTTENS LÄN</t>
        </is>
      </c>
      <c r="E141" t="inlineStr">
        <is>
          <t>JOKKMOKK</t>
        </is>
      </c>
      <c r="F141" t="inlineStr">
        <is>
          <t>Övriga statliga verk och myndigheter</t>
        </is>
      </c>
      <c r="G141" t="n">
        <v>26.1</v>
      </c>
      <c r="H141" t="n">
        <v>0</v>
      </c>
      <c r="I141" t="n">
        <v>0</v>
      </c>
      <c r="J141" t="n">
        <v>0</v>
      </c>
      <c r="K141" t="n">
        <v>0</v>
      </c>
      <c r="L141" t="n">
        <v>0</v>
      </c>
      <c r="M141" t="n">
        <v>0</v>
      </c>
      <c r="N141" t="n">
        <v>0</v>
      </c>
      <c r="O141" t="n">
        <v>0</v>
      </c>
      <c r="P141" t="n">
        <v>0</v>
      </c>
      <c r="Q141" t="n">
        <v>0</v>
      </c>
      <c r="R141" s="2" t="inlineStr"/>
    </row>
    <row r="142" ht="15" customHeight="1">
      <c r="A142" t="inlineStr">
        <is>
          <t>A 20270-2025</t>
        </is>
      </c>
      <c r="B142" s="1" t="n">
        <v>45773.71444444444</v>
      </c>
      <c r="C142" s="1" t="n">
        <v>45880</v>
      </c>
      <c r="D142" t="inlineStr">
        <is>
          <t>NORRBOTTENS LÄN</t>
        </is>
      </c>
      <c r="E142" t="inlineStr">
        <is>
          <t>JOKKMOKK</t>
        </is>
      </c>
      <c r="G142" t="n">
        <v>90.09999999999999</v>
      </c>
      <c r="H142" t="n">
        <v>0</v>
      </c>
      <c r="I142" t="n">
        <v>0</v>
      </c>
      <c r="J142" t="n">
        <v>0</v>
      </c>
      <c r="K142" t="n">
        <v>0</v>
      </c>
      <c r="L142" t="n">
        <v>0</v>
      </c>
      <c r="M142" t="n">
        <v>0</v>
      </c>
      <c r="N142" t="n">
        <v>0</v>
      </c>
      <c r="O142" t="n">
        <v>0</v>
      </c>
      <c r="P142" t="n">
        <v>0</v>
      </c>
      <c r="Q142" t="n">
        <v>0</v>
      </c>
      <c r="R142" s="2" t="inlineStr"/>
    </row>
    <row r="143" ht="15" customHeight="1">
      <c r="A143" t="inlineStr">
        <is>
          <t>A 46442-2023</t>
        </is>
      </c>
      <c r="B143" s="1" t="n">
        <v>45197.59248842593</v>
      </c>
      <c r="C143" s="1" t="n">
        <v>45880</v>
      </c>
      <c r="D143" t="inlineStr">
        <is>
          <t>NORRBOTTENS LÄN</t>
        </is>
      </c>
      <c r="E143" t="inlineStr">
        <is>
          <t>JOKKMOKK</t>
        </is>
      </c>
      <c r="G143" t="n">
        <v>6.4</v>
      </c>
      <c r="H143" t="n">
        <v>0</v>
      </c>
      <c r="I143" t="n">
        <v>0</v>
      </c>
      <c r="J143" t="n">
        <v>0</v>
      </c>
      <c r="K143" t="n">
        <v>0</v>
      </c>
      <c r="L143" t="n">
        <v>0</v>
      </c>
      <c r="M143" t="n">
        <v>0</v>
      </c>
      <c r="N143" t="n">
        <v>0</v>
      </c>
      <c r="O143" t="n">
        <v>0</v>
      </c>
      <c r="P143" t="n">
        <v>0</v>
      </c>
      <c r="Q143" t="n">
        <v>0</v>
      </c>
      <c r="R143" s="2" t="inlineStr"/>
    </row>
    <row r="144" ht="15" customHeight="1">
      <c r="A144" t="inlineStr">
        <is>
          <t>A 52564-2024</t>
        </is>
      </c>
      <c r="B144" s="1" t="n">
        <v>45609</v>
      </c>
      <c r="C144" s="1" t="n">
        <v>45880</v>
      </c>
      <c r="D144" t="inlineStr">
        <is>
          <t>NORRBOTTENS LÄN</t>
        </is>
      </c>
      <c r="E144" t="inlineStr">
        <is>
          <t>JOKKMOKK</t>
        </is>
      </c>
      <c r="F144" t="inlineStr">
        <is>
          <t>Allmännings- och besparingsskogar</t>
        </is>
      </c>
      <c r="G144" t="n">
        <v>16.5</v>
      </c>
      <c r="H144" t="n">
        <v>0</v>
      </c>
      <c r="I144" t="n">
        <v>0</v>
      </c>
      <c r="J144" t="n">
        <v>0</v>
      </c>
      <c r="K144" t="n">
        <v>0</v>
      </c>
      <c r="L144" t="n">
        <v>0</v>
      </c>
      <c r="M144" t="n">
        <v>0</v>
      </c>
      <c r="N144" t="n">
        <v>0</v>
      </c>
      <c r="O144" t="n">
        <v>0</v>
      </c>
      <c r="P144" t="n">
        <v>0</v>
      </c>
      <c r="Q144" t="n">
        <v>0</v>
      </c>
      <c r="R144" s="2" t="inlineStr"/>
    </row>
    <row r="145" ht="15" customHeight="1">
      <c r="A145" t="inlineStr">
        <is>
          <t>A 50716-2022</t>
        </is>
      </c>
      <c r="B145" s="1" t="n">
        <v>44862</v>
      </c>
      <c r="C145" s="1" t="n">
        <v>45880</v>
      </c>
      <c r="D145" t="inlineStr">
        <is>
          <t>NORRBOTTENS LÄN</t>
        </is>
      </c>
      <c r="E145" t="inlineStr">
        <is>
          <t>JOKKMOKK</t>
        </is>
      </c>
      <c r="G145" t="n">
        <v>30.2</v>
      </c>
      <c r="H145" t="n">
        <v>0</v>
      </c>
      <c r="I145" t="n">
        <v>0</v>
      </c>
      <c r="J145" t="n">
        <v>0</v>
      </c>
      <c r="K145" t="n">
        <v>0</v>
      </c>
      <c r="L145" t="n">
        <v>0</v>
      </c>
      <c r="M145" t="n">
        <v>0</v>
      </c>
      <c r="N145" t="n">
        <v>0</v>
      </c>
      <c r="O145" t="n">
        <v>0</v>
      </c>
      <c r="P145" t="n">
        <v>0</v>
      </c>
      <c r="Q145" t="n">
        <v>0</v>
      </c>
      <c r="R145" s="2" t="inlineStr"/>
    </row>
    <row r="146" ht="15" customHeight="1">
      <c r="A146" t="inlineStr">
        <is>
          <t>A 32915-2024</t>
        </is>
      </c>
      <c r="B146" s="1" t="n">
        <v>45516</v>
      </c>
      <c r="C146" s="1" t="n">
        <v>45880</v>
      </c>
      <c r="D146" t="inlineStr">
        <is>
          <t>NORRBOTTENS LÄN</t>
        </is>
      </c>
      <c r="E146" t="inlineStr">
        <is>
          <t>JOKKMOKK</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25722-2024</t>
        </is>
      </c>
      <c r="B147" s="1" t="n">
        <v>45463</v>
      </c>
      <c r="C147" s="1" t="n">
        <v>45880</v>
      </c>
      <c r="D147" t="inlineStr">
        <is>
          <t>NORRBOTTENS LÄN</t>
        </is>
      </c>
      <c r="E147" t="inlineStr">
        <is>
          <t>JOKKMOKK</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14567-2024</t>
        </is>
      </c>
      <c r="B148" s="1" t="n">
        <v>45394</v>
      </c>
      <c r="C148" s="1" t="n">
        <v>45880</v>
      </c>
      <c r="D148" t="inlineStr">
        <is>
          <t>NORRBOTTENS LÄN</t>
        </is>
      </c>
      <c r="E148" t="inlineStr">
        <is>
          <t>JOKKMOKK</t>
        </is>
      </c>
      <c r="G148" t="n">
        <v>24.5</v>
      </c>
      <c r="H148" t="n">
        <v>0</v>
      </c>
      <c r="I148" t="n">
        <v>0</v>
      </c>
      <c r="J148" t="n">
        <v>0</v>
      </c>
      <c r="K148" t="n">
        <v>0</v>
      </c>
      <c r="L148" t="n">
        <v>0</v>
      </c>
      <c r="M148" t="n">
        <v>0</v>
      </c>
      <c r="N148" t="n">
        <v>0</v>
      </c>
      <c r="O148" t="n">
        <v>0</v>
      </c>
      <c r="P148" t="n">
        <v>0</v>
      </c>
      <c r="Q148" t="n">
        <v>0</v>
      </c>
      <c r="R148" s="2" t="inlineStr"/>
    </row>
    <row r="149" ht="15" customHeight="1">
      <c r="A149" t="inlineStr">
        <is>
          <t>A 45510-2022</t>
        </is>
      </c>
      <c r="B149" s="1" t="n">
        <v>44841</v>
      </c>
      <c r="C149" s="1" t="n">
        <v>45880</v>
      </c>
      <c r="D149" t="inlineStr">
        <is>
          <t>NORRBOTTENS LÄN</t>
        </is>
      </c>
      <c r="E149" t="inlineStr">
        <is>
          <t>JOKKMOKK</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40836-2022</t>
        </is>
      </c>
      <c r="B150" s="1" t="n">
        <v>44824</v>
      </c>
      <c r="C150" s="1" t="n">
        <v>45880</v>
      </c>
      <c r="D150" t="inlineStr">
        <is>
          <t>NORRBOTTENS LÄN</t>
        </is>
      </c>
      <c r="E150" t="inlineStr">
        <is>
          <t>JOKKMOKK</t>
        </is>
      </c>
      <c r="F150" t="inlineStr">
        <is>
          <t>SCA</t>
        </is>
      </c>
      <c r="G150" t="n">
        <v>229.8</v>
      </c>
      <c r="H150" t="n">
        <v>0</v>
      </c>
      <c r="I150" t="n">
        <v>0</v>
      </c>
      <c r="J150" t="n">
        <v>0</v>
      </c>
      <c r="K150" t="n">
        <v>0</v>
      </c>
      <c r="L150" t="n">
        <v>0</v>
      </c>
      <c r="M150" t="n">
        <v>0</v>
      </c>
      <c r="N150" t="n">
        <v>0</v>
      </c>
      <c r="O150" t="n">
        <v>0</v>
      </c>
      <c r="P150" t="n">
        <v>0</v>
      </c>
      <c r="Q150" t="n">
        <v>0</v>
      </c>
      <c r="R150" s="2" t="inlineStr"/>
    </row>
    <row r="151" ht="15" customHeight="1">
      <c r="A151" t="inlineStr">
        <is>
          <t>A 16336-2023</t>
        </is>
      </c>
      <c r="B151" s="1" t="n">
        <v>45022</v>
      </c>
      <c r="C151" s="1" t="n">
        <v>45880</v>
      </c>
      <c r="D151" t="inlineStr">
        <is>
          <t>NORRBOTTENS LÄN</t>
        </is>
      </c>
      <c r="E151" t="inlineStr">
        <is>
          <t>JOKKMOKK</t>
        </is>
      </c>
      <c r="F151" t="inlineStr">
        <is>
          <t>Övriga statliga verk och myndigheter</t>
        </is>
      </c>
      <c r="G151" t="n">
        <v>130.2</v>
      </c>
      <c r="H151" t="n">
        <v>0</v>
      </c>
      <c r="I151" t="n">
        <v>0</v>
      </c>
      <c r="J151" t="n">
        <v>0</v>
      </c>
      <c r="K151" t="n">
        <v>0</v>
      </c>
      <c r="L151" t="n">
        <v>0</v>
      </c>
      <c r="M151" t="n">
        <v>0</v>
      </c>
      <c r="N151" t="n">
        <v>0</v>
      </c>
      <c r="O151" t="n">
        <v>0</v>
      </c>
      <c r="P151" t="n">
        <v>0</v>
      </c>
      <c r="Q151" t="n">
        <v>0</v>
      </c>
      <c r="R151" s="2" t="inlineStr"/>
    </row>
    <row r="152" ht="15" customHeight="1">
      <c r="A152" t="inlineStr">
        <is>
          <t>A 53100-2022</t>
        </is>
      </c>
      <c r="B152" s="1" t="n">
        <v>44873</v>
      </c>
      <c r="C152" s="1" t="n">
        <v>45880</v>
      </c>
      <c r="D152" t="inlineStr">
        <is>
          <t>NORRBOTTENS LÄN</t>
        </is>
      </c>
      <c r="E152" t="inlineStr">
        <is>
          <t>JOKKMOKK</t>
        </is>
      </c>
      <c r="F152" t="inlineStr">
        <is>
          <t>Övriga statliga verk och myndigheter</t>
        </is>
      </c>
      <c r="G152" t="n">
        <v>37.1</v>
      </c>
      <c r="H152" t="n">
        <v>0</v>
      </c>
      <c r="I152" t="n">
        <v>0</v>
      </c>
      <c r="J152" t="n">
        <v>0</v>
      </c>
      <c r="K152" t="n">
        <v>0</v>
      </c>
      <c r="L152" t="n">
        <v>0</v>
      </c>
      <c r="M152" t="n">
        <v>0</v>
      </c>
      <c r="N152" t="n">
        <v>0</v>
      </c>
      <c r="O152" t="n">
        <v>0</v>
      </c>
      <c r="P152" t="n">
        <v>0</v>
      </c>
      <c r="Q152" t="n">
        <v>0</v>
      </c>
      <c r="R152" s="2" t="inlineStr"/>
    </row>
    <row r="153" ht="15" customHeight="1">
      <c r="A153" t="inlineStr">
        <is>
          <t>A 34752-2021</t>
        </is>
      </c>
      <c r="B153" s="1" t="n">
        <v>44382</v>
      </c>
      <c r="C153" s="1" t="n">
        <v>45880</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45505-2022</t>
        </is>
      </c>
      <c r="B154" s="1" t="n">
        <v>44841</v>
      </c>
      <c r="C154" s="1" t="n">
        <v>45880</v>
      </c>
      <c r="D154" t="inlineStr">
        <is>
          <t>NORRBOTTENS LÄN</t>
        </is>
      </c>
      <c r="E154" t="inlineStr">
        <is>
          <t>JOKKMOKK</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52901-2023</t>
        </is>
      </c>
      <c r="B155" s="1" t="n">
        <v>45222</v>
      </c>
      <c r="C155" s="1" t="n">
        <v>45880</v>
      </c>
      <c r="D155" t="inlineStr">
        <is>
          <t>NORRBOTTENS LÄN</t>
        </is>
      </c>
      <c r="E155" t="inlineStr">
        <is>
          <t>JOKKMOKK</t>
        </is>
      </c>
      <c r="G155" t="n">
        <v>16.6</v>
      </c>
      <c r="H155" t="n">
        <v>0</v>
      </c>
      <c r="I155" t="n">
        <v>0</v>
      </c>
      <c r="J155" t="n">
        <v>0</v>
      </c>
      <c r="K155" t="n">
        <v>0</v>
      </c>
      <c r="L155" t="n">
        <v>0</v>
      </c>
      <c r="M155" t="n">
        <v>0</v>
      </c>
      <c r="N155" t="n">
        <v>0</v>
      </c>
      <c r="O155" t="n">
        <v>0</v>
      </c>
      <c r="P155" t="n">
        <v>0</v>
      </c>
      <c r="Q155" t="n">
        <v>0</v>
      </c>
      <c r="R155" s="2" t="inlineStr"/>
    </row>
    <row r="156" ht="15" customHeight="1">
      <c r="A156" t="inlineStr">
        <is>
          <t>A 61761-2024</t>
        </is>
      </c>
      <c r="B156" s="1" t="n">
        <v>45649</v>
      </c>
      <c r="C156" s="1" t="n">
        <v>45880</v>
      </c>
      <c r="D156" t="inlineStr">
        <is>
          <t>NORRBOTTENS LÄN</t>
        </is>
      </c>
      <c r="E156" t="inlineStr">
        <is>
          <t>JOKKMOKK</t>
        </is>
      </c>
      <c r="F156" t="inlineStr">
        <is>
          <t>Övriga statliga verk och myndigheter</t>
        </is>
      </c>
      <c r="G156" t="n">
        <v>3.7</v>
      </c>
      <c r="H156" t="n">
        <v>0</v>
      </c>
      <c r="I156" t="n">
        <v>0</v>
      </c>
      <c r="J156" t="n">
        <v>0</v>
      </c>
      <c r="K156" t="n">
        <v>0</v>
      </c>
      <c r="L156" t="n">
        <v>0</v>
      </c>
      <c r="M156" t="n">
        <v>0</v>
      </c>
      <c r="N156" t="n">
        <v>0</v>
      </c>
      <c r="O156" t="n">
        <v>0</v>
      </c>
      <c r="P156" t="n">
        <v>0</v>
      </c>
      <c r="Q156" t="n">
        <v>0</v>
      </c>
      <c r="R156" s="2" t="inlineStr"/>
    </row>
    <row r="157" ht="15" customHeight="1">
      <c r="A157" t="inlineStr">
        <is>
          <t>A 31208-2023</t>
        </is>
      </c>
      <c r="B157" s="1" t="n">
        <v>45113.95083333334</v>
      </c>
      <c r="C157" s="1" t="n">
        <v>45880</v>
      </c>
      <c r="D157" t="inlineStr">
        <is>
          <t>NORRBOTTENS LÄN</t>
        </is>
      </c>
      <c r="E157" t="inlineStr">
        <is>
          <t>JOKKMOKK</t>
        </is>
      </c>
      <c r="F157" t="inlineStr">
        <is>
          <t>SCA</t>
        </is>
      </c>
      <c r="G157" t="n">
        <v>10.3</v>
      </c>
      <c r="H157" t="n">
        <v>0</v>
      </c>
      <c r="I157" t="n">
        <v>0</v>
      </c>
      <c r="J157" t="n">
        <v>0</v>
      </c>
      <c r="K157" t="n">
        <v>0</v>
      </c>
      <c r="L157" t="n">
        <v>0</v>
      </c>
      <c r="M157" t="n">
        <v>0</v>
      </c>
      <c r="N157" t="n">
        <v>0</v>
      </c>
      <c r="O157" t="n">
        <v>0</v>
      </c>
      <c r="P157" t="n">
        <v>0</v>
      </c>
      <c r="Q157" t="n">
        <v>0</v>
      </c>
      <c r="R157" s="2" t="inlineStr"/>
    </row>
    <row r="158" ht="15" customHeight="1">
      <c r="A158" t="inlineStr">
        <is>
          <t>A 16972-2025</t>
        </is>
      </c>
      <c r="B158" s="1" t="n">
        <v>45755.46942129629</v>
      </c>
      <c r="C158" s="1" t="n">
        <v>45880</v>
      </c>
      <c r="D158" t="inlineStr">
        <is>
          <t>NORRBOTTENS LÄN</t>
        </is>
      </c>
      <c r="E158" t="inlineStr">
        <is>
          <t>JOKKMOKK</t>
        </is>
      </c>
      <c r="F158" t="inlineStr">
        <is>
          <t>SCA</t>
        </is>
      </c>
      <c r="G158" t="n">
        <v>4.5</v>
      </c>
      <c r="H158" t="n">
        <v>0</v>
      </c>
      <c r="I158" t="n">
        <v>0</v>
      </c>
      <c r="J158" t="n">
        <v>0</v>
      </c>
      <c r="K158" t="n">
        <v>0</v>
      </c>
      <c r="L158" t="n">
        <v>0</v>
      </c>
      <c r="M158" t="n">
        <v>0</v>
      </c>
      <c r="N158" t="n">
        <v>0</v>
      </c>
      <c r="O158" t="n">
        <v>0</v>
      </c>
      <c r="P158" t="n">
        <v>0</v>
      </c>
      <c r="Q158" t="n">
        <v>0</v>
      </c>
      <c r="R158" s="2" t="inlineStr"/>
    </row>
    <row r="159" ht="15" customHeight="1">
      <c r="A159" t="inlineStr">
        <is>
          <t>A 14815-2024</t>
        </is>
      </c>
      <c r="B159" s="1" t="n">
        <v>45397.95770833334</v>
      </c>
      <c r="C159" s="1" t="n">
        <v>45880</v>
      </c>
      <c r="D159" t="inlineStr">
        <is>
          <t>NORRBOTTENS LÄN</t>
        </is>
      </c>
      <c r="E159" t="inlineStr">
        <is>
          <t>JOKKMOKK</t>
        </is>
      </c>
      <c r="F159" t="inlineStr">
        <is>
          <t>SCA</t>
        </is>
      </c>
      <c r="G159" t="n">
        <v>54.1</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45880</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4661-2022</t>
        </is>
      </c>
      <c r="B161" s="1" t="n">
        <v>44589</v>
      </c>
      <c r="C161" s="1" t="n">
        <v>45880</v>
      </c>
      <c r="D161" t="inlineStr">
        <is>
          <t>NORRBOTTENS LÄN</t>
        </is>
      </c>
      <c r="E161" t="inlineStr">
        <is>
          <t>JOKKMOKK</t>
        </is>
      </c>
      <c r="G161" t="n">
        <v>39.5</v>
      </c>
      <c r="H161" t="n">
        <v>0</v>
      </c>
      <c r="I161" t="n">
        <v>0</v>
      </c>
      <c r="J161" t="n">
        <v>0</v>
      </c>
      <c r="K161" t="n">
        <v>0</v>
      </c>
      <c r="L161" t="n">
        <v>0</v>
      </c>
      <c r="M161" t="n">
        <v>0</v>
      </c>
      <c r="N161" t="n">
        <v>0</v>
      </c>
      <c r="O161" t="n">
        <v>0</v>
      </c>
      <c r="P161" t="n">
        <v>0</v>
      </c>
      <c r="Q161" t="n">
        <v>0</v>
      </c>
      <c r="R161" s="2" t="inlineStr"/>
    </row>
    <row r="162" ht="15" customHeight="1">
      <c r="A162" t="inlineStr">
        <is>
          <t>A 51304-2022</t>
        </is>
      </c>
      <c r="B162" s="1" t="n">
        <v>44868</v>
      </c>
      <c r="C162" s="1" t="n">
        <v>45880</v>
      </c>
      <c r="D162" t="inlineStr">
        <is>
          <t>NORRBOTTENS LÄN</t>
        </is>
      </c>
      <c r="E162" t="inlineStr">
        <is>
          <t>JOKKMOKK</t>
        </is>
      </c>
      <c r="G162" t="n">
        <v>1.5</v>
      </c>
      <c r="H162" t="n">
        <v>0</v>
      </c>
      <c r="I162" t="n">
        <v>0</v>
      </c>
      <c r="J162" t="n">
        <v>0</v>
      </c>
      <c r="K162" t="n">
        <v>0</v>
      </c>
      <c r="L162" t="n">
        <v>0</v>
      </c>
      <c r="M162" t="n">
        <v>0</v>
      </c>
      <c r="N162" t="n">
        <v>0</v>
      </c>
      <c r="O162" t="n">
        <v>0</v>
      </c>
      <c r="P162" t="n">
        <v>0</v>
      </c>
      <c r="Q162" t="n">
        <v>0</v>
      </c>
      <c r="R162" s="2" t="inlineStr"/>
    </row>
    <row r="163" ht="15" customHeight="1">
      <c r="A163" t="inlineStr">
        <is>
          <t>A 50568-2022</t>
        </is>
      </c>
      <c r="B163" s="1" t="n">
        <v>44866</v>
      </c>
      <c r="C163" s="1" t="n">
        <v>45880</v>
      </c>
      <c r="D163" t="inlineStr">
        <is>
          <t>NORRBOTTENS LÄN</t>
        </is>
      </c>
      <c r="E163" t="inlineStr">
        <is>
          <t>JOKKMOKK</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29213-2024</t>
        </is>
      </c>
      <c r="B164" s="1" t="n">
        <v>45482</v>
      </c>
      <c r="C164" s="1" t="n">
        <v>45880</v>
      </c>
      <c r="D164" t="inlineStr">
        <is>
          <t>NORRBOTTENS LÄN</t>
        </is>
      </c>
      <c r="E164" t="inlineStr">
        <is>
          <t>JOKKMOKK</t>
        </is>
      </c>
      <c r="G164" t="n">
        <v>55</v>
      </c>
      <c r="H164" t="n">
        <v>0</v>
      </c>
      <c r="I164" t="n">
        <v>0</v>
      </c>
      <c r="J164" t="n">
        <v>0</v>
      </c>
      <c r="K164" t="n">
        <v>0</v>
      </c>
      <c r="L164" t="n">
        <v>0</v>
      </c>
      <c r="M164" t="n">
        <v>0</v>
      </c>
      <c r="N164" t="n">
        <v>0</v>
      </c>
      <c r="O164" t="n">
        <v>0</v>
      </c>
      <c r="P164" t="n">
        <v>0</v>
      </c>
      <c r="Q164" t="n">
        <v>0</v>
      </c>
      <c r="R164" s="2" t="inlineStr"/>
    </row>
    <row r="165" ht="15" customHeight="1">
      <c r="A165" t="inlineStr">
        <is>
          <t>A 44646-2021</t>
        </is>
      </c>
      <c r="B165" s="1" t="n">
        <v>44437</v>
      </c>
      <c r="C165" s="1" t="n">
        <v>45880</v>
      </c>
      <c r="D165" t="inlineStr">
        <is>
          <t>NORRBOTTENS LÄN</t>
        </is>
      </c>
      <c r="E165" t="inlineStr">
        <is>
          <t>JOKKMOKK</t>
        </is>
      </c>
      <c r="G165" t="n">
        <v>10</v>
      </c>
      <c r="H165" t="n">
        <v>0</v>
      </c>
      <c r="I165" t="n">
        <v>0</v>
      </c>
      <c r="J165" t="n">
        <v>0</v>
      </c>
      <c r="K165" t="n">
        <v>0</v>
      </c>
      <c r="L165" t="n">
        <v>0</v>
      </c>
      <c r="M165" t="n">
        <v>0</v>
      </c>
      <c r="N165" t="n">
        <v>0</v>
      </c>
      <c r="O165" t="n">
        <v>0</v>
      </c>
      <c r="P165" t="n">
        <v>0</v>
      </c>
      <c r="Q165" t="n">
        <v>0</v>
      </c>
      <c r="R165" s="2" t="inlineStr"/>
    </row>
    <row r="166" ht="15" customHeight="1">
      <c r="A166" t="inlineStr">
        <is>
          <t>A 38648-2024</t>
        </is>
      </c>
      <c r="B166" s="1" t="n">
        <v>45546.87081018519</v>
      </c>
      <c r="C166" s="1" t="n">
        <v>45880</v>
      </c>
      <c r="D166" t="inlineStr">
        <is>
          <t>NORRBOTTENS LÄN</t>
        </is>
      </c>
      <c r="E166" t="inlineStr">
        <is>
          <t>JOKKMOKK</t>
        </is>
      </c>
      <c r="F166" t="inlineStr">
        <is>
          <t>Sveaskog</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40345-2024</t>
        </is>
      </c>
      <c r="B167" s="1" t="n">
        <v>45555.344375</v>
      </c>
      <c r="C167" s="1" t="n">
        <v>45880</v>
      </c>
      <c r="D167" t="inlineStr">
        <is>
          <t>NORRBOTTENS LÄN</t>
        </is>
      </c>
      <c r="E167" t="inlineStr">
        <is>
          <t>JOKKMOKK</t>
        </is>
      </c>
      <c r="F167" t="inlineStr">
        <is>
          <t>SCA</t>
        </is>
      </c>
      <c r="G167" t="n">
        <v>4.1</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45880</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7273-2021</t>
        </is>
      </c>
      <c r="B169" s="1" t="n">
        <v>44238</v>
      </c>
      <c r="C169" s="1" t="n">
        <v>45880</v>
      </c>
      <c r="D169" t="inlineStr">
        <is>
          <t>NORRBOTTENS LÄN</t>
        </is>
      </c>
      <c r="E169" t="inlineStr">
        <is>
          <t>JOKKMOKK</t>
        </is>
      </c>
      <c r="F169" t="inlineStr">
        <is>
          <t>Övriga statliga verk och myndigheter</t>
        </is>
      </c>
      <c r="G169" t="n">
        <v>19.8</v>
      </c>
      <c r="H169" t="n">
        <v>0</v>
      </c>
      <c r="I169" t="n">
        <v>0</v>
      </c>
      <c r="J169" t="n">
        <v>0</v>
      </c>
      <c r="K169" t="n">
        <v>0</v>
      </c>
      <c r="L169" t="n">
        <v>0</v>
      </c>
      <c r="M169" t="n">
        <v>0</v>
      </c>
      <c r="N169" t="n">
        <v>0</v>
      </c>
      <c r="O169" t="n">
        <v>0</v>
      </c>
      <c r="P169" t="n">
        <v>0</v>
      </c>
      <c r="Q169" t="n">
        <v>0</v>
      </c>
      <c r="R169" s="2" t="inlineStr"/>
    </row>
    <row r="170" ht="15" customHeight="1">
      <c r="A170" t="inlineStr">
        <is>
          <t>A 38254-2020</t>
        </is>
      </c>
      <c r="B170" s="1" t="n">
        <v>44060</v>
      </c>
      <c r="C170" s="1" t="n">
        <v>45880</v>
      </c>
      <c r="D170" t="inlineStr">
        <is>
          <t>NORRBOTTENS LÄN</t>
        </is>
      </c>
      <c r="E170" t="inlineStr">
        <is>
          <t>JOKKMOKK</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27657-2024</t>
        </is>
      </c>
      <c r="B171" s="1" t="n">
        <v>45474.95196759259</v>
      </c>
      <c r="C171" s="1" t="n">
        <v>45880</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27658-2024</t>
        </is>
      </c>
      <c r="B172" s="1" t="n">
        <v>45474.95246527778</v>
      </c>
      <c r="C172" s="1" t="n">
        <v>45880</v>
      </c>
      <c r="D172" t="inlineStr">
        <is>
          <t>NORRBOTTENS LÄN</t>
        </is>
      </c>
      <c r="E172" t="inlineStr">
        <is>
          <t>JOKKMOKK</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27653-2024</t>
        </is>
      </c>
      <c r="B173" s="1" t="n">
        <v>45474.95037037037</v>
      </c>
      <c r="C173" s="1" t="n">
        <v>45880</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27654-2024</t>
        </is>
      </c>
      <c r="B174" s="1" t="n">
        <v>45474</v>
      </c>
      <c r="C174" s="1" t="n">
        <v>45880</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27656-2024</t>
        </is>
      </c>
      <c r="B175" s="1" t="n">
        <v>45474</v>
      </c>
      <c r="C175" s="1" t="n">
        <v>45880</v>
      </c>
      <c r="D175" t="inlineStr">
        <is>
          <t>NORRBOTTENS LÄN</t>
        </is>
      </c>
      <c r="E175" t="inlineStr">
        <is>
          <t>JOKKMOKK</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60215-2023</t>
        </is>
      </c>
      <c r="B176" s="1" t="n">
        <v>45258.60766203704</v>
      </c>
      <c r="C176" s="1" t="n">
        <v>45880</v>
      </c>
      <c r="D176" t="inlineStr">
        <is>
          <t>NORRBOTTENS LÄN</t>
        </is>
      </c>
      <c r="E176" t="inlineStr">
        <is>
          <t>JOKKMOKK</t>
        </is>
      </c>
      <c r="F176" t="inlineStr">
        <is>
          <t>Allmännings- och besparingsskogar</t>
        </is>
      </c>
      <c r="G176" t="n">
        <v>7.8</v>
      </c>
      <c r="H176" t="n">
        <v>0</v>
      </c>
      <c r="I176" t="n">
        <v>0</v>
      </c>
      <c r="J176" t="n">
        <v>0</v>
      </c>
      <c r="K176" t="n">
        <v>0</v>
      </c>
      <c r="L176" t="n">
        <v>0</v>
      </c>
      <c r="M176" t="n">
        <v>0</v>
      </c>
      <c r="N176" t="n">
        <v>0</v>
      </c>
      <c r="O176" t="n">
        <v>0</v>
      </c>
      <c r="P176" t="n">
        <v>0</v>
      </c>
      <c r="Q176" t="n">
        <v>0</v>
      </c>
      <c r="R176" s="2" t="inlineStr"/>
    </row>
    <row r="177" ht="15" customHeight="1">
      <c r="A177" t="inlineStr">
        <is>
          <t>A 26969-2024</t>
        </is>
      </c>
      <c r="B177" s="1" t="n">
        <v>45471.27252314815</v>
      </c>
      <c r="C177" s="1" t="n">
        <v>45880</v>
      </c>
      <c r="D177" t="inlineStr">
        <is>
          <t>NORRBOTTENS LÄN</t>
        </is>
      </c>
      <c r="E177" t="inlineStr">
        <is>
          <t>JOKKMOKK</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45880</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60390-2023</t>
        </is>
      </c>
      <c r="B179" s="1" t="n">
        <v>45259.43483796297</v>
      </c>
      <c r="C179" s="1" t="n">
        <v>45880</v>
      </c>
      <c r="D179" t="inlineStr">
        <is>
          <t>NORRBOTTENS LÄN</t>
        </is>
      </c>
      <c r="E179" t="inlineStr">
        <is>
          <t>JOKKMOKK</t>
        </is>
      </c>
      <c r="F179" t="inlineStr">
        <is>
          <t>Sveaskog</t>
        </is>
      </c>
      <c r="G179" t="n">
        <v>10.9</v>
      </c>
      <c r="H179" t="n">
        <v>0</v>
      </c>
      <c r="I179" t="n">
        <v>0</v>
      </c>
      <c r="J179" t="n">
        <v>0</v>
      </c>
      <c r="K179" t="n">
        <v>0</v>
      </c>
      <c r="L179" t="n">
        <v>0</v>
      </c>
      <c r="M179" t="n">
        <v>0</v>
      </c>
      <c r="N179" t="n">
        <v>0</v>
      </c>
      <c r="O179" t="n">
        <v>0</v>
      </c>
      <c r="P179" t="n">
        <v>0</v>
      </c>
      <c r="Q179" t="n">
        <v>0</v>
      </c>
      <c r="R179" s="2" t="inlineStr"/>
    </row>
    <row r="180" ht="15" customHeight="1">
      <c r="A180" t="inlineStr">
        <is>
          <t>A 27650-2024</t>
        </is>
      </c>
      <c r="B180" s="1" t="n">
        <v>45474.94802083333</v>
      </c>
      <c r="C180" s="1" t="n">
        <v>45880</v>
      </c>
      <c r="D180" t="inlineStr">
        <is>
          <t>NORRBOTTENS LÄN</t>
        </is>
      </c>
      <c r="E180" t="inlineStr">
        <is>
          <t>JOKKMOKK</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34609-2024</t>
        </is>
      </c>
      <c r="B181" s="1" t="n">
        <v>45526</v>
      </c>
      <c r="C181" s="1" t="n">
        <v>45880</v>
      </c>
      <c r="D181" t="inlineStr">
        <is>
          <t>NORRBOTTENS LÄN</t>
        </is>
      </c>
      <c r="E181" t="inlineStr">
        <is>
          <t>JOKKMOKK</t>
        </is>
      </c>
      <c r="G181" t="n">
        <v>27</v>
      </c>
      <c r="H181" t="n">
        <v>0</v>
      </c>
      <c r="I181" t="n">
        <v>0</v>
      </c>
      <c r="J181" t="n">
        <v>0</v>
      </c>
      <c r="K181" t="n">
        <v>0</v>
      </c>
      <c r="L181" t="n">
        <v>0</v>
      </c>
      <c r="M181" t="n">
        <v>0</v>
      </c>
      <c r="N181" t="n">
        <v>0</v>
      </c>
      <c r="O181" t="n">
        <v>0</v>
      </c>
      <c r="P181" t="n">
        <v>0</v>
      </c>
      <c r="Q181" t="n">
        <v>0</v>
      </c>
      <c r="R181" s="2" t="inlineStr"/>
    </row>
    <row r="182" ht="15" customHeight="1">
      <c r="A182" t="inlineStr">
        <is>
          <t>A 30313-2024</t>
        </is>
      </c>
      <c r="B182" s="1" t="n">
        <v>45490</v>
      </c>
      <c r="C182" s="1" t="n">
        <v>45880</v>
      </c>
      <c r="D182" t="inlineStr">
        <is>
          <t>NORRBOTTENS LÄN</t>
        </is>
      </c>
      <c r="E182" t="inlineStr">
        <is>
          <t>JOKKMOKK</t>
        </is>
      </c>
      <c r="G182" t="n">
        <v>3.4</v>
      </c>
      <c r="H182" t="n">
        <v>0</v>
      </c>
      <c r="I182" t="n">
        <v>0</v>
      </c>
      <c r="J182" t="n">
        <v>0</v>
      </c>
      <c r="K182" t="n">
        <v>0</v>
      </c>
      <c r="L182" t="n">
        <v>0</v>
      </c>
      <c r="M182" t="n">
        <v>0</v>
      </c>
      <c r="N182" t="n">
        <v>0</v>
      </c>
      <c r="O182" t="n">
        <v>0</v>
      </c>
      <c r="P182" t="n">
        <v>0</v>
      </c>
      <c r="Q182" t="n">
        <v>0</v>
      </c>
      <c r="R182" s="2" t="inlineStr"/>
    </row>
    <row r="183" ht="15" customHeight="1">
      <c r="A183" t="inlineStr">
        <is>
          <t>A 52882-2023</t>
        </is>
      </c>
      <c r="B183" s="1" t="n">
        <v>45222</v>
      </c>
      <c r="C183" s="1" t="n">
        <v>45880</v>
      </c>
      <c r="D183" t="inlineStr">
        <is>
          <t>NORRBOTTENS LÄN</t>
        </is>
      </c>
      <c r="E183" t="inlineStr">
        <is>
          <t>JOKKMOKK</t>
        </is>
      </c>
      <c r="G183" t="n">
        <v>56.1</v>
      </c>
      <c r="H183" t="n">
        <v>0</v>
      </c>
      <c r="I183" t="n">
        <v>0</v>
      </c>
      <c r="J183" t="n">
        <v>0</v>
      </c>
      <c r="K183" t="n">
        <v>0</v>
      </c>
      <c r="L183" t="n">
        <v>0</v>
      </c>
      <c r="M183" t="n">
        <v>0</v>
      </c>
      <c r="N183" t="n">
        <v>0</v>
      </c>
      <c r="O183" t="n">
        <v>0</v>
      </c>
      <c r="P183" t="n">
        <v>0</v>
      </c>
      <c r="Q183" t="n">
        <v>0</v>
      </c>
      <c r="R183" s="2" t="inlineStr"/>
    </row>
    <row r="184" ht="15" customHeight="1">
      <c r="A184" t="inlineStr">
        <is>
          <t>A 6777-2023</t>
        </is>
      </c>
      <c r="B184" s="1" t="n">
        <v>44966</v>
      </c>
      <c r="C184" s="1" t="n">
        <v>45880</v>
      </c>
      <c r="D184" t="inlineStr">
        <is>
          <t>NORRBOTTENS LÄN</t>
        </is>
      </c>
      <c r="E184" t="inlineStr">
        <is>
          <t>JOKKMOKK</t>
        </is>
      </c>
      <c r="G184" t="n">
        <v>2.2</v>
      </c>
      <c r="H184" t="n">
        <v>0</v>
      </c>
      <c r="I184" t="n">
        <v>0</v>
      </c>
      <c r="J184" t="n">
        <v>0</v>
      </c>
      <c r="K184" t="n">
        <v>0</v>
      </c>
      <c r="L184" t="n">
        <v>0</v>
      </c>
      <c r="M184" t="n">
        <v>0</v>
      </c>
      <c r="N184" t="n">
        <v>0</v>
      </c>
      <c r="O184" t="n">
        <v>0</v>
      </c>
      <c r="P184" t="n">
        <v>0</v>
      </c>
      <c r="Q184" t="n">
        <v>0</v>
      </c>
      <c r="R184" s="2" t="inlineStr"/>
    </row>
    <row r="185" ht="15" customHeight="1">
      <c r="A185" t="inlineStr">
        <is>
          <t>A 51261-2024</t>
        </is>
      </c>
      <c r="B185" s="1" t="n">
        <v>45603.69465277778</v>
      </c>
      <c r="C185" s="1" t="n">
        <v>45880</v>
      </c>
      <c r="D185" t="inlineStr">
        <is>
          <t>NORRBOTTENS LÄN</t>
        </is>
      </c>
      <c r="E185" t="inlineStr">
        <is>
          <t>JOKKMOKK</t>
        </is>
      </c>
      <c r="F185" t="inlineStr">
        <is>
          <t>Allmännings- och besparingsskogar</t>
        </is>
      </c>
      <c r="G185" t="n">
        <v>11</v>
      </c>
      <c r="H185" t="n">
        <v>0</v>
      </c>
      <c r="I185" t="n">
        <v>0</v>
      </c>
      <c r="J185" t="n">
        <v>0</v>
      </c>
      <c r="K185" t="n">
        <v>0</v>
      </c>
      <c r="L185" t="n">
        <v>0</v>
      </c>
      <c r="M185" t="n">
        <v>0</v>
      </c>
      <c r="N185" t="n">
        <v>0</v>
      </c>
      <c r="O185" t="n">
        <v>0</v>
      </c>
      <c r="P185" t="n">
        <v>0</v>
      </c>
      <c r="Q185" t="n">
        <v>0</v>
      </c>
      <c r="R185" s="2" t="inlineStr"/>
    </row>
    <row r="186" ht="15" customHeight="1">
      <c r="A186" t="inlineStr">
        <is>
          <t>A 50258-2023</t>
        </is>
      </c>
      <c r="B186" s="1" t="n">
        <v>45216</v>
      </c>
      <c r="C186" s="1" t="n">
        <v>45880</v>
      </c>
      <c r="D186" t="inlineStr">
        <is>
          <t>NORRBOTTENS LÄN</t>
        </is>
      </c>
      <c r="E186" t="inlineStr">
        <is>
          <t>JOKKMOKK</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14869-2025</t>
        </is>
      </c>
      <c r="B187" s="1" t="n">
        <v>45743.44828703703</v>
      </c>
      <c r="C187" s="1" t="n">
        <v>45880</v>
      </c>
      <c r="D187" t="inlineStr">
        <is>
          <t>NORRBOTTENS LÄN</t>
        </is>
      </c>
      <c r="E187" t="inlineStr">
        <is>
          <t>JOKKMOKK</t>
        </is>
      </c>
      <c r="G187" t="n">
        <v>4.9</v>
      </c>
      <c r="H187" t="n">
        <v>0</v>
      </c>
      <c r="I187" t="n">
        <v>0</v>
      </c>
      <c r="J187" t="n">
        <v>0</v>
      </c>
      <c r="K187" t="n">
        <v>0</v>
      </c>
      <c r="L187" t="n">
        <v>0</v>
      </c>
      <c r="M187" t="n">
        <v>0</v>
      </c>
      <c r="N187" t="n">
        <v>0</v>
      </c>
      <c r="O187" t="n">
        <v>0</v>
      </c>
      <c r="P187" t="n">
        <v>0</v>
      </c>
      <c r="Q187" t="n">
        <v>0</v>
      </c>
      <c r="R187" s="2" t="inlineStr"/>
    </row>
    <row r="188" ht="15" customHeight="1">
      <c r="A188" t="inlineStr">
        <is>
          <t>A 31535-2024</t>
        </is>
      </c>
      <c r="B188" s="1" t="n">
        <v>45505</v>
      </c>
      <c r="C188" s="1" t="n">
        <v>45880</v>
      </c>
      <c r="D188" t="inlineStr">
        <is>
          <t>NORRBOTTENS LÄN</t>
        </is>
      </c>
      <c r="E188" t="inlineStr">
        <is>
          <t>JOKKMOKK</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51336-2024</t>
        </is>
      </c>
      <c r="B189" s="1" t="n">
        <v>45604.34443287037</v>
      </c>
      <c r="C189" s="1" t="n">
        <v>45880</v>
      </c>
      <c r="D189" t="inlineStr">
        <is>
          <t>NORRBOTTENS LÄN</t>
        </is>
      </c>
      <c r="E189" t="inlineStr">
        <is>
          <t>JOKKMOKK</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26962-2023</t>
        </is>
      </c>
      <c r="B190" s="1" t="n">
        <v>45093</v>
      </c>
      <c r="C190" s="1" t="n">
        <v>45880</v>
      </c>
      <c r="D190" t="inlineStr">
        <is>
          <t>NORRBOTTENS LÄN</t>
        </is>
      </c>
      <c r="E190" t="inlineStr">
        <is>
          <t>JOKKMOKK</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24052-2023</t>
        </is>
      </c>
      <c r="B191" s="1" t="n">
        <v>45078</v>
      </c>
      <c r="C191" s="1" t="n">
        <v>45880</v>
      </c>
      <c r="D191" t="inlineStr">
        <is>
          <t>NORRBOTTENS LÄN</t>
        </is>
      </c>
      <c r="E191" t="inlineStr">
        <is>
          <t>JOKKMOKK</t>
        </is>
      </c>
      <c r="F191" t="inlineStr">
        <is>
          <t>Naturvårdsverket</t>
        </is>
      </c>
      <c r="G191" t="n">
        <v>58.1</v>
      </c>
      <c r="H191" t="n">
        <v>0</v>
      </c>
      <c r="I191" t="n">
        <v>0</v>
      </c>
      <c r="J191" t="n">
        <v>0</v>
      </c>
      <c r="K191" t="n">
        <v>0</v>
      </c>
      <c r="L191" t="n">
        <v>0</v>
      </c>
      <c r="M191" t="n">
        <v>0</v>
      </c>
      <c r="N191" t="n">
        <v>0</v>
      </c>
      <c r="O191" t="n">
        <v>0</v>
      </c>
      <c r="P191" t="n">
        <v>0</v>
      </c>
      <c r="Q191" t="n">
        <v>0</v>
      </c>
      <c r="R191" s="2" t="inlineStr"/>
    </row>
    <row r="192" ht="15" customHeight="1">
      <c r="A192" t="inlineStr">
        <is>
          <t>A 61762-2024</t>
        </is>
      </c>
      <c r="B192" s="1" t="n">
        <v>45649</v>
      </c>
      <c r="C192" s="1" t="n">
        <v>45880</v>
      </c>
      <c r="D192" t="inlineStr">
        <is>
          <t>NORRBOTTENS LÄN</t>
        </is>
      </c>
      <c r="E192" t="inlineStr">
        <is>
          <t>JOKKMOKK</t>
        </is>
      </c>
      <c r="F192" t="inlineStr">
        <is>
          <t>Övriga statliga verk och myndigheter</t>
        </is>
      </c>
      <c r="G192" t="n">
        <v>15.4</v>
      </c>
      <c r="H192" t="n">
        <v>0</v>
      </c>
      <c r="I192" t="n">
        <v>0</v>
      </c>
      <c r="J192" t="n">
        <v>0</v>
      </c>
      <c r="K192" t="n">
        <v>0</v>
      </c>
      <c r="L192" t="n">
        <v>0</v>
      </c>
      <c r="M192" t="n">
        <v>0</v>
      </c>
      <c r="N192" t="n">
        <v>0</v>
      </c>
      <c r="O192" t="n">
        <v>0</v>
      </c>
      <c r="P192" t="n">
        <v>0</v>
      </c>
      <c r="Q192" t="n">
        <v>0</v>
      </c>
      <c r="R192" s="2" t="inlineStr"/>
    </row>
    <row r="193" ht="15" customHeight="1">
      <c r="A193" t="inlineStr">
        <is>
          <t>A 52280-2021</t>
        </is>
      </c>
      <c r="B193" s="1" t="n">
        <v>44462</v>
      </c>
      <c r="C193" s="1" t="n">
        <v>45880</v>
      </c>
      <c r="D193" t="inlineStr">
        <is>
          <t>NORRBOTTENS LÄN</t>
        </is>
      </c>
      <c r="E193" t="inlineStr">
        <is>
          <t>JOKKMOKK</t>
        </is>
      </c>
      <c r="F193" t="inlineStr">
        <is>
          <t>Övriga statliga verk och myndigheter</t>
        </is>
      </c>
      <c r="G193" t="n">
        <v>25.9</v>
      </c>
      <c r="H193" t="n">
        <v>0</v>
      </c>
      <c r="I193" t="n">
        <v>0</v>
      </c>
      <c r="J193" t="n">
        <v>0</v>
      </c>
      <c r="K193" t="n">
        <v>0</v>
      </c>
      <c r="L193" t="n">
        <v>0</v>
      </c>
      <c r="M193" t="n">
        <v>0</v>
      </c>
      <c r="N193" t="n">
        <v>0</v>
      </c>
      <c r="O193" t="n">
        <v>0</v>
      </c>
      <c r="P193" t="n">
        <v>0</v>
      </c>
      <c r="Q193" t="n">
        <v>0</v>
      </c>
      <c r="R193" s="2" t="inlineStr"/>
    </row>
    <row r="194" ht="15" customHeight="1">
      <c r="A194" t="inlineStr">
        <is>
          <t>A 30305-2024</t>
        </is>
      </c>
      <c r="B194" s="1" t="n">
        <v>45490</v>
      </c>
      <c r="C194" s="1" t="n">
        <v>45880</v>
      </c>
      <c r="D194" t="inlineStr">
        <is>
          <t>NORRBOTTENS LÄN</t>
        </is>
      </c>
      <c r="E194" t="inlineStr">
        <is>
          <t>JOKKMOKK</t>
        </is>
      </c>
      <c r="G194" t="n">
        <v>1.5</v>
      </c>
      <c r="H194" t="n">
        <v>0</v>
      </c>
      <c r="I194" t="n">
        <v>0</v>
      </c>
      <c r="J194" t="n">
        <v>0</v>
      </c>
      <c r="K194" t="n">
        <v>0</v>
      </c>
      <c r="L194" t="n">
        <v>0</v>
      </c>
      <c r="M194" t="n">
        <v>0</v>
      </c>
      <c r="N194" t="n">
        <v>0</v>
      </c>
      <c r="O194" t="n">
        <v>0</v>
      </c>
      <c r="P194" t="n">
        <v>0</v>
      </c>
      <c r="Q194" t="n">
        <v>0</v>
      </c>
      <c r="R194" s="2" t="inlineStr"/>
    </row>
    <row r="195" ht="15" customHeight="1">
      <c r="A195" t="inlineStr">
        <is>
          <t>A 30308-2024</t>
        </is>
      </c>
      <c r="B195" s="1" t="n">
        <v>45490</v>
      </c>
      <c r="C195" s="1" t="n">
        <v>45880</v>
      </c>
      <c r="D195" t="inlineStr">
        <is>
          <t>NORRBOTTENS LÄN</t>
        </is>
      </c>
      <c r="E195" t="inlineStr">
        <is>
          <t>JOKKMOKK</t>
        </is>
      </c>
      <c r="G195" t="n">
        <v>2.2</v>
      </c>
      <c r="H195" t="n">
        <v>0</v>
      </c>
      <c r="I195" t="n">
        <v>0</v>
      </c>
      <c r="J195" t="n">
        <v>0</v>
      </c>
      <c r="K195" t="n">
        <v>0</v>
      </c>
      <c r="L195" t="n">
        <v>0</v>
      </c>
      <c r="M195" t="n">
        <v>0</v>
      </c>
      <c r="N195" t="n">
        <v>0</v>
      </c>
      <c r="O195" t="n">
        <v>0</v>
      </c>
      <c r="P195" t="n">
        <v>0</v>
      </c>
      <c r="Q195" t="n">
        <v>0</v>
      </c>
      <c r="R195" s="2" t="inlineStr"/>
    </row>
    <row r="196" ht="15" customHeight="1">
      <c r="A196" t="inlineStr">
        <is>
          <t>A 30310-2024</t>
        </is>
      </c>
      <c r="B196" s="1" t="n">
        <v>45490</v>
      </c>
      <c r="C196" s="1" t="n">
        <v>45880</v>
      </c>
      <c r="D196" t="inlineStr">
        <is>
          <t>NORRBOTTENS LÄN</t>
        </is>
      </c>
      <c r="E196" t="inlineStr">
        <is>
          <t>JOKKMOKK</t>
        </is>
      </c>
      <c r="G196" t="n">
        <v>2.3</v>
      </c>
      <c r="H196" t="n">
        <v>0</v>
      </c>
      <c r="I196" t="n">
        <v>0</v>
      </c>
      <c r="J196" t="n">
        <v>0</v>
      </c>
      <c r="K196" t="n">
        <v>0</v>
      </c>
      <c r="L196" t="n">
        <v>0</v>
      </c>
      <c r="M196" t="n">
        <v>0</v>
      </c>
      <c r="N196" t="n">
        <v>0</v>
      </c>
      <c r="O196" t="n">
        <v>0</v>
      </c>
      <c r="P196" t="n">
        <v>0</v>
      </c>
      <c r="Q196" t="n">
        <v>0</v>
      </c>
      <c r="R196" s="2" t="inlineStr"/>
    </row>
    <row r="197" ht="15" customHeight="1">
      <c r="A197" t="inlineStr">
        <is>
          <t>A 30312-2024</t>
        </is>
      </c>
      <c r="B197" s="1" t="n">
        <v>45490</v>
      </c>
      <c r="C197" s="1" t="n">
        <v>45880</v>
      </c>
      <c r="D197" t="inlineStr">
        <is>
          <t>NORRBOTTENS LÄN</t>
        </is>
      </c>
      <c r="E197" t="inlineStr">
        <is>
          <t>JOKKMOKK</t>
        </is>
      </c>
      <c r="G197" t="n">
        <v>1.6</v>
      </c>
      <c r="H197" t="n">
        <v>0</v>
      </c>
      <c r="I197" t="n">
        <v>0</v>
      </c>
      <c r="J197" t="n">
        <v>0</v>
      </c>
      <c r="K197" t="n">
        <v>0</v>
      </c>
      <c r="L197" t="n">
        <v>0</v>
      </c>
      <c r="M197" t="n">
        <v>0</v>
      </c>
      <c r="N197" t="n">
        <v>0</v>
      </c>
      <c r="O197" t="n">
        <v>0</v>
      </c>
      <c r="P197" t="n">
        <v>0</v>
      </c>
      <c r="Q197" t="n">
        <v>0</v>
      </c>
      <c r="R197" s="2" t="inlineStr"/>
    </row>
    <row r="198" ht="15" customHeight="1">
      <c r="A198" t="inlineStr">
        <is>
          <t>A 53172-2024</t>
        </is>
      </c>
      <c r="B198" s="1" t="n">
        <v>45611.65689814815</v>
      </c>
      <c r="C198" s="1" t="n">
        <v>45880</v>
      </c>
      <c r="D198" t="inlineStr">
        <is>
          <t>NORRBOTTENS LÄN</t>
        </is>
      </c>
      <c r="E198" t="inlineStr">
        <is>
          <t>JOKKMOKK</t>
        </is>
      </c>
      <c r="F198" t="inlineStr">
        <is>
          <t>Allmännings- och besparingsskogar</t>
        </is>
      </c>
      <c r="G198" t="n">
        <v>6.5</v>
      </c>
      <c r="H198" t="n">
        <v>0</v>
      </c>
      <c r="I198" t="n">
        <v>0</v>
      </c>
      <c r="J198" t="n">
        <v>0</v>
      </c>
      <c r="K198" t="n">
        <v>0</v>
      </c>
      <c r="L198" t="n">
        <v>0</v>
      </c>
      <c r="M198" t="n">
        <v>0</v>
      </c>
      <c r="N198" t="n">
        <v>0</v>
      </c>
      <c r="O198" t="n">
        <v>0</v>
      </c>
      <c r="P198" t="n">
        <v>0</v>
      </c>
      <c r="Q198" t="n">
        <v>0</v>
      </c>
      <c r="R198" s="2" t="inlineStr"/>
    </row>
    <row r="199" ht="15" customHeight="1">
      <c r="A199" t="inlineStr">
        <is>
          <t>A 2037-2025</t>
        </is>
      </c>
      <c r="B199" s="1" t="n">
        <v>45671</v>
      </c>
      <c r="C199" s="1" t="n">
        <v>45880</v>
      </c>
      <c r="D199" t="inlineStr">
        <is>
          <t>NORRBOTTENS LÄN</t>
        </is>
      </c>
      <c r="E199" t="inlineStr">
        <is>
          <t>JOKKMOKK</t>
        </is>
      </c>
      <c r="G199" t="n">
        <v>5.4</v>
      </c>
      <c r="H199" t="n">
        <v>0</v>
      </c>
      <c r="I199" t="n">
        <v>0</v>
      </c>
      <c r="J199" t="n">
        <v>0</v>
      </c>
      <c r="K199" t="n">
        <v>0</v>
      </c>
      <c r="L199" t="n">
        <v>0</v>
      </c>
      <c r="M199" t="n">
        <v>0</v>
      </c>
      <c r="N199" t="n">
        <v>0</v>
      </c>
      <c r="O199" t="n">
        <v>0</v>
      </c>
      <c r="P199" t="n">
        <v>0</v>
      </c>
      <c r="Q199" t="n">
        <v>0</v>
      </c>
      <c r="R199" s="2" t="inlineStr"/>
    </row>
    <row r="200" ht="15" customHeight="1">
      <c r="A200" t="inlineStr">
        <is>
          <t>A 9349-2023</t>
        </is>
      </c>
      <c r="B200" s="1" t="n">
        <v>44980</v>
      </c>
      <c r="C200" s="1" t="n">
        <v>45880</v>
      </c>
      <c r="D200" t="inlineStr">
        <is>
          <t>NORRBOTTENS LÄN</t>
        </is>
      </c>
      <c r="E200" t="inlineStr">
        <is>
          <t>JOKKMOKK</t>
        </is>
      </c>
      <c r="F200" t="inlineStr">
        <is>
          <t>SCA</t>
        </is>
      </c>
      <c r="G200" t="n">
        <v>5.2</v>
      </c>
      <c r="H200" t="n">
        <v>0</v>
      </c>
      <c r="I200" t="n">
        <v>0</v>
      </c>
      <c r="J200" t="n">
        <v>0</v>
      </c>
      <c r="K200" t="n">
        <v>0</v>
      </c>
      <c r="L200" t="n">
        <v>0</v>
      </c>
      <c r="M200" t="n">
        <v>0</v>
      </c>
      <c r="N200" t="n">
        <v>0</v>
      </c>
      <c r="O200" t="n">
        <v>0</v>
      </c>
      <c r="P200" t="n">
        <v>0</v>
      </c>
      <c r="Q200" t="n">
        <v>0</v>
      </c>
      <c r="R200" s="2" t="inlineStr"/>
    </row>
    <row r="201" ht="15" customHeight="1">
      <c r="A201" t="inlineStr">
        <is>
          <t>A 9351-2023</t>
        </is>
      </c>
      <c r="B201" s="1" t="n">
        <v>44980</v>
      </c>
      <c r="C201" s="1" t="n">
        <v>45880</v>
      </c>
      <c r="D201" t="inlineStr">
        <is>
          <t>NORRBOTTENS LÄN</t>
        </is>
      </c>
      <c r="E201" t="inlineStr">
        <is>
          <t>JOKKMOKK</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59849-2021</t>
        </is>
      </c>
      <c r="B202" s="1" t="n">
        <v>44493</v>
      </c>
      <c r="C202" s="1" t="n">
        <v>45880</v>
      </c>
      <c r="D202" t="inlineStr">
        <is>
          <t>NORRBOTTENS LÄN</t>
        </is>
      </c>
      <c r="E202" t="inlineStr">
        <is>
          <t>JOKKMOKK</t>
        </is>
      </c>
      <c r="F202" t="inlineStr">
        <is>
          <t>Övriga Aktiebolag</t>
        </is>
      </c>
      <c r="G202" t="n">
        <v>11.7</v>
      </c>
      <c r="H202" t="n">
        <v>0</v>
      </c>
      <c r="I202" t="n">
        <v>0</v>
      </c>
      <c r="J202" t="n">
        <v>0</v>
      </c>
      <c r="K202" t="n">
        <v>0</v>
      </c>
      <c r="L202" t="n">
        <v>0</v>
      </c>
      <c r="M202" t="n">
        <v>0</v>
      </c>
      <c r="N202" t="n">
        <v>0</v>
      </c>
      <c r="O202" t="n">
        <v>0</v>
      </c>
      <c r="P202" t="n">
        <v>0</v>
      </c>
      <c r="Q202" t="n">
        <v>0</v>
      </c>
      <c r="R202" s="2" t="inlineStr"/>
    </row>
    <row r="203" ht="15" customHeight="1">
      <c r="A203" t="inlineStr">
        <is>
          <t>A 56412-2021</t>
        </is>
      </c>
      <c r="B203" s="1" t="n">
        <v>44477</v>
      </c>
      <c r="C203" s="1" t="n">
        <v>45880</v>
      </c>
      <c r="D203" t="inlineStr">
        <is>
          <t>NORRBOTTENS LÄN</t>
        </is>
      </c>
      <c r="E203" t="inlineStr">
        <is>
          <t>JOKKMOKK</t>
        </is>
      </c>
      <c r="G203" t="n">
        <v>2.5</v>
      </c>
      <c r="H203" t="n">
        <v>0</v>
      </c>
      <c r="I203" t="n">
        <v>0</v>
      </c>
      <c r="J203" t="n">
        <v>0</v>
      </c>
      <c r="K203" t="n">
        <v>0</v>
      </c>
      <c r="L203" t="n">
        <v>0</v>
      </c>
      <c r="M203" t="n">
        <v>0</v>
      </c>
      <c r="N203" t="n">
        <v>0</v>
      </c>
      <c r="O203" t="n">
        <v>0</v>
      </c>
      <c r="P203" t="n">
        <v>0</v>
      </c>
      <c r="Q203" t="n">
        <v>0</v>
      </c>
      <c r="R203" s="2" t="inlineStr"/>
    </row>
    <row r="204" ht="15" customHeight="1">
      <c r="A204" t="inlineStr">
        <is>
          <t>A 45512-2022</t>
        </is>
      </c>
      <c r="B204" s="1" t="n">
        <v>44841</v>
      </c>
      <c r="C204" s="1" t="n">
        <v>45880</v>
      </c>
      <c r="D204" t="inlineStr">
        <is>
          <t>NORRBOTTENS LÄN</t>
        </is>
      </c>
      <c r="E204" t="inlineStr">
        <is>
          <t>JOKKMOKK</t>
        </is>
      </c>
      <c r="F204" t="inlineStr">
        <is>
          <t>Övriga Aktiebolag</t>
        </is>
      </c>
      <c r="G204" t="n">
        <v>0.6</v>
      </c>
      <c r="H204" t="n">
        <v>0</v>
      </c>
      <c r="I204" t="n">
        <v>0</v>
      </c>
      <c r="J204" t="n">
        <v>0</v>
      </c>
      <c r="K204" t="n">
        <v>0</v>
      </c>
      <c r="L204" t="n">
        <v>0</v>
      </c>
      <c r="M204" t="n">
        <v>0</v>
      </c>
      <c r="N204" t="n">
        <v>0</v>
      </c>
      <c r="O204" t="n">
        <v>0</v>
      </c>
      <c r="P204" t="n">
        <v>0</v>
      </c>
      <c r="Q204" t="n">
        <v>0</v>
      </c>
      <c r="R204" s="2" t="inlineStr"/>
    </row>
    <row r="205" ht="15" customHeight="1">
      <c r="A205" t="inlineStr">
        <is>
          <t>A 9878-2023</t>
        </is>
      </c>
      <c r="B205" s="1" t="n">
        <v>44984</v>
      </c>
      <c r="C205" s="1" t="n">
        <v>45880</v>
      </c>
      <c r="D205" t="inlineStr">
        <is>
          <t>NORRBOTTENS LÄN</t>
        </is>
      </c>
      <c r="E205" t="inlineStr">
        <is>
          <t>JOKKMOKK</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32900-2023</t>
        </is>
      </c>
      <c r="B206" s="1" t="n">
        <v>45124</v>
      </c>
      <c r="C206" s="1" t="n">
        <v>45880</v>
      </c>
      <c r="D206" t="inlineStr">
        <is>
          <t>NORRBOTTENS LÄN</t>
        </is>
      </c>
      <c r="E206" t="inlineStr">
        <is>
          <t>JOKKMOKK</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51269-2024</t>
        </is>
      </c>
      <c r="B207" s="1" t="n">
        <v>45603.71284722222</v>
      </c>
      <c r="C207" s="1" t="n">
        <v>45880</v>
      </c>
      <c r="D207" t="inlineStr">
        <is>
          <t>NORRBOTTENS LÄN</t>
        </is>
      </c>
      <c r="E207" t="inlineStr">
        <is>
          <t>JOKKMOKK</t>
        </is>
      </c>
      <c r="F207" t="inlineStr">
        <is>
          <t>Allmännings- och besparingsskogar</t>
        </is>
      </c>
      <c r="G207" t="n">
        <v>4.4</v>
      </c>
      <c r="H207" t="n">
        <v>0</v>
      </c>
      <c r="I207" t="n">
        <v>0</v>
      </c>
      <c r="J207" t="n">
        <v>0</v>
      </c>
      <c r="K207" t="n">
        <v>0</v>
      </c>
      <c r="L207" t="n">
        <v>0</v>
      </c>
      <c r="M207" t="n">
        <v>0</v>
      </c>
      <c r="N207" t="n">
        <v>0</v>
      </c>
      <c r="O207" t="n">
        <v>0</v>
      </c>
      <c r="P207" t="n">
        <v>0</v>
      </c>
      <c r="Q207" t="n">
        <v>0</v>
      </c>
      <c r="R207" s="2" t="inlineStr"/>
    </row>
    <row r="208" ht="15" customHeight="1">
      <c r="A208" t="inlineStr">
        <is>
          <t>A 21829-2025</t>
        </is>
      </c>
      <c r="B208" s="1" t="n">
        <v>45783.96920138889</v>
      </c>
      <c r="C208" s="1" t="n">
        <v>45880</v>
      </c>
      <c r="D208" t="inlineStr">
        <is>
          <t>NORRBOTTENS LÄN</t>
        </is>
      </c>
      <c r="E208" t="inlineStr">
        <is>
          <t>JOKKMOKK</t>
        </is>
      </c>
      <c r="G208" t="n">
        <v>7.1</v>
      </c>
      <c r="H208" t="n">
        <v>0</v>
      </c>
      <c r="I208" t="n">
        <v>0</v>
      </c>
      <c r="J208" t="n">
        <v>0</v>
      </c>
      <c r="K208" t="n">
        <v>0</v>
      </c>
      <c r="L208" t="n">
        <v>0</v>
      </c>
      <c r="M208" t="n">
        <v>0</v>
      </c>
      <c r="N208" t="n">
        <v>0</v>
      </c>
      <c r="O208" t="n">
        <v>0</v>
      </c>
      <c r="P208" t="n">
        <v>0</v>
      </c>
      <c r="Q208" t="n">
        <v>0</v>
      </c>
      <c r="R208" s="2" t="inlineStr"/>
    </row>
    <row r="209" ht="15" customHeight="1">
      <c r="A209" t="inlineStr">
        <is>
          <t>A 23023-2023</t>
        </is>
      </c>
      <c r="B209" s="1" t="n">
        <v>45073</v>
      </c>
      <c r="C209" s="1" t="n">
        <v>45880</v>
      </c>
      <c r="D209" t="inlineStr">
        <is>
          <t>NORRBOTTENS LÄN</t>
        </is>
      </c>
      <c r="E209" t="inlineStr">
        <is>
          <t>JOKKMOKK</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21710-2025</t>
        </is>
      </c>
      <c r="B210" s="1" t="n">
        <v>45783.53160879629</v>
      </c>
      <c r="C210" s="1" t="n">
        <v>45880</v>
      </c>
      <c r="D210" t="inlineStr">
        <is>
          <t>NORRBOTTENS LÄN</t>
        </is>
      </c>
      <c r="E210" t="inlineStr">
        <is>
          <t>JOKKMOKK</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30399-2024</t>
        </is>
      </c>
      <c r="B211" s="1" t="n">
        <v>45491</v>
      </c>
      <c r="C211" s="1" t="n">
        <v>45880</v>
      </c>
      <c r="D211" t="inlineStr">
        <is>
          <t>NORRBOTTENS LÄN</t>
        </is>
      </c>
      <c r="E211" t="inlineStr">
        <is>
          <t>JOKKMOKK</t>
        </is>
      </c>
      <c r="G211" t="n">
        <v>4.6</v>
      </c>
      <c r="H211" t="n">
        <v>0</v>
      </c>
      <c r="I211" t="n">
        <v>0</v>
      </c>
      <c r="J211" t="n">
        <v>0</v>
      </c>
      <c r="K211" t="n">
        <v>0</v>
      </c>
      <c r="L211" t="n">
        <v>0</v>
      </c>
      <c r="M211" t="n">
        <v>0</v>
      </c>
      <c r="N211" t="n">
        <v>0</v>
      </c>
      <c r="O211" t="n">
        <v>0</v>
      </c>
      <c r="P211" t="n">
        <v>0</v>
      </c>
      <c r="Q211" t="n">
        <v>0</v>
      </c>
      <c r="R211" s="2" t="inlineStr"/>
    </row>
    <row r="212" ht="15" customHeight="1">
      <c r="A212" t="inlineStr">
        <is>
          <t>A 61640-2024</t>
        </is>
      </c>
      <c r="B212" s="1" t="n">
        <v>45646.68362268519</v>
      </c>
      <c r="C212" s="1" t="n">
        <v>45880</v>
      </c>
      <c r="D212" t="inlineStr">
        <is>
          <t>NORRBOTTENS LÄN</t>
        </is>
      </c>
      <c r="E212" t="inlineStr">
        <is>
          <t>JOKKMOKK</t>
        </is>
      </c>
      <c r="G212" t="n">
        <v>10.6</v>
      </c>
      <c r="H212" t="n">
        <v>0</v>
      </c>
      <c r="I212" t="n">
        <v>0</v>
      </c>
      <c r="J212" t="n">
        <v>0</v>
      </c>
      <c r="K212" t="n">
        <v>0</v>
      </c>
      <c r="L212" t="n">
        <v>0</v>
      </c>
      <c r="M212" t="n">
        <v>0</v>
      </c>
      <c r="N212" t="n">
        <v>0</v>
      </c>
      <c r="O212" t="n">
        <v>0</v>
      </c>
      <c r="P212" t="n">
        <v>0</v>
      </c>
      <c r="Q212" t="n">
        <v>0</v>
      </c>
      <c r="R212" s="2" t="inlineStr"/>
    </row>
    <row r="213" ht="15" customHeight="1">
      <c r="A213" t="inlineStr">
        <is>
          <t>A 61641-2024</t>
        </is>
      </c>
      <c r="B213" s="1" t="n">
        <v>45646</v>
      </c>
      <c r="C213" s="1" t="n">
        <v>45880</v>
      </c>
      <c r="D213" t="inlineStr">
        <is>
          <t>NORRBOTTENS LÄN</t>
        </is>
      </c>
      <c r="E213" t="inlineStr">
        <is>
          <t>JOKKMOKK</t>
        </is>
      </c>
      <c r="G213" t="n">
        <v>3.2</v>
      </c>
      <c r="H213" t="n">
        <v>0</v>
      </c>
      <c r="I213" t="n">
        <v>0</v>
      </c>
      <c r="J213" t="n">
        <v>0</v>
      </c>
      <c r="K213" t="n">
        <v>0</v>
      </c>
      <c r="L213" t="n">
        <v>0</v>
      </c>
      <c r="M213" t="n">
        <v>0</v>
      </c>
      <c r="N213" t="n">
        <v>0</v>
      </c>
      <c r="O213" t="n">
        <v>0</v>
      </c>
      <c r="P213" t="n">
        <v>0</v>
      </c>
      <c r="Q213" t="n">
        <v>0</v>
      </c>
      <c r="R213" s="2" t="inlineStr"/>
    </row>
    <row r="214" ht="15" customHeight="1">
      <c r="A214" t="inlineStr">
        <is>
          <t>A 52812-2024</t>
        </is>
      </c>
      <c r="B214" s="1" t="n">
        <v>45610.58070601852</v>
      </c>
      <c r="C214" s="1" t="n">
        <v>45880</v>
      </c>
      <c r="D214" t="inlineStr">
        <is>
          <t>NORRBOTTENS LÄN</t>
        </is>
      </c>
      <c r="E214" t="inlineStr">
        <is>
          <t>JOKKMOKK</t>
        </is>
      </c>
      <c r="G214" t="n">
        <v>84</v>
      </c>
      <c r="H214" t="n">
        <v>0</v>
      </c>
      <c r="I214" t="n">
        <v>0</v>
      </c>
      <c r="J214" t="n">
        <v>0</v>
      </c>
      <c r="K214" t="n">
        <v>0</v>
      </c>
      <c r="L214" t="n">
        <v>0</v>
      </c>
      <c r="M214" t="n">
        <v>0</v>
      </c>
      <c r="N214" t="n">
        <v>0</v>
      </c>
      <c r="O214" t="n">
        <v>0</v>
      </c>
      <c r="P214" t="n">
        <v>0</v>
      </c>
      <c r="Q214" t="n">
        <v>0</v>
      </c>
      <c r="R214" s="2" t="inlineStr"/>
    </row>
    <row r="215" ht="15" customHeight="1">
      <c r="A215" t="inlineStr">
        <is>
          <t>A 40658-2024</t>
        </is>
      </c>
      <c r="B215" s="1" t="n">
        <v>45558</v>
      </c>
      <c r="C215" s="1" t="n">
        <v>45880</v>
      </c>
      <c r="D215" t="inlineStr">
        <is>
          <t>NORRBOTTENS LÄN</t>
        </is>
      </c>
      <c r="E215" t="inlineStr">
        <is>
          <t>JOKKMOKK</t>
        </is>
      </c>
      <c r="F215" t="inlineStr">
        <is>
          <t>SCA</t>
        </is>
      </c>
      <c r="G215" t="n">
        <v>3.7</v>
      </c>
      <c r="H215" t="n">
        <v>0</v>
      </c>
      <c r="I215" t="n">
        <v>0</v>
      </c>
      <c r="J215" t="n">
        <v>0</v>
      </c>
      <c r="K215" t="n">
        <v>0</v>
      </c>
      <c r="L215" t="n">
        <v>0</v>
      </c>
      <c r="M215" t="n">
        <v>0</v>
      </c>
      <c r="N215" t="n">
        <v>0</v>
      </c>
      <c r="O215" t="n">
        <v>0</v>
      </c>
      <c r="P215" t="n">
        <v>0</v>
      </c>
      <c r="Q215" t="n">
        <v>0</v>
      </c>
      <c r="R215" s="2" t="inlineStr"/>
    </row>
    <row r="216" ht="15" customHeight="1">
      <c r="A216" t="inlineStr">
        <is>
          <t>A 34598-2024</t>
        </is>
      </c>
      <c r="B216" s="1" t="n">
        <v>45526.39714120371</v>
      </c>
      <c r="C216" s="1" t="n">
        <v>45880</v>
      </c>
      <c r="D216" t="inlineStr">
        <is>
          <t>NORRBOTTENS LÄN</t>
        </is>
      </c>
      <c r="E216" t="inlineStr">
        <is>
          <t>JOKKMOKK</t>
        </is>
      </c>
      <c r="G216" t="n">
        <v>2.5</v>
      </c>
      <c r="H216" t="n">
        <v>0</v>
      </c>
      <c r="I216" t="n">
        <v>0</v>
      </c>
      <c r="J216" t="n">
        <v>0</v>
      </c>
      <c r="K216" t="n">
        <v>0</v>
      </c>
      <c r="L216" t="n">
        <v>0</v>
      </c>
      <c r="M216" t="n">
        <v>0</v>
      </c>
      <c r="N216" t="n">
        <v>0</v>
      </c>
      <c r="O216" t="n">
        <v>0</v>
      </c>
      <c r="P216" t="n">
        <v>0</v>
      </c>
      <c r="Q216" t="n">
        <v>0</v>
      </c>
      <c r="R216" s="2" t="inlineStr"/>
    </row>
    <row r="217" ht="15" customHeight="1">
      <c r="A217" t="inlineStr">
        <is>
          <t>A 49476-2024</t>
        </is>
      </c>
      <c r="B217" s="1" t="n">
        <v>45596.34571759259</v>
      </c>
      <c r="C217" s="1" t="n">
        <v>45880</v>
      </c>
      <c r="D217" t="inlineStr">
        <is>
          <t>NORRBOTTENS LÄN</t>
        </is>
      </c>
      <c r="E217" t="inlineStr">
        <is>
          <t>JOKKMOKK</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56851-2020</t>
        </is>
      </c>
      <c r="B218" s="1" t="n">
        <v>44133</v>
      </c>
      <c r="C218" s="1" t="n">
        <v>45880</v>
      </c>
      <c r="D218" t="inlineStr">
        <is>
          <t>NORRBOTTENS LÄN</t>
        </is>
      </c>
      <c r="E218" t="inlineStr">
        <is>
          <t>JOKKMOKK</t>
        </is>
      </c>
      <c r="F218" t="inlineStr">
        <is>
          <t>Övriga Aktiebolag</t>
        </is>
      </c>
      <c r="G218" t="n">
        <v>10.7</v>
      </c>
      <c r="H218" t="n">
        <v>0</v>
      </c>
      <c r="I218" t="n">
        <v>0</v>
      </c>
      <c r="J218" t="n">
        <v>0</v>
      </c>
      <c r="K218" t="n">
        <v>0</v>
      </c>
      <c r="L218" t="n">
        <v>0</v>
      </c>
      <c r="M218" t="n">
        <v>0</v>
      </c>
      <c r="N218" t="n">
        <v>0</v>
      </c>
      <c r="O218" t="n">
        <v>0</v>
      </c>
      <c r="P218" t="n">
        <v>0</v>
      </c>
      <c r="Q218" t="n">
        <v>0</v>
      </c>
      <c r="R218" s="2" t="inlineStr"/>
    </row>
    <row r="219" ht="15" customHeight="1">
      <c r="A219" t="inlineStr">
        <is>
          <t>A 13863-2025</t>
        </is>
      </c>
      <c r="B219" s="1" t="n">
        <v>45737.57435185185</v>
      </c>
      <c r="C219" s="1" t="n">
        <v>45880</v>
      </c>
      <c r="D219" t="inlineStr">
        <is>
          <t>NORRBOTTENS LÄN</t>
        </is>
      </c>
      <c r="E219" t="inlineStr">
        <is>
          <t>JOKKMOKK</t>
        </is>
      </c>
      <c r="G219" t="n">
        <v>0.9</v>
      </c>
      <c r="H219" t="n">
        <v>0</v>
      </c>
      <c r="I219" t="n">
        <v>0</v>
      </c>
      <c r="J219" t="n">
        <v>0</v>
      </c>
      <c r="K219" t="n">
        <v>0</v>
      </c>
      <c r="L219" t="n">
        <v>0</v>
      </c>
      <c r="M219" t="n">
        <v>0</v>
      </c>
      <c r="N219" t="n">
        <v>0</v>
      </c>
      <c r="O219" t="n">
        <v>0</v>
      </c>
      <c r="P219" t="n">
        <v>0</v>
      </c>
      <c r="Q219" t="n">
        <v>0</v>
      </c>
      <c r="R219" s="2" t="inlineStr"/>
    </row>
    <row r="220" ht="15" customHeight="1">
      <c r="A220" t="inlineStr">
        <is>
          <t>A 13864-2025</t>
        </is>
      </c>
      <c r="B220" s="1" t="n">
        <v>45737.57438657407</v>
      </c>
      <c r="C220" s="1" t="n">
        <v>45880</v>
      </c>
      <c r="D220" t="inlineStr">
        <is>
          <t>NORRBOTTENS LÄN</t>
        </is>
      </c>
      <c r="E220" t="inlineStr">
        <is>
          <t>JOKKMOKK</t>
        </is>
      </c>
      <c r="G220" t="n">
        <v>1.7</v>
      </c>
      <c r="H220" t="n">
        <v>0</v>
      </c>
      <c r="I220" t="n">
        <v>0</v>
      </c>
      <c r="J220" t="n">
        <v>0</v>
      </c>
      <c r="K220" t="n">
        <v>0</v>
      </c>
      <c r="L220" t="n">
        <v>0</v>
      </c>
      <c r="M220" t="n">
        <v>0</v>
      </c>
      <c r="N220" t="n">
        <v>0</v>
      </c>
      <c r="O220" t="n">
        <v>0</v>
      </c>
      <c r="P220" t="n">
        <v>0</v>
      </c>
      <c r="Q220" t="n">
        <v>0</v>
      </c>
      <c r="R220" s="2" t="inlineStr"/>
    </row>
    <row r="221" ht="15" customHeight="1">
      <c r="A221" t="inlineStr">
        <is>
          <t>A 425-2025</t>
        </is>
      </c>
      <c r="B221" s="1" t="n">
        <v>45664.34549768519</v>
      </c>
      <c r="C221" s="1" t="n">
        <v>45880</v>
      </c>
      <c r="D221" t="inlineStr">
        <is>
          <t>NORRBOTTENS LÄN</t>
        </is>
      </c>
      <c r="E221" t="inlineStr">
        <is>
          <t>JOKKMOKK</t>
        </is>
      </c>
      <c r="F221" t="inlineStr">
        <is>
          <t>Övriga statliga verk och myndigheter</t>
        </is>
      </c>
      <c r="G221" t="n">
        <v>36.5</v>
      </c>
      <c r="H221" t="n">
        <v>0</v>
      </c>
      <c r="I221" t="n">
        <v>0</v>
      </c>
      <c r="J221" t="n">
        <v>0</v>
      </c>
      <c r="K221" t="n">
        <v>0</v>
      </c>
      <c r="L221" t="n">
        <v>0</v>
      </c>
      <c r="M221" t="n">
        <v>0</v>
      </c>
      <c r="N221" t="n">
        <v>0</v>
      </c>
      <c r="O221" t="n">
        <v>0</v>
      </c>
      <c r="P221" t="n">
        <v>0</v>
      </c>
      <c r="Q221" t="n">
        <v>0</v>
      </c>
      <c r="R221" s="2" t="inlineStr"/>
    </row>
    <row r="222" ht="15" customHeight="1">
      <c r="A222" t="inlineStr">
        <is>
          <t>A 457-2025</t>
        </is>
      </c>
      <c r="B222" s="1" t="n">
        <v>45664</v>
      </c>
      <c r="C222" s="1" t="n">
        <v>45880</v>
      </c>
      <c r="D222" t="inlineStr">
        <is>
          <t>NORRBOTTENS LÄN</t>
        </is>
      </c>
      <c r="E222" t="inlineStr">
        <is>
          <t>JOKKMOKK</t>
        </is>
      </c>
      <c r="F222" t="inlineStr">
        <is>
          <t>Övriga statliga verk och myndigheter</t>
        </is>
      </c>
      <c r="G222" t="n">
        <v>8</v>
      </c>
      <c r="H222" t="n">
        <v>0</v>
      </c>
      <c r="I222" t="n">
        <v>0</v>
      </c>
      <c r="J222" t="n">
        <v>0</v>
      </c>
      <c r="K222" t="n">
        <v>0</v>
      </c>
      <c r="L222" t="n">
        <v>0</v>
      </c>
      <c r="M222" t="n">
        <v>0</v>
      </c>
      <c r="N222" t="n">
        <v>0</v>
      </c>
      <c r="O222" t="n">
        <v>0</v>
      </c>
      <c r="P222" t="n">
        <v>0</v>
      </c>
      <c r="Q222" t="n">
        <v>0</v>
      </c>
      <c r="R222" s="2" t="inlineStr"/>
    </row>
    <row r="223" ht="15" customHeight="1">
      <c r="A223" t="inlineStr">
        <is>
          <t>A 458-2025</t>
        </is>
      </c>
      <c r="B223" s="1" t="n">
        <v>45664</v>
      </c>
      <c r="C223" s="1" t="n">
        <v>45880</v>
      </c>
      <c r="D223" t="inlineStr">
        <is>
          <t>NORRBOTTENS LÄN</t>
        </is>
      </c>
      <c r="E223" t="inlineStr">
        <is>
          <t>JOKKMOKK</t>
        </is>
      </c>
      <c r="F223" t="inlineStr">
        <is>
          <t>Övriga statliga verk och myndigheter</t>
        </is>
      </c>
      <c r="G223" t="n">
        <v>10.3</v>
      </c>
      <c r="H223" t="n">
        <v>0</v>
      </c>
      <c r="I223" t="n">
        <v>0</v>
      </c>
      <c r="J223" t="n">
        <v>0</v>
      </c>
      <c r="K223" t="n">
        <v>0</v>
      </c>
      <c r="L223" t="n">
        <v>0</v>
      </c>
      <c r="M223" t="n">
        <v>0</v>
      </c>
      <c r="N223" t="n">
        <v>0</v>
      </c>
      <c r="O223" t="n">
        <v>0</v>
      </c>
      <c r="P223" t="n">
        <v>0</v>
      </c>
      <c r="Q223" t="n">
        <v>0</v>
      </c>
      <c r="R223" s="2" t="inlineStr"/>
    </row>
    <row r="224" ht="15" customHeight="1">
      <c r="A224" t="inlineStr">
        <is>
          <t>A 30401-2024</t>
        </is>
      </c>
      <c r="B224" s="1" t="n">
        <v>45491</v>
      </c>
      <c r="C224" s="1" t="n">
        <v>45880</v>
      </c>
      <c r="D224" t="inlineStr">
        <is>
          <t>NORRBOTTENS LÄN</t>
        </is>
      </c>
      <c r="E224" t="inlineStr">
        <is>
          <t>JOKKMOKK</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45880</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71369-2021</t>
        </is>
      </c>
      <c r="B226" s="1" t="n">
        <v>44539.94476851852</v>
      </c>
      <c r="C226" s="1" t="n">
        <v>45880</v>
      </c>
      <c r="D226" t="inlineStr">
        <is>
          <t>NORRBOTTENS LÄN</t>
        </is>
      </c>
      <c r="E226" t="inlineStr">
        <is>
          <t>JOKKMOKK</t>
        </is>
      </c>
      <c r="F226" t="inlineStr">
        <is>
          <t>SCA</t>
        </is>
      </c>
      <c r="G226" t="n">
        <v>15.7</v>
      </c>
      <c r="H226" t="n">
        <v>0</v>
      </c>
      <c r="I226" t="n">
        <v>0</v>
      </c>
      <c r="J226" t="n">
        <v>0</v>
      </c>
      <c r="K226" t="n">
        <v>0</v>
      </c>
      <c r="L226" t="n">
        <v>0</v>
      </c>
      <c r="M226" t="n">
        <v>0</v>
      </c>
      <c r="N226" t="n">
        <v>0</v>
      </c>
      <c r="O226" t="n">
        <v>0</v>
      </c>
      <c r="P226" t="n">
        <v>0</v>
      </c>
      <c r="Q226" t="n">
        <v>0</v>
      </c>
      <c r="R226" s="2" t="inlineStr"/>
    </row>
    <row r="227" ht="15" customHeight="1">
      <c r="A227" t="inlineStr">
        <is>
          <t>A 51293-2024</t>
        </is>
      </c>
      <c r="B227" s="1" t="n">
        <v>45603.92878472222</v>
      </c>
      <c r="C227" s="1" t="n">
        <v>45880</v>
      </c>
      <c r="D227" t="inlineStr">
        <is>
          <t>NORRBOTTENS LÄN</t>
        </is>
      </c>
      <c r="E227" t="inlineStr">
        <is>
          <t>JOKKMOKK</t>
        </is>
      </c>
      <c r="G227" t="n">
        <v>2.5</v>
      </c>
      <c r="H227" t="n">
        <v>0</v>
      </c>
      <c r="I227" t="n">
        <v>0</v>
      </c>
      <c r="J227" t="n">
        <v>0</v>
      </c>
      <c r="K227" t="n">
        <v>0</v>
      </c>
      <c r="L227" t="n">
        <v>0</v>
      </c>
      <c r="M227" t="n">
        <v>0</v>
      </c>
      <c r="N227" t="n">
        <v>0</v>
      </c>
      <c r="O227" t="n">
        <v>0</v>
      </c>
      <c r="P227" t="n">
        <v>0</v>
      </c>
      <c r="Q227" t="n">
        <v>0</v>
      </c>
      <c r="R227" s="2" t="inlineStr"/>
    </row>
    <row r="228" ht="15" customHeight="1">
      <c r="A228" t="inlineStr">
        <is>
          <t>A 44145-2024</t>
        </is>
      </c>
      <c r="B228" s="1" t="n">
        <v>45572.66908564815</v>
      </c>
      <c r="C228" s="1" t="n">
        <v>45880</v>
      </c>
      <c r="D228" t="inlineStr">
        <is>
          <t>NORRBOTTENS LÄN</t>
        </is>
      </c>
      <c r="E228" t="inlineStr">
        <is>
          <t>JOKKMOKK</t>
        </is>
      </c>
      <c r="F228" t="inlineStr">
        <is>
          <t>Sveaskog</t>
        </is>
      </c>
      <c r="G228" t="n">
        <v>4.7</v>
      </c>
      <c r="H228" t="n">
        <v>0</v>
      </c>
      <c r="I228" t="n">
        <v>0</v>
      </c>
      <c r="J228" t="n">
        <v>0</v>
      </c>
      <c r="K228" t="n">
        <v>0</v>
      </c>
      <c r="L228" t="n">
        <v>0</v>
      </c>
      <c r="M228" t="n">
        <v>0</v>
      </c>
      <c r="N228" t="n">
        <v>0</v>
      </c>
      <c r="O228" t="n">
        <v>0</v>
      </c>
      <c r="P228" t="n">
        <v>0</v>
      </c>
      <c r="Q228" t="n">
        <v>0</v>
      </c>
      <c r="R228" s="2" t="inlineStr"/>
    </row>
    <row r="229" ht="15" customHeight="1">
      <c r="A229" t="inlineStr">
        <is>
          <t>A 59793-2024</t>
        </is>
      </c>
      <c r="B229" s="1" t="n">
        <v>45639.58967592593</v>
      </c>
      <c r="C229" s="1" t="n">
        <v>45880</v>
      </c>
      <c r="D229" t="inlineStr">
        <is>
          <t>NORRBOTTENS LÄN</t>
        </is>
      </c>
      <c r="E229" t="inlineStr">
        <is>
          <t>JOKKMOKK</t>
        </is>
      </c>
      <c r="F229" t="inlineStr">
        <is>
          <t>Sveaskog</t>
        </is>
      </c>
      <c r="G229" t="n">
        <v>10.8</v>
      </c>
      <c r="H229" t="n">
        <v>0</v>
      </c>
      <c r="I229" t="n">
        <v>0</v>
      </c>
      <c r="J229" t="n">
        <v>0</v>
      </c>
      <c r="K229" t="n">
        <v>0</v>
      </c>
      <c r="L229" t="n">
        <v>0</v>
      </c>
      <c r="M229" t="n">
        <v>0</v>
      </c>
      <c r="N229" t="n">
        <v>0</v>
      </c>
      <c r="O229" t="n">
        <v>0</v>
      </c>
      <c r="P229" t="n">
        <v>0</v>
      </c>
      <c r="Q229" t="n">
        <v>0</v>
      </c>
      <c r="R229" s="2" t="inlineStr"/>
    </row>
    <row r="230" ht="15" customHeight="1">
      <c r="A230" t="inlineStr">
        <is>
          <t>A 39684-2023</t>
        </is>
      </c>
      <c r="B230" s="1" t="n">
        <v>45166</v>
      </c>
      <c r="C230" s="1" t="n">
        <v>45880</v>
      </c>
      <c r="D230" t="inlineStr">
        <is>
          <t>NORRBOTTENS LÄN</t>
        </is>
      </c>
      <c r="E230" t="inlineStr">
        <is>
          <t>JOKKMOKK</t>
        </is>
      </c>
      <c r="G230" t="n">
        <v>6.8</v>
      </c>
      <c r="H230" t="n">
        <v>0</v>
      </c>
      <c r="I230" t="n">
        <v>0</v>
      </c>
      <c r="J230" t="n">
        <v>0</v>
      </c>
      <c r="K230" t="n">
        <v>0</v>
      </c>
      <c r="L230" t="n">
        <v>0</v>
      </c>
      <c r="M230" t="n">
        <v>0</v>
      </c>
      <c r="N230" t="n">
        <v>0</v>
      </c>
      <c r="O230" t="n">
        <v>0</v>
      </c>
      <c r="P230" t="n">
        <v>0</v>
      </c>
      <c r="Q230" t="n">
        <v>0</v>
      </c>
      <c r="R230" s="2" t="inlineStr"/>
    </row>
    <row r="231" ht="15" customHeight="1">
      <c r="A231" t="inlineStr">
        <is>
          <t>A 23203-2024</t>
        </is>
      </c>
      <c r="B231" s="1" t="n">
        <v>45451</v>
      </c>
      <c r="C231" s="1" t="n">
        <v>45880</v>
      </c>
      <c r="D231" t="inlineStr">
        <is>
          <t>NORRBOTTENS LÄN</t>
        </is>
      </c>
      <c r="E231" t="inlineStr">
        <is>
          <t>JOKKMOKK</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16847-2023</t>
        </is>
      </c>
      <c r="B232" s="1" t="n">
        <v>45028</v>
      </c>
      <c r="C232" s="1" t="n">
        <v>45880</v>
      </c>
      <c r="D232" t="inlineStr">
        <is>
          <t>NORRBOTTENS LÄN</t>
        </is>
      </c>
      <c r="E232" t="inlineStr">
        <is>
          <t>JOKKMOKK</t>
        </is>
      </c>
      <c r="G232" t="n">
        <v>7.3</v>
      </c>
      <c r="H232" t="n">
        <v>0</v>
      </c>
      <c r="I232" t="n">
        <v>0</v>
      </c>
      <c r="J232" t="n">
        <v>0</v>
      </c>
      <c r="K232" t="n">
        <v>0</v>
      </c>
      <c r="L232" t="n">
        <v>0</v>
      </c>
      <c r="M232" t="n">
        <v>0</v>
      </c>
      <c r="N232" t="n">
        <v>0</v>
      </c>
      <c r="O232" t="n">
        <v>0</v>
      </c>
      <c r="P232" t="n">
        <v>0</v>
      </c>
      <c r="Q232" t="n">
        <v>0</v>
      </c>
      <c r="R232" s="2" t="inlineStr"/>
    </row>
    <row r="233" ht="15" customHeight="1">
      <c r="A233" t="inlineStr">
        <is>
          <t>A 9860-2023</t>
        </is>
      </c>
      <c r="B233" s="1" t="n">
        <v>44984</v>
      </c>
      <c r="C233" s="1" t="n">
        <v>45880</v>
      </c>
      <c r="D233" t="inlineStr">
        <is>
          <t>NORRBOTTENS LÄN</t>
        </is>
      </c>
      <c r="E233" t="inlineStr">
        <is>
          <t>JOKKMOKK</t>
        </is>
      </c>
      <c r="F233" t="inlineStr">
        <is>
          <t>SCA</t>
        </is>
      </c>
      <c r="G233" t="n">
        <v>8</v>
      </c>
      <c r="H233" t="n">
        <v>0</v>
      </c>
      <c r="I233" t="n">
        <v>0</v>
      </c>
      <c r="J233" t="n">
        <v>0</v>
      </c>
      <c r="K233" t="n">
        <v>0</v>
      </c>
      <c r="L233" t="n">
        <v>0</v>
      </c>
      <c r="M233" t="n">
        <v>0</v>
      </c>
      <c r="N233" t="n">
        <v>0</v>
      </c>
      <c r="O233" t="n">
        <v>0</v>
      </c>
      <c r="P233" t="n">
        <v>0</v>
      </c>
      <c r="Q233" t="n">
        <v>0</v>
      </c>
      <c r="R233" s="2" t="inlineStr"/>
    </row>
    <row r="234" ht="15" customHeight="1">
      <c r="A234" t="inlineStr">
        <is>
          <t>A 9863-2023</t>
        </is>
      </c>
      <c r="B234" s="1" t="n">
        <v>44984</v>
      </c>
      <c r="C234" s="1" t="n">
        <v>45880</v>
      </c>
      <c r="D234" t="inlineStr">
        <is>
          <t>NORRBOTTENS LÄN</t>
        </is>
      </c>
      <c r="E234" t="inlineStr">
        <is>
          <t>JOKKMOKK</t>
        </is>
      </c>
      <c r="F234" t="inlineStr">
        <is>
          <t>SCA</t>
        </is>
      </c>
      <c r="G234" t="n">
        <v>14.4</v>
      </c>
      <c r="H234" t="n">
        <v>0</v>
      </c>
      <c r="I234" t="n">
        <v>0</v>
      </c>
      <c r="J234" t="n">
        <v>0</v>
      </c>
      <c r="K234" t="n">
        <v>0</v>
      </c>
      <c r="L234" t="n">
        <v>0</v>
      </c>
      <c r="M234" t="n">
        <v>0</v>
      </c>
      <c r="N234" t="n">
        <v>0</v>
      </c>
      <c r="O234" t="n">
        <v>0</v>
      </c>
      <c r="P234" t="n">
        <v>0</v>
      </c>
      <c r="Q234" t="n">
        <v>0</v>
      </c>
      <c r="R234" s="2" t="inlineStr"/>
    </row>
    <row r="235" ht="15" customHeight="1">
      <c r="A235" t="inlineStr">
        <is>
          <t>A 9872-2023</t>
        </is>
      </c>
      <c r="B235" s="1" t="n">
        <v>44984</v>
      </c>
      <c r="C235" s="1" t="n">
        <v>45880</v>
      </c>
      <c r="D235" t="inlineStr">
        <is>
          <t>NORRBOTTENS LÄN</t>
        </is>
      </c>
      <c r="E235" t="inlineStr">
        <is>
          <t>JOKKMOKK</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9873-2023</t>
        </is>
      </c>
      <c r="B236" s="1" t="n">
        <v>44984</v>
      </c>
      <c r="C236" s="1" t="n">
        <v>45880</v>
      </c>
      <c r="D236" t="inlineStr">
        <is>
          <t>NORRBOTTENS LÄN</t>
        </is>
      </c>
      <c r="E236" t="inlineStr">
        <is>
          <t>JOKKMOKK</t>
        </is>
      </c>
      <c r="G236" t="n">
        <v>1.6</v>
      </c>
      <c r="H236" t="n">
        <v>0</v>
      </c>
      <c r="I236" t="n">
        <v>0</v>
      </c>
      <c r="J236" t="n">
        <v>0</v>
      </c>
      <c r="K236" t="n">
        <v>0</v>
      </c>
      <c r="L236" t="n">
        <v>0</v>
      </c>
      <c r="M236" t="n">
        <v>0</v>
      </c>
      <c r="N236" t="n">
        <v>0</v>
      </c>
      <c r="O236" t="n">
        <v>0</v>
      </c>
      <c r="P236" t="n">
        <v>0</v>
      </c>
      <c r="Q236" t="n">
        <v>0</v>
      </c>
      <c r="R236" s="2" t="inlineStr"/>
    </row>
    <row r="237" ht="15" customHeight="1">
      <c r="A237" t="inlineStr">
        <is>
          <t>A 9877-2023</t>
        </is>
      </c>
      <c r="B237" s="1" t="n">
        <v>44984.94033564815</v>
      </c>
      <c r="C237" s="1" t="n">
        <v>45880</v>
      </c>
      <c r="D237" t="inlineStr">
        <is>
          <t>NORRBOTTENS LÄN</t>
        </is>
      </c>
      <c r="E237" t="inlineStr">
        <is>
          <t>JOKKMOKK</t>
        </is>
      </c>
      <c r="F237" t="inlineStr">
        <is>
          <t>SCA</t>
        </is>
      </c>
      <c r="G237" t="n">
        <v>5.4</v>
      </c>
      <c r="H237" t="n">
        <v>0</v>
      </c>
      <c r="I237" t="n">
        <v>0</v>
      </c>
      <c r="J237" t="n">
        <v>0</v>
      </c>
      <c r="K237" t="n">
        <v>0</v>
      </c>
      <c r="L237" t="n">
        <v>0</v>
      </c>
      <c r="M237" t="n">
        <v>0</v>
      </c>
      <c r="N237" t="n">
        <v>0</v>
      </c>
      <c r="O237" t="n">
        <v>0</v>
      </c>
      <c r="P237" t="n">
        <v>0</v>
      </c>
      <c r="Q237" t="n">
        <v>0</v>
      </c>
      <c r="R237" s="2" t="inlineStr"/>
    </row>
    <row r="238" ht="15" customHeight="1">
      <c r="A238" t="inlineStr">
        <is>
          <t>A 44151-2024</t>
        </is>
      </c>
      <c r="B238" s="1" t="n">
        <v>45572.67773148148</v>
      </c>
      <c r="C238" s="1" t="n">
        <v>45880</v>
      </c>
      <c r="D238" t="inlineStr">
        <is>
          <t>NORRBOTTENS LÄN</t>
        </is>
      </c>
      <c r="E238" t="inlineStr">
        <is>
          <t>JOKKMOKK</t>
        </is>
      </c>
      <c r="F238" t="inlineStr">
        <is>
          <t>Sveaskog</t>
        </is>
      </c>
      <c r="G238" t="n">
        <v>9.4</v>
      </c>
      <c r="H238" t="n">
        <v>0</v>
      </c>
      <c r="I238" t="n">
        <v>0</v>
      </c>
      <c r="J238" t="n">
        <v>0</v>
      </c>
      <c r="K238" t="n">
        <v>0</v>
      </c>
      <c r="L238" t="n">
        <v>0</v>
      </c>
      <c r="M238" t="n">
        <v>0</v>
      </c>
      <c r="N238" t="n">
        <v>0</v>
      </c>
      <c r="O238" t="n">
        <v>0</v>
      </c>
      <c r="P238" t="n">
        <v>0</v>
      </c>
      <c r="Q238" t="n">
        <v>0</v>
      </c>
      <c r="R238" s="2" t="inlineStr"/>
    </row>
    <row r="239" ht="15" customHeight="1">
      <c r="A239" t="inlineStr">
        <is>
          <t>A 17784-2025</t>
        </is>
      </c>
      <c r="B239" s="1" t="n">
        <v>45758</v>
      </c>
      <c r="C239" s="1" t="n">
        <v>45880</v>
      </c>
      <c r="D239" t="inlineStr">
        <is>
          <t>NORRBOTTENS LÄN</t>
        </is>
      </c>
      <c r="E239" t="inlineStr">
        <is>
          <t>JOKKMOKK</t>
        </is>
      </c>
      <c r="F239" t="inlineStr">
        <is>
          <t>SCA</t>
        </is>
      </c>
      <c r="G239" t="n">
        <v>11.2</v>
      </c>
      <c r="H239" t="n">
        <v>0</v>
      </c>
      <c r="I239" t="n">
        <v>0</v>
      </c>
      <c r="J239" t="n">
        <v>0</v>
      </c>
      <c r="K239" t="n">
        <v>0</v>
      </c>
      <c r="L239" t="n">
        <v>0</v>
      </c>
      <c r="M239" t="n">
        <v>0</v>
      </c>
      <c r="N239" t="n">
        <v>0</v>
      </c>
      <c r="O239" t="n">
        <v>0</v>
      </c>
      <c r="P239" t="n">
        <v>0</v>
      </c>
      <c r="Q239" t="n">
        <v>0</v>
      </c>
      <c r="R239" s="2" t="inlineStr"/>
    </row>
    <row r="240" ht="15" customHeight="1">
      <c r="A240" t="inlineStr">
        <is>
          <t>A 16018-2024</t>
        </is>
      </c>
      <c r="B240" s="1" t="n">
        <v>45405.67028935185</v>
      </c>
      <c r="C240" s="1" t="n">
        <v>45880</v>
      </c>
      <c r="D240" t="inlineStr">
        <is>
          <t>NORRBOTTENS LÄN</t>
        </is>
      </c>
      <c r="E240" t="inlineStr">
        <is>
          <t>JOKKMOKK</t>
        </is>
      </c>
      <c r="G240" t="n">
        <v>1.8</v>
      </c>
      <c r="H240" t="n">
        <v>0</v>
      </c>
      <c r="I240" t="n">
        <v>0</v>
      </c>
      <c r="J240" t="n">
        <v>0</v>
      </c>
      <c r="K240" t="n">
        <v>0</v>
      </c>
      <c r="L240" t="n">
        <v>0</v>
      </c>
      <c r="M240" t="n">
        <v>0</v>
      </c>
      <c r="N240" t="n">
        <v>0</v>
      </c>
      <c r="O240" t="n">
        <v>0</v>
      </c>
      <c r="P240" t="n">
        <v>0</v>
      </c>
      <c r="Q240" t="n">
        <v>0</v>
      </c>
      <c r="R240" s="2" t="inlineStr"/>
    </row>
    <row r="241" ht="15" customHeight="1">
      <c r="A241" t="inlineStr">
        <is>
          <t>A 32899-2023</t>
        </is>
      </c>
      <c r="B241" s="1" t="n">
        <v>45124</v>
      </c>
      <c r="C241" s="1" t="n">
        <v>45880</v>
      </c>
      <c r="D241" t="inlineStr">
        <is>
          <t>NORRBOTTENS LÄN</t>
        </is>
      </c>
      <c r="E241" t="inlineStr">
        <is>
          <t>JOKKMOKK</t>
        </is>
      </c>
      <c r="F241" t="inlineStr">
        <is>
          <t>SCA</t>
        </is>
      </c>
      <c r="G241" t="n">
        <v>3.3</v>
      </c>
      <c r="H241" t="n">
        <v>0</v>
      </c>
      <c r="I241" t="n">
        <v>0</v>
      </c>
      <c r="J241" t="n">
        <v>0</v>
      </c>
      <c r="K241" t="n">
        <v>0</v>
      </c>
      <c r="L241" t="n">
        <v>0</v>
      </c>
      <c r="M241" t="n">
        <v>0</v>
      </c>
      <c r="N241" t="n">
        <v>0</v>
      </c>
      <c r="O241" t="n">
        <v>0</v>
      </c>
      <c r="P241" t="n">
        <v>0</v>
      </c>
      <c r="Q241" t="n">
        <v>0</v>
      </c>
      <c r="R241" s="2" t="inlineStr"/>
    </row>
    <row r="242" ht="15" customHeight="1">
      <c r="A242" t="inlineStr">
        <is>
          <t>A 23317-2025</t>
        </is>
      </c>
      <c r="B242" s="1" t="n">
        <v>45791.61278935185</v>
      </c>
      <c r="C242" s="1" t="n">
        <v>45880</v>
      </c>
      <c r="D242" t="inlineStr">
        <is>
          <t>NORRBOTTENS LÄN</t>
        </is>
      </c>
      <c r="E242" t="inlineStr">
        <is>
          <t>JOKKMOKK</t>
        </is>
      </c>
      <c r="F242" t="inlineStr">
        <is>
          <t>Sveaskog</t>
        </is>
      </c>
      <c r="G242" t="n">
        <v>22.4</v>
      </c>
      <c r="H242" t="n">
        <v>0</v>
      </c>
      <c r="I242" t="n">
        <v>0</v>
      </c>
      <c r="J242" t="n">
        <v>0</v>
      </c>
      <c r="K242" t="n">
        <v>0</v>
      </c>
      <c r="L242" t="n">
        <v>0</v>
      </c>
      <c r="M242" t="n">
        <v>0</v>
      </c>
      <c r="N242" t="n">
        <v>0</v>
      </c>
      <c r="O242" t="n">
        <v>0</v>
      </c>
      <c r="P242" t="n">
        <v>0</v>
      </c>
      <c r="Q242" t="n">
        <v>0</v>
      </c>
      <c r="R242" s="2" t="inlineStr"/>
    </row>
    <row r="243" ht="15" customHeight="1">
      <c r="A243" t="inlineStr">
        <is>
          <t>A 9859-2023</t>
        </is>
      </c>
      <c r="B243" s="1" t="n">
        <v>44984.93940972222</v>
      </c>
      <c r="C243" s="1" t="n">
        <v>45880</v>
      </c>
      <c r="D243" t="inlineStr">
        <is>
          <t>NORRBOTTENS LÄN</t>
        </is>
      </c>
      <c r="E243" t="inlineStr">
        <is>
          <t>JOKKMOKK</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9864-2023</t>
        </is>
      </c>
      <c r="B244" s="1" t="n">
        <v>44984</v>
      </c>
      <c r="C244" s="1" t="n">
        <v>45880</v>
      </c>
      <c r="D244" t="inlineStr">
        <is>
          <t>NORRBOTTENS LÄN</t>
        </is>
      </c>
      <c r="E244" t="inlineStr">
        <is>
          <t>JOKKMOKK</t>
        </is>
      </c>
      <c r="F244" t="inlineStr">
        <is>
          <t>SCA</t>
        </is>
      </c>
      <c r="G244" t="n">
        <v>3.1</v>
      </c>
      <c r="H244" t="n">
        <v>0</v>
      </c>
      <c r="I244" t="n">
        <v>0</v>
      </c>
      <c r="J244" t="n">
        <v>0</v>
      </c>
      <c r="K244" t="n">
        <v>0</v>
      </c>
      <c r="L244" t="n">
        <v>0</v>
      </c>
      <c r="M244" t="n">
        <v>0</v>
      </c>
      <c r="N244" t="n">
        <v>0</v>
      </c>
      <c r="O244" t="n">
        <v>0</v>
      </c>
      <c r="P244" t="n">
        <v>0</v>
      </c>
      <c r="Q244" t="n">
        <v>0</v>
      </c>
      <c r="R244" s="2" t="inlineStr"/>
    </row>
    <row r="245" ht="15" customHeight="1">
      <c r="A245" t="inlineStr">
        <is>
          <t>A 40110-2020</t>
        </is>
      </c>
      <c r="B245" s="1" t="n">
        <v>44067</v>
      </c>
      <c r="C245" s="1" t="n">
        <v>45880</v>
      </c>
      <c r="D245" t="inlineStr">
        <is>
          <t>NORRBOTTENS LÄN</t>
        </is>
      </c>
      <c r="E245" t="inlineStr">
        <is>
          <t>JOKKMOKK</t>
        </is>
      </c>
      <c r="F245" t="inlineStr">
        <is>
          <t>Övriga Aktiebolag</t>
        </is>
      </c>
      <c r="G245" t="n">
        <v>14.4</v>
      </c>
      <c r="H245" t="n">
        <v>0</v>
      </c>
      <c r="I245" t="n">
        <v>0</v>
      </c>
      <c r="J245" t="n">
        <v>0</v>
      </c>
      <c r="K245" t="n">
        <v>0</v>
      </c>
      <c r="L245" t="n">
        <v>0</v>
      </c>
      <c r="M245" t="n">
        <v>0</v>
      </c>
      <c r="N245" t="n">
        <v>0</v>
      </c>
      <c r="O245" t="n">
        <v>0</v>
      </c>
      <c r="P245" t="n">
        <v>0</v>
      </c>
      <c r="Q245" t="n">
        <v>0</v>
      </c>
      <c r="R245" s="2" t="inlineStr"/>
    </row>
    <row r="246" ht="15" customHeight="1">
      <c r="A246" t="inlineStr">
        <is>
          <t>A 49477-2024</t>
        </is>
      </c>
      <c r="B246" s="1" t="n">
        <v>45596.34576388889</v>
      </c>
      <c r="C246" s="1" t="n">
        <v>45880</v>
      </c>
      <c r="D246" t="inlineStr">
        <is>
          <t>NORRBOTTENS LÄN</t>
        </is>
      </c>
      <c r="E246" t="inlineStr">
        <is>
          <t>JOKKMOKK</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12664-2025</t>
        </is>
      </c>
      <c r="B247" s="1" t="n">
        <v>45733</v>
      </c>
      <c r="C247" s="1" t="n">
        <v>45880</v>
      </c>
      <c r="D247" t="inlineStr">
        <is>
          <t>NORRBOTTENS LÄN</t>
        </is>
      </c>
      <c r="E247" t="inlineStr">
        <is>
          <t>JOKKMOKK</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9874-2023</t>
        </is>
      </c>
      <c r="B248" s="1" t="n">
        <v>44984.94069444444</v>
      </c>
      <c r="C248" s="1" t="n">
        <v>45880</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9875-2023</t>
        </is>
      </c>
      <c r="B249" s="1" t="n">
        <v>44984.94076388889</v>
      </c>
      <c r="C249" s="1" t="n">
        <v>45880</v>
      </c>
      <c r="D249" t="inlineStr">
        <is>
          <t>NORRBOTTENS LÄN</t>
        </is>
      </c>
      <c r="E249" t="inlineStr">
        <is>
          <t>JOKKMOKK</t>
        </is>
      </c>
      <c r="G249" t="n">
        <v>0.6</v>
      </c>
      <c r="H249" t="n">
        <v>0</v>
      </c>
      <c r="I249" t="n">
        <v>0</v>
      </c>
      <c r="J249" t="n">
        <v>0</v>
      </c>
      <c r="K249" t="n">
        <v>0</v>
      </c>
      <c r="L249" t="n">
        <v>0</v>
      </c>
      <c r="M249" t="n">
        <v>0</v>
      </c>
      <c r="N249" t="n">
        <v>0</v>
      </c>
      <c r="O249" t="n">
        <v>0</v>
      </c>
      <c r="P249" t="n">
        <v>0</v>
      </c>
      <c r="Q249" t="n">
        <v>0</v>
      </c>
      <c r="R249" s="2" t="inlineStr"/>
    </row>
    <row r="250" ht="15" customHeight="1">
      <c r="A250" t="inlineStr">
        <is>
          <t>A 3055-2025</t>
        </is>
      </c>
      <c r="B250" s="1" t="n">
        <v>45678.61530092593</v>
      </c>
      <c r="C250" s="1" t="n">
        <v>45880</v>
      </c>
      <c r="D250" t="inlineStr">
        <is>
          <t>NORRBOTTENS LÄN</t>
        </is>
      </c>
      <c r="E250" t="inlineStr">
        <is>
          <t>JOKKMOKK</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34639-2024</t>
        </is>
      </c>
      <c r="B251" s="1" t="n">
        <v>45526.47293981481</v>
      </c>
      <c r="C251" s="1" t="n">
        <v>45880</v>
      </c>
      <c r="D251" t="inlineStr">
        <is>
          <t>NORRBOTTENS LÄN</t>
        </is>
      </c>
      <c r="E251" t="inlineStr">
        <is>
          <t>JOKKMOKK</t>
        </is>
      </c>
      <c r="G251" t="n">
        <v>7.7</v>
      </c>
      <c r="H251" t="n">
        <v>0</v>
      </c>
      <c r="I251" t="n">
        <v>0</v>
      </c>
      <c r="J251" t="n">
        <v>0</v>
      </c>
      <c r="K251" t="n">
        <v>0</v>
      </c>
      <c r="L251" t="n">
        <v>0</v>
      </c>
      <c r="M251" t="n">
        <v>0</v>
      </c>
      <c r="N251" t="n">
        <v>0</v>
      </c>
      <c r="O251" t="n">
        <v>0</v>
      </c>
      <c r="P251" t="n">
        <v>0</v>
      </c>
      <c r="Q251" t="n">
        <v>0</v>
      </c>
      <c r="R251" s="2" t="inlineStr"/>
    </row>
    <row r="252" ht="15" customHeight="1">
      <c r="A252" t="inlineStr">
        <is>
          <t>A 47157-2024</t>
        </is>
      </c>
      <c r="B252" s="1" t="n">
        <v>45586</v>
      </c>
      <c r="C252" s="1" t="n">
        <v>45880</v>
      </c>
      <c r="D252" t="inlineStr">
        <is>
          <t>NORRBOTTENS LÄN</t>
        </is>
      </c>
      <c r="E252" t="inlineStr">
        <is>
          <t>JOKKMOKK</t>
        </is>
      </c>
      <c r="G252" t="n">
        <v>0.6</v>
      </c>
      <c r="H252" t="n">
        <v>0</v>
      </c>
      <c r="I252" t="n">
        <v>0</v>
      </c>
      <c r="J252" t="n">
        <v>0</v>
      </c>
      <c r="K252" t="n">
        <v>0</v>
      </c>
      <c r="L252" t="n">
        <v>0</v>
      </c>
      <c r="M252" t="n">
        <v>0</v>
      </c>
      <c r="N252" t="n">
        <v>0</v>
      </c>
      <c r="O252" t="n">
        <v>0</v>
      </c>
      <c r="P252" t="n">
        <v>0</v>
      </c>
      <c r="Q252" t="n">
        <v>0</v>
      </c>
      <c r="R252" s="2" t="inlineStr"/>
    </row>
    <row r="253" ht="15" customHeight="1">
      <c r="A253" t="inlineStr">
        <is>
          <t>A 42639-2024</t>
        </is>
      </c>
      <c r="B253" s="1" t="n">
        <v>45565.91135416667</v>
      </c>
      <c r="C253" s="1" t="n">
        <v>45880</v>
      </c>
      <c r="D253" t="inlineStr">
        <is>
          <t>NORRBOTTENS LÄN</t>
        </is>
      </c>
      <c r="E253" t="inlineStr">
        <is>
          <t>JOKKMOKK</t>
        </is>
      </c>
      <c r="G253" t="n">
        <v>34.5</v>
      </c>
      <c r="H253" t="n">
        <v>0</v>
      </c>
      <c r="I253" t="n">
        <v>0</v>
      </c>
      <c r="J253" t="n">
        <v>0</v>
      </c>
      <c r="K253" t="n">
        <v>0</v>
      </c>
      <c r="L253" t="n">
        <v>0</v>
      </c>
      <c r="M253" t="n">
        <v>0</v>
      </c>
      <c r="N253" t="n">
        <v>0</v>
      </c>
      <c r="O253" t="n">
        <v>0</v>
      </c>
      <c r="P253" t="n">
        <v>0</v>
      </c>
      <c r="Q253" t="n">
        <v>0</v>
      </c>
      <c r="R253" s="2" t="inlineStr"/>
    </row>
    <row r="254" ht="15" customHeight="1">
      <c r="A254" t="inlineStr">
        <is>
          <t>A 52181-2023</t>
        </is>
      </c>
      <c r="B254" s="1" t="n">
        <v>45224</v>
      </c>
      <c r="C254" s="1" t="n">
        <v>45880</v>
      </c>
      <c r="D254" t="inlineStr">
        <is>
          <t>NORRBOTTENS LÄN</t>
        </is>
      </c>
      <c r="E254" t="inlineStr">
        <is>
          <t>JOKKMOKK</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50651-2024</t>
        </is>
      </c>
      <c r="B255" s="1" t="n">
        <v>45601.70364583333</v>
      </c>
      <c r="C255" s="1" t="n">
        <v>45880</v>
      </c>
      <c r="D255" t="inlineStr">
        <is>
          <t>NORRBOTTENS LÄN</t>
        </is>
      </c>
      <c r="E255" t="inlineStr">
        <is>
          <t>JOKKMOKK</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45880</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40432-2024</t>
        </is>
      </c>
      <c r="B257" s="1" t="n">
        <v>45555.47401620371</v>
      </c>
      <c r="C257" s="1" t="n">
        <v>45880</v>
      </c>
      <c r="D257" t="inlineStr">
        <is>
          <t>NORRBOTTENS LÄN</t>
        </is>
      </c>
      <c r="E257" t="inlineStr">
        <is>
          <t>JOKKMOKK</t>
        </is>
      </c>
      <c r="G257" t="n">
        <v>0.5</v>
      </c>
      <c r="H257" t="n">
        <v>0</v>
      </c>
      <c r="I257" t="n">
        <v>0</v>
      </c>
      <c r="J257" t="n">
        <v>0</v>
      </c>
      <c r="K257" t="n">
        <v>0</v>
      </c>
      <c r="L257" t="n">
        <v>0</v>
      </c>
      <c r="M257" t="n">
        <v>0</v>
      </c>
      <c r="N257" t="n">
        <v>0</v>
      </c>
      <c r="O257" t="n">
        <v>0</v>
      </c>
      <c r="P257" t="n">
        <v>0</v>
      </c>
      <c r="Q257" t="n">
        <v>0</v>
      </c>
      <c r="R257" s="2" t="inlineStr"/>
    </row>
    <row r="258" ht="15" customHeight="1">
      <c r="A258" t="inlineStr">
        <is>
          <t>A 7845-2024</t>
        </is>
      </c>
      <c r="B258" s="1" t="n">
        <v>45349</v>
      </c>
      <c r="C258" s="1" t="n">
        <v>45880</v>
      </c>
      <c r="D258" t="inlineStr">
        <is>
          <t>NORRBOTTENS LÄN</t>
        </is>
      </c>
      <c r="E258" t="inlineStr">
        <is>
          <t>JOKKMOKK</t>
        </is>
      </c>
      <c r="G258" t="n">
        <v>3</v>
      </c>
      <c r="H258" t="n">
        <v>0</v>
      </c>
      <c r="I258" t="n">
        <v>0</v>
      </c>
      <c r="J258" t="n">
        <v>0</v>
      </c>
      <c r="K258" t="n">
        <v>0</v>
      </c>
      <c r="L258" t="n">
        <v>0</v>
      </c>
      <c r="M258" t="n">
        <v>0</v>
      </c>
      <c r="N258" t="n">
        <v>0</v>
      </c>
      <c r="O258" t="n">
        <v>0</v>
      </c>
      <c r="P258" t="n">
        <v>0</v>
      </c>
      <c r="Q258" t="n">
        <v>0</v>
      </c>
      <c r="R258" s="2" t="inlineStr"/>
    </row>
    <row r="259" ht="15" customHeight="1">
      <c r="A259" t="inlineStr">
        <is>
          <t>A 31918-2025</t>
        </is>
      </c>
      <c r="B259" s="1" t="n">
        <v>45834</v>
      </c>
      <c r="C259" s="1" t="n">
        <v>45880</v>
      </c>
      <c r="D259" t="inlineStr">
        <is>
          <t>NORRBOTTENS LÄN</t>
        </is>
      </c>
      <c r="E259" t="inlineStr">
        <is>
          <t>JOKKMOKK</t>
        </is>
      </c>
      <c r="G259" t="n">
        <v>15.2</v>
      </c>
      <c r="H259" t="n">
        <v>0</v>
      </c>
      <c r="I259" t="n">
        <v>0</v>
      </c>
      <c r="J259" t="n">
        <v>0</v>
      </c>
      <c r="K259" t="n">
        <v>0</v>
      </c>
      <c r="L259" t="n">
        <v>0</v>
      </c>
      <c r="M259" t="n">
        <v>0</v>
      </c>
      <c r="N259" t="n">
        <v>0</v>
      </c>
      <c r="O259" t="n">
        <v>0</v>
      </c>
      <c r="P259" t="n">
        <v>0</v>
      </c>
      <c r="Q259" t="n">
        <v>0</v>
      </c>
      <c r="R259" s="2" t="inlineStr"/>
    </row>
    <row r="260" ht="15" customHeight="1">
      <c r="A260" t="inlineStr">
        <is>
          <t>A 11657-2024</t>
        </is>
      </c>
      <c r="B260" s="1" t="n">
        <v>45373</v>
      </c>
      <c r="C260" s="1" t="n">
        <v>45880</v>
      </c>
      <c r="D260" t="inlineStr">
        <is>
          <t>NORRBOTTENS LÄN</t>
        </is>
      </c>
      <c r="E260" t="inlineStr">
        <is>
          <t>JOKKMOKK</t>
        </is>
      </c>
      <c r="G260" t="n">
        <v>14.3</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45880</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48210-2024</t>
        </is>
      </c>
      <c r="B262" s="1" t="n">
        <v>45590</v>
      </c>
      <c r="C262" s="1" t="n">
        <v>45880</v>
      </c>
      <c r="D262" t="inlineStr">
        <is>
          <t>NORRBOTTENS LÄN</t>
        </is>
      </c>
      <c r="E262" t="inlineStr">
        <is>
          <t>JOKKMOKK</t>
        </is>
      </c>
      <c r="F262" t="inlineStr">
        <is>
          <t>SCA</t>
        </is>
      </c>
      <c r="G262" t="n">
        <v>6.5</v>
      </c>
      <c r="H262" t="n">
        <v>0</v>
      </c>
      <c r="I262" t="n">
        <v>0</v>
      </c>
      <c r="J262" t="n">
        <v>0</v>
      </c>
      <c r="K262" t="n">
        <v>0</v>
      </c>
      <c r="L262" t="n">
        <v>0</v>
      </c>
      <c r="M262" t="n">
        <v>0</v>
      </c>
      <c r="N262" t="n">
        <v>0</v>
      </c>
      <c r="O262" t="n">
        <v>0</v>
      </c>
      <c r="P262" t="n">
        <v>0</v>
      </c>
      <c r="Q262" t="n">
        <v>0</v>
      </c>
      <c r="R262" s="2" t="inlineStr"/>
    </row>
    <row r="263" ht="15" customHeight="1">
      <c r="A263" t="inlineStr">
        <is>
          <t>A 49478-2024</t>
        </is>
      </c>
      <c r="B263" s="1" t="n">
        <v>45596.34599537037</v>
      </c>
      <c r="C263" s="1" t="n">
        <v>45880</v>
      </c>
      <c r="D263" t="inlineStr">
        <is>
          <t>NORRBOTTENS LÄN</t>
        </is>
      </c>
      <c r="E263" t="inlineStr">
        <is>
          <t>JOKKMOKK</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3557-2025</t>
        </is>
      </c>
      <c r="B264" s="1" t="n">
        <v>45680</v>
      </c>
      <c r="C264" s="1" t="n">
        <v>45880</v>
      </c>
      <c r="D264" t="inlineStr">
        <is>
          <t>NORRBOTTENS LÄN</t>
        </is>
      </c>
      <c r="E264" t="inlineStr">
        <is>
          <t>JOKKMOKK</t>
        </is>
      </c>
      <c r="F264" t="inlineStr">
        <is>
          <t>Övriga statliga verk och myndigheter</t>
        </is>
      </c>
      <c r="G264" t="n">
        <v>60.6</v>
      </c>
      <c r="H264" t="n">
        <v>0</v>
      </c>
      <c r="I264" t="n">
        <v>0</v>
      </c>
      <c r="J264" t="n">
        <v>0</v>
      </c>
      <c r="K264" t="n">
        <v>0</v>
      </c>
      <c r="L264" t="n">
        <v>0</v>
      </c>
      <c r="M264" t="n">
        <v>0</v>
      </c>
      <c r="N264" t="n">
        <v>0</v>
      </c>
      <c r="O264" t="n">
        <v>0</v>
      </c>
      <c r="P264" t="n">
        <v>0</v>
      </c>
      <c r="Q264" t="n">
        <v>0</v>
      </c>
      <c r="R264" s="2" t="inlineStr"/>
    </row>
    <row r="265" ht="15" customHeight="1">
      <c r="A265" t="inlineStr">
        <is>
          <t>A 30292-2023</t>
        </is>
      </c>
      <c r="B265" s="1" t="n">
        <v>45110</v>
      </c>
      <c r="C265" s="1" t="n">
        <v>45880</v>
      </c>
      <c r="D265" t="inlineStr">
        <is>
          <t>NORRBOTTENS LÄN</t>
        </is>
      </c>
      <c r="E265" t="inlineStr">
        <is>
          <t>JOKKMOKK</t>
        </is>
      </c>
      <c r="G265" t="n">
        <v>1.4</v>
      </c>
      <c r="H265" t="n">
        <v>0</v>
      </c>
      <c r="I265" t="n">
        <v>0</v>
      </c>
      <c r="J265" t="n">
        <v>0</v>
      </c>
      <c r="K265" t="n">
        <v>0</v>
      </c>
      <c r="L265" t="n">
        <v>0</v>
      </c>
      <c r="M265" t="n">
        <v>0</v>
      </c>
      <c r="N265" t="n">
        <v>0</v>
      </c>
      <c r="O265" t="n">
        <v>0</v>
      </c>
      <c r="P265" t="n">
        <v>0</v>
      </c>
      <c r="Q265" t="n">
        <v>0</v>
      </c>
      <c r="R265" s="2" t="inlineStr"/>
    </row>
    <row r="266" ht="15" customHeight="1">
      <c r="A266" t="inlineStr">
        <is>
          <t>A 9852-2023</t>
        </is>
      </c>
      <c r="B266" s="1" t="n">
        <v>44984</v>
      </c>
      <c r="C266" s="1" t="n">
        <v>45880</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65648-2020</t>
        </is>
      </c>
      <c r="B267" s="1" t="n">
        <v>44172</v>
      </c>
      <c r="C267" s="1" t="n">
        <v>45880</v>
      </c>
      <c r="D267" t="inlineStr">
        <is>
          <t>NORRBOTTENS LÄN</t>
        </is>
      </c>
      <c r="E267" t="inlineStr">
        <is>
          <t>JOKKMOKK</t>
        </is>
      </c>
      <c r="G267" t="n">
        <v>1.8</v>
      </c>
      <c r="H267" t="n">
        <v>0</v>
      </c>
      <c r="I267" t="n">
        <v>0</v>
      </c>
      <c r="J267" t="n">
        <v>0</v>
      </c>
      <c r="K267" t="n">
        <v>0</v>
      </c>
      <c r="L267" t="n">
        <v>0</v>
      </c>
      <c r="M267" t="n">
        <v>0</v>
      </c>
      <c r="N267" t="n">
        <v>0</v>
      </c>
      <c r="O267" t="n">
        <v>0</v>
      </c>
      <c r="P267" t="n">
        <v>0</v>
      </c>
      <c r="Q267" t="n">
        <v>0</v>
      </c>
      <c r="R267" s="2" t="inlineStr"/>
    </row>
    <row r="268" ht="15" customHeight="1">
      <c r="A268" t="inlineStr">
        <is>
          <t>A 60193-2023</t>
        </is>
      </c>
      <c r="B268" s="1" t="n">
        <v>45258</v>
      </c>
      <c r="C268" s="1" t="n">
        <v>45880</v>
      </c>
      <c r="D268" t="inlineStr">
        <is>
          <t>NORRBOTTENS LÄN</t>
        </is>
      </c>
      <c r="E268" t="inlineStr">
        <is>
          <t>JOKKMOKK</t>
        </is>
      </c>
      <c r="F268" t="inlineStr">
        <is>
          <t>Allmännings- och besparingsskogar</t>
        </is>
      </c>
      <c r="G268" t="n">
        <v>11.1</v>
      </c>
      <c r="H268" t="n">
        <v>0</v>
      </c>
      <c r="I268" t="n">
        <v>0</v>
      </c>
      <c r="J268" t="n">
        <v>0</v>
      </c>
      <c r="K268" t="n">
        <v>0</v>
      </c>
      <c r="L268" t="n">
        <v>0</v>
      </c>
      <c r="M268" t="n">
        <v>0</v>
      </c>
      <c r="N268" t="n">
        <v>0</v>
      </c>
      <c r="O268" t="n">
        <v>0</v>
      </c>
      <c r="P268" t="n">
        <v>0</v>
      </c>
      <c r="Q268" t="n">
        <v>0</v>
      </c>
      <c r="R268" s="2" t="inlineStr"/>
    </row>
    <row r="269" ht="15" customHeight="1">
      <c r="A269" t="inlineStr">
        <is>
          <t>A 50436-2024</t>
        </is>
      </c>
      <c r="B269" s="1" t="n">
        <v>45601.4096875</v>
      </c>
      <c r="C269" s="1" t="n">
        <v>45880</v>
      </c>
      <c r="D269" t="inlineStr">
        <is>
          <t>NORRBOTTENS LÄN</t>
        </is>
      </c>
      <c r="E269" t="inlineStr">
        <is>
          <t>JOKKMOKK</t>
        </is>
      </c>
      <c r="F269" t="inlineStr">
        <is>
          <t>Allmännings- och besparingsskogar</t>
        </is>
      </c>
      <c r="G269" t="n">
        <v>6.5</v>
      </c>
      <c r="H269" t="n">
        <v>0</v>
      </c>
      <c r="I269" t="n">
        <v>0</v>
      </c>
      <c r="J269" t="n">
        <v>0</v>
      </c>
      <c r="K269" t="n">
        <v>0</v>
      </c>
      <c r="L269" t="n">
        <v>0</v>
      </c>
      <c r="M269" t="n">
        <v>0</v>
      </c>
      <c r="N269" t="n">
        <v>0</v>
      </c>
      <c r="O269" t="n">
        <v>0</v>
      </c>
      <c r="P269" t="n">
        <v>0</v>
      </c>
      <c r="Q269" t="n">
        <v>0</v>
      </c>
      <c r="R269" s="2" t="inlineStr"/>
    </row>
    <row r="270" ht="15" customHeight="1">
      <c r="A270" t="inlineStr">
        <is>
          <t>A 28036-2024</t>
        </is>
      </c>
      <c r="B270" s="1" t="n">
        <v>45476.49958333333</v>
      </c>
      <c r="C270" s="1" t="n">
        <v>45880</v>
      </c>
      <c r="D270" t="inlineStr">
        <is>
          <t>NORRBOTTENS LÄN</t>
        </is>
      </c>
      <c r="E270" t="inlineStr">
        <is>
          <t>JOKKMOKK</t>
        </is>
      </c>
      <c r="G270" t="n">
        <v>7.4</v>
      </c>
      <c r="H270" t="n">
        <v>0</v>
      </c>
      <c r="I270" t="n">
        <v>0</v>
      </c>
      <c r="J270" t="n">
        <v>0</v>
      </c>
      <c r="K270" t="n">
        <v>0</v>
      </c>
      <c r="L270" t="n">
        <v>0</v>
      </c>
      <c r="M270" t="n">
        <v>0</v>
      </c>
      <c r="N270" t="n">
        <v>0</v>
      </c>
      <c r="O270" t="n">
        <v>0</v>
      </c>
      <c r="P270" t="n">
        <v>0</v>
      </c>
      <c r="Q270" t="n">
        <v>0</v>
      </c>
      <c r="R270" s="2" t="inlineStr"/>
    </row>
    <row r="271" ht="15" customHeight="1">
      <c r="A271" t="inlineStr">
        <is>
          <t>A 24746-2025</t>
        </is>
      </c>
      <c r="B271" s="1" t="n">
        <v>45799.34662037037</v>
      </c>
      <c r="C271" s="1" t="n">
        <v>45880</v>
      </c>
      <c r="D271" t="inlineStr">
        <is>
          <t>NORRBOTTENS LÄN</t>
        </is>
      </c>
      <c r="E271" t="inlineStr">
        <is>
          <t>JOKKMOKK</t>
        </is>
      </c>
      <c r="F271" t="inlineStr">
        <is>
          <t>SCA</t>
        </is>
      </c>
      <c r="G271" t="n">
        <v>6.1</v>
      </c>
      <c r="H271" t="n">
        <v>0</v>
      </c>
      <c r="I271" t="n">
        <v>0</v>
      </c>
      <c r="J271" t="n">
        <v>0</v>
      </c>
      <c r="K271" t="n">
        <v>0</v>
      </c>
      <c r="L271" t="n">
        <v>0</v>
      </c>
      <c r="M271" t="n">
        <v>0</v>
      </c>
      <c r="N271" t="n">
        <v>0</v>
      </c>
      <c r="O271" t="n">
        <v>0</v>
      </c>
      <c r="P271" t="n">
        <v>0</v>
      </c>
      <c r="Q271" t="n">
        <v>0</v>
      </c>
      <c r="R271" s="2" t="inlineStr"/>
    </row>
    <row r="272" ht="15" customHeight="1">
      <c r="A272" t="inlineStr">
        <is>
          <t>A 24740-2025</t>
        </is>
      </c>
      <c r="B272" s="1" t="n">
        <v>45799.34543981482</v>
      </c>
      <c r="C272" s="1" t="n">
        <v>45880</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24743-2025</t>
        </is>
      </c>
      <c r="B273" s="1" t="n">
        <v>45799.34598379629</v>
      </c>
      <c r="C273" s="1" t="n">
        <v>45880</v>
      </c>
      <c r="D273" t="inlineStr">
        <is>
          <t>NORRBOTTENS LÄN</t>
        </is>
      </c>
      <c r="E273" t="inlineStr">
        <is>
          <t>JOKKMOKK</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51617-2024</t>
        </is>
      </c>
      <c r="B274" s="1" t="n">
        <v>45604.71908564815</v>
      </c>
      <c r="C274" s="1" t="n">
        <v>45880</v>
      </c>
      <c r="D274" t="inlineStr">
        <is>
          <t>NORRBOTTENS LÄN</t>
        </is>
      </c>
      <c r="E274" t="inlineStr">
        <is>
          <t>JOKKMOKK</t>
        </is>
      </c>
      <c r="F274" t="inlineStr">
        <is>
          <t>SCA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28090-2023</t>
        </is>
      </c>
      <c r="B275" s="1" t="n">
        <v>45099</v>
      </c>
      <c r="C275" s="1" t="n">
        <v>45880</v>
      </c>
      <c r="D275" t="inlineStr">
        <is>
          <t>NORRBOTTENS LÄN</t>
        </is>
      </c>
      <c r="E275" t="inlineStr">
        <is>
          <t>JOKKMOKK</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60418-2023</t>
        </is>
      </c>
      <c r="B276" s="1" t="n">
        <v>45259.49666666667</v>
      </c>
      <c r="C276" s="1" t="n">
        <v>45880</v>
      </c>
      <c r="D276" t="inlineStr">
        <is>
          <t>NORRBOTTENS LÄN</t>
        </is>
      </c>
      <c r="E276" t="inlineStr">
        <is>
          <t>JOKKMOKK</t>
        </is>
      </c>
      <c r="F276" t="inlineStr">
        <is>
          <t>Allmännings- och besparingsskogar</t>
        </is>
      </c>
      <c r="G276" t="n">
        <v>12.7</v>
      </c>
      <c r="H276" t="n">
        <v>0</v>
      </c>
      <c r="I276" t="n">
        <v>0</v>
      </c>
      <c r="J276" t="n">
        <v>0</v>
      </c>
      <c r="K276" t="n">
        <v>0</v>
      </c>
      <c r="L276" t="n">
        <v>0</v>
      </c>
      <c r="M276" t="n">
        <v>0</v>
      </c>
      <c r="N276" t="n">
        <v>0</v>
      </c>
      <c r="O276" t="n">
        <v>0</v>
      </c>
      <c r="P276" t="n">
        <v>0</v>
      </c>
      <c r="Q276" t="n">
        <v>0</v>
      </c>
      <c r="R276" s="2" t="inlineStr"/>
    </row>
    <row r="277" ht="15" customHeight="1">
      <c r="A277" t="inlineStr">
        <is>
          <t>A 42481-2024</t>
        </is>
      </c>
      <c r="B277" s="1" t="n">
        <v>45565.49210648148</v>
      </c>
      <c r="C277" s="1" t="n">
        <v>45880</v>
      </c>
      <c r="D277" t="inlineStr">
        <is>
          <t>NORRBOTTENS LÄN</t>
        </is>
      </c>
      <c r="E277" t="inlineStr">
        <is>
          <t>JOKKMOKK</t>
        </is>
      </c>
      <c r="F277" t="inlineStr">
        <is>
          <t>SCA</t>
        </is>
      </c>
      <c r="G277" t="n">
        <v>25.2</v>
      </c>
      <c r="H277" t="n">
        <v>0</v>
      </c>
      <c r="I277" t="n">
        <v>0</v>
      </c>
      <c r="J277" t="n">
        <v>0</v>
      </c>
      <c r="K277" t="n">
        <v>0</v>
      </c>
      <c r="L277" t="n">
        <v>0</v>
      </c>
      <c r="M277" t="n">
        <v>0</v>
      </c>
      <c r="N277" t="n">
        <v>0</v>
      </c>
      <c r="O277" t="n">
        <v>0</v>
      </c>
      <c r="P277" t="n">
        <v>0</v>
      </c>
      <c r="Q277" t="n">
        <v>0</v>
      </c>
      <c r="R277" s="2" t="inlineStr"/>
    </row>
    <row r="278" ht="15" customHeight="1">
      <c r="A278" t="inlineStr">
        <is>
          <t>A 53232-2024</t>
        </is>
      </c>
      <c r="B278" s="1" t="n">
        <v>45613.67967592592</v>
      </c>
      <c r="C278" s="1" t="n">
        <v>45880</v>
      </c>
      <c r="D278" t="inlineStr">
        <is>
          <t>NORRBOTTENS LÄN</t>
        </is>
      </c>
      <c r="E278" t="inlineStr">
        <is>
          <t>JOKKMOKK</t>
        </is>
      </c>
      <c r="G278" t="n">
        <v>1.9</v>
      </c>
      <c r="H278" t="n">
        <v>0</v>
      </c>
      <c r="I278" t="n">
        <v>0</v>
      </c>
      <c r="J278" t="n">
        <v>0</v>
      </c>
      <c r="K278" t="n">
        <v>0</v>
      </c>
      <c r="L278" t="n">
        <v>0</v>
      </c>
      <c r="M278" t="n">
        <v>0</v>
      </c>
      <c r="N278" t="n">
        <v>0</v>
      </c>
      <c r="O278" t="n">
        <v>0</v>
      </c>
      <c r="P278" t="n">
        <v>0</v>
      </c>
      <c r="Q278" t="n">
        <v>0</v>
      </c>
      <c r="R278" s="2" t="inlineStr"/>
    </row>
    <row r="279" ht="15" customHeight="1">
      <c r="A279" t="inlineStr">
        <is>
          <t>A 50628-2024</t>
        </is>
      </c>
      <c r="B279" s="1" t="n">
        <v>45601.66423611111</v>
      </c>
      <c r="C279" s="1" t="n">
        <v>45880</v>
      </c>
      <c r="D279" t="inlineStr">
        <is>
          <t>NORRBOTTENS LÄN</t>
        </is>
      </c>
      <c r="E279" t="inlineStr">
        <is>
          <t>JOKKMOKK</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25440-2025</t>
        </is>
      </c>
      <c r="B280" s="1" t="n">
        <v>45801.34466435185</v>
      </c>
      <c r="C280" s="1" t="n">
        <v>45880</v>
      </c>
      <c r="D280" t="inlineStr">
        <is>
          <t>NORRBOTTENS LÄN</t>
        </is>
      </c>
      <c r="E280" t="inlineStr">
        <is>
          <t>JOKKMOKK</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60164-2023</t>
        </is>
      </c>
      <c r="B281" s="1" t="n">
        <v>45258</v>
      </c>
      <c r="C281" s="1" t="n">
        <v>45880</v>
      </c>
      <c r="D281" t="inlineStr">
        <is>
          <t>NORRBOTTENS LÄN</t>
        </is>
      </c>
      <c r="E281" t="inlineStr">
        <is>
          <t>JOKKMOKK</t>
        </is>
      </c>
      <c r="F281" t="inlineStr">
        <is>
          <t>Allmännings- och besparingsskogar</t>
        </is>
      </c>
      <c r="G281" t="n">
        <v>14.3</v>
      </c>
      <c r="H281" t="n">
        <v>0</v>
      </c>
      <c r="I281" t="n">
        <v>0</v>
      </c>
      <c r="J281" t="n">
        <v>0</v>
      </c>
      <c r="K281" t="n">
        <v>0</v>
      </c>
      <c r="L281" t="n">
        <v>0</v>
      </c>
      <c r="M281" t="n">
        <v>0</v>
      </c>
      <c r="N281" t="n">
        <v>0</v>
      </c>
      <c r="O281" t="n">
        <v>0</v>
      </c>
      <c r="P281" t="n">
        <v>0</v>
      </c>
      <c r="Q281" t="n">
        <v>0</v>
      </c>
      <c r="R281" s="2" t="inlineStr"/>
    </row>
    <row r="282" ht="15" customHeight="1">
      <c r="A282" t="inlineStr">
        <is>
          <t>A 49562-2024</t>
        </is>
      </c>
      <c r="B282" s="1" t="n">
        <v>45596</v>
      </c>
      <c r="C282" s="1" t="n">
        <v>45880</v>
      </c>
      <c r="D282" t="inlineStr">
        <is>
          <t>NORRBOTTENS LÄN</t>
        </is>
      </c>
      <c r="E282" t="inlineStr">
        <is>
          <t>JOKKMOKK</t>
        </is>
      </c>
      <c r="F282" t="inlineStr">
        <is>
          <t>Allmännings- och besparingsskogar</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49953-2024</t>
        </is>
      </c>
      <c r="B283" s="1" t="n">
        <v>45597</v>
      </c>
      <c r="C283" s="1" t="n">
        <v>45880</v>
      </c>
      <c r="D283" t="inlineStr">
        <is>
          <t>NORRBOTTENS LÄN</t>
        </is>
      </c>
      <c r="E283" t="inlineStr">
        <is>
          <t>JOKKMOKK</t>
        </is>
      </c>
      <c r="F283" t="inlineStr">
        <is>
          <t>Allmännings- och besparingsskogar</t>
        </is>
      </c>
      <c r="G283" t="n">
        <v>9.4</v>
      </c>
      <c r="H283" t="n">
        <v>0</v>
      </c>
      <c r="I283" t="n">
        <v>0</v>
      </c>
      <c r="J283" t="n">
        <v>0</v>
      </c>
      <c r="K283" t="n">
        <v>0</v>
      </c>
      <c r="L283" t="n">
        <v>0</v>
      </c>
      <c r="M283" t="n">
        <v>0</v>
      </c>
      <c r="N283" t="n">
        <v>0</v>
      </c>
      <c r="O283" t="n">
        <v>0</v>
      </c>
      <c r="P283" t="n">
        <v>0</v>
      </c>
      <c r="Q283" t="n">
        <v>0</v>
      </c>
      <c r="R283" s="2" t="inlineStr"/>
    </row>
    <row r="284" ht="15" customHeight="1">
      <c r="A284" t="inlineStr">
        <is>
          <t>A 453-2025</t>
        </is>
      </c>
      <c r="B284" s="1" t="n">
        <v>45664.4005787037</v>
      </c>
      <c r="C284" s="1" t="n">
        <v>45880</v>
      </c>
      <c r="D284" t="inlineStr">
        <is>
          <t>NORRBOTTENS LÄN</t>
        </is>
      </c>
      <c r="E284" t="inlineStr">
        <is>
          <t>JOKKMOKK</t>
        </is>
      </c>
      <c r="F284" t="inlineStr">
        <is>
          <t>Övriga statliga verk och myndigheter</t>
        </is>
      </c>
      <c r="G284" t="n">
        <v>5</v>
      </c>
      <c r="H284" t="n">
        <v>0</v>
      </c>
      <c r="I284" t="n">
        <v>0</v>
      </c>
      <c r="J284" t="n">
        <v>0</v>
      </c>
      <c r="K284" t="n">
        <v>0</v>
      </c>
      <c r="L284" t="n">
        <v>0</v>
      </c>
      <c r="M284" t="n">
        <v>0</v>
      </c>
      <c r="N284" t="n">
        <v>0</v>
      </c>
      <c r="O284" t="n">
        <v>0</v>
      </c>
      <c r="P284" t="n">
        <v>0</v>
      </c>
      <c r="Q284" t="n">
        <v>0</v>
      </c>
      <c r="R284" s="2" t="inlineStr"/>
    </row>
    <row r="285" ht="15" customHeight="1">
      <c r="A285" t="inlineStr">
        <is>
          <t>A 56523-2021</t>
        </is>
      </c>
      <c r="B285" s="1" t="n">
        <v>44477</v>
      </c>
      <c r="C285" s="1" t="n">
        <v>45880</v>
      </c>
      <c r="D285" t="inlineStr">
        <is>
          <t>NORRBOTTENS LÄN</t>
        </is>
      </c>
      <c r="E285" t="inlineStr">
        <is>
          <t>JOKKMOKK</t>
        </is>
      </c>
      <c r="G285" t="n">
        <v>6.6</v>
      </c>
      <c r="H285" t="n">
        <v>0</v>
      </c>
      <c r="I285" t="n">
        <v>0</v>
      </c>
      <c r="J285" t="n">
        <v>0</v>
      </c>
      <c r="K285" t="n">
        <v>0</v>
      </c>
      <c r="L285" t="n">
        <v>0</v>
      </c>
      <c r="M285" t="n">
        <v>0</v>
      </c>
      <c r="N285" t="n">
        <v>0</v>
      </c>
      <c r="O285" t="n">
        <v>0</v>
      </c>
      <c r="P285" t="n">
        <v>0</v>
      </c>
      <c r="Q285" t="n">
        <v>0</v>
      </c>
      <c r="R285" s="2" t="inlineStr"/>
    </row>
    <row r="286" ht="15" customHeight="1">
      <c r="A286" t="inlineStr">
        <is>
          <t>A 37828-2024</t>
        </is>
      </c>
      <c r="B286" s="1" t="n">
        <v>45544</v>
      </c>
      <c r="C286" s="1" t="n">
        <v>45880</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52130-2024</t>
        </is>
      </c>
      <c r="B287" s="1" t="n">
        <v>45608</v>
      </c>
      <c r="C287" s="1" t="n">
        <v>45880</v>
      </c>
      <c r="D287" t="inlineStr">
        <is>
          <t>NORRBOTTENS LÄN</t>
        </is>
      </c>
      <c r="E287" t="inlineStr">
        <is>
          <t>JOKKMOKK</t>
        </is>
      </c>
      <c r="G287" t="n">
        <v>84</v>
      </c>
      <c r="H287" t="n">
        <v>0</v>
      </c>
      <c r="I287" t="n">
        <v>0</v>
      </c>
      <c r="J287" t="n">
        <v>0</v>
      </c>
      <c r="K287" t="n">
        <v>0</v>
      </c>
      <c r="L287" t="n">
        <v>0</v>
      </c>
      <c r="M287" t="n">
        <v>0</v>
      </c>
      <c r="N287" t="n">
        <v>0</v>
      </c>
      <c r="O287" t="n">
        <v>0</v>
      </c>
      <c r="P287" t="n">
        <v>0</v>
      </c>
      <c r="Q287" t="n">
        <v>0</v>
      </c>
      <c r="R287" s="2" t="inlineStr"/>
    </row>
    <row r="288" ht="15" customHeight="1">
      <c r="A288" t="inlineStr">
        <is>
          <t>A 57183-2020</t>
        </is>
      </c>
      <c r="B288" s="1" t="n">
        <v>44138</v>
      </c>
      <c r="C288" s="1" t="n">
        <v>45880</v>
      </c>
      <c r="D288" t="inlineStr">
        <is>
          <t>NORRBOTTENS LÄN</t>
        </is>
      </c>
      <c r="E288" t="inlineStr">
        <is>
          <t>JOKKMOKK</t>
        </is>
      </c>
      <c r="F288" t="inlineStr">
        <is>
          <t>Övriga Aktiebolag</t>
        </is>
      </c>
      <c r="G288" t="n">
        <v>0.9</v>
      </c>
      <c r="H288" t="n">
        <v>0</v>
      </c>
      <c r="I288" t="n">
        <v>0</v>
      </c>
      <c r="J288" t="n">
        <v>0</v>
      </c>
      <c r="K288" t="n">
        <v>0</v>
      </c>
      <c r="L288" t="n">
        <v>0</v>
      </c>
      <c r="M288" t="n">
        <v>0</v>
      </c>
      <c r="N288" t="n">
        <v>0</v>
      </c>
      <c r="O288" t="n">
        <v>0</v>
      </c>
      <c r="P288" t="n">
        <v>0</v>
      </c>
      <c r="Q288" t="n">
        <v>0</v>
      </c>
      <c r="R288" s="2" t="inlineStr"/>
    </row>
    <row r="289" ht="15" customHeight="1">
      <c r="A289" t="inlineStr">
        <is>
          <t>A 18602-2024</t>
        </is>
      </c>
      <c r="B289" s="1" t="n">
        <v>45425</v>
      </c>
      <c r="C289" s="1" t="n">
        <v>45880</v>
      </c>
      <c r="D289" t="inlineStr">
        <is>
          <t>NORRBOTTENS LÄN</t>
        </is>
      </c>
      <c r="E289" t="inlineStr">
        <is>
          <t>JOKKMOKK</t>
        </is>
      </c>
      <c r="G289" t="n">
        <v>4.6</v>
      </c>
      <c r="H289" t="n">
        <v>0</v>
      </c>
      <c r="I289" t="n">
        <v>0</v>
      </c>
      <c r="J289" t="n">
        <v>0</v>
      </c>
      <c r="K289" t="n">
        <v>0</v>
      </c>
      <c r="L289" t="n">
        <v>0</v>
      </c>
      <c r="M289" t="n">
        <v>0</v>
      </c>
      <c r="N289" t="n">
        <v>0</v>
      </c>
      <c r="O289" t="n">
        <v>0</v>
      </c>
      <c r="P289" t="n">
        <v>0</v>
      </c>
      <c r="Q289" t="n">
        <v>0</v>
      </c>
      <c r="R289" s="2" t="inlineStr"/>
    </row>
    <row r="290" ht="15" customHeight="1">
      <c r="A290" t="inlineStr">
        <is>
          <t>A 46418-2023</t>
        </is>
      </c>
      <c r="B290" s="1" t="n">
        <v>45197</v>
      </c>
      <c r="C290" s="1" t="n">
        <v>45880</v>
      </c>
      <c r="D290" t="inlineStr">
        <is>
          <t>NORRBOTTENS LÄN</t>
        </is>
      </c>
      <c r="E290" t="inlineStr">
        <is>
          <t>JOKKMOKK</t>
        </is>
      </c>
      <c r="G290" t="n">
        <v>7.4</v>
      </c>
      <c r="H290" t="n">
        <v>0</v>
      </c>
      <c r="I290" t="n">
        <v>0</v>
      </c>
      <c r="J290" t="n">
        <v>0</v>
      </c>
      <c r="K290" t="n">
        <v>0</v>
      </c>
      <c r="L290" t="n">
        <v>0</v>
      </c>
      <c r="M290" t="n">
        <v>0</v>
      </c>
      <c r="N290" t="n">
        <v>0</v>
      </c>
      <c r="O290" t="n">
        <v>0</v>
      </c>
      <c r="P290" t="n">
        <v>0</v>
      </c>
      <c r="Q290" t="n">
        <v>0</v>
      </c>
      <c r="R290" s="2" t="inlineStr"/>
    </row>
    <row r="291" ht="15" customHeight="1">
      <c r="A291" t="inlineStr">
        <is>
          <t>A 55635-2024</t>
        </is>
      </c>
      <c r="B291" s="1" t="n">
        <v>45622</v>
      </c>
      <c r="C291" s="1" t="n">
        <v>45880</v>
      </c>
      <c r="D291" t="inlineStr">
        <is>
          <t>NORRBOTTENS LÄN</t>
        </is>
      </c>
      <c r="E291" t="inlineStr">
        <is>
          <t>JOKKMOKK</t>
        </is>
      </c>
      <c r="F291" t="inlineStr">
        <is>
          <t>Allmännings- och besparingsskogar</t>
        </is>
      </c>
      <c r="G291" t="n">
        <v>16</v>
      </c>
      <c r="H291" t="n">
        <v>0</v>
      </c>
      <c r="I291" t="n">
        <v>0</v>
      </c>
      <c r="J291" t="n">
        <v>0</v>
      </c>
      <c r="K291" t="n">
        <v>0</v>
      </c>
      <c r="L291" t="n">
        <v>0</v>
      </c>
      <c r="M291" t="n">
        <v>0</v>
      </c>
      <c r="N291" t="n">
        <v>0</v>
      </c>
      <c r="O291" t="n">
        <v>0</v>
      </c>
      <c r="P291" t="n">
        <v>0</v>
      </c>
      <c r="Q291" t="n">
        <v>0</v>
      </c>
      <c r="R291" s="2" t="inlineStr"/>
    </row>
    <row r="292" ht="15" customHeight="1">
      <c r="A292" t="inlineStr">
        <is>
          <t>A 30511-2023</t>
        </is>
      </c>
      <c r="B292" s="1" t="n">
        <v>45111</v>
      </c>
      <c r="C292" s="1" t="n">
        <v>45880</v>
      </c>
      <c r="D292" t="inlineStr">
        <is>
          <t>NORRBOTTENS LÄN</t>
        </is>
      </c>
      <c r="E292" t="inlineStr">
        <is>
          <t>JOKKMOKK</t>
        </is>
      </c>
      <c r="G292" t="n">
        <v>0.9</v>
      </c>
      <c r="H292" t="n">
        <v>0</v>
      </c>
      <c r="I292" t="n">
        <v>0</v>
      </c>
      <c r="J292" t="n">
        <v>0</v>
      </c>
      <c r="K292" t="n">
        <v>0</v>
      </c>
      <c r="L292" t="n">
        <v>0</v>
      </c>
      <c r="M292" t="n">
        <v>0</v>
      </c>
      <c r="N292" t="n">
        <v>0</v>
      </c>
      <c r="O292" t="n">
        <v>0</v>
      </c>
      <c r="P292" t="n">
        <v>0</v>
      </c>
      <c r="Q292" t="n">
        <v>0</v>
      </c>
      <c r="R292" s="2" t="inlineStr"/>
    </row>
    <row r="293" ht="15" customHeight="1">
      <c r="A293" t="inlineStr">
        <is>
          <t>A 35675-2024</t>
        </is>
      </c>
      <c r="B293" s="1" t="n">
        <v>45532</v>
      </c>
      <c r="C293" s="1" t="n">
        <v>45880</v>
      </c>
      <c r="D293" t="inlineStr">
        <is>
          <t>NORRBOTTENS LÄN</t>
        </is>
      </c>
      <c r="E293" t="inlineStr">
        <is>
          <t>JOKKMOKK</t>
        </is>
      </c>
      <c r="G293" t="n">
        <v>1.4</v>
      </c>
      <c r="H293" t="n">
        <v>0</v>
      </c>
      <c r="I293" t="n">
        <v>0</v>
      </c>
      <c r="J293" t="n">
        <v>0</v>
      </c>
      <c r="K293" t="n">
        <v>0</v>
      </c>
      <c r="L293" t="n">
        <v>0</v>
      </c>
      <c r="M293" t="n">
        <v>0</v>
      </c>
      <c r="N293" t="n">
        <v>0</v>
      </c>
      <c r="O293" t="n">
        <v>0</v>
      </c>
      <c r="P293" t="n">
        <v>0</v>
      </c>
      <c r="Q293" t="n">
        <v>0</v>
      </c>
      <c r="R293" s="2" t="inlineStr"/>
    </row>
    <row r="294" ht="15" customHeight="1">
      <c r="A294" t="inlineStr">
        <is>
          <t>A 52733-2024</t>
        </is>
      </c>
      <c r="B294" s="1" t="n">
        <v>45610</v>
      </c>
      <c r="C294" s="1" t="n">
        <v>45880</v>
      </c>
      <c r="D294" t="inlineStr">
        <is>
          <t>NORRBOTTENS LÄN</t>
        </is>
      </c>
      <c r="E294" t="inlineStr">
        <is>
          <t>JOKKMOKK</t>
        </is>
      </c>
      <c r="F294" t="inlineStr">
        <is>
          <t>Allmännings- och besparingsskogar</t>
        </is>
      </c>
      <c r="G294" t="n">
        <v>6.1</v>
      </c>
      <c r="H294" t="n">
        <v>0</v>
      </c>
      <c r="I294" t="n">
        <v>0</v>
      </c>
      <c r="J294" t="n">
        <v>0</v>
      </c>
      <c r="K294" t="n">
        <v>0</v>
      </c>
      <c r="L294" t="n">
        <v>0</v>
      </c>
      <c r="M294" t="n">
        <v>0</v>
      </c>
      <c r="N294" t="n">
        <v>0</v>
      </c>
      <c r="O294" t="n">
        <v>0</v>
      </c>
      <c r="P294" t="n">
        <v>0</v>
      </c>
      <c r="Q294" t="n">
        <v>0</v>
      </c>
      <c r="R294" s="2" t="inlineStr"/>
    </row>
    <row r="295" ht="15" customHeight="1">
      <c r="A295" t="inlineStr">
        <is>
          <t>A 52855-2024</t>
        </is>
      </c>
      <c r="B295" s="1" t="n">
        <v>45610</v>
      </c>
      <c r="C295" s="1" t="n">
        <v>45880</v>
      </c>
      <c r="D295" t="inlineStr">
        <is>
          <t>NORRBOTTENS LÄN</t>
        </is>
      </c>
      <c r="E295" t="inlineStr">
        <is>
          <t>JOKKMOKK</t>
        </is>
      </c>
      <c r="F295" t="inlineStr">
        <is>
          <t>Allmännings- och besparingsskogar</t>
        </is>
      </c>
      <c r="G295" t="n">
        <v>2.4</v>
      </c>
      <c r="H295" t="n">
        <v>0</v>
      </c>
      <c r="I295" t="n">
        <v>0</v>
      </c>
      <c r="J295" t="n">
        <v>0</v>
      </c>
      <c r="K295" t="n">
        <v>0</v>
      </c>
      <c r="L295" t="n">
        <v>0</v>
      </c>
      <c r="M295" t="n">
        <v>0</v>
      </c>
      <c r="N295" t="n">
        <v>0</v>
      </c>
      <c r="O295" t="n">
        <v>0</v>
      </c>
      <c r="P295" t="n">
        <v>0</v>
      </c>
      <c r="Q295" t="n">
        <v>0</v>
      </c>
      <c r="R295" s="2" t="inlineStr"/>
    </row>
    <row r="296" ht="15" customHeight="1">
      <c r="A296" t="inlineStr">
        <is>
          <t>A 50496-2024</t>
        </is>
      </c>
      <c r="B296" s="1" t="n">
        <v>45601.51266203704</v>
      </c>
      <c r="C296" s="1" t="n">
        <v>45880</v>
      </c>
      <c r="D296" t="inlineStr">
        <is>
          <t>NORRBOTTENS LÄN</t>
        </is>
      </c>
      <c r="E296" t="inlineStr">
        <is>
          <t>JOKKMOKK</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60275-2023</t>
        </is>
      </c>
      <c r="B297" s="1" t="n">
        <v>45258.67847222222</v>
      </c>
      <c r="C297" s="1" t="n">
        <v>45880</v>
      </c>
      <c r="D297" t="inlineStr">
        <is>
          <t>NORRBOTTENS LÄN</t>
        </is>
      </c>
      <c r="E297" t="inlineStr">
        <is>
          <t>JOKKMOKK</t>
        </is>
      </c>
      <c r="G297" t="n">
        <v>3.2</v>
      </c>
      <c r="H297" t="n">
        <v>0</v>
      </c>
      <c r="I297" t="n">
        <v>0</v>
      </c>
      <c r="J297" t="n">
        <v>0</v>
      </c>
      <c r="K297" t="n">
        <v>0</v>
      </c>
      <c r="L297" t="n">
        <v>0</v>
      </c>
      <c r="M297" t="n">
        <v>0</v>
      </c>
      <c r="N297" t="n">
        <v>0</v>
      </c>
      <c r="O297" t="n">
        <v>0</v>
      </c>
      <c r="P297" t="n">
        <v>0</v>
      </c>
      <c r="Q297" t="n">
        <v>0</v>
      </c>
      <c r="R297" s="2" t="inlineStr"/>
    </row>
    <row r="298" ht="15" customHeight="1">
      <c r="A298" t="inlineStr">
        <is>
          <t>A 61500-2024</t>
        </is>
      </c>
      <c r="B298" s="1" t="n">
        <v>45645</v>
      </c>
      <c r="C298" s="1" t="n">
        <v>45880</v>
      </c>
      <c r="D298" t="inlineStr">
        <is>
          <t>NORRBOTTENS LÄN</t>
        </is>
      </c>
      <c r="E298" t="inlineStr">
        <is>
          <t>JOKKMOKK</t>
        </is>
      </c>
      <c r="G298" t="n">
        <v>39.8</v>
      </c>
      <c r="H298" t="n">
        <v>0</v>
      </c>
      <c r="I298" t="n">
        <v>0</v>
      </c>
      <c r="J298" t="n">
        <v>0</v>
      </c>
      <c r="K298" t="n">
        <v>0</v>
      </c>
      <c r="L298" t="n">
        <v>0</v>
      </c>
      <c r="M298" t="n">
        <v>0</v>
      </c>
      <c r="N298" t="n">
        <v>0</v>
      </c>
      <c r="O298" t="n">
        <v>0</v>
      </c>
      <c r="P298" t="n">
        <v>0</v>
      </c>
      <c r="Q298" t="n">
        <v>0</v>
      </c>
      <c r="R298" s="2" t="inlineStr"/>
    </row>
    <row r="299" ht="15" customHeight="1">
      <c r="A299" t="inlineStr">
        <is>
          <t>A 35876-2022</t>
        </is>
      </c>
      <c r="B299" s="1" t="n">
        <v>44802</v>
      </c>
      <c r="C299" s="1" t="n">
        <v>45880</v>
      </c>
      <c r="D299" t="inlineStr">
        <is>
          <t>NORRBOTTENS LÄN</t>
        </is>
      </c>
      <c r="E299" t="inlineStr">
        <is>
          <t>JOKKMOKK</t>
        </is>
      </c>
      <c r="G299" t="n">
        <v>9.5</v>
      </c>
      <c r="H299" t="n">
        <v>0</v>
      </c>
      <c r="I299" t="n">
        <v>0</v>
      </c>
      <c r="J299" t="n">
        <v>0</v>
      </c>
      <c r="K299" t="n">
        <v>0</v>
      </c>
      <c r="L299" t="n">
        <v>0</v>
      </c>
      <c r="M299" t="n">
        <v>0</v>
      </c>
      <c r="N299" t="n">
        <v>0</v>
      </c>
      <c r="O299" t="n">
        <v>0</v>
      </c>
      <c r="P299" t="n">
        <v>0</v>
      </c>
      <c r="Q299" t="n">
        <v>0</v>
      </c>
      <c r="R299" s="2" t="inlineStr"/>
    </row>
    <row r="300" ht="15" customHeight="1">
      <c r="A300" t="inlineStr">
        <is>
          <t>A 40771-2023</t>
        </is>
      </c>
      <c r="B300" s="1" t="n">
        <v>45170.95657407407</v>
      </c>
      <c r="C300" s="1" t="n">
        <v>45880</v>
      </c>
      <c r="D300" t="inlineStr">
        <is>
          <t>NORRBOTTENS LÄN</t>
        </is>
      </c>
      <c r="E300" t="inlineStr">
        <is>
          <t>JOKKMOKK</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35040-2025</t>
        </is>
      </c>
      <c r="B301" s="1" t="n">
        <v>45852.34420138889</v>
      </c>
      <c r="C301" s="1" t="n">
        <v>45880</v>
      </c>
      <c r="D301" t="inlineStr">
        <is>
          <t>NORRBOTTENS LÄN</t>
        </is>
      </c>
      <c r="E301" t="inlineStr">
        <is>
          <t>JOKKMOKK</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32670-2025</t>
        </is>
      </c>
      <c r="B302" s="1" t="n">
        <v>45838.70071759259</v>
      </c>
      <c r="C302" s="1" t="n">
        <v>45880</v>
      </c>
      <c r="D302" t="inlineStr">
        <is>
          <t>NORRBOTTENS LÄN</t>
        </is>
      </c>
      <c r="E302" t="inlineStr">
        <is>
          <t>JOKKMOKK</t>
        </is>
      </c>
      <c r="F302" t="inlineStr">
        <is>
          <t>Sveaskog</t>
        </is>
      </c>
      <c r="G302" t="n">
        <v>6.8</v>
      </c>
      <c r="H302" t="n">
        <v>0</v>
      </c>
      <c r="I302" t="n">
        <v>0</v>
      </c>
      <c r="J302" t="n">
        <v>0</v>
      </c>
      <c r="K302" t="n">
        <v>0</v>
      </c>
      <c r="L302" t="n">
        <v>0</v>
      </c>
      <c r="M302" t="n">
        <v>0</v>
      </c>
      <c r="N302" t="n">
        <v>0</v>
      </c>
      <c r="O302" t="n">
        <v>0</v>
      </c>
      <c r="P302" t="n">
        <v>0</v>
      </c>
      <c r="Q302" t="n">
        <v>0</v>
      </c>
      <c r="R302" s="2" t="inlineStr"/>
    </row>
    <row r="303" ht="15" customHeight="1">
      <c r="A303" t="inlineStr">
        <is>
          <t>A 33740-2025</t>
        </is>
      </c>
      <c r="B303" s="1" t="n">
        <v>45842.34456018519</v>
      </c>
      <c r="C303" s="1" t="n">
        <v>45880</v>
      </c>
      <c r="D303" t="inlineStr">
        <is>
          <t>NORRBOTTENS LÄN</t>
        </is>
      </c>
      <c r="E303" t="inlineStr">
        <is>
          <t>JOKKMOKK</t>
        </is>
      </c>
      <c r="F303" t="inlineStr">
        <is>
          <t>SCA</t>
        </is>
      </c>
      <c r="G303" t="n">
        <v>23.3</v>
      </c>
      <c r="H303" t="n">
        <v>0</v>
      </c>
      <c r="I303" t="n">
        <v>0</v>
      </c>
      <c r="J303" t="n">
        <v>0</v>
      </c>
      <c r="K303" t="n">
        <v>0</v>
      </c>
      <c r="L303" t="n">
        <v>0</v>
      </c>
      <c r="M303" t="n">
        <v>0</v>
      </c>
      <c r="N303" t="n">
        <v>0</v>
      </c>
      <c r="O303" t="n">
        <v>0</v>
      </c>
      <c r="P303" t="n">
        <v>0</v>
      </c>
      <c r="Q303" t="n">
        <v>0</v>
      </c>
      <c r="R303" s="2" t="inlineStr"/>
    </row>
    <row r="304" ht="15" customHeight="1">
      <c r="A304" t="inlineStr">
        <is>
          <t>A 33349-2025</t>
        </is>
      </c>
      <c r="B304" s="1" t="n">
        <v>45841.3704050926</v>
      </c>
      <c r="C304" s="1" t="n">
        <v>45880</v>
      </c>
      <c r="D304" t="inlineStr">
        <is>
          <t>NORRBOTTENS LÄN</t>
        </is>
      </c>
      <c r="E304" t="inlineStr">
        <is>
          <t>JOKKMOKK</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33515-2025</t>
        </is>
      </c>
      <c r="B305" s="1" t="n">
        <v>45841.53164351852</v>
      </c>
      <c r="C305" s="1" t="n">
        <v>45880</v>
      </c>
      <c r="D305" t="inlineStr">
        <is>
          <t>NORRBOTTENS LÄN</t>
        </is>
      </c>
      <c r="E305" t="inlineStr">
        <is>
          <t>JOKKMOKK</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33523-2025</t>
        </is>
      </c>
      <c r="B306" s="1" t="n">
        <v>45841.54601851852</v>
      </c>
      <c r="C306" s="1" t="n">
        <v>45880</v>
      </c>
      <c r="D306" t="inlineStr">
        <is>
          <t>NORRBOTTENS LÄN</t>
        </is>
      </c>
      <c r="E306" t="inlineStr">
        <is>
          <t>JOKKMOKK</t>
        </is>
      </c>
      <c r="F306" t="inlineStr">
        <is>
          <t>Sveaskog</t>
        </is>
      </c>
      <c r="G306" t="n">
        <v>5.5</v>
      </c>
      <c r="H306" t="n">
        <v>0</v>
      </c>
      <c r="I306" t="n">
        <v>0</v>
      </c>
      <c r="J306" t="n">
        <v>0</v>
      </c>
      <c r="K306" t="n">
        <v>0</v>
      </c>
      <c r="L306" t="n">
        <v>0</v>
      </c>
      <c r="M306" t="n">
        <v>0</v>
      </c>
      <c r="N306" t="n">
        <v>0</v>
      </c>
      <c r="O306" t="n">
        <v>0</v>
      </c>
      <c r="P306" t="n">
        <v>0</v>
      </c>
      <c r="Q306" t="n">
        <v>0</v>
      </c>
      <c r="R306" s="2" t="inlineStr"/>
    </row>
    <row r="307" ht="15" customHeight="1">
      <c r="A307" t="inlineStr">
        <is>
          <t>A 33554-2025</t>
        </is>
      </c>
      <c r="B307" s="1" t="n">
        <v>45841.57400462963</v>
      </c>
      <c r="C307" s="1" t="n">
        <v>45880</v>
      </c>
      <c r="D307" t="inlineStr">
        <is>
          <t>NORRBOTTENS LÄN</t>
        </is>
      </c>
      <c r="E307" t="inlineStr">
        <is>
          <t>JOKKMOKK</t>
        </is>
      </c>
      <c r="F307" t="inlineStr">
        <is>
          <t>SCA</t>
        </is>
      </c>
      <c r="G307" t="n">
        <v>11.4</v>
      </c>
      <c r="H307" t="n">
        <v>0</v>
      </c>
      <c r="I307" t="n">
        <v>0</v>
      </c>
      <c r="J307" t="n">
        <v>0</v>
      </c>
      <c r="K307" t="n">
        <v>0</v>
      </c>
      <c r="L307" t="n">
        <v>0</v>
      </c>
      <c r="M307" t="n">
        <v>0</v>
      </c>
      <c r="N307" t="n">
        <v>0</v>
      </c>
      <c r="O307" t="n">
        <v>0</v>
      </c>
      <c r="P307" t="n">
        <v>0</v>
      </c>
      <c r="Q307" t="n">
        <v>0</v>
      </c>
      <c r="R307" s="2" t="inlineStr"/>
    </row>
    <row r="308" ht="15" customHeight="1">
      <c r="A308" t="inlineStr">
        <is>
          <t>A 47208-2022</t>
        </is>
      </c>
      <c r="B308" s="1" t="n">
        <v>44851</v>
      </c>
      <c r="C308" s="1" t="n">
        <v>45880</v>
      </c>
      <c r="D308" t="inlineStr">
        <is>
          <t>NORRBOTTENS LÄN</t>
        </is>
      </c>
      <c r="E308" t="inlineStr">
        <is>
          <t>JOKKMOKK</t>
        </is>
      </c>
      <c r="G308" t="n">
        <v>1.2</v>
      </c>
      <c r="H308" t="n">
        <v>0</v>
      </c>
      <c r="I308" t="n">
        <v>0</v>
      </c>
      <c r="J308" t="n">
        <v>0</v>
      </c>
      <c r="K308" t="n">
        <v>0</v>
      </c>
      <c r="L308" t="n">
        <v>0</v>
      </c>
      <c r="M308" t="n">
        <v>0</v>
      </c>
      <c r="N308" t="n">
        <v>0</v>
      </c>
      <c r="O308" t="n">
        <v>0</v>
      </c>
      <c r="P308" t="n">
        <v>0</v>
      </c>
      <c r="Q308" t="n">
        <v>0</v>
      </c>
      <c r="R308" s="2" t="inlineStr"/>
    </row>
    <row r="309" ht="15" customHeight="1">
      <c r="A309" t="inlineStr">
        <is>
          <t>A 33741-2025</t>
        </is>
      </c>
      <c r="B309" s="1" t="n">
        <v>45842.3446875</v>
      </c>
      <c r="C309" s="1" t="n">
        <v>45880</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33551-2025</t>
        </is>
      </c>
      <c r="B310" s="1" t="n">
        <v>45841.57357638889</v>
      </c>
      <c r="C310" s="1" t="n">
        <v>45880</v>
      </c>
      <c r="D310" t="inlineStr">
        <is>
          <t>NORRBOTTENS LÄN</t>
        </is>
      </c>
      <c r="E310" t="inlineStr">
        <is>
          <t>JOKKMOKK</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27685-2025</t>
        </is>
      </c>
      <c r="B311" s="1" t="n">
        <v>45813.65023148148</v>
      </c>
      <c r="C311" s="1" t="n">
        <v>45880</v>
      </c>
      <c r="D311" t="inlineStr">
        <is>
          <t>NORRBOTTENS LÄN</t>
        </is>
      </c>
      <c r="E311" t="inlineStr">
        <is>
          <t>JOKKMOKK</t>
        </is>
      </c>
      <c r="G311" t="n">
        <v>2</v>
      </c>
      <c r="H311" t="n">
        <v>0</v>
      </c>
      <c r="I311" t="n">
        <v>0</v>
      </c>
      <c r="J311" t="n">
        <v>0</v>
      </c>
      <c r="K311" t="n">
        <v>0</v>
      </c>
      <c r="L311" t="n">
        <v>0</v>
      </c>
      <c r="M311" t="n">
        <v>0</v>
      </c>
      <c r="N311" t="n">
        <v>0</v>
      </c>
      <c r="O311" t="n">
        <v>0</v>
      </c>
      <c r="P311" t="n">
        <v>0</v>
      </c>
      <c r="Q311" t="n">
        <v>0</v>
      </c>
      <c r="R311" s="2" t="inlineStr"/>
    </row>
    <row r="312" ht="15" customHeight="1">
      <c r="A312" t="inlineStr">
        <is>
          <t>A 68636-2020</t>
        </is>
      </c>
      <c r="B312" s="1" t="n">
        <v>44186</v>
      </c>
      <c r="C312" s="1" t="n">
        <v>45880</v>
      </c>
      <c r="D312" t="inlineStr">
        <is>
          <t>NORRBOTTENS LÄN</t>
        </is>
      </c>
      <c r="E312" t="inlineStr">
        <is>
          <t>JOKKMOKK</t>
        </is>
      </c>
      <c r="F312" t="inlineStr">
        <is>
          <t>SCA</t>
        </is>
      </c>
      <c r="G312" t="n">
        <v>42.3</v>
      </c>
      <c r="H312" t="n">
        <v>0</v>
      </c>
      <c r="I312" t="n">
        <v>0</v>
      </c>
      <c r="J312" t="n">
        <v>0</v>
      </c>
      <c r="K312" t="n">
        <v>0</v>
      </c>
      <c r="L312" t="n">
        <v>0</v>
      </c>
      <c r="M312" t="n">
        <v>0</v>
      </c>
      <c r="N312" t="n">
        <v>0</v>
      </c>
      <c r="O312" t="n">
        <v>0</v>
      </c>
      <c r="P312" t="n">
        <v>0</v>
      </c>
      <c r="Q312" t="n">
        <v>0</v>
      </c>
      <c r="R312" s="2" t="inlineStr"/>
    </row>
    <row r="313" ht="15" customHeight="1">
      <c r="A313" t="inlineStr">
        <is>
          <t>A 61760-2024</t>
        </is>
      </c>
      <c r="B313" s="1" t="n">
        <v>45649</v>
      </c>
      <c r="C313" s="1" t="n">
        <v>45880</v>
      </c>
      <c r="D313" t="inlineStr">
        <is>
          <t>NORRBOTTENS LÄN</t>
        </is>
      </c>
      <c r="E313" t="inlineStr">
        <is>
          <t>JOKKMOKK</t>
        </is>
      </c>
      <c r="F313" t="inlineStr">
        <is>
          <t>Övriga statliga verk och myndigheter</t>
        </is>
      </c>
      <c r="G313" t="n">
        <v>19.3</v>
      </c>
      <c r="H313" t="n">
        <v>0</v>
      </c>
      <c r="I313" t="n">
        <v>0</v>
      </c>
      <c r="J313" t="n">
        <v>0</v>
      </c>
      <c r="K313" t="n">
        <v>0</v>
      </c>
      <c r="L313" t="n">
        <v>0</v>
      </c>
      <c r="M313" t="n">
        <v>0</v>
      </c>
      <c r="N313" t="n">
        <v>0</v>
      </c>
      <c r="O313" t="n">
        <v>0</v>
      </c>
      <c r="P313" t="n">
        <v>0</v>
      </c>
      <c r="Q313" t="n">
        <v>0</v>
      </c>
      <c r="R313" s="2" t="inlineStr"/>
    </row>
    <row r="314" ht="15" customHeight="1">
      <c r="A314" t="inlineStr">
        <is>
          <t>A 10596-2025</t>
        </is>
      </c>
      <c r="B314" s="1" t="n">
        <v>45721</v>
      </c>
      <c r="C314" s="1" t="n">
        <v>45880</v>
      </c>
      <c r="D314" t="inlineStr">
        <is>
          <t>NORRBOTTENS LÄN</t>
        </is>
      </c>
      <c r="E314" t="inlineStr">
        <is>
          <t>JOKKMOKK</t>
        </is>
      </c>
      <c r="G314" t="n">
        <v>17.7</v>
      </c>
      <c r="H314" t="n">
        <v>0</v>
      </c>
      <c r="I314" t="n">
        <v>0</v>
      </c>
      <c r="J314" t="n">
        <v>0</v>
      </c>
      <c r="K314" t="n">
        <v>0</v>
      </c>
      <c r="L314" t="n">
        <v>0</v>
      </c>
      <c r="M314" t="n">
        <v>0</v>
      </c>
      <c r="N314" t="n">
        <v>0</v>
      </c>
      <c r="O314" t="n">
        <v>0</v>
      </c>
      <c r="P314" t="n">
        <v>0</v>
      </c>
      <c r="Q314" t="n">
        <v>0</v>
      </c>
      <c r="R314" s="2" t="inlineStr"/>
    </row>
    <row r="315" ht="15" customHeight="1">
      <c r="A315" t="inlineStr">
        <is>
          <t>A 1615-2024</t>
        </is>
      </c>
      <c r="B315" s="1" t="n">
        <v>45306</v>
      </c>
      <c r="C315" s="1" t="n">
        <v>45880</v>
      </c>
      <c r="D315" t="inlineStr">
        <is>
          <t>NORRBOTTENS LÄN</t>
        </is>
      </c>
      <c r="E315" t="inlineStr">
        <is>
          <t>JOKKMOKK</t>
        </is>
      </c>
      <c r="G315" t="n">
        <v>10.8</v>
      </c>
      <c r="H315" t="n">
        <v>0</v>
      </c>
      <c r="I315" t="n">
        <v>0</v>
      </c>
      <c r="J315" t="n">
        <v>0</v>
      </c>
      <c r="K315" t="n">
        <v>0</v>
      </c>
      <c r="L315" t="n">
        <v>0</v>
      </c>
      <c r="M315" t="n">
        <v>0</v>
      </c>
      <c r="N315" t="n">
        <v>0</v>
      </c>
      <c r="O315" t="n">
        <v>0</v>
      </c>
      <c r="P315" t="n">
        <v>0</v>
      </c>
      <c r="Q315" t="n">
        <v>0</v>
      </c>
      <c r="R315" s="2" t="inlineStr"/>
    </row>
    <row r="316" ht="15" customHeight="1">
      <c r="A316" t="inlineStr">
        <is>
          <t>A 33323-2024</t>
        </is>
      </c>
      <c r="B316" s="1" t="n">
        <v>45518.97305555556</v>
      </c>
      <c r="C316" s="1" t="n">
        <v>45880</v>
      </c>
      <c r="D316" t="inlineStr">
        <is>
          <t>NORRBOTTENS LÄN</t>
        </is>
      </c>
      <c r="E316" t="inlineStr">
        <is>
          <t>JOKKMOKK</t>
        </is>
      </c>
      <c r="F316" t="inlineStr">
        <is>
          <t>SCA</t>
        </is>
      </c>
      <c r="G316" t="n">
        <v>16.7</v>
      </c>
      <c r="H316" t="n">
        <v>0</v>
      </c>
      <c r="I316" t="n">
        <v>0</v>
      </c>
      <c r="J316" t="n">
        <v>0</v>
      </c>
      <c r="K316" t="n">
        <v>0</v>
      </c>
      <c r="L316" t="n">
        <v>0</v>
      </c>
      <c r="M316" t="n">
        <v>0</v>
      </c>
      <c r="N316" t="n">
        <v>0</v>
      </c>
      <c r="O316" t="n">
        <v>0</v>
      </c>
      <c r="P316" t="n">
        <v>0</v>
      </c>
      <c r="Q316" t="n">
        <v>0</v>
      </c>
      <c r="R316" s="2" t="inlineStr"/>
    </row>
    <row r="317" ht="15" customHeight="1">
      <c r="A317" t="inlineStr">
        <is>
          <t>A 59849-2023</t>
        </is>
      </c>
      <c r="B317" s="1" t="n">
        <v>45257</v>
      </c>
      <c r="C317" s="1" t="n">
        <v>45880</v>
      </c>
      <c r="D317" t="inlineStr">
        <is>
          <t>NORRBOTTENS LÄN</t>
        </is>
      </c>
      <c r="E317" t="inlineStr">
        <is>
          <t>JOKKMOKK</t>
        </is>
      </c>
      <c r="F317" t="inlineStr">
        <is>
          <t>Allmännings- och besparingsskogar</t>
        </is>
      </c>
      <c r="G317" t="n">
        <v>12.7</v>
      </c>
      <c r="H317" t="n">
        <v>0</v>
      </c>
      <c r="I317" t="n">
        <v>0</v>
      </c>
      <c r="J317" t="n">
        <v>0</v>
      </c>
      <c r="K317" t="n">
        <v>0</v>
      </c>
      <c r="L317" t="n">
        <v>0</v>
      </c>
      <c r="M317" t="n">
        <v>0</v>
      </c>
      <c r="N317" t="n">
        <v>0</v>
      </c>
      <c r="O317" t="n">
        <v>0</v>
      </c>
      <c r="P317" t="n">
        <v>0</v>
      </c>
      <c r="Q317" t="n">
        <v>0</v>
      </c>
      <c r="R317" s="2" t="inlineStr"/>
    </row>
    <row r="318" ht="15" customHeight="1">
      <c r="A318" t="inlineStr">
        <is>
          <t>A 48339-2024</t>
        </is>
      </c>
      <c r="B318" s="1" t="n">
        <v>45590</v>
      </c>
      <c r="C318" s="1" t="n">
        <v>45880</v>
      </c>
      <c r="D318" t="inlineStr">
        <is>
          <t>NORRBOTTENS LÄN</t>
        </is>
      </c>
      <c r="E318" t="inlineStr">
        <is>
          <t>JOKKMOKK</t>
        </is>
      </c>
      <c r="F318" t="inlineStr">
        <is>
          <t>Allmännings- och besparingsskogar</t>
        </is>
      </c>
      <c r="G318" t="n">
        <v>24.9</v>
      </c>
      <c r="H318" t="n">
        <v>0</v>
      </c>
      <c r="I318" t="n">
        <v>0</v>
      </c>
      <c r="J318" t="n">
        <v>0</v>
      </c>
      <c r="K318" t="n">
        <v>0</v>
      </c>
      <c r="L318" t="n">
        <v>0</v>
      </c>
      <c r="M318" t="n">
        <v>0</v>
      </c>
      <c r="N318" t="n">
        <v>0</v>
      </c>
      <c r="O318" t="n">
        <v>0</v>
      </c>
      <c r="P318" t="n">
        <v>0</v>
      </c>
      <c r="Q318" t="n">
        <v>0</v>
      </c>
      <c r="R318" s="2" t="inlineStr"/>
    </row>
    <row r="319" ht="15" customHeight="1">
      <c r="A319" t="inlineStr">
        <is>
          <t>A 5670-2025</t>
        </is>
      </c>
      <c r="B319" s="1" t="n">
        <v>45693</v>
      </c>
      <c r="C319" s="1" t="n">
        <v>45880</v>
      </c>
      <c r="D319" t="inlineStr">
        <is>
          <t>NORRBOTTENS LÄN</t>
        </is>
      </c>
      <c r="E319" t="inlineStr">
        <is>
          <t>JOKKMOKK</t>
        </is>
      </c>
      <c r="G319" t="n">
        <v>2.1</v>
      </c>
      <c r="H319" t="n">
        <v>0</v>
      </c>
      <c r="I319" t="n">
        <v>0</v>
      </c>
      <c r="J319" t="n">
        <v>0</v>
      </c>
      <c r="K319" t="n">
        <v>0</v>
      </c>
      <c r="L319" t="n">
        <v>0</v>
      </c>
      <c r="M319" t="n">
        <v>0</v>
      </c>
      <c r="N319" t="n">
        <v>0</v>
      </c>
      <c r="O319" t="n">
        <v>0</v>
      </c>
      <c r="P319" t="n">
        <v>0</v>
      </c>
      <c r="Q319" t="n">
        <v>0</v>
      </c>
      <c r="R319" s="2" t="inlineStr"/>
    </row>
    <row r="320" ht="15" customHeight="1">
      <c r="A320" t="inlineStr">
        <is>
          <t>A 32915-2023</t>
        </is>
      </c>
      <c r="B320" s="1" t="n">
        <v>45124.95214120371</v>
      </c>
      <c r="C320" s="1" t="n">
        <v>45880</v>
      </c>
      <c r="D320" t="inlineStr">
        <is>
          <t>NORRBOTTENS LÄN</t>
        </is>
      </c>
      <c r="E320" t="inlineStr">
        <is>
          <t>JOKKMOKK</t>
        </is>
      </c>
      <c r="F320" t="inlineStr">
        <is>
          <t>SCA</t>
        </is>
      </c>
      <c r="G320" t="n">
        <v>15.1</v>
      </c>
      <c r="H320" t="n">
        <v>0</v>
      </c>
      <c r="I320" t="n">
        <v>0</v>
      </c>
      <c r="J320" t="n">
        <v>0</v>
      </c>
      <c r="K320" t="n">
        <v>0</v>
      </c>
      <c r="L320" t="n">
        <v>0</v>
      </c>
      <c r="M320" t="n">
        <v>0</v>
      </c>
      <c r="N320" t="n">
        <v>0</v>
      </c>
      <c r="O320" t="n">
        <v>0</v>
      </c>
      <c r="P320" t="n">
        <v>0</v>
      </c>
      <c r="Q320" t="n">
        <v>0</v>
      </c>
      <c r="R320" s="2" t="inlineStr"/>
    </row>
    <row r="321" ht="15" customHeight="1">
      <c r="A321" t="inlineStr">
        <is>
          <t>A 28591-2025</t>
        </is>
      </c>
      <c r="B321" s="1" t="n">
        <v>45819.59027777778</v>
      </c>
      <c r="C321" s="1" t="n">
        <v>45880</v>
      </c>
      <c r="D321" t="inlineStr">
        <is>
          <t>NORRBOTTENS LÄN</t>
        </is>
      </c>
      <c r="E321" t="inlineStr">
        <is>
          <t>JOKKMOKK</t>
        </is>
      </c>
      <c r="F321" t="inlineStr">
        <is>
          <t>Sveaskog</t>
        </is>
      </c>
      <c r="G321" t="n">
        <v>11.9</v>
      </c>
      <c r="H321" t="n">
        <v>0</v>
      </c>
      <c r="I321" t="n">
        <v>0</v>
      </c>
      <c r="J321" t="n">
        <v>0</v>
      </c>
      <c r="K321" t="n">
        <v>0</v>
      </c>
      <c r="L321" t="n">
        <v>0</v>
      </c>
      <c r="M321" t="n">
        <v>0</v>
      </c>
      <c r="N321" t="n">
        <v>0</v>
      </c>
      <c r="O321" t="n">
        <v>0</v>
      </c>
      <c r="P321" t="n">
        <v>0</v>
      </c>
      <c r="Q321" t="n">
        <v>0</v>
      </c>
      <c r="R321" s="2" t="inlineStr"/>
    </row>
    <row r="322" ht="15" customHeight="1">
      <c r="A322" t="inlineStr">
        <is>
          <t>A 35511-2025</t>
        </is>
      </c>
      <c r="B322" s="1" t="n">
        <v>45856.36497685185</v>
      </c>
      <c r="C322" s="1" t="n">
        <v>45880</v>
      </c>
      <c r="D322" t="inlineStr">
        <is>
          <t>NORRBOTTENS LÄN</t>
        </is>
      </c>
      <c r="E322" t="inlineStr">
        <is>
          <t>JOKKMOKK</t>
        </is>
      </c>
      <c r="F322" t="inlineStr">
        <is>
          <t>SCA</t>
        </is>
      </c>
      <c r="G322" t="n">
        <v>7</v>
      </c>
      <c r="H322" t="n">
        <v>0</v>
      </c>
      <c r="I322" t="n">
        <v>0</v>
      </c>
      <c r="J322" t="n">
        <v>0</v>
      </c>
      <c r="K322" t="n">
        <v>0</v>
      </c>
      <c r="L322" t="n">
        <v>0</v>
      </c>
      <c r="M322" t="n">
        <v>0</v>
      </c>
      <c r="N322" t="n">
        <v>0</v>
      </c>
      <c r="O322" t="n">
        <v>0</v>
      </c>
      <c r="P322" t="n">
        <v>0</v>
      </c>
      <c r="Q322" t="n">
        <v>0</v>
      </c>
      <c r="R322" s="2" t="inlineStr"/>
    </row>
    <row r="323" ht="15" customHeight="1">
      <c r="A323" t="inlineStr">
        <is>
          <t>A 30041-2024</t>
        </is>
      </c>
      <c r="B323" s="1" t="n">
        <v>45488</v>
      </c>
      <c r="C323" s="1" t="n">
        <v>45880</v>
      </c>
      <c r="D323" t="inlineStr">
        <is>
          <t>NORRBOTTENS LÄN</t>
        </is>
      </c>
      <c r="E323" t="inlineStr">
        <is>
          <t>JOKKMOKK</t>
        </is>
      </c>
      <c r="G323" t="n">
        <v>19.9</v>
      </c>
      <c r="H323" t="n">
        <v>0</v>
      </c>
      <c r="I323" t="n">
        <v>0</v>
      </c>
      <c r="J323" t="n">
        <v>0</v>
      </c>
      <c r="K323" t="n">
        <v>0</v>
      </c>
      <c r="L323" t="n">
        <v>0</v>
      </c>
      <c r="M323" t="n">
        <v>0</v>
      </c>
      <c r="N323" t="n">
        <v>0</v>
      </c>
      <c r="O323" t="n">
        <v>0</v>
      </c>
      <c r="P323" t="n">
        <v>0</v>
      </c>
      <c r="Q323" t="n">
        <v>0</v>
      </c>
      <c r="R323" s="2" t="inlineStr"/>
    </row>
    <row r="324" ht="15" customHeight="1">
      <c r="A324" t="inlineStr">
        <is>
          <t>A 28639-2025</t>
        </is>
      </c>
      <c r="B324" s="1" t="n">
        <v>45819.63649305556</v>
      </c>
      <c r="C324" s="1" t="n">
        <v>45880</v>
      </c>
      <c r="D324" t="inlineStr">
        <is>
          <t>NORRBOTTENS LÄN</t>
        </is>
      </c>
      <c r="E324" t="inlineStr">
        <is>
          <t>JOKKMOKK</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28601-2025</t>
        </is>
      </c>
      <c r="B325" s="1" t="n">
        <v>45819.59802083333</v>
      </c>
      <c r="C325" s="1" t="n">
        <v>45880</v>
      </c>
      <c r="D325" t="inlineStr">
        <is>
          <t>NORRBOTTENS LÄN</t>
        </is>
      </c>
      <c r="E325" t="inlineStr">
        <is>
          <t>JOKKMOKK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35749-2025</t>
        </is>
      </c>
      <c r="B326" s="1" t="n">
        <v>45860.56810185185</v>
      </c>
      <c r="C326" s="1" t="n">
        <v>45880</v>
      </c>
      <c r="D326" t="inlineStr">
        <is>
          <t>NORRBOTTENS LÄN</t>
        </is>
      </c>
      <c r="E326" t="inlineStr">
        <is>
          <t>JOKKMOKK</t>
        </is>
      </c>
      <c r="G326" t="n">
        <v>4.2</v>
      </c>
      <c r="H326" t="n">
        <v>0</v>
      </c>
      <c r="I326" t="n">
        <v>0</v>
      </c>
      <c r="J326" t="n">
        <v>0</v>
      </c>
      <c r="K326" t="n">
        <v>0</v>
      </c>
      <c r="L326" t="n">
        <v>0</v>
      </c>
      <c r="M326" t="n">
        <v>0</v>
      </c>
      <c r="N326" t="n">
        <v>0</v>
      </c>
      <c r="O326" t="n">
        <v>0</v>
      </c>
      <c r="P326" t="n">
        <v>0</v>
      </c>
      <c r="Q326" t="n">
        <v>0</v>
      </c>
      <c r="R326" s="2" t="inlineStr"/>
    </row>
    <row r="327" ht="15" customHeight="1">
      <c r="A327" t="inlineStr">
        <is>
          <t>A 35805-2025</t>
        </is>
      </c>
      <c r="B327" s="1" t="n">
        <v>45861.4019212963</v>
      </c>
      <c r="C327" s="1" t="n">
        <v>45880</v>
      </c>
      <c r="D327" t="inlineStr">
        <is>
          <t>NORRBOTTENS LÄN</t>
        </is>
      </c>
      <c r="E327" t="inlineStr">
        <is>
          <t>JOKKMOKK</t>
        </is>
      </c>
      <c r="G327" t="n">
        <v>7</v>
      </c>
      <c r="H327" t="n">
        <v>0</v>
      </c>
      <c r="I327" t="n">
        <v>0</v>
      </c>
      <c r="J327" t="n">
        <v>0</v>
      </c>
      <c r="K327" t="n">
        <v>0</v>
      </c>
      <c r="L327" t="n">
        <v>0</v>
      </c>
      <c r="M327" t="n">
        <v>0</v>
      </c>
      <c r="N327" t="n">
        <v>0</v>
      </c>
      <c r="O327" t="n">
        <v>0</v>
      </c>
      <c r="P327" t="n">
        <v>0</v>
      </c>
      <c r="Q327" t="n">
        <v>0</v>
      </c>
      <c r="R327" s="2" t="inlineStr"/>
    </row>
    <row r="328" ht="15" customHeight="1">
      <c r="A328" t="inlineStr">
        <is>
          <t>A 29446-2025</t>
        </is>
      </c>
      <c r="B328" s="1" t="n">
        <v>45824</v>
      </c>
      <c r="C328" s="1" t="n">
        <v>45880</v>
      </c>
      <c r="D328" t="inlineStr">
        <is>
          <t>NORRBOTTENS LÄN</t>
        </is>
      </c>
      <c r="E328" t="inlineStr">
        <is>
          <t>JOKKMOKK</t>
        </is>
      </c>
      <c r="G328" t="n">
        <v>68.5</v>
      </c>
      <c r="H328" t="n">
        <v>0</v>
      </c>
      <c r="I328" t="n">
        <v>0</v>
      </c>
      <c r="J328" t="n">
        <v>0</v>
      </c>
      <c r="K328" t="n">
        <v>0</v>
      </c>
      <c r="L328" t="n">
        <v>0</v>
      </c>
      <c r="M328" t="n">
        <v>0</v>
      </c>
      <c r="N328" t="n">
        <v>0</v>
      </c>
      <c r="O328" t="n">
        <v>0</v>
      </c>
      <c r="P328" t="n">
        <v>0</v>
      </c>
      <c r="Q328" t="n">
        <v>0</v>
      </c>
      <c r="R328" s="2" t="inlineStr"/>
    </row>
    <row r="329" ht="15" customHeight="1">
      <c r="A329" t="inlineStr">
        <is>
          <t>A 27652-2024</t>
        </is>
      </c>
      <c r="B329" s="1" t="n">
        <v>45474.94982638889</v>
      </c>
      <c r="C329" s="1" t="n">
        <v>45880</v>
      </c>
      <c r="D329" t="inlineStr">
        <is>
          <t>NORRBOTTENS LÄN</t>
        </is>
      </c>
      <c r="E329" t="inlineStr">
        <is>
          <t>JOKKMOKK</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29333-2025</t>
        </is>
      </c>
      <c r="B330" s="1" t="n">
        <v>45824</v>
      </c>
      <c r="C330" s="1" t="n">
        <v>45880</v>
      </c>
      <c r="D330" t="inlineStr">
        <is>
          <t>NORRBOTTENS LÄN</t>
        </is>
      </c>
      <c r="E330" t="inlineStr">
        <is>
          <t>JOKKMOKK</t>
        </is>
      </c>
      <c r="G330" t="n">
        <v>17.3</v>
      </c>
      <c r="H330" t="n">
        <v>0</v>
      </c>
      <c r="I330" t="n">
        <v>0</v>
      </c>
      <c r="J330" t="n">
        <v>0</v>
      </c>
      <c r="K330" t="n">
        <v>0</v>
      </c>
      <c r="L330" t="n">
        <v>0</v>
      </c>
      <c r="M330" t="n">
        <v>0</v>
      </c>
      <c r="N330" t="n">
        <v>0</v>
      </c>
      <c r="O330" t="n">
        <v>0</v>
      </c>
      <c r="P330" t="n">
        <v>0</v>
      </c>
      <c r="Q330" t="n">
        <v>0</v>
      </c>
      <c r="R330" s="2" t="inlineStr"/>
    </row>
    <row r="331" ht="15" customHeight="1">
      <c r="A331" t="inlineStr">
        <is>
          <t>A 29418-2025</t>
        </is>
      </c>
      <c r="B331" s="1" t="n">
        <v>45824.63607638889</v>
      </c>
      <c r="C331" s="1" t="n">
        <v>45880</v>
      </c>
      <c r="D331" t="inlineStr">
        <is>
          <t>NORRBOTTENS LÄN</t>
        </is>
      </c>
      <c r="E331" t="inlineStr">
        <is>
          <t>JOKKMOKK</t>
        </is>
      </c>
      <c r="G331" t="n">
        <v>17.8</v>
      </c>
      <c r="H331" t="n">
        <v>0</v>
      </c>
      <c r="I331" t="n">
        <v>0</v>
      </c>
      <c r="J331" t="n">
        <v>0</v>
      </c>
      <c r="K331" t="n">
        <v>0</v>
      </c>
      <c r="L331" t="n">
        <v>0</v>
      </c>
      <c r="M331" t="n">
        <v>0</v>
      </c>
      <c r="N331" t="n">
        <v>0</v>
      </c>
      <c r="O331" t="n">
        <v>0</v>
      </c>
      <c r="P331" t="n">
        <v>0</v>
      </c>
      <c r="Q331" t="n">
        <v>0</v>
      </c>
      <c r="R331" s="2" t="inlineStr"/>
    </row>
    <row r="332" ht="15" customHeight="1">
      <c r="A332" t="inlineStr">
        <is>
          <t>A 18493-2025</t>
        </is>
      </c>
      <c r="B332" s="1" t="n">
        <v>45763.34474537037</v>
      </c>
      <c r="C332" s="1" t="n">
        <v>45880</v>
      </c>
      <c r="D332" t="inlineStr">
        <is>
          <t>NORRBOTTENS LÄN</t>
        </is>
      </c>
      <c r="E332" t="inlineStr">
        <is>
          <t>JOKKMOKK</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37827-2024</t>
        </is>
      </c>
      <c r="B333" s="1" t="n">
        <v>45544</v>
      </c>
      <c r="C333" s="1" t="n">
        <v>45880</v>
      </c>
      <c r="D333" t="inlineStr">
        <is>
          <t>NORRBOTTENS LÄN</t>
        </is>
      </c>
      <c r="E333" t="inlineStr">
        <is>
          <t>JOKKMOKK</t>
        </is>
      </c>
      <c r="F333" t="inlineStr">
        <is>
          <t>SCA</t>
        </is>
      </c>
      <c r="G333" t="n">
        <v>5</v>
      </c>
      <c r="H333" t="n">
        <v>0</v>
      </c>
      <c r="I333" t="n">
        <v>0</v>
      </c>
      <c r="J333" t="n">
        <v>0</v>
      </c>
      <c r="K333" t="n">
        <v>0</v>
      </c>
      <c r="L333" t="n">
        <v>0</v>
      </c>
      <c r="M333" t="n">
        <v>0</v>
      </c>
      <c r="N333" t="n">
        <v>0</v>
      </c>
      <c r="O333" t="n">
        <v>0</v>
      </c>
      <c r="P333" t="n">
        <v>0</v>
      </c>
      <c r="Q333" t="n">
        <v>0</v>
      </c>
      <c r="R333" s="2" t="inlineStr"/>
    </row>
    <row r="334" ht="15" customHeight="1">
      <c r="A334" t="inlineStr">
        <is>
          <t>A 16864-2023</t>
        </is>
      </c>
      <c r="B334" s="1" t="n">
        <v>45028</v>
      </c>
      <c r="C334" s="1" t="n">
        <v>45880</v>
      </c>
      <c r="D334" t="inlineStr">
        <is>
          <t>NORRBOTTENS LÄN</t>
        </is>
      </c>
      <c r="E334" t="inlineStr">
        <is>
          <t>JOKKMOKK</t>
        </is>
      </c>
      <c r="G334" t="n">
        <v>4</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45880</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29853-2025</t>
        </is>
      </c>
      <c r="B336" s="1" t="n">
        <v>45826.34438657408</v>
      </c>
      <c r="C336" s="1" t="n">
        <v>45880</v>
      </c>
      <c r="D336" t="inlineStr">
        <is>
          <t>NORRBOTTENS LÄN</t>
        </is>
      </c>
      <c r="E336" t="inlineStr">
        <is>
          <t>JOKKMOKK</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29857-2025</t>
        </is>
      </c>
      <c r="B337" s="1" t="n">
        <v>45826.3453125</v>
      </c>
      <c r="C337" s="1" t="n">
        <v>45880</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36357-2025</t>
        </is>
      </c>
      <c r="B338" s="1" t="n">
        <v>45868.5107175926</v>
      </c>
      <c r="C338" s="1" t="n">
        <v>45880</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36325-2025</t>
        </is>
      </c>
      <c r="B339" s="1" t="n">
        <v>45868.40723379629</v>
      </c>
      <c r="C339" s="1" t="n">
        <v>45880</v>
      </c>
      <c r="D339" t="inlineStr">
        <is>
          <t>NORRBOTTENS LÄN</t>
        </is>
      </c>
      <c r="E339" t="inlineStr">
        <is>
          <t>JOKKMOKK</t>
        </is>
      </c>
      <c r="F339" t="inlineStr">
        <is>
          <t>SCA</t>
        </is>
      </c>
      <c r="G339" t="n">
        <v>14.4</v>
      </c>
      <c r="H339" t="n">
        <v>0</v>
      </c>
      <c r="I339" t="n">
        <v>0</v>
      </c>
      <c r="J339" t="n">
        <v>0</v>
      </c>
      <c r="K339" t="n">
        <v>0</v>
      </c>
      <c r="L339" t="n">
        <v>0</v>
      </c>
      <c r="M339" t="n">
        <v>0</v>
      </c>
      <c r="N339" t="n">
        <v>0</v>
      </c>
      <c r="O339" t="n">
        <v>0</v>
      </c>
      <c r="P339" t="n">
        <v>0</v>
      </c>
      <c r="Q339" t="n">
        <v>0</v>
      </c>
      <c r="R339" s="2" t="inlineStr"/>
    </row>
    <row r="340" ht="15" customHeight="1">
      <c r="A340" t="inlineStr">
        <is>
          <t>A 29856-2025</t>
        </is>
      </c>
      <c r="B340" s="1" t="n">
        <v>45826.345</v>
      </c>
      <c r="C340" s="1" t="n">
        <v>45880</v>
      </c>
      <c r="D340" t="inlineStr">
        <is>
          <t>NORRBOTTENS LÄN</t>
        </is>
      </c>
      <c r="E340" t="inlineStr">
        <is>
          <t>JOKKMOKK</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29858-2025</t>
        </is>
      </c>
      <c r="B341" s="1" t="n">
        <v>45826.34565972222</v>
      </c>
      <c r="C341" s="1" t="n">
        <v>45880</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36168-2025</t>
        </is>
      </c>
      <c r="B342" s="1" t="n">
        <v>45867.38582175926</v>
      </c>
      <c r="C342" s="1" t="n">
        <v>45880</v>
      </c>
      <c r="D342" t="inlineStr">
        <is>
          <t>NORRBOTTENS LÄN</t>
        </is>
      </c>
      <c r="E342" t="inlineStr">
        <is>
          <t>JOKKMOKK</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45880</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30189-2025</t>
        </is>
      </c>
      <c r="B344" s="1" t="n">
        <v>45827.34756944444</v>
      </c>
      <c r="C344" s="1" t="n">
        <v>45880</v>
      </c>
      <c r="D344" t="inlineStr">
        <is>
          <t>NORRBOTTENS LÄN</t>
        </is>
      </c>
      <c r="E344" t="inlineStr">
        <is>
          <t>JOKKMOKK</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30178-2025</t>
        </is>
      </c>
      <c r="B345" s="1" t="n">
        <v>45827.34571759259</v>
      </c>
      <c r="C345" s="1" t="n">
        <v>45880</v>
      </c>
      <c r="D345" t="inlineStr">
        <is>
          <t>NORRBOTTENS LÄN</t>
        </is>
      </c>
      <c r="E345" t="inlineStr">
        <is>
          <t>JOKKMOKK</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30181-2025</t>
        </is>
      </c>
      <c r="B346" s="1" t="n">
        <v>45827.34607638889</v>
      </c>
      <c r="C346" s="1" t="n">
        <v>45880</v>
      </c>
      <c r="D346" t="inlineStr">
        <is>
          <t>NORRBOTTENS LÄN</t>
        </is>
      </c>
      <c r="E346" t="inlineStr">
        <is>
          <t>JOKKMOKK</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30182-2025</t>
        </is>
      </c>
      <c r="B347" s="1" t="n">
        <v>45827.34640046296</v>
      </c>
      <c r="C347" s="1" t="n">
        <v>45880</v>
      </c>
      <c r="D347" t="inlineStr">
        <is>
          <t>NORRBOTTENS LÄN</t>
        </is>
      </c>
      <c r="E347" t="inlineStr">
        <is>
          <t>JOKKMOKK</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30184-2025</t>
        </is>
      </c>
      <c r="B348" s="1" t="n">
        <v>45827.34695601852</v>
      </c>
      <c r="C348" s="1" t="n">
        <v>45880</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30177-2025</t>
        </is>
      </c>
      <c r="B349" s="1" t="n">
        <v>45827.34537037037</v>
      </c>
      <c r="C349" s="1" t="n">
        <v>45880</v>
      </c>
      <c r="D349" t="inlineStr">
        <is>
          <t>NORRBOTTENS LÄN</t>
        </is>
      </c>
      <c r="E349" t="inlineStr">
        <is>
          <t>JOKKMOKK</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30185-2025</t>
        </is>
      </c>
      <c r="B350" s="1" t="n">
        <v>45827.34717592593</v>
      </c>
      <c r="C350" s="1" t="n">
        <v>45880</v>
      </c>
      <c r="D350" t="inlineStr">
        <is>
          <t>NORRBOTTENS LÄN</t>
        </is>
      </c>
      <c r="E350" t="inlineStr">
        <is>
          <t>JOKKMOKK</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36607-2021</t>
        </is>
      </c>
      <c r="B351" s="1" t="n">
        <v>44391</v>
      </c>
      <c r="C351" s="1" t="n">
        <v>45880</v>
      </c>
      <c r="D351" t="inlineStr">
        <is>
          <t>NORRBOTTENS LÄN</t>
        </is>
      </c>
      <c r="E351" t="inlineStr">
        <is>
          <t>JOKKMOKK</t>
        </is>
      </c>
      <c r="F351" t="inlineStr">
        <is>
          <t>Allmännings- och besparingsskogar</t>
        </is>
      </c>
      <c r="G351" t="n">
        <v>9.5</v>
      </c>
      <c r="H351" t="n">
        <v>0</v>
      </c>
      <c r="I351" t="n">
        <v>0</v>
      </c>
      <c r="J351" t="n">
        <v>0</v>
      </c>
      <c r="K351" t="n">
        <v>0</v>
      </c>
      <c r="L351" t="n">
        <v>0</v>
      </c>
      <c r="M351" t="n">
        <v>0</v>
      </c>
      <c r="N351" t="n">
        <v>0</v>
      </c>
      <c r="O351" t="n">
        <v>0</v>
      </c>
      <c r="P351" t="n">
        <v>0</v>
      </c>
      <c r="Q351" t="n">
        <v>0</v>
      </c>
      <c r="R351" s="2" t="inlineStr"/>
    </row>
    <row r="352" ht="15" customHeight="1">
      <c r="A352" t="inlineStr">
        <is>
          <t>A 30174-2025</t>
        </is>
      </c>
      <c r="B352" s="1" t="n">
        <v>45827.34454861111</v>
      </c>
      <c r="C352" s="1" t="n">
        <v>45880</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37206-2025</t>
        </is>
      </c>
      <c r="B353" s="1" t="n">
        <v>45875.69855324074</v>
      </c>
      <c r="C353" s="1" t="n">
        <v>45880</v>
      </c>
      <c r="D353" t="inlineStr">
        <is>
          <t>NORRBOTTENS LÄN</t>
        </is>
      </c>
      <c r="E353" t="inlineStr">
        <is>
          <t>JOKKMOKK</t>
        </is>
      </c>
      <c r="G353" t="n">
        <v>2.9</v>
      </c>
      <c r="H353" t="n">
        <v>0</v>
      </c>
      <c r="I353" t="n">
        <v>0</v>
      </c>
      <c r="J353" t="n">
        <v>0</v>
      </c>
      <c r="K353" t="n">
        <v>0</v>
      </c>
      <c r="L353" t="n">
        <v>0</v>
      </c>
      <c r="M353" t="n">
        <v>0</v>
      </c>
      <c r="N353" t="n">
        <v>0</v>
      </c>
      <c r="O353" t="n">
        <v>0</v>
      </c>
      <c r="P353" t="n">
        <v>0</v>
      </c>
      <c r="Q353" t="n">
        <v>0</v>
      </c>
      <c r="R353" s="2" t="inlineStr"/>
    </row>
    <row r="354" ht="15" customHeight="1">
      <c r="A354" t="inlineStr">
        <is>
          <t>A 37120-2025</t>
        </is>
      </c>
      <c r="B354" s="1" t="n">
        <v>45875.51827546296</v>
      </c>
      <c r="C354" s="1" t="n">
        <v>45880</v>
      </c>
      <c r="D354" t="inlineStr">
        <is>
          <t>NORRBOTTENS LÄN</t>
        </is>
      </c>
      <c r="E354" t="inlineStr">
        <is>
          <t>JOKKMOKK</t>
        </is>
      </c>
      <c r="G354" t="n">
        <v>17.6</v>
      </c>
      <c r="H354" t="n">
        <v>0</v>
      </c>
      <c r="I354" t="n">
        <v>0</v>
      </c>
      <c r="J354" t="n">
        <v>0</v>
      </c>
      <c r="K354" t="n">
        <v>0</v>
      </c>
      <c r="L354" t="n">
        <v>0</v>
      </c>
      <c r="M354" t="n">
        <v>0</v>
      </c>
      <c r="N354" t="n">
        <v>0</v>
      </c>
      <c r="O354" t="n">
        <v>0</v>
      </c>
      <c r="P354" t="n">
        <v>0</v>
      </c>
      <c r="Q354" t="n">
        <v>0</v>
      </c>
      <c r="R354" s="2" t="inlineStr"/>
    </row>
    <row r="355" ht="15" customHeight="1">
      <c r="A355" t="inlineStr">
        <is>
          <t>A 2040-2025</t>
        </is>
      </c>
      <c r="B355" s="1" t="n">
        <v>45671</v>
      </c>
      <c r="C355" s="1" t="n">
        <v>45880</v>
      </c>
      <c r="D355" t="inlineStr">
        <is>
          <t>NORRBOTTENS LÄN</t>
        </is>
      </c>
      <c r="E355" t="inlineStr">
        <is>
          <t>JOKKMOKK</t>
        </is>
      </c>
      <c r="G355" t="n">
        <v>5.1</v>
      </c>
      <c r="H355" t="n">
        <v>0</v>
      </c>
      <c r="I355" t="n">
        <v>0</v>
      </c>
      <c r="J355" t="n">
        <v>0</v>
      </c>
      <c r="K355" t="n">
        <v>0</v>
      </c>
      <c r="L355" t="n">
        <v>0</v>
      </c>
      <c r="M355" t="n">
        <v>0</v>
      </c>
      <c r="N355" t="n">
        <v>0</v>
      </c>
      <c r="O355" t="n">
        <v>0</v>
      </c>
      <c r="P355" t="n">
        <v>0</v>
      </c>
      <c r="Q355" t="n">
        <v>0</v>
      </c>
      <c r="R355" s="2" t="inlineStr"/>
    </row>
    <row r="356" ht="15" customHeight="1">
      <c r="A356" t="inlineStr">
        <is>
          <t>A 18772-2023</t>
        </is>
      </c>
      <c r="B356" s="1" t="n">
        <v>45043</v>
      </c>
      <c r="C356" s="1" t="n">
        <v>45880</v>
      </c>
      <c r="D356" t="inlineStr">
        <is>
          <t>NORRBOTTENS LÄN</t>
        </is>
      </c>
      <c r="E356" t="inlineStr">
        <is>
          <t>JOKKMOKK</t>
        </is>
      </c>
      <c r="F356" t="inlineStr">
        <is>
          <t>SCA</t>
        </is>
      </c>
      <c r="G356" t="n">
        <v>11.9</v>
      </c>
      <c r="H356" t="n">
        <v>0</v>
      </c>
      <c r="I356" t="n">
        <v>0</v>
      </c>
      <c r="J356" t="n">
        <v>0</v>
      </c>
      <c r="K356" t="n">
        <v>0</v>
      </c>
      <c r="L356" t="n">
        <v>0</v>
      </c>
      <c r="M356" t="n">
        <v>0</v>
      </c>
      <c r="N356" t="n">
        <v>0</v>
      </c>
      <c r="O356" t="n">
        <v>0</v>
      </c>
      <c r="P356" t="n">
        <v>0</v>
      </c>
      <c r="Q356" t="n">
        <v>0</v>
      </c>
      <c r="R356" s="2" t="inlineStr"/>
    </row>
    <row r="357" ht="15" customHeight="1">
      <c r="A357" t="inlineStr">
        <is>
          <t>A 9854-2023</t>
        </is>
      </c>
      <c r="B357" s="1" t="n">
        <v>44984</v>
      </c>
      <c r="C357" s="1" t="n">
        <v>45880</v>
      </c>
      <c r="D357" t="inlineStr">
        <is>
          <t>NORRBOTTENS LÄN</t>
        </is>
      </c>
      <c r="E357" t="inlineStr">
        <is>
          <t>JOKKMOKK</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37252-2025</t>
        </is>
      </c>
      <c r="B358" s="1" t="n">
        <v>45876.4228125</v>
      </c>
      <c r="C358" s="1" t="n">
        <v>45880</v>
      </c>
      <c r="D358" t="inlineStr">
        <is>
          <t>NORRBOTTENS LÄN</t>
        </is>
      </c>
      <c r="E358" t="inlineStr">
        <is>
          <t>JOKKMOKK</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56168-2022</t>
        </is>
      </c>
      <c r="B359" s="1" t="n">
        <v>44889</v>
      </c>
      <c r="C359" s="1" t="n">
        <v>45880</v>
      </c>
      <c r="D359" t="inlineStr">
        <is>
          <t>NORRBOTTENS LÄN</t>
        </is>
      </c>
      <c r="E359" t="inlineStr">
        <is>
          <t>JOKKMOKK</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9865-2023</t>
        </is>
      </c>
      <c r="B360" s="1" t="n">
        <v>44984</v>
      </c>
      <c r="C360" s="1" t="n">
        <v>45880</v>
      </c>
      <c r="D360" t="inlineStr">
        <is>
          <t>NORRBOTTENS LÄN</t>
        </is>
      </c>
      <c r="E360" t="inlineStr">
        <is>
          <t>JOKKMOKK</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36361-2024</t>
        </is>
      </c>
      <c r="B361" s="1" t="n">
        <v>45534.64626157407</v>
      </c>
      <c r="C361" s="1" t="n">
        <v>45880</v>
      </c>
      <c r="D361" t="inlineStr">
        <is>
          <t>NORRBOTTENS LÄN</t>
        </is>
      </c>
      <c r="E361" t="inlineStr">
        <is>
          <t>JOKKMOKK</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45469-2022</t>
        </is>
      </c>
      <c r="B362" s="1" t="n">
        <v>44841</v>
      </c>
      <c r="C362" s="1" t="n">
        <v>45880</v>
      </c>
      <c r="D362" t="inlineStr">
        <is>
          <t>NORRBOTTENS LÄN</t>
        </is>
      </c>
      <c r="E362" t="inlineStr">
        <is>
          <t>JOKKMOKK</t>
        </is>
      </c>
      <c r="F362" t="inlineStr">
        <is>
          <t>Övriga Aktiebolag</t>
        </is>
      </c>
      <c r="G362" t="n">
        <v>3.4</v>
      </c>
      <c r="H362" t="n">
        <v>0</v>
      </c>
      <c r="I362" t="n">
        <v>0</v>
      </c>
      <c r="J362" t="n">
        <v>0</v>
      </c>
      <c r="K362" t="n">
        <v>0</v>
      </c>
      <c r="L362" t="n">
        <v>0</v>
      </c>
      <c r="M362" t="n">
        <v>0</v>
      </c>
      <c r="N362" t="n">
        <v>0</v>
      </c>
      <c r="O362" t="n">
        <v>0</v>
      </c>
      <c r="P362" t="n">
        <v>0</v>
      </c>
      <c r="Q362" t="n">
        <v>0</v>
      </c>
      <c r="R362" s="2" t="inlineStr"/>
    </row>
    <row r="363" ht="15" customHeight="1">
      <c r="A363" t="inlineStr">
        <is>
          <t>A 47397-2020</t>
        </is>
      </c>
      <c r="B363" s="1" t="n">
        <v>44095</v>
      </c>
      <c r="C363" s="1" t="n">
        <v>45880</v>
      </c>
      <c r="D363" t="inlineStr">
        <is>
          <t>NORRBOTTENS LÄN</t>
        </is>
      </c>
      <c r="E363" t="inlineStr">
        <is>
          <t>JOKKMOKK</t>
        </is>
      </c>
      <c r="F363" t="inlineStr">
        <is>
          <t>Allmännings- och besparingsskogar</t>
        </is>
      </c>
      <c r="G363" t="n">
        <v>3.5</v>
      </c>
      <c r="H363" t="n">
        <v>0</v>
      </c>
      <c r="I363" t="n">
        <v>0</v>
      </c>
      <c r="J363" t="n">
        <v>0</v>
      </c>
      <c r="K363" t="n">
        <v>0</v>
      </c>
      <c r="L363" t="n">
        <v>0</v>
      </c>
      <c r="M363" t="n">
        <v>0</v>
      </c>
      <c r="N363" t="n">
        <v>0</v>
      </c>
      <c r="O363" t="n">
        <v>0</v>
      </c>
      <c r="P363" t="n">
        <v>0</v>
      </c>
      <c r="Q363" t="n">
        <v>0</v>
      </c>
      <c r="R363" s="2" t="inlineStr"/>
    </row>
    <row r="364" ht="15" customHeight="1">
      <c r="A364" t="inlineStr">
        <is>
          <t>A 32957-2024</t>
        </is>
      </c>
      <c r="B364" s="1" t="n">
        <v>45517.3762037037</v>
      </c>
      <c r="C364" s="1" t="n">
        <v>45880</v>
      </c>
      <c r="D364" t="inlineStr">
        <is>
          <t>NORRBOTTENS LÄN</t>
        </is>
      </c>
      <c r="E364" t="inlineStr">
        <is>
          <t>JOKKMOKK</t>
        </is>
      </c>
      <c r="F364" t="inlineStr">
        <is>
          <t>Sveaskog</t>
        </is>
      </c>
      <c r="G364" t="n">
        <v>5.4</v>
      </c>
      <c r="H364" t="n">
        <v>0</v>
      </c>
      <c r="I364" t="n">
        <v>0</v>
      </c>
      <c r="J364" t="n">
        <v>0</v>
      </c>
      <c r="K364" t="n">
        <v>0</v>
      </c>
      <c r="L364" t="n">
        <v>0</v>
      </c>
      <c r="M364" t="n">
        <v>0</v>
      </c>
      <c r="N364" t="n">
        <v>0</v>
      </c>
      <c r="O364" t="n">
        <v>0</v>
      </c>
      <c r="P364" t="n">
        <v>0</v>
      </c>
      <c r="Q364" t="n">
        <v>0</v>
      </c>
      <c r="R364" s="2" t="inlineStr"/>
    </row>
    <row r="365" ht="15" customHeight="1">
      <c r="A365" t="inlineStr">
        <is>
          <t>A 31902-2021</t>
        </is>
      </c>
      <c r="B365" s="1" t="n">
        <v>44370</v>
      </c>
      <c r="C365" s="1" t="n">
        <v>45880</v>
      </c>
      <c r="D365" t="inlineStr">
        <is>
          <t>NORRBOTTENS LÄN</t>
        </is>
      </c>
      <c r="E365" t="inlineStr">
        <is>
          <t>JOKKMOKK</t>
        </is>
      </c>
      <c r="G365" t="n">
        <v>20</v>
      </c>
      <c r="H365" t="n">
        <v>0</v>
      </c>
      <c r="I365" t="n">
        <v>0</v>
      </c>
      <c r="J365" t="n">
        <v>0</v>
      </c>
      <c r="K365" t="n">
        <v>0</v>
      </c>
      <c r="L365" t="n">
        <v>0</v>
      </c>
      <c r="M365" t="n">
        <v>0</v>
      </c>
      <c r="N365" t="n">
        <v>0</v>
      </c>
      <c r="O365" t="n">
        <v>0</v>
      </c>
      <c r="P365" t="n">
        <v>0</v>
      </c>
      <c r="Q365" t="n">
        <v>0</v>
      </c>
      <c r="R365" s="2" t="inlineStr"/>
    </row>
    <row r="366" ht="15" customHeight="1">
      <c r="A366" t="inlineStr">
        <is>
          <t>A 45333-2024</t>
        </is>
      </c>
      <c r="B366" s="1" t="n">
        <v>45576</v>
      </c>
      <c r="C366" s="1" t="n">
        <v>45880</v>
      </c>
      <c r="D366" t="inlineStr">
        <is>
          <t>NORRBOTTENS LÄN</t>
        </is>
      </c>
      <c r="E366" t="inlineStr">
        <is>
          <t>JOKKMOKK</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6778-2023</t>
        </is>
      </c>
      <c r="B367" s="1" t="n">
        <v>44966</v>
      </c>
      <c r="C367" s="1" t="n">
        <v>45880</v>
      </c>
      <c r="D367" t="inlineStr">
        <is>
          <t>NORRBOTTENS LÄN</t>
        </is>
      </c>
      <c r="E367" t="inlineStr">
        <is>
          <t>JOKKMOKK</t>
        </is>
      </c>
      <c r="F367" t="inlineStr">
        <is>
          <t>SCA</t>
        </is>
      </c>
      <c r="G367" t="n">
        <v>5</v>
      </c>
      <c r="H367" t="n">
        <v>0</v>
      </c>
      <c r="I367" t="n">
        <v>0</v>
      </c>
      <c r="J367" t="n">
        <v>0</v>
      </c>
      <c r="K367" t="n">
        <v>0</v>
      </c>
      <c r="L367" t="n">
        <v>0</v>
      </c>
      <c r="M367" t="n">
        <v>0</v>
      </c>
      <c r="N367" t="n">
        <v>0</v>
      </c>
      <c r="O367" t="n">
        <v>0</v>
      </c>
      <c r="P367" t="n">
        <v>0</v>
      </c>
      <c r="Q367" t="n">
        <v>0</v>
      </c>
      <c r="R367" s="2" t="inlineStr"/>
    </row>
    <row r="368" ht="15" customHeight="1">
      <c r="A368" t="inlineStr">
        <is>
          <t>A 31209-2023</t>
        </is>
      </c>
      <c r="B368" s="1" t="n">
        <v>45113.95096064815</v>
      </c>
      <c r="C368" s="1" t="n">
        <v>45880</v>
      </c>
      <c r="D368" t="inlineStr">
        <is>
          <t>NORRBOTTENS LÄN</t>
        </is>
      </c>
      <c r="E368" t="inlineStr">
        <is>
          <t>JOKKMOKK</t>
        </is>
      </c>
      <c r="F368" t="inlineStr">
        <is>
          <t>SCA</t>
        </is>
      </c>
      <c r="G368" t="n">
        <v>5.7</v>
      </c>
      <c r="H368" t="n">
        <v>0</v>
      </c>
      <c r="I368" t="n">
        <v>0</v>
      </c>
      <c r="J368" t="n">
        <v>0</v>
      </c>
      <c r="K368" t="n">
        <v>0</v>
      </c>
      <c r="L368" t="n">
        <v>0</v>
      </c>
      <c r="M368" t="n">
        <v>0</v>
      </c>
      <c r="N368" t="n">
        <v>0</v>
      </c>
      <c r="O368" t="n">
        <v>0</v>
      </c>
      <c r="P368" t="n">
        <v>0</v>
      </c>
      <c r="Q368" t="n">
        <v>0</v>
      </c>
      <c r="R368" s="2" t="inlineStr"/>
    </row>
    <row r="369" ht="15" customHeight="1">
      <c r="A369" t="inlineStr">
        <is>
          <t>A 23019-2023</t>
        </is>
      </c>
      <c r="B369" s="1" t="n">
        <v>45073</v>
      </c>
      <c r="C369" s="1" t="n">
        <v>45880</v>
      </c>
      <c r="D369" t="inlineStr">
        <is>
          <t>NORRBOTTENS LÄN</t>
        </is>
      </c>
      <c r="E369" t="inlineStr">
        <is>
          <t>JOKKMOKK</t>
        </is>
      </c>
      <c r="F369" t="inlineStr">
        <is>
          <t>SCA</t>
        </is>
      </c>
      <c r="G369" t="n">
        <v>6.3</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45880</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4136-2024</t>
        </is>
      </c>
      <c r="B371" s="1" t="n">
        <v>45323</v>
      </c>
      <c r="C371" s="1" t="n">
        <v>45880</v>
      </c>
      <c r="D371" t="inlineStr">
        <is>
          <t>NORRBOTTENS LÄN</t>
        </is>
      </c>
      <c r="E371" t="inlineStr">
        <is>
          <t>JOKKMOKK</t>
        </is>
      </c>
      <c r="G371" t="n">
        <v>27.3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45880</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49474-2024</t>
        </is>
      </c>
      <c r="B373" s="1" t="n">
        <v>45596.34523148148</v>
      </c>
      <c r="C373" s="1" t="n">
        <v>45880</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49679-2024</t>
        </is>
      </c>
      <c r="B374" s="1" t="n">
        <v>45596.6649537037</v>
      </c>
      <c r="C374" s="1" t="n">
        <v>45880</v>
      </c>
      <c r="D374" t="inlineStr">
        <is>
          <t>NORRBOTTENS LÄN</t>
        </is>
      </c>
      <c r="E374" t="inlineStr">
        <is>
          <t>JOKKMOKK</t>
        </is>
      </c>
      <c r="F374" t="inlineStr">
        <is>
          <t>Allmännings- och besparingsskogar</t>
        </is>
      </c>
      <c r="G374" t="n">
        <v>14.1</v>
      </c>
      <c r="H374" t="n">
        <v>0</v>
      </c>
      <c r="I374" t="n">
        <v>0</v>
      </c>
      <c r="J374" t="n">
        <v>0</v>
      </c>
      <c r="K374" t="n">
        <v>0</v>
      </c>
      <c r="L374" t="n">
        <v>0</v>
      </c>
      <c r="M374" t="n">
        <v>0</v>
      </c>
      <c r="N374" t="n">
        <v>0</v>
      </c>
      <c r="O374" t="n">
        <v>0</v>
      </c>
      <c r="P374" t="n">
        <v>0</v>
      </c>
      <c r="Q374" t="n">
        <v>0</v>
      </c>
      <c r="R374" s="2" t="inlineStr"/>
    </row>
    <row r="375" ht="15" customHeight="1">
      <c r="A375" t="inlineStr">
        <is>
          <t>A 43997-2024</t>
        </is>
      </c>
      <c r="B375" s="1" t="n">
        <v>45572.54165509259</v>
      </c>
      <c r="C375" s="1" t="n">
        <v>45880</v>
      </c>
      <c r="D375" t="inlineStr">
        <is>
          <t>NORRBOTTENS LÄN</t>
        </is>
      </c>
      <c r="E375" t="inlineStr">
        <is>
          <t>JOKKMOKK</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18903-2025</t>
        </is>
      </c>
      <c r="B376" s="1" t="n">
        <v>45764.46019675926</v>
      </c>
      <c r="C376" s="1" t="n">
        <v>45880</v>
      </c>
      <c r="D376" t="inlineStr">
        <is>
          <t>NORRBOTTENS LÄN</t>
        </is>
      </c>
      <c r="E376" t="inlineStr">
        <is>
          <t>JOKKMOKK</t>
        </is>
      </c>
      <c r="G376" t="n">
        <v>9.1</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45880</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33014-2023</t>
        </is>
      </c>
      <c r="B378" s="1" t="n">
        <v>45113</v>
      </c>
      <c r="C378" s="1" t="n">
        <v>45880</v>
      </c>
      <c r="D378" t="inlineStr">
        <is>
          <t>NORRBOTTENS LÄN</t>
        </is>
      </c>
      <c r="E378" t="inlineStr">
        <is>
          <t>JOKKMOKK</t>
        </is>
      </c>
      <c r="F378" t="inlineStr">
        <is>
          <t>Övriga statliga verk och myndigheter</t>
        </is>
      </c>
      <c r="G378" t="n">
        <v>7.2</v>
      </c>
      <c r="H378" t="n">
        <v>0</v>
      </c>
      <c r="I378" t="n">
        <v>0</v>
      </c>
      <c r="J378" t="n">
        <v>0</v>
      </c>
      <c r="K378" t="n">
        <v>0</v>
      </c>
      <c r="L378" t="n">
        <v>0</v>
      </c>
      <c r="M378" t="n">
        <v>0</v>
      </c>
      <c r="N378" t="n">
        <v>0</v>
      </c>
      <c r="O378" t="n">
        <v>0</v>
      </c>
      <c r="P378" t="n">
        <v>0</v>
      </c>
      <c r="Q378" t="n">
        <v>0</v>
      </c>
      <c r="R378" s="2" t="inlineStr"/>
    </row>
    <row r="379" ht="15" customHeight="1">
      <c r="A379" t="inlineStr">
        <is>
          <t>A 6437-2025</t>
        </is>
      </c>
      <c r="B379" s="1" t="n">
        <v>45699</v>
      </c>
      <c r="C379" s="1" t="n">
        <v>45880</v>
      </c>
      <c r="D379" t="inlineStr">
        <is>
          <t>NORRBOTTENS LÄN</t>
        </is>
      </c>
      <c r="E379" t="inlineStr">
        <is>
          <t>JOKKMOKK</t>
        </is>
      </c>
      <c r="G379" t="n">
        <v>3.4</v>
      </c>
      <c r="H379" t="n">
        <v>0</v>
      </c>
      <c r="I379" t="n">
        <v>0</v>
      </c>
      <c r="J379" t="n">
        <v>0</v>
      </c>
      <c r="K379" t="n">
        <v>0</v>
      </c>
      <c r="L379" t="n">
        <v>0</v>
      </c>
      <c r="M379" t="n">
        <v>0</v>
      </c>
      <c r="N379" t="n">
        <v>0</v>
      </c>
      <c r="O379" t="n">
        <v>0</v>
      </c>
      <c r="P379" t="n">
        <v>0</v>
      </c>
      <c r="Q379" t="n">
        <v>0</v>
      </c>
      <c r="R379" s="2" t="inlineStr"/>
    </row>
    <row r="380" ht="15" customHeight="1">
      <c r="A380" t="inlineStr">
        <is>
          <t>A 59788-2024</t>
        </is>
      </c>
      <c r="B380" s="1" t="n">
        <v>45639.58282407407</v>
      </c>
      <c r="C380" s="1" t="n">
        <v>45880</v>
      </c>
      <c r="D380" t="inlineStr">
        <is>
          <t>NORRBOTTENS LÄN</t>
        </is>
      </c>
      <c r="E380" t="inlineStr">
        <is>
          <t>JOKKMOKK</t>
        </is>
      </c>
      <c r="F380" t="inlineStr">
        <is>
          <t>Sveaskog</t>
        </is>
      </c>
      <c r="G380" t="n">
        <v>11.4</v>
      </c>
      <c r="H380" t="n">
        <v>0</v>
      </c>
      <c r="I380" t="n">
        <v>0</v>
      </c>
      <c r="J380" t="n">
        <v>0</v>
      </c>
      <c r="K380" t="n">
        <v>0</v>
      </c>
      <c r="L380" t="n">
        <v>0</v>
      </c>
      <c r="M380" t="n">
        <v>0</v>
      </c>
      <c r="N380" t="n">
        <v>0</v>
      </c>
      <c r="O380" t="n">
        <v>0</v>
      </c>
      <c r="P380" t="n">
        <v>0</v>
      </c>
      <c r="Q380" t="n">
        <v>0</v>
      </c>
      <c r="R380" s="2" t="inlineStr"/>
    </row>
    <row r="381" ht="15" customHeight="1">
      <c r="A381" t="inlineStr">
        <is>
          <t>A 28319-2021</t>
        </is>
      </c>
      <c r="B381" s="1" t="n">
        <v>44355</v>
      </c>
      <c r="C381" s="1" t="n">
        <v>45880</v>
      </c>
      <c r="D381" t="inlineStr">
        <is>
          <t>NORRBOTTENS LÄN</t>
        </is>
      </c>
      <c r="E381" t="inlineStr">
        <is>
          <t>JOKKMOKK</t>
        </is>
      </c>
      <c r="F381" t="inlineStr">
        <is>
          <t>Övriga statliga verk och myndigheter</t>
        </is>
      </c>
      <c r="G381" t="n">
        <v>40</v>
      </c>
      <c r="H381" t="n">
        <v>0</v>
      </c>
      <c r="I381" t="n">
        <v>0</v>
      </c>
      <c r="J381" t="n">
        <v>0</v>
      </c>
      <c r="K381" t="n">
        <v>0</v>
      </c>
      <c r="L381" t="n">
        <v>0</v>
      </c>
      <c r="M381" t="n">
        <v>0</v>
      </c>
      <c r="N381" t="n">
        <v>0</v>
      </c>
      <c r="O381" t="n">
        <v>0</v>
      </c>
      <c r="P381" t="n">
        <v>0</v>
      </c>
      <c r="Q381" t="n">
        <v>0</v>
      </c>
      <c r="R381" s="2" t="inlineStr"/>
    </row>
    <row r="382" ht="15" customHeight="1">
      <c r="A382" t="inlineStr">
        <is>
          <t>A 56199-2021</t>
        </is>
      </c>
      <c r="B382" s="1" t="n">
        <v>44477</v>
      </c>
      <c r="C382" s="1" t="n">
        <v>45880</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19280-2024</t>
        </is>
      </c>
      <c r="B383" s="1" t="n">
        <v>45428</v>
      </c>
      <c r="C383" s="1" t="n">
        <v>45880</v>
      </c>
      <c r="D383" t="inlineStr">
        <is>
          <t>NORRBOTTENS LÄN</t>
        </is>
      </c>
      <c r="E383" t="inlineStr">
        <is>
          <t>JOKKMOKK</t>
        </is>
      </c>
      <c r="F383" t="inlineStr">
        <is>
          <t>Sveaskog</t>
        </is>
      </c>
      <c r="G383" t="n">
        <v>6</v>
      </c>
      <c r="H383" t="n">
        <v>0</v>
      </c>
      <c r="I383" t="n">
        <v>0</v>
      </c>
      <c r="J383" t="n">
        <v>0</v>
      </c>
      <c r="K383" t="n">
        <v>0</v>
      </c>
      <c r="L383" t="n">
        <v>0</v>
      </c>
      <c r="M383" t="n">
        <v>0</v>
      </c>
      <c r="N383" t="n">
        <v>0</v>
      </c>
      <c r="O383" t="n">
        <v>0</v>
      </c>
      <c r="P383" t="n">
        <v>0</v>
      </c>
      <c r="Q383" t="n">
        <v>0</v>
      </c>
      <c r="R383" s="2" t="inlineStr"/>
    </row>
    <row r="384" ht="15" customHeight="1">
      <c r="A384" t="inlineStr">
        <is>
          <t>A 50820-2024</t>
        </is>
      </c>
      <c r="B384" s="1" t="n">
        <v>45602</v>
      </c>
      <c r="C384" s="1" t="n">
        <v>45880</v>
      </c>
      <c r="D384" t="inlineStr">
        <is>
          <t>NORRBOTTENS LÄN</t>
        </is>
      </c>
      <c r="E384" t="inlineStr">
        <is>
          <t>JOKKMOKK</t>
        </is>
      </c>
      <c r="F384" t="inlineStr">
        <is>
          <t>Allmännings- och besparingsskogar</t>
        </is>
      </c>
      <c r="G384" t="n">
        <v>4</v>
      </c>
      <c r="H384" t="n">
        <v>0</v>
      </c>
      <c r="I384" t="n">
        <v>0</v>
      </c>
      <c r="J384" t="n">
        <v>0</v>
      </c>
      <c r="K384" t="n">
        <v>0</v>
      </c>
      <c r="L384" t="n">
        <v>0</v>
      </c>
      <c r="M384" t="n">
        <v>0</v>
      </c>
      <c r="N384" t="n">
        <v>0</v>
      </c>
      <c r="O384" t="n">
        <v>0</v>
      </c>
      <c r="P384" t="n">
        <v>0</v>
      </c>
      <c r="Q384" t="n">
        <v>0</v>
      </c>
      <c r="R384" s="2" t="inlineStr"/>
    </row>
    <row r="385" ht="15" customHeight="1">
      <c r="A385" t="inlineStr">
        <is>
          <t>A 2826-2025</t>
        </is>
      </c>
      <c r="B385" s="1" t="n">
        <v>45677.61483796296</v>
      </c>
      <c r="C385" s="1" t="n">
        <v>45880</v>
      </c>
      <c r="D385" t="inlineStr">
        <is>
          <t>NORRBOTTENS LÄN</t>
        </is>
      </c>
      <c r="E385" t="inlineStr">
        <is>
          <t>JOKKMOKK</t>
        </is>
      </c>
      <c r="F385" t="inlineStr">
        <is>
          <t>Övriga statliga verk och myndigheter</t>
        </is>
      </c>
      <c r="G385" t="n">
        <v>10.5</v>
      </c>
      <c r="H385" t="n">
        <v>0</v>
      </c>
      <c r="I385" t="n">
        <v>0</v>
      </c>
      <c r="J385" t="n">
        <v>0</v>
      </c>
      <c r="K385" t="n">
        <v>0</v>
      </c>
      <c r="L385" t="n">
        <v>0</v>
      </c>
      <c r="M385" t="n">
        <v>0</v>
      </c>
      <c r="N385" t="n">
        <v>0</v>
      </c>
      <c r="O385" t="n">
        <v>0</v>
      </c>
      <c r="P385" t="n">
        <v>0</v>
      </c>
      <c r="Q385" t="n">
        <v>0</v>
      </c>
      <c r="R385" s="2" t="inlineStr"/>
    </row>
    <row r="386" ht="15" customHeight="1">
      <c r="A386" t="inlineStr">
        <is>
          <t>A 55491-2024</t>
        </is>
      </c>
      <c r="B386" s="1" t="n">
        <v>45622</v>
      </c>
      <c r="C386" s="1" t="n">
        <v>45880</v>
      </c>
      <c r="D386" t="inlineStr">
        <is>
          <t>NORRBOTTENS LÄN</t>
        </is>
      </c>
      <c r="E386" t="inlineStr">
        <is>
          <t>JOKKMOKK</t>
        </is>
      </c>
      <c r="F386" t="inlineStr">
        <is>
          <t>Allmännings- och besparingsskogar</t>
        </is>
      </c>
      <c r="G386" t="n">
        <v>25.2</v>
      </c>
      <c r="H386" t="n">
        <v>0</v>
      </c>
      <c r="I386" t="n">
        <v>0</v>
      </c>
      <c r="J386" t="n">
        <v>0</v>
      </c>
      <c r="K386" t="n">
        <v>0</v>
      </c>
      <c r="L386" t="n">
        <v>0</v>
      </c>
      <c r="M386" t="n">
        <v>0</v>
      </c>
      <c r="N386" t="n">
        <v>0</v>
      </c>
      <c r="O386" t="n">
        <v>0</v>
      </c>
      <c r="P386" t="n">
        <v>0</v>
      </c>
      <c r="Q386" t="n">
        <v>0</v>
      </c>
      <c r="R386" s="2" t="inlineStr"/>
    </row>
    <row r="387">
      <c r="A387" t="inlineStr">
        <is>
          <t>A 40106-2023</t>
        </is>
      </c>
      <c r="B387" s="1" t="n">
        <v>45168.93785879629</v>
      </c>
      <c r="C387" s="1" t="n">
        <v>45880</v>
      </c>
      <c r="D387" t="inlineStr">
        <is>
          <t>NORRBOTTENS LÄN</t>
        </is>
      </c>
      <c r="E387" t="inlineStr">
        <is>
          <t>JOKKMOKK</t>
        </is>
      </c>
      <c r="F387" t="inlineStr">
        <is>
          <t>SCA</t>
        </is>
      </c>
      <c r="G387" t="n">
        <v>1.4</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2025-08-11T08:27:39Z</dcterms:created>
  <dcterms:modified xmlns:dcterms="http://purl.org/dc/terms/" xmlns:xsi="http://www.w3.org/2001/XMLSchema-instance" xsi:type="dcterms:W3CDTF">2025-08-11T08:27:39Z</dcterms:modified>
</cp:coreProperties>
</file>