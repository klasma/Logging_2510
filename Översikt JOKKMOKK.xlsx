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46139</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46139</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46139</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46139</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46139</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46139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46139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46139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46139</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46139</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46139</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46139</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46139</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46139</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46139</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46139</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46139</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46139</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46139</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54960-2021</t>
        </is>
      </c>
      <c r="B35" s="1" t="n">
        <v>44474</v>
      </c>
      <c r="C35" s="1" t="n">
        <v>46139</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59451-2021</t>
        </is>
      </c>
      <c r="B36" s="1" t="n">
        <v>44490</v>
      </c>
      <c r="C36" s="1" t="n">
        <v>46139</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46139</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46139</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46139</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46139</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33139-2023</t>
        </is>
      </c>
      <c r="B41" s="1" t="n">
        <v>45114</v>
      </c>
      <c r="C41" s="1" t="n">
        <v>46139</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33994-2023</t>
        </is>
      </c>
      <c r="B42" s="1" t="n">
        <v>45134</v>
      </c>
      <c r="C42" s="1" t="n">
        <v>46139</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22747-2025</t>
        </is>
      </c>
      <c r="B43" s="1" t="n">
        <v>45789.60505787037</v>
      </c>
      <c r="C43" s="1" t="n">
        <v>46139</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46139</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63444-2025</t>
        </is>
      </c>
      <c r="B45" s="1" t="n">
        <v>46013.39665509259</v>
      </c>
      <c r="C45" s="1" t="n">
        <v>46139</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46139</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46139</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72477-2021</t>
        </is>
      </c>
      <c r="B48" s="1" t="n">
        <v>44545</v>
      </c>
      <c r="C48" s="1" t="n">
        <v>46139</v>
      </c>
      <c r="D48" t="inlineStr">
        <is>
          <t>NORRBOTTENS LÄN</t>
        </is>
      </c>
      <c r="E48" t="inlineStr">
        <is>
          <t>JOKKMOKK</t>
        </is>
      </c>
      <c r="G48" t="n">
        <v>18.1</v>
      </c>
      <c r="H48" t="n">
        <v>0</v>
      </c>
      <c r="I48" t="n">
        <v>0</v>
      </c>
      <c r="J48" t="n">
        <v>2</v>
      </c>
      <c r="K48" t="n">
        <v>1</v>
      </c>
      <c r="L48" t="n">
        <v>0</v>
      </c>
      <c r="M48" t="n">
        <v>0</v>
      </c>
      <c r="N48" t="n">
        <v>0</v>
      </c>
      <c r="O48" t="n">
        <v>3</v>
      </c>
      <c r="P48" t="n">
        <v>1</v>
      </c>
      <c r="Q48" t="n">
        <v>3</v>
      </c>
      <c r="R48" s="2" t="inlineStr">
        <is>
          <t>Gräddporing
Blågrå svartspik
Ladlav</t>
        </is>
      </c>
      <c r="S48">
        <f>HYPERLINK("https://klasma.github.io/Logging_2510/artfynd/A 72477-2021 artfynd.xlsx", "A 72477-2021")</f>
        <v/>
      </c>
      <c r="T48">
        <f>HYPERLINK("https://klasma.github.io/Logging_2510/kartor/A 72477-2021 karta.png", "A 72477-2021")</f>
        <v/>
      </c>
      <c r="V48">
        <f>HYPERLINK("https://klasma.github.io/Logging_2510/klagomål/A 72477-2021 FSC-klagomål.docx", "A 72477-2021")</f>
        <v/>
      </c>
      <c r="W48">
        <f>HYPERLINK("https://klasma.github.io/Logging_2510/klagomålsmail/A 72477-2021 FSC-klagomål mail.docx", "A 72477-2021")</f>
        <v/>
      </c>
      <c r="X48">
        <f>HYPERLINK("https://klasma.github.io/Logging_2510/tillsyn/A 72477-2021 tillsynsbegäran.docx", "A 72477-2021")</f>
        <v/>
      </c>
      <c r="Y48">
        <f>HYPERLINK("https://klasma.github.io/Logging_2510/tillsynsmail/A 72477-2021 tillsynsbegäran mail.docx", "A 72477-2021")</f>
        <v/>
      </c>
    </row>
    <row r="49" ht="15" customHeight="1">
      <c r="A49" t="inlineStr">
        <is>
          <t>A 32913-2023</t>
        </is>
      </c>
      <c r="B49" s="1" t="n">
        <v>45124</v>
      </c>
      <c r="C49" s="1" t="n">
        <v>46139</v>
      </c>
      <c r="D49" t="inlineStr">
        <is>
          <t>NORRBOTTENS LÄN</t>
        </is>
      </c>
      <c r="E49" t="inlineStr">
        <is>
          <t>JOKKMOKK</t>
        </is>
      </c>
      <c r="F49" t="inlineStr">
        <is>
          <t>SCA</t>
        </is>
      </c>
      <c r="G49" t="n">
        <v>3.2</v>
      </c>
      <c r="H49" t="n">
        <v>0</v>
      </c>
      <c r="I49" t="n">
        <v>1</v>
      </c>
      <c r="J49" t="n">
        <v>2</v>
      </c>
      <c r="K49" t="n">
        <v>0</v>
      </c>
      <c r="L49" t="n">
        <v>0</v>
      </c>
      <c r="M49" t="n">
        <v>0</v>
      </c>
      <c r="N49" t="n">
        <v>0</v>
      </c>
      <c r="O49" t="n">
        <v>2</v>
      </c>
      <c r="P49" t="n">
        <v>0</v>
      </c>
      <c r="Q49" t="n">
        <v>3</v>
      </c>
      <c r="R49" s="2" t="inlineStr">
        <is>
          <t>Blå taggsvamp
Orange taggsvamp
Dropptaggsvamp</t>
        </is>
      </c>
      <c r="S49">
        <f>HYPERLINK("https://klasma.github.io/Logging_2510/artfynd/A 32913-2023 artfynd.xlsx", "A 32913-2023")</f>
        <v/>
      </c>
      <c r="T49">
        <f>HYPERLINK("https://klasma.github.io/Logging_2510/kartor/A 32913-2023 karta.png", "A 32913-2023")</f>
        <v/>
      </c>
      <c r="V49">
        <f>HYPERLINK("https://klasma.github.io/Logging_2510/klagomål/A 32913-2023 FSC-klagomål.docx", "A 32913-2023")</f>
        <v/>
      </c>
      <c r="W49">
        <f>HYPERLINK("https://klasma.github.io/Logging_2510/klagomålsmail/A 32913-2023 FSC-klagomål mail.docx", "A 32913-2023")</f>
        <v/>
      </c>
      <c r="X49">
        <f>HYPERLINK("https://klasma.github.io/Logging_2510/tillsyn/A 32913-2023 tillsynsbegäran.docx", "A 32913-2023")</f>
        <v/>
      </c>
      <c r="Y49">
        <f>HYPERLINK("https://klasma.github.io/Logging_2510/tillsynsmail/A 32913-2023 tillsynsbegäran mail.docx", "A 32913-2023")</f>
        <v/>
      </c>
    </row>
    <row r="50" ht="15" customHeight="1">
      <c r="A50" t="inlineStr">
        <is>
          <t>A 24408-2022</t>
        </is>
      </c>
      <c r="B50" s="1" t="n">
        <v>44726</v>
      </c>
      <c r="C50" s="1" t="n">
        <v>46139</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46139</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46139</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21710-2025</t>
        </is>
      </c>
      <c r="B53" s="1" t="n">
        <v>45783.53160879629</v>
      </c>
      <c r="C53" s="1" t="n">
        <v>46139</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52877-2025</t>
        </is>
      </c>
      <c r="B54" s="1" t="n">
        <v>45957.53907407408</v>
      </c>
      <c r="C54" s="1" t="n">
        <v>46139</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55525-2025</t>
        </is>
      </c>
      <c r="B55" s="1" t="n">
        <v>45971.61633101852</v>
      </c>
      <c r="C55" s="1" t="n">
        <v>46139</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57700-2025</t>
        </is>
      </c>
      <c r="B56" s="1" t="n">
        <v>45981.46185185185</v>
      </c>
      <c r="C56" s="1" t="n">
        <v>46139</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59787-2025</t>
        </is>
      </c>
      <c r="B57" s="1" t="n">
        <v>45992.61405092593</v>
      </c>
      <c r="C57" s="1" t="n">
        <v>46139</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46139</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29679-2024</t>
        </is>
      </c>
      <c r="B59" s="1" t="n">
        <v>45484</v>
      </c>
      <c r="C59" s="1" t="n">
        <v>46139</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50237-2022</t>
        </is>
      </c>
      <c r="B60" s="1" t="n">
        <v>44865</v>
      </c>
      <c r="C60" s="1" t="n">
        <v>46139</v>
      </c>
      <c r="D60" t="inlineStr">
        <is>
          <t>NORRBOTTENS LÄN</t>
        </is>
      </c>
      <c r="E60" t="inlineStr">
        <is>
          <t>JOKKMOKK</t>
        </is>
      </c>
      <c r="F60" t="inlineStr">
        <is>
          <t>Sveaskog</t>
        </is>
      </c>
      <c r="G60" t="n">
        <v>13.4</v>
      </c>
      <c r="H60" t="n">
        <v>1</v>
      </c>
      <c r="I60" t="n">
        <v>1</v>
      </c>
      <c r="J60" t="n">
        <v>0</v>
      </c>
      <c r="K60" t="n">
        <v>0</v>
      </c>
      <c r="L60" t="n">
        <v>0</v>
      </c>
      <c r="M60" t="n">
        <v>0</v>
      </c>
      <c r="N60" t="n">
        <v>0</v>
      </c>
      <c r="O60" t="n">
        <v>0</v>
      </c>
      <c r="P60" t="n">
        <v>0</v>
      </c>
      <c r="Q60" t="n">
        <v>2</v>
      </c>
      <c r="R60" s="2" t="inlineStr">
        <is>
          <t>Vedticka
Lavskrika</t>
        </is>
      </c>
      <c r="S60">
        <f>HYPERLINK("https://klasma.github.io/Logging_2510/artfynd/A 50237-2022 artfynd.xlsx", "A 50237-2022")</f>
        <v/>
      </c>
      <c r="T60">
        <f>HYPERLINK("https://klasma.github.io/Logging_2510/kartor/A 50237-2022 karta.png", "A 50237-2022")</f>
        <v/>
      </c>
      <c r="V60">
        <f>HYPERLINK("https://klasma.github.io/Logging_2510/klagomål/A 50237-2022 FSC-klagomål.docx", "A 50237-2022")</f>
        <v/>
      </c>
      <c r="W60">
        <f>HYPERLINK("https://klasma.github.io/Logging_2510/klagomålsmail/A 50237-2022 FSC-klagomål mail.docx", "A 50237-2022")</f>
        <v/>
      </c>
      <c r="X60">
        <f>HYPERLINK("https://klasma.github.io/Logging_2510/tillsyn/A 50237-2022 tillsynsbegäran.docx", "A 50237-2022")</f>
        <v/>
      </c>
      <c r="Y60">
        <f>HYPERLINK("https://klasma.github.io/Logging_2510/tillsynsmail/A 50237-2022 tillsynsbegäran mail.docx", "A 50237-2022")</f>
        <v/>
      </c>
      <c r="Z60">
        <f>HYPERLINK("https://klasma.github.io/Logging_2510/fåglar/A 50237-2022 prioriterade fågelarter.docx", "A 50237-2022")</f>
        <v/>
      </c>
    </row>
    <row r="61" ht="15" customHeight="1">
      <c r="A61" t="inlineStr">
        <is>
          <t>A 36594-2021</t>
        </is>
      </c>
      <c r="B61" s="1" t="n">
        <v>44391</v>
      </c>
      <c r="C61" s="1" t="n">
        <v>46139</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39850-2025</t>
        </is>
      </c>
      <c r="B62" s="1" t="n">
        <v>45891.58591435185</v>
      </c>
      <c r="C62" s="1" t="n">
        <v>46139</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43023-2024</t>
        </is>
      </c>
      <c r="B63" s="1" t="n">
        <v>45567</v>
      </c>
      <c r="C63" s="1" t="n">
        <v>46139</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72480-2021</t>
        </is>
      </c>
      <c r="B64" s="1" t="n">
        <v>44545</v>
      </c>
      <c r="C64" s="1" t="n">
        <v>46139</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52260-2024</t>
        </is>
      </c>
      <c r="B65" s="1" t="n">
        <v>45608</v>
      </c>
      <c r="C65" s="1" t="n">
        <v>46139</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44234-2025</t>
        </is>
      </c>
      <c r="B66" s="1" t="n">
        <v>45915.65525462963</v>
      </c>
      <c r="C66" s="1" t="n">
        <v>46139</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43039-2024</t>
        </is>
      </c>
      <c r="B67" s="1" t="n">
        <v>45567</v>
      </c>
      <c r="C67" s="1" t="n">
        <v>46139</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44828-2025</t>
        </is>
      </c>
      <c r="B68" s="1" t="n">
        <v>45918.38981481481</v>
      </c>
      <c r="C68" s="1" t="n">
        <v>46139</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40466-2023</t>
        </is>
      </c>
      <c r="B69" s="1" t="n">
        <v>45170</v>
      </c>
      <c r="C69" s="1" t="n">
        <v>46139</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45201-2025</t>
        </is>
      </c>
      <c r="B70" s="1" t="n">
        <v>45919.56230324074</v>
      </c>
      <c r="C70" s="1" t="n">
        <v>46139</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24746-2025</t>
        </is>
      </c>
      <c r="B71" s="1" t="n">
        <v>45799.34662037037</v>
      </c>
      <c r="C71" s="1" t="n">
        <v>46139</v>
      </c>
      <c r="D71" t="inlineStr">
        <is>
          <t>NORRBOTTENS LÄN</t>
        </is>
      </c>
      <c r="E71" t="inlineStr">
        <is>
          <t>JOKKMOKK</t>
        </is>
      </c>
      <c r="F71" t="inlineStr">
        <is>
          <t>SCA</t>
        </is>
      </c>
      <c r="G71" t="n">
        <v>6.1</v>
      </c>
      <c r="H71" t="n">
        <v>1</v>
      </c>
      <c r="I71" t="n">
        <v>0</v>
      </c>
      <c r="J71" t="n">
        <v>1</v>
      </c>
      <c r="K71" t="n">
        <v>0</v>
      </c>
      <c r="L71" t="n">
        <v>0</v>
      </c>
      <c r="M71" t="n">
        <v>0</v>
      </c>
      <c r="N71" t="n">
        <v>0</v>
      </c>
      <c r="O71" t="n">
        <v>1</v>
      </c>
      <c r="P71" t="n">
        <v>0</v>
      </c>
      <c r="Q71" t="n">
        <v>1</v>
      </c>
      <c r="R71" s="2" t="inlineStr">
        <is>
          <t>Tretåig hackspett</t>
        </is>
      </c>
      <c r="S71">
        <f>HYPERLINK("https://klasma.github.io/Logging_2510/artfynd/A 24746-2025 artfynd.xlsx", "A 24746-2025")</f>
        <v/>
      </c>
      <c r="T71">
        <f>HYPERLINK("https://klasma.github.io/Logging_2510/kartor/A 24746-2025 karta.png", "A 24746-2025")</f>
        <v/>
      </c>
      <c r="V71">
        <f>HYPERLINK("https://klasma.github.io/Logging_2510/klagomål/A 24746-2025 FSC-klagomål.docx", "A 24746-2025")</f>
        <v/>
      </c>
      <c r="W71">
        <f>HYPERLINK("https://klasma.github.io/Logging_2510/klagomålsmail/A 24746-2025 FSC-klagomål mail.docx", "A 24746-2025")</f>
        <v/>
      </c>
      <c r="X71">
        <f>HYPERLINK("https://klasma.github.io/Logging_2510/tillsyn/A 24746-2025 tillsynsbegäran.docx", "A 24746-2025")</f>
        <v/>
      </c>
      <c r="Y71">
        <f>HYPERLINK("https://klasma.github.io/Logging_2510/tillsynsmail/A 24746-2025 tillsynsbegäran mail.docx", "A 24746-2025")</f>
        <v/>
      </c>
      <c r="Z71">
        <f>HYPERLINK("https://klasma.github.io/Logging_2510/fåglar/A 24746-2025 prioriterade fågelarter.docx", "A 24746-2025")</f>
        <v/>
      </c>
    </row>
    <row r="72" ht="15" customHeight="1">
      <c r="A72" t="inlineStr">
        <is>
          <t>A 50391-2025</t>
        </is>
      </c>
      <c r="B72" s="1" t="n">
        <v>45944.61743055555</v>
      </c>
      <c r="C72" s="1" t="n">
        <v>46139</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29859-2025</t>
        </is>
      </c>
      <c r="B73" s="1" t="n">
        <v>45826.34621527778</v>
      </c>
      <c r="C73" s="1" t="n">
        <v>46139</v>
      </c>
      <c r="D73" t="inlineStr">
        <is>
          <t>NORRBOTTENS LÄN</t>
        </is>
      </c>
      <c r="E73" t="inlineStr">
        <is>
          <t>JOKKMOKK</t>
        </is>
      </c>
      <c r="F73" t="inlineStr">
        <is>
          <t>SCA</t>
        </is>
      </c>
      <c r="G73" t="n">
        <v>2.9</v>
      </c>
      <c r="H73" t="n">
        <v>0</v>
      </c>
      <c r="I73" t="n">
        <v>0</v>
      </c>
      <c r="J73" t="n">
        <v>0</v>
      </c>
      <c r="K73" t="n">
        <v>1</v>
      </c>
      <c r="L73" t="n">
        <v>0</v>
      </c>
      <c r="M73" t="n">
        <v>0</v>
      </c>
      <c r="N73" t="n">
        <v>0</v>
      </c>
      <c r="O73" t="n">
        <v>1</v>
      </c>
      <c r="P73" t="n">
        <v>1</v>
      </c>
      <c r="Q73" t="n">
        <v>1</v>
      </c>
      <c r="R73" s="2" t="inlineStr">
        <is>
          <t>Tallgråticka</t>
        </is>
      </c>
      <c r="S73">
        <f>HYPERLINK("https://klasma.github.io/Logging_2510/artfynd/A 29859-2025 artfynd.xlsx", "A 29859-2025")</f>
        <v/>
      </c>
      <c r="T73">
        <f>HYPERLINK("https://klasma.github.io/Logging_2510/kartor/A 29859-2025 karta.png", "A 29859-2025")</f>
        <v/>
      </c>
      <c r="V73">
        <f>HYPERLINK("https://klasma.github.io/Logging_2510/klagomål/A 29859-2025 FSC-klagomål.docx", "A 29859-2025")</f>
        <v/>
      </c>
      <c r="W73">
        <f>HYPERLINK("https://klasma.github.io/Logging_2510/klagomålsmail/A 29859-2025 FSC-klagomål mail.docx", "A 29859-2025")</f>
        <v/>
      </c>
      <c r="X73">
        <f>HYPERLINK("https://klasma.github.io/Logging_2510/tillsyn/A 29859-2025 tillsynsbegäran.docx", "A 29859-2025")</f>
        <v/>
      </c>
      <c r="Y73">
        <f>HYPERLINK("https://klasma.github.io/Logging_2510/tillsynsmail/A 29859-2025 tillsynsbegäran mail.docx", "A 29859-2025")</f>
        <v/>
      </c>
    </row>
    <row r="74" ht="15" customHeight="1">
      <c r="A74" t="inlineStr">
        <is>
          <t>A 53035-2025</t>
        </is>
      </c>
      <c r="B74" s="1" t="n">
        <v>45958.34751157407</v>
      </c>
      <c r="C74" s="1" t="n">
        <v>46139</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32669-2025</t>
        </is>
      </c>
      <c r="B75" s="1" t="n">
        <v>45838.69793981482</v>
      </c>
      <c r="C75" s="1" t="n">
        <v>46139</v>
      </c>
      <c r="D75" t="inlineStr">
        <is>
          <t>NORRBOTTENS LÄN</t>
        </is>
      </c>
      <c r="E75" t="inlineStr">
        <is>
          <t>JOKKMOKK</t>
        </is>
      </c>
      <c r="F75" t="inlineStr">
        <is>
          <t>Sveaskog</t>
        </is>
      </c>
      <c r="G75" t="n">
        <v>14.6</v>
      </c>
      <c r="H75" t="n">
        <v>1</v>
      </c>
      <c r="I75" t="n">
        <v>1</v>
      </c>
      <c r="J75" t="n">
        <v>0</v>
      </c>
      <c r="K75" t="n">
        <v>0</v>
      </c>
      <c r="L75" t="n">
        <v>0</v>
      </c>
      <c r="M75" t="n">
        <v>0</v>
      </c>
      <c r="N75" t="n">
        <v>0</v>
      </c>
      <c r="O75" t="n">
        <v>0</v>
      </c>
      <c r="P75" t="n">
        <v>0</v>
      </c>
      <c r="Q75" t="n">
        <v>1</v>
      </c>
      <c r="R75" s="2" t="inlineStr">
        <is>
          <t>Plattlummer</t>
        </is>
      </c>
      <c r="S75">
        <f>HYPERLINK("https://klasma.github.io/Logging_2510/artfynd/A 32669-2025 artfynd.xlsx", "A 32669-2025")</f>
        <v/>
      </c>
      <c r="T75">
        <f>HYPERLINK("https://klasma.github.io/Logging_2510/kartor/A 32669-2025 karta.png", "A 32669-2025")</f>
        <v/>
      </c>
      <c r="V75">
        <f>HYPERLINK("https://klasma.github.io/Logging_2510/klagomål/A 32669-2025 FSC-klagomål.docx", "A 32669-2025")</f>
        <v/>
      </c>
      <c r="W75">
        <f>HYPERLINK("https://klasma.github.io/Logging_2510/klagomålsmail/A 32669-2025 FSC-klagomål mail.docx", "A 32669-2025")</f>
        <v/>
      </c>
      <c r="X75">
        <f>HYPERLINK("https://klasma.github.io/Logging_2510/tillsyn/A 32669-2025 tillsynsbegäran.docx", "A 32669-2025")</f>
        <v/>
      </c>
      <c r="Y75">
        <f>HYPERLINK("https://klasma.github.io/Logging_2510/tillsynsmail/A 32669-2025 tillsynsbegäran mail.docx", "A 32669-2025")</f>
        <v/>
      </c>
    </row>
    <row r="76" ht="15" customHeight="1">
      <c r="A76" t="inlineStr">
        <is>
          <t>A 56324-2025</t>
        </is>
      </c>
      <c r="B76" s="1" t="n">
        <v>45974.63607638889</v>
      </c>
      <c r="C76" s="1" t="n">
        <v>46139</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34135-2025</t>
        </is>
      </c>
      <c r="B77" s="1" t="n">
        <v>45845.5409375</v>
      </c>
      <c r="C77" s="1" t="n">
        <v>46139</v>
      </c>
      <c r="D77" t="inlineStr">
        <is>
          <t>NORRBOTTENS LÄN</t>
        </is>
      </c>
      <c r="E77" t="inlineStr">
        <is>
          <t>JOKKMOKK</t>
        </is>
      </c>
      <c r="G77" t="n">
        <v>4.8</v>
      </c>
      <c r="H77" t="n">
        <v>0</v>
      </c>
      <c r="I77" t="n">
        <v>0</v>
      </c>
      <c r="J77" t="n">
        <v>1</v>
      </c>
      <c r="K77" t="n">
        <v>0</v>
      </c>
      <c r="L77" t="n">
        <v>0</v>
      </c>
      <c r="M77" t="n">
        <v>0</v>
      </c>
      <c r="N77" t="n">
        <v>0</v>
      </c>
      <c r="O77" t="n">
        <v>1</v>
      </c>
      <c r="P77" t="n">
        <v>0</v>
      </c>
      <c r="Q77" t="n">
        <v>1</v>
      </c>
      <c r="R77" s="2" t="inlineStr">
        <is>
          <t>Svart taggsvamp agg.</t>
        </is>
      </c>
      <c r="S77">
        <f>HYPERLINK("https://klasma.github.io/Logging_2510/artfynd/A 34135-2025 artfynd.xlsx", "A 34135-2025")</f>
        <v/>
      </c>
      <c r="T77">
        <f>HYPERLINK("https://klasma.github.io/Logging_2510/kartor/A 34135-2025 karta.png", "A 34135-2025")</f>
        <v/>
      </c>
      <c r="V77">
        <f>HYPERLINK("https://klasma.github.io/Logging_2510/klagomål/A 34135-2025 FSC-klagomål.docx", "A 34135-2025")</f>
        <v/>
      </c>
      <c r="W77">
        <f>HYPERLINK("https://klasma.github.io/Logging_2510/klagomålsmail/A 34135-2025 FSC-klagomål mail.docx", "A 34135-2025")</f>
        <v/>
      </c>
      <c r="X77">
        <f>HYPERLINK("https://klasma.github.io/Logging_2510/tillsyn/A 34135-2025 tillsynsbegäran.docx", "A 34135-2025")</f>
        <v/>
      </c>
      <c r="Y77">
        <f>HYPERLINK("https://klasma.github.io/Logging_2510/tillsynsmail/A 34135-2025 tillsynsbegäran mail.docx", "A 34135-2025")</f>
        <v/>
      </c>
    </row>
    <row r="78" ht="15" customHeight="1">
      <c r="A78" t="inlineStr">
        <is>
          <t>A 37252-2025</t>
        </is>
      </c>
      <c r="B78" s="1" t="n">
        <v>45876.4228125</v>
      </c>
      <c r="C78" s="1" t="n">
        <v>46139</v>
      </c>
      <c r="D78" t="inlineStr">
        <is>
          <t>NORRBOTTENS LÄN</t>
        </is>
      </c>
      <c r="E78" t="inlineStr">
        <is>
          <t>JOKKMOKK</t>
        </is>
      </c>
      <c r="F78" t="inlineStr">
        <is>
          <t>Sveaskog</t>
        </is>
      </c>
      <c r="G78" t="n">
        <v>4.5</v>
      </c>
      <c r="H78" t="n">
        <v>1</v>
      </c>
      <c r="I78" t="n">
        <v>1</v>
      </c>
      <c r="J78" t="n">
        <v>0</v>
      </c>
      <c r="K78" t="n">
        <v>0</v>
      </c>
      <c r="L78" t="n">
        <v>0</v>
      </c>
      <c r="M78" t="n">
        <v>0</v>
      </c>
      <c r="N78" t="n">
        <v>0</v>
      </c>
      <c r="O78" t="n">
        <v>0</v>
      </c>
      <c r="P78" t="n">
        <v>0</v>
      </c>
      <c r="Q78" t="n">
        <v>1</v>
      </c>
      <c r="R78" s="2" t="inlineStr">
        <is>
          <t>Spindelblomster</t>
        </is>
      </c>
      <c r="S78">
        <f>HYPERLINK("https://klasma.github.io/Logging_2510/artfynd/A 37252-2025 artfynd.xlsx", "A 37252-2025")</f>
        <v/>
      </c>
      <c r="T78">
        <f>HYPERLINK("https://klasma.github.io/Logging_2510/kartor/A 37252-2025 karta.png", "A 37252-2025")</f>
        <v/>
      </c>
      <c r="V78">
        <f>HYPERLINK("https://klasma.github.io/Logging_2510/klagomål/A 37252-2025 FSC-klagomål.docx", "A 37252-2025")</f>
        <v/>
      </c>
      <c r="W78">
        <f>HYPERLINK("https://klasma.github.io/Logging_2510/klagomålsmail/A 37252-2025 FSC-klagomål mail.docx", "A 37252-2025")</f>
        <v/>
      </c>
      <c r="X78">
        <f>HYPERLINK("https://klasma.github.io/Logging_2510/tillsyn/A 37252-2025 tillsynsbegäran.docx", "A 37252-2025")</f>
        <v/>
      </c>
      <c r="Y78">
        <f>HYPERLINK("https://klasma.github.io/Logging_2510/tillsynsmail/A 37252-2025 tillsynsbegäran mail.docx", "A 37252-2025")</f>
        <v/>
      </c>
    </row>
    <row r="79" ht="15" customHeight="1">
      <c r="A79" t="inlineStr">
        <is>
          <t>A 388-2026</t>
        </is>
      </c>
      <c r="B79" s="1" t="n">
        <v>46027</v>
      </c>
      <c r="C79" s="1" t="n">
        <v>46139</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52537-2023</t>
        </is>
      </c>
      <c r="B80" s="1" t="n">
        <v>45225</v>
      </c>
      <c r="C80" s="1" t="n">
        <v>46139</v>
      </c>
      <c r="D80" t="inlineStr">
        <is>
          <t>NORRBOTTENS LÄN</t>
        </is>
      </c>
      <c r="E80" t="inlineStr">
        <is>
          <t>JOKKMOKK</t>
        </is>
      </c>
      <c r="F80" t="inlineStr">
        <is>
          <t>Övriga statliga verk och myndigheter</t>
        </is>
      </c>
      <c r="G80" t="n">
        <v>15.3</v>
      </c>
      <c r="H80" t="n">
        <v>0</v>
      </c>
      <c r="I80" t="n">
        <v>0</v>
      </c>
      <c r="J80" t="n">
        <v>1</v>
      </c>
      <c r="K80" t="n">
        <v>0</v>
      </c>
      <c r="L80" t="n">
        <v>0</v>
      </c>
      <c r="M80" t="n">
        <v>0</v>
      </c>
      <c r="N80" t="n">
        <v>0</v>
      </c>
      <c r="O80" t="n">
        <v>1</v>
      </c>
      <c r="P80" t="n">
        <v>0</v>
      </c>
      <c r="Q80" t="n">
        <v>1</v>
      </c>
      <c r="R80" s="2" t="inlineStr">
        <is>
          <t>Reliktbock</t>
        </is>
      </c>
      <c r="S80">
        <f>HYPERLINK("https://klasma.github.io/Logging_2510/artfynd/A 52537-2023 artfynd.xlsx", "A 52537-2023")</f>
        <v/>
      </c>
      <c r="T80">
        <f>HYPERLINK("https://klasma.github.io/Logging_2510/kartor/A 52537-2023 karta.png", "A 52537-2023")</f>
        <v/>
      </c>
      <c r="V80">
        <f>HYPERLINK("https://klasma.github.io/Logging_2510/klagomål/A 52537-2023 FSC-klagomål.docx", "A 52537-2023")</f>
        <v/>
      </c>
      <c r="W80">
        <f>HYPERLINK("https://klasma.github.io/Logging_2510/klagomålsmail/A 52537-2023 FSC-klagomål mail.docx", "A 52537-2023")</f>
        <v/>
      </c>
      <c r="X80">
        <f>HYPERLINK("https://klasma.github.io/Logging_2510/tillsyn/A 52537-2023 tillsynsbegäran.docx", "A 52537-2023")</f>
        <v/>
      </c>
      <c r="Y80">
        <f>HYPERLINK("https://klasma.github.io/Logging_2510/tillsynsmail/A 52537-2023 tillsynsbegäran mail.docx", "A 52537-2023")</f>
        <v/>
      </c>
    </row>
    <row r="81" ht="15" customHeight="1">
      <c r="A81" t="inlineStr">
        <is>
          <t>A 2031-2025</t>
        </is>
      </c>
      <c r="B81" s="1" t="n">
        <v>45672</v>
      </c>
      <c r="C81" s="1" t="n">
        <v>46139</v>
      </c>
      <c r="D81" t="inlineStr">
        <is>
          <t>NORRBOTTENS LÄN</t>
        </is>
      </c>
      <c r="E81" t="inlineStr">
        <is>
          <t>JOKKMOKK</t>
        </is>
      </c>
      <c r="F81" t="inlineStr">
        <is>
          <t>Övriga statliga verk och myndigheter</t>
        </is>
      </c>
      <c r="G81" t="n">
        <v>7.5</v>
      </c>
      <c r="H81" t="n">
        <v>0</v>
      </c>
      <c r="I81" t="n">
        <v>0</v>
      </c>
      <c r="J81" t="n">
        <v>1</v>
      </c>
      <c r="K81" t="n">
        <v>0</v>
      </c>
      <c r="L81" t="n">
        <v>0</v>
      </c>
      <c r="M81" t="n">
        <v>0</v>
      </c>
      <c r="N81" t="n">
        <v>0</v>
      </c>
      <c r="O81" t="n">
        <v>1</v>
      </c>
      <c r="P81" t="n">
        <v>0</v>
      </c>
      <c r="Q81" t="n">
        <v>1</v>
      </c>
      <c r="R81" s="2" t="inlineStr">
        <is>
          <t>Vitplätt</t>
        </is>
      </c>
      <c r="S81">
        <f>HYPERLINK("https://klasma.github.io/Logging_2510/artfynd/A 2031-2025 artfynd.xlsx", "A 2031-2025")</f>
        <v/>
      </c>
      <c r="T81">
        <f>HYPERLINK("https://klasma.github.io/Logging_2510/kartor/A 2031-2025 karta.png", "A 2031-2025")</f>
        <v/>
      </c>
      <c r="V81">
        <f>HYPERLINK("https://klasma.github.io/Logging_2510/klagomål/A 2031-2025 FSC-klagomål.docx", "A 2031-2025")</f>
        <v/>
      </c>
      <c r="W81">
        <f>HYPERLINK("https://klasma.github.io/Logging_2510/klagomålsmail/A 2031-2025 FSC-klagomål mail.docx", "A 2031-2025")</f>
        <v/>
      </c>
      <c r="X81">
        <f>HYPERLINK("https://klasma.github.io/Logging_2510/tillsyn/A 2031-2025 tillsynsbegäran.docx", "A 2031-2025")</f>
        <v/>
      </c>
      <c r="Y81">
        <f>HYPERLINK("https://klasma.github.io/Logging_2510/tillsynsmail/A 2031-2025 tillsynsbegäran mail.docx", "A 2031-2025")</f>
        <v/>
      </c>
    </row>
    <row r="82" ht="15" customHeight="1">
      <c r="A82" t="inlineStr">
        <is>
          <t>A 44147-2024</t>
        </is>
      </c>
      <c r="B82" s="1" t="n">
        <v>45572.67306712963</v>
      </c>
      <c r="C82" s="1" t="n">
        <v>46139</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50121-2024</t>
        </is>
      </c>
      <c r="B83" s="1" t="n">
        <v>45600.42096064815</v>
      </c>
      <c r="C83" s="1" t="n">
        <v>46139</v>
      </c>
      <c r="D83" t="inlineStr">
        <is>
          <t>NORRBOTTENS LÄN</t>
        </is>
      </c>
      <c r="E83" t="inlineStr">
        <is>
          <t>JOKKMOKK</t>
        </is>
      </c>
      <c r="G83" t="n">
        <v>2.3</v>
      </c>
      <c r="H83" t="n">
        <v>1</v>
      </c>
      <c r="I83" t="n">
        <v>0</v>
      </c>
      <c r="J83" t="n">
        <v>1</v>
      </c>
      <c r="K83" t="n">
        <v>0</v>
      </c>
      <c r="L83" t="n">
        <v>0</v>
      </c>
      <c r="M83" t="n">
        <v>0</v>
      </c>
      <c r="N83" t="n">
        <v>0</v>
      </c>
      <c r="O83" t="n">
        <v>1</v>
      </c>
      <c r="P83" t="n">
        <v>0</v>
      </c>
      <c r="Q83" t="n">
        <v>1</v>
      </c>
      <c r="R83" s="2" t="inlineStr">
        <is>
          <t>Buskskvätta</t>
        </is>
      </c>
      <c r="S83">
        <f>HYPERLINK("https://klasma.github.io/Logging_2510/artfynd/A 50121-2024 artfynd.xlsx", "A 50121-2024")</f>
        <v/>
      </c>
      <c r="T83">
        <f>HYPERLINK("https://klasma.github.io/Logging_2510/kartor/A 50121-2024 karta.png", "A 50121-2024")</f>
        <v/>
      </c>
      <c r="V83">
        <f>HYPERLINK("https://klasma.github.io/Logging_2510/klagomål/A 50121-2024 FSC-klagomål.docx", "A 50121-2024")</f>
        <v/>
      </c>
      <c r="W83">
        <f>HYPERLINK("https://klasma.github.io/Logging_2510/klagomålsmail/A 50121-2024 FSC-klagomål mail.docx", "A 50121-2024")</f>
        <v/>
      </c>
      <c r="X83">
        <f>HYPERLINK("https://klasma.github.io/Logging_2510/tillsyn/A 50121-2024 tillsynsbegäran.docx", "A 50121-2024")</f>
        <v/>
      </c>
      <c r="Y83">
        <f>HYPERLINK("https://klasma.github.io/Logging_2510/tillsynsmail/A 50121-2024 tillsynsbegäran mail.docx", "A 50121-2024")</f>
        <v/>
      </c>
      <c r="Z83">
        <f>HYPERLINK("https://klasma.github.io/Logging_2510/fåglar/A 50121-2024 prioriterade fågelarter.docx", "A 50121-2024")</f>
        <v/>
      </c>
    </row>
    <row r="84" ht="15" customHeight="1">
      <c r="A84" t="inlineStr">
        <is>
          <t>A 12866-2026</t>
        </is>
      </c>
      <c r="B84" s="1" t="n">
        <v>46092.49109953704</v>
      </c>
      <c r="C84" s="1" t="n">
        <v>46139</v>
      </c>
      <c r="D84" t="inlineStr">
        <is>
          <t>NORRBOTTENS LÄN</t>
        </is>
      </c>
      <c r="E84" t="inlineStr">
        <is>
          <t>JOKKMOKK</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HYPERLINK("https://klasma.github.io/Logging_2510/artfynd/A 12866-2026 artfynd.xlsx", "A 12866-2026")</f>
        <v/>
      </c>
      <c r="T84">
        <f>HYPERLINK("https://klasma.github.io/Logging_2510/kartor/A 12866-2026 karta.png", "A 12866-2026")</f>
        <v/>
      </c>
      <c r="V84">
        <f>HYPERLINK("https://klasma.github.io/Logging_2510/klagomål/A 12866-2026 FSC-klagomål.docx", "A 12866-2026")</f>
        <v/>
      </c>
      <c r="W84">
        <f>HYPERLINK("https://klasma.github.io/Logging_2510/klagomålsmail/A 12866-2026 FSC-klagomål mail.docx", "A 12866-2026")</f>
        <v/>
      </c>
      <c r="X84">
        <f>HYPERLINK("https://klasma.github.io/Logging_2510/tillsyn/A 12866-2026 tillsynsbegäran.docx", "A 12866-2026")</f>
        <v/>
      </c>
      <c r="Y84">
        <f>HYPERLINK("https://klasma.github.io/Logging_2510/tillsynsmail/A 12866-2026 tillsynsbegäran mail.docx", "A 12866-2026")</f>
        <v/>
      </c>
    </row>
    <row r="85" ht="15" customHeight="1">
      <c r="A85" t="inlineStr">
        <is>
          <t>A 52994-2024</t>
        </is>
      </c>
      <c r="B85" s="1" t="n">
        <v>45611.37796296296</v>
      </c>
      <c r="C85" s="1" t="n">
        <v>46139</v>
      </c>
      <c r="D85" t="inlineStr">
        <is>
          <t>NORRBOTTENS LÄN</t>
        </is>
      </c>
      <c r="E85" t="inlineStr">
        <is>
          <t>JOKKMOKK</t>
        </is>
      </c>
      <c r="F85" t="inlineStr">
        <is>
          <t>Sveaskog</t>
        </is>
      </c>
      <c r="G85" t="n">
        <v>17.1</v>
      </c>
      <c r="H85" t="n">
        <v>0</v>
      </c>
      <c r="I85" t="n">
        <v>0</v>
      </c>
      <c r="J85" t="n">
        <v>1</v>
      </c>
      <c r="K85" t="n">
        <v>0</v>
      </c>
      <c r="L85" t="n">
        <v>0</v>
      </c>
      <c r="M85" t="n">
        <v>0</v>
      </c>
      <c r="N85" t="n">
        <v>0</v>
      </c>
      <c r="O85" t="n">
        <v>1</v>
      </c>
      <c r="P85" t="n">
        <v>0</v>
      </c>
      <c r="Q85" t="n">
        <v>1</v>
      </c>
      <c r="R85" s="2" t="inlineStr">
        <is>
          <t>Blå taggsvamp</t>
        </is>
      </c>
      <c r="S85">
        <f>HYPERLINK("https://klasma.github.io/Logging_2510/artfynd/A 52994-2024 artfynd.xlsx", "A 52994-2024")</f>
        <v/>
      </c>
      <c r="T85">
        <f>HYPERLINK("https://klasma.github.io/Logging_2510/kartor/A 52994-2024 karta.png", "A 52994-2024")</f>
        <v/>
      </c>
      <c r="V85">
        <f>HYPERLINK("https://klasma.github.io/Logging_2510/klagomål/A 52994-2024 FSC-klagomål.docx", "A 52994-2024")</f>
        <v/>
      </c>
      <c r="W85">
        <f>HYPERLINK("https://klasma.github.io/Logging_2510/klagomålsmail/A 52994-2024 FSC-klagomål mail.docx", "A 52994-2024")</f>
        <v/>
      </c>
      <c r="X85">
        <f>HYPERLINK("https://klasma.github.io/Logging_2510/tillsyn/A 52994-2024 tillsynsbegäran.docx", "A 52994-2024")</f>
        <v/>
      </c>
      <c r="Y85">
        <f>HYPERLINK("https://klasma.github.io/Logging_2510/tillsynsmail/A 52994-2024 tillsynsbegäran mail.docx", "A 52994-2024")</f>
        <v/>
      </c>
    </row>
    <row r="86" ht="15" customHeight="1">
      <c r="A86" t="inlineStr">
        <is>
          <t>A 49525-2024</t>
        </is>
      </c>
      <c r="B86" s="1" t="n">
        <v>45596</v>
      </c>
      <c r="C86" s="1" t="n">
        <v>46139</v>
      </c>
      <c r="D86" t="inlineStr">
        <is>
          <t>NORRBOTTENS LÄN</t>
        </is>
      </c>
      <c r="E86" t="inlineStr">
        <is>
          <t>JOKKMOKK</t>
        </is>
      </c>
      <c r="F86" t="inlineStr">
        <is>
          <t>SCA</t>
        </is>
      </c>
      <c r="G86" t="n">
        <v>2.5</v>
      </c>
      <c r="H86" t="n">
        <v>0</v>
      </c>
      <c r="I86" t="n">
        <v>0</v>
      </c>
      <c r="J86" t="n">
        <v>0</v>
      </c>
      <c r="K86" t="n">
        <v>1</v>
      </c>
      <c r="L86" t="n">
        <v>0</v>
      </c>
      <c r="M86" t="n">
        <v>0</v>
      </c>
      <c r="N86" t="n">
        <v>0</v>
      </c>
      <c r="O86" t="n">
        <v>1</v>
      </c>
      <c r="P86" t="n">
        <v>1</v>
      </c>
      <c r="Q86" t="n">
        <v>1</v>
      </c>
      <c r="R86" s="2" t="inlineStr">
        <is>
          <t>Ringlav</t>
        </is>
      </c>
      <c r="S86">
        <f>HYPERLINK("https://klasma.github.io/Logging_2510/artfynd/A 49525-2024 artfynd.xlsx", "A 49525-2024")</f>
        <v/>
      </c>
      <c r="T86">
        <f>HYPERLINK("https://klasma.github.io/Logging_2510/kartor/A 49525-2024 karta.png", "A 49525-2024")</f>
        <v/>
      </c>
      <c r="V86">
        <f>HYPERLINK("https://klasma.github.io/Logging_2510/klagomål/A 49525-2024 FSC-klagomål.docx", "A 49525-2024")</f>
        <v/>
      </c>
      <c r="W86">
        <f>HYPERLINK("https://klasma.github.io/Logging_2510/klagomålsmail/A 49525-2024 FSC-klagomål mail.docx", "A 49525-2024")</f>
        <v/>
      </c>
      <c r="X86">
        <f>HYPERLINK("https://klasma.github.io/Logging_2510/tillsyn/A 49525-2024 tillsynsbegäran.docx", "A 49525-2024")</f>
        <v/>
      </c>
      <c r="Y86">
        <f>HYPERLINK("https://klasma.github.io/Logging_2510/tillsynsmail/A 49525-2024 tillsynsbegäran mail.docx", "A 49525-2024")</f>
        <v/>
      </c>
    </row>
    <row r="87" ht="15" customHeight="1">
      <c r="A87" t="inlineStr">
        <is>
          <t>A 38039-2021</t>
        </is>
      </c>
      <c r="B87" s="1" t="n">
        <v>44404</v>
      </c>
      <c r="C87" s="1" t="n">
        <v>46139</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46139</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46139</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46139</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46139</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46139</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46139</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46139</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46139</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46139</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46139</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46139</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71936-2021</t>
        </is>
      </c>
      <c r="B99" s="1" t="n">
        <v>44543</v>
      </c>
      <c r="C99" s="1" t="n">
        <v>46139</v>
      </c>
      <c r="D99" t="inlineStr">
        <is>
          <t>NORRBOTTENS LÄN</t>
        </is>
      </c>
      <c r="E99" t="inlineStr">
        <is>
          <t>JOKKMOKK</t>
        </is>
      </c>
      <c r="F99" t="inlineStr">
        <is>
          <t>SCA</t>
        </is>
      </c>
      <c r="G99" t="n">
        <v>6.9</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46139</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46139</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46139</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46139</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46139</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46139</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46139</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46139</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46139</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46139</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46139</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46139</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46139</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46139</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46139</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46139</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46139</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46139</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51269-2024</t>
        </is>
      </c>
      <c r="B118" s="1" t="n">
        <v>45603.71284722222</v>
      </c>
      <c r="C118" s="1" t="n">
        <v>46139</v>
      </c>
      <c r="D118" t="inlineStr">
        <is>
          <t>NORRBOTTENS LÄN</t>
        </is>
      </c>
      <c r="E118" t="inlineStr">
        <is>
          <t>JOKKMOKK</t>
        </is>
      </c>
      <c r="F118" t="inlineStr">
        <is>
          <t>Allmännings- och besparingsskogar</t>
        </is>
      </c>
      <c r="G118" t="n">
        <v>4.4</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46139</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46139</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46139</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46139</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46139</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31902-2021</t>
        </is>
      </c>
      <c r="B124" s="1" t="n">
        <v>44370</v>
      </c>
      <c r="C124" s="1" t="n">
        <v>46139</v>
      </c>
      <c r="D124" t="inlineStr">
        <is>
          <t>NORRBOTTENS LÄN</t>
        </is>
      </c>
      <c r="E124" t="inlineStr">
        <is>
          <t>JOKKMOKK</t>
        </is>
      </c>
      <c r="G124" t="n">
        <v>20</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46139</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29073-2021</t>
        </is>
      </c>
      <c r="B126" s="1" t="n">
        <v>44358</v>
      </c>
      <c r="C126" s="1" t="n">
        <v>46139</v>
      </c>
      <c r="D126" t="inlineStr">
        <is>
          <t>NORRBOTTENS LÄN</t>
        </is>
      </c>
      <c r="E126" t="inlineStr">
        <is>
          <t>JOKKMOKK</t>
        </is>
      </c>
      <c r="F126" t="inlineStr">
        <is>
          <t>Sveaskog</t>
        </is>
      </c>
      <c r="G126" t="n">
        <v>9.6</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46139</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40345-2024</t>
        </is>
      </c>
      <c r="B128" s="1" t="n">
        <v>45555.344375</v>
      </c>
      <c r="C128" s="1" t="n">
        <v>46139</v>
      </c>
      <c r="D128" t="inlineStr">
        <is>
          <t>NORRBOTTENS LÄN</t>
        </is>
      </c>
      <c r="E128" t="inlineStr">
        <is>
          <t>JOKKMOKK</t>
        </is>
      </c>
      <c r="F128" t="inlineStr">
        <is>
          <t>SCA</t>
        </is>
      </c>
      <c r="G128" t="n">
        <v>4.1</v>
      </c>
      <c r="H128" t="n">
        <v>0</v>
      </c>
      <c r="I128" t="n">
        <v>0</v>
      </c>
      <c r="J128" t="n">
        <v>0</v>
      </c>
      <c r="K128" t="n">
        <v>0</v>
      </c>
      <c r="L128" t="n">
        <v>0</v>
      </c>
      <c r="M128" t="n">
        <v>0</v>
      </c>
      <c r="N128" t="n">
        <v>0</v>
      </c>
      <c r="O128" t="n">
        <v>0</v>
      </c>
      <c r="P128" t="n">
        <v>0</v>
      </c>
      <c r="Q128" t="n">
        <v>0</v>
      </c>
      <c r="R128" s="2" t="inlineStr"/>
    </row>
    <row r="129" ht="15" customHeight="1">
      <c r="A129" t="inlineStr">
        <is>
          <t>A 9854-2023</t>
        </is>
      </c>
      <c r="B129" s="1" t="n">
        <v>44984</v>
      </c>
      <c r="C129" s="1" t="n">
        <v>46139</v>
      </c>
      <c r="D129" t="inlineStr">
        <is>
          <t>NORRBOTTENS LÄN</t>
        </is>
      </c>
      <c r="E129" t="inlineStr">
        <is>
          <t>JOKKMOKK</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9859-2023</t>
        </is>
      </c>
      <c r="B130" s="1" t="n">
        <v>44984.93940972222</v>
      </c>
      <c r="C130" s="1" t="n">
        <v>46139</v>
      </c>
      <c r="D130" t="inlineStr">
        <is>
          <t>NORRBOTTENS LÄN</t>
        </is>
      </c>
      <c r="E130" t="inlineStr">
        <is>
          <t>JOKKMOKK</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9864-2023</t>
        </is>
      </c>
      <c r="B131" s="1" t="n">
        <v>44984</v>
      </c>
      <c r="C131" s="1" t="n">
        <v>46139</v>
      </c>
      <c r="D131" t="inlineStr">
        <is>
          <t>NORRBOTTENS LÄN</t>
        </is>
      </c>
      <c r="E131" t="inlineStr">
        <is>
          <t>JOKKMOKK</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46139</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60215-2023</t>
        </is>
      </c>
      <c r="B133" s="1" t="n">
        <v>45258.60766203704</v>
      </c>
      <c r="C133" s="1" t="n">
        <v>46139</v>
      </c>
      <c r="D133" t="inlineStr">
        <is>
          <t>NORRBOTTENS LÄN</t>
        </is>
      </c>
      <c r="E133" t="inlineStr">
        <is>
          <t>JOKKMOKK</t>
        </is>
      </c>
      <c r="F133" t="inlineStr">
        <is>
          <t>Allmännings- och besparingsskogar</t>
        </is>
      </c>
      <c r="G133" t="n">
        <v>7.8</v>
      </c>
      <c r="H133" t="n">
        <v>0</v>
      </c>
      <c r="I133" t="n">
        <v>0</v>
      </c>
      <c r="J133" t="n">
        <v>0</v>
      </c>
      <c r="K133" t="n">
        <v>0</v>
      </c>
      <c r="L133" t="n">
        <v>0</v>
      </c>
      <c r="M133" t="n">
        <v>0</v>
      </c>
      <c r="N133" t="n">
        <v>0</v>
      </c>
      <c r="O133" t="n">
        <v>0</v>
      </c>
      <c r="P133" t="n">
        <v>0</v>
      </c>
      <c r="Q133" t="n">
        <v>0</v>
      </c>
      <c r="R133" s="2" t="inlineStr"/>
    </row>
    <row r="134" ht="15" customHeight="1">
      <c r="A134" t="inlineStr">
        <is>
          <t>A 457-2025</t>
        </is>
      </c>
      <c r="B134" s="1" t="n">
        <v>45664</v>
      </c>
      <c r="C134" s="1" t="n">
        <v>46139</v>
      </c>
      <c r="D134" t="inlineStr">
        <is>
          <t>NORRBOTTENS LÄN</t>
        </is>
      </c>
      <c r="E134" t="inlineStr">
        <is>
          <t>JOKKMOKK</t>
        </is>
      </c>
      <c r="F134" t="inlineStr">
        <is>
          <t>Övriga statliga verk och myndigheter</t>
        </is>
      </c>
      <c r="G134" t="n">
        <v>8</v>
      </c>
      <c r="H134" t="n">
        <v>0</v>
      </c>
      <c r="I134" t="n">
        <v>0</v>
      </c>
      <c r="J134" t="n">
        <v>0</v>
      </c>
      <c r="K134" t="n">
        <v>0</v>
      </c>
      <c r="L134" t="n">
        <v>0</v>
      </c>
      <c r="M134" t="n">
        <v>0</v>
      </c>
      <c r="N134" t="n">
        <v>0</v>
      </c>
      <c r="O134" t="n">
        <v>0</v>
      </c>
      <c r="P134" t="n">
        <v>0</v>
      </c>
      <c r="Q134" t="n">
        <v>0</v>
      </c>
      <c r="R134" s="2" t="inlineStr"/>
    </row>
    <row r="135" ht="15" customHeight="1">
      <c r="A135" t="inlineStr">
        <is>
          <t>A 458-2025</t>
        </is>
      </c>
      <c r="B135" s="1" t="n">
        <v>45664</v>
      </c>
      <c r="C135" s="1" t="n">
        <v>46139</v>
      </c>
      <c r="D135" t="inlineStr">
        <is>
          <t>NORRBOTTENS LÄN</t>
        </is>
      </c>
      <c r="E135" t="inlineStr">
        <is>
          <t>JOKKMOKK</t>
        </is>
      </c>
      <c r="F135" t="inlineStr">
        <is>
          <t>Övriga statliga verk och myndigheter</t>
        </is>
      </c>
      <c r="G135" t="n">
        <v>10.3</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46139</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17784-2025</t>
        </is>
      </c>
      <c r="B137" s="1" t="n">
        <v>45758</v>
      </c>
      <c r="C137" s="1" t="n">
        <v>46139</v>
      </c>
      <c r="D137" t="inlineStr">
        <is>
          <t>NORRBOTTENS LÄN</t>
        </is>
      </c>
      <c r="E137" t="inlineStr">
        <is>
          <t>JOKKMOKK</t>
        </is>
      </c>
      <c r="F137" t="inlineStr">
        <is>
          <t>SCA</t>
        </is>
      </c>
      <c r="G137" t="n">
        <v>11.2</v>
      </c>
      <c r="H137" t="n">
        <v>0</v>
      </c>
      <c r="I137" t="n">
        <v>0</v>
      </c>
      <c r="J137" t="n">
        <v>0</v>
      </c>
      <c r="K137" t="n">
        <v>0</v>
      </c>
      <c r="L137" t="n">
        <v>0</v>
      </c>
      <c r="M137" t="n">
        <v>0</v>
      </c>
      <c r="N137" t="n">
        <v>0</v>
      </c>
      <c r="O137" t="n">
        <v>0</v>
      </c>
      <c r="P137" t="n">
        <v>0</v>
      </c>
      <c r="Q137" t="n">
        <v>0</v>
      </c>
      <c r="R137" s="2" t="inlineStr"/>
    </row>
    <row r="138" ht="15" customHeight="1">
      <c r="A138" t="inlineStr">
        <is>
          <t>A 3206-2025</t>
        </is>
      </c>
      <c r="B138" s="1" t="n">
        <v>45679</v>
      </c>
      <c r="C138" s="1" t="n">
        <v>46139</v>
      </c>
      <c r="D138" t="inlineStr">
        <is>
          <t>NORRBOTTENS LÄN</t>
        </is>
      </c>
      <c r="E138" t="inlineStr">
        <is>
          <t>JOKKMOKK</t>
        </is>
      </c>
      <c r="F138" t="inlineStr">
        <is>
          <t>SCA</t>
        </is>
      </c>
      <c r="G138" t="n">
        <v>9.1</v>
      </c>
      <c r="H138" t="n">
        <v>0</v>
      </c>
      <c r="I138" t="n">
        <v>0</v>
      </c>
      <c r="J138" t="n">
        <v>0</v>
      </c>
      <c r="K138" t="n">
        <v>0</v>
      </c>
      <c r="L138" t="n">
        <v>0</v>
      </c>
      <c r="M138" t="n">
        <v>0</v>
      </c>
      <c r="N138" t="n">
        <v>0</v>
      </c>
      <c r="O138" t="n">
        <v>0</v>
      </c>
      <c r="P138" t="n">
        <v>0</v>
      </c>
      <c r="Q138" t="n">
        <v>0</v>
      </c>
      <c r="R138" s="2" t="inlineStr"/>
    </row>
    <row r="139" ht="15" customHeight="1">
      <c r="A139" t="inlineStr">
        <is>
          <t>A 18537-2023</t>
        </is>
      </c>
      <c r="B139" s="1" t="n">
        <v>45028</v>
      </c>
      <c r="C139" s="1" t="n">
        <v>46139</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53100-2022</t>
        </is>
      </c>
      <c r="B140" s="1" t="n">
        <v>44873</v>
      </c>
      <c r="C140" s="1" t="n">
        <v>46139</v>
      </c>
      <c r="D140" t="inlineStr">
        <is>
          <t>NORRBOTTENS LÄN</t>
        </is>
      </c>
      <c r="E140" t="inlineStr">
        <is>
          <t>JOKKMOKK</t>
        </is>
      </c>
      <c r="F140" t="inlineStr">
        <is>
          <t>Övriga statliga verk och myndigheter</t>
        </is>
      </c>
      <c r="G140" t="n">
        <v>37.1</v>
      </c>
      <c r="H140" t="n">
        <v>0</v>
      </c>
      <c r="I140" t="n">
        <v>0</v>
      </c>
      <c r="J140" t="n">
        <v>0</v>
      </c>
      <c r="K140" t="n">
        <v>0</v>
      </c>
      <c r="L140" t="n">
        <v>0</v>
      </c>
      <c r="M140" t="n">
        <v>0</v>
      </c>
      <c r="N140" t="n">
        <v>0</v>
      </c>
      <c r="O140" t="n">
        <v>0</v>
      </c>
      <c r="P140" t="n">
        <v>0</v>
      </c>
      <c r="Q140" t="n">
        <v>0</v>
      </c>
      <c r="R140" s="2" t="inlineStr"/>
    </row>
    <row r="141" ht="15" customHeight="1">
      <c r="A141" t="inlineStr">
        <is>
          <t>A 38579-2025</t>
        </is>
      </c>
      <c r="B141" s="1" t="n">
        <v>45884.46925925926</v>
      </c>
      <c r="C141" s="1" t="n">
        <v>46139</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30305-2024</t>
        </is>
      </c>
      <c r="B142" s="1" t="n">
        <v>45490</v>
      </c>
      <c r="C142" s="1" t="n">
        <v>46139</v>
      </c>
      <c r="D142" t="inlineStr">
        <is>
          <t>NORRBOTTENS LÄN</t>
        </is>
      </c>
      <c r="E142" t="inlineStr">
        <is>
          <t>JOKKMOKK</t>
        </is>
      </c>
      <c r="G142" t="n">
        <v>1.5</v>
      </c>
      <c r="H142" t="n">
        <v>0</v>
      </c>
      <c r="I142" t="n">
        <v>0</v>
      </c>
      <c r="J142" t="n">
        <v>0</v>
      </c>
      <c r="K142" t="n">
        <v>0</v>
      </c>
      <c r="L142" t="n">
        <v>0</v>
      </c>
      <c r="M142" t="n">
        <v>0</v>
      </c>
      <c r="N142" t="n">
        <v>0</v>
      </c>
      <c r="O142" t="n">
        <v>0</v>
      </c>
      <c r="P142" t="n">
        <v>0</v>
      </c>
      <c r="Q142" t="n">
        <v>0</v>
      </c>
      <c r="R142" s="2" t="inlineStr"/>
    </row>
    <row r="143" ht="15" customHeight="1">
      <c r="A143" t="inlineStr">
        <is>
          <t>A 30308-2024</t>
        </is>
      </c>
      <c r="B143" s="1" t="n">
        <v>45490</v>
      </c>
      <c r="C143" s="1" t="n">
        <v>46139</v>
      </c>
      <c r="D143" t="inlineStr">
        <is>
          <t>NORRBOTTENS LÄN</t>
        </is>
      </c>
      <c r="E143" t="inlineStr">
        <is>
          <t>JOKKMOKK</t>
        </is>
      </c>
      <c r="G143" t="n">
        <v>2.2</v>
      </c>
      <c r="H143" t="n">
        <v>0</v>
      </c>
      <c r="I143" t="n">
        <v>0</v>
      </c>
      <c r="J143" t="n">
        <v>0</v>
      </c>
      <c r="K143" t="n">
        <v>0</v>
      </c>
      <c r="L143" t="n">
        <v>0</v>
      </c>
      <c r="M143" t="n">
        <v>0</v>
      </c>
      <c r="N143" t="n">
        <v>0</v>
      </c>
      <c r="O143" t="n">
        <v>0</v>
      </c>
      <c r="P143" t="n">
        <v>0</v>
      </c>
      <c r="Q143" t="n">
        <v>0</v>
      </c>
      <c r="R143" s="2" t="inlineStr"/>
    </row>
    <row r="144" ht="15" customHeight="1">
      <c r="A144" t="inlineStr">
        <is>
          <t>A 30310-2024</t>
        </is>
      </c>
      <c r="B144" s="1" t="n">
        <v>45490</v>
      </c>
      <c r="C144" s="1" t="n">
        <v>46139</v>
      </c>
      <c r="D144" t="inlineStr">
        <is>
          <t>NORRBOTTENS LÄN</t>
        </is>
      </c>
      <c r="E144" t="inlineStr">
        <is>
          <t>JOKKMOKK</t>
        </is>
      </c>
      <c r="G144" t="n">
        <v>2.3</v>
      </c>
      <c r="H144" t="n">
        <v>0</v>
      </c>
      <c r="I144" t="n">
        <v>0</v>
      </c>
      <c r="J144" t="n">
        <v>0</v>
      </c>
      <c r="K144" t="n">
        <v>0</v>
      </c>
      <c r="L144" t="n">
        <v>0</v>
      </c>
      <c r="M144" t="n">
        <v>0</v>
      </c>
      <c r="N144" t="n">
        <v>0</v>
      </c>
      <c r="O144" t="n">
        <v>0</v>
      </c>
      <c r="P144" t="n">
        <v>0</v>
      </c>
      <c r="Q144" t="n">
        <v>0</v>
      </c>
      <c r="R144" s="2" t="inlineStr"/>
    </row>
    <row r="145" ht="15" customHeight="1">
      <c r="A145" t="inlineStr">
        <is>
          <t>A 30312-2024</t>
        </is>
      </c>
      <c r="B145" s="1" t="n">
        <v>45490</v>
      </c>
      <c r="C145" s="1" t="n">
        <v>46139</v>
      </c>
      <c r="D145" t="inlineStr">
        <is>
          <t>NORRBOTTENS LÄN</t>
        </is>
      </c>
      <c r="E145" t="inlineStr">
        <is>
          <t>JOKKMOKK</t>
        </is>
      </c>
      <c r="G145" t="n">
        <v>1.6</v>
      </c>
      <c r="H145" t="n">
        <v>0</v>
      </c>
      <c r="I145" t="n">
        <v>0</v>
      </c>
      <c r="J145" t="n">
        <v>0</v>
      </c>
      <c r="K145" t="n">
        <v>0</v>
      </c>
      <c r="L145" t="n">
        <v>0</v>
      </c>
      <c r="M145" t="n">
        <v>0</v>
      </c>
      <c r="N145" t="n">
        <v>0</v>
      </c>
      <c r="O145" t="n">
        <v>0</v>
      </c>
      <c r="P145" t="n">
        <v>0</v>
      </c>
      <c r="Q145" t="n">
        <v>0</v>
      </c>
      <c r="R145" s="2" t="inlineStr"/>
    </row>
    <row r="146" ht="15" customHeight="1">
      <c r="A146" t="inlineStr">
        <is>
          <t>A 6777-2023</t>
        </is>
      </c>
      <c r="B146" s="1" t="n">
        <v>44966</v>
      </c>
      <c r="C146" s="1" t="n">
        <v>46139</v>
      </c>
      <c r="D146" t="inlineStr">
        <is>
          <t>NORRBOTTENS LÄN</t>
        </is>
      </c>
      <c r="E146" t="inlineStr">
        <is>
          <t>JOKKMOKK</t>
        </is>
      </c>
      <c r="G146" t="n">
        <v>2.2</v>
      </c>
      <c r="H146" t="n">
        <v>0</v>
      </c>
      <c r="I146" t="n">
        <v>0</v>
      </c>
      <c r="J146" t="n">
        <v>0</v>
      </c>
      <c r="K146" t="n">
        <v>0</v>
      </c>
      <c r="L146" t="n">
        <v>0</v>
      </c>
      <c r="M146" t="n">
        <v>0</v>
      </c>
      <c r="N146" t="n">
        <v>0</v>
      </c>
      <c r="O146" t="n">
        <v>0</v>
      </c>
      <c r="P146" t="n">
        <v>0</v>
      </c>
      <c r="Q146" t="n">
        <v>0</v>
      </c>
      <c r="R146" s="2" t="inlineStr"/>
    </row>
    <row r="147" ht="15" customHeight="1">
      <c r="A147" t="inlineStr">
        <is>
          <t>A 31534-2024</t>
        </is>
      </c>
      <c r="B147" s="1" t="n">
        <v>45505</v>
      </c>
      <c r="C147" s="1" t="n">
        <v>46139</v>
      </c>
      <c r="D147" t="inlineStr">
        <is>
          <t>NORRBOTTENS LÄN</t>
        </is>
      </c>
      <c r="E147" t="inlineStr">
        <is>
          <t>JOKKMOKK</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29625-2023</t>
        </is>
      </c>
      <c r="B148" s="1" t="n">
        <v>45106.94556712963</v>
      </c>
      <c r="C148" s="1" t="n">
        <v>46139</v>
      </c>
      <c r="D148" t="inlineStr">
        <is>
          <t>NORRBOTTENS LÄN</t>
        </is>
      </c>
      <c r="E148" t="inlineStr">
        <is>
          <t>JOKKMOKK</t>
        </is>
      </c>
      <c r="F148" t="inlineStr">
        <is>
          <t>SCA</t>
        </is>
      </c>
      <c r="G148" t="n">
        <v>7.2</v>
      </c>
      <c r="H148" t="n">
        <v>0</v>
      </c>
      <c r="I148" t="n">
        <v>0</v>
      </c>
      <c r="J148" t="n">
        <v>0</v>
      </c>
      <c r="K148" t="n">
        <v>0</v>
      </c>
      <c r="L148" t="n">
        <v>0</v>
      </c>
      <c r="M148" t="n">
        <v>0</v>
      </c>
      <c r="N148" t="n">
        <v>0</v>
      </c>
      <c r="O148" t="n">
        <v>0</v>
      </c>
      <c r="P148" t="n">
        <v>0</v>
      </c>
      <c r="Q148" t="n">
        <v>0</v>
      </c>
      <c r="R148" s="2" t="inlineStr"/>
    </row>
    <row r="149" ht="15" customHeight="1">
      <c r="A149" t="inlineStr">
        <is>
          <t>A 50716-2022</t>
        </is>
      </c>
      <c r="B149" s="1" t="n">
        <v>44862</v>
      </c>
      <c r="C149" s="1" t="n">
        <v>46139</v>
      </c>
      <c r="D149" t="inlineStr">
        <is>
          <t>NORRBOTTENS LÄN</t>
        </is>
      </c>
      <c r="E149" t="inlineStr">
        <is>
          <t>JOKKMOKK</t>
        </is>
      </c>
      <c r="G149" t="n">
        <v>30.2</v>
      </c>
      <c r="H149" t="n">
        <v>0</v>
      </c>
      <c r="I149" t="n">
        <v>0</v>
      </c>
      <c r="J149" t="n">
        <v>0</v>
      </c>
      <c r="K149" t="n">
        <v>0</v>
      </c>
      <c r="L149" t="n">
        <v>0</v>
      </c>
      <c r="M149" t="n">
        <v>0</v>
      </c>
      <c r="N149" t="n">
        <v>0</v>
      </c>
      <c r="O149" t="n">
        <v>0</v>
      </c>
      <c r="P149" t="n">
        <v>0</v>
      </c>
      <c r="Q149" t="n">
        <v>0</v>
      </c>
      <c r="R149" s="2" t="inlineStr"/>
    </row>
    <row r="150" ht="15" customHeight="1">
      <c r="A150" t="inlineStr">
        <is>
          <t>A 59849-2023</t>
        </is>
      </c>
      <c r="B150" s="1" t="n">
        <v>45257</v>
      </c>
      <c r="C150" s="1" t="n">
        <v>46139</v>
      </c>
      <c r="D150" t="inlineStr">
        <is>
          <t>NORRBOTTENS LÄN</t>
        </is>
      </c>
      <c r="E150" t="inlineStr">
        <is>
          <t>JOKKMOKK</t>
        </is>
      </c>
      <c r="F150" t="inlineStr">
        <is>
          <t>Allmännings- och besparingsskogar</t>
        </is>
      </c>
      <c r="G150" t="n">
        <v>12.7</v>
      </c>
      <c r="H150" t="n">
        <v>0</v>
      </c>
      <c r="I150" t="n">
        <v>0</v>
      </c>
      <c r="J150" t="n">
        <v>0</v>
      </c>
      <c r="K150" t="n">
        <v>0</v>
      </c>
      <c r="L150" t="n">
        <v>0</v>
      </c>
      <c r="M150" t="n">
        <v>0</v>
      </c>
      <c r="N150" t="n">
        <v>0</v>
      </c>
      <c r="O150" t="n">
        <v>0</v>
      </c>
      <c r="P150" t="n">
        <v>0</v>
      </c>
      <c r="Q150" t="n">
        <v>0</v>
      </c>
      <c r="R150" s="2" t="inlineStr"/>
    </row>
    <row r="151" ht="15" customHeight="1">
      <c r="A151" t="inlineStr">
        <is>
          <t>A 30041-2024</t>
        </is>
      </c>
      <c r="B151" s="1" t="n">
        <v>45488</v>
      </c>
      <c r="C151" s="1" t="n">
        <v>46139</v>
      </c>
      <c r="D151" t="inlineStr">
        <is>
          <t>NORRBOTTENS LÄN</t>
        </is>
      </c>
      <c r="E151" t="inlineStr">
        <is>
          <t>JOKKMOKK</t>
        </is>
      </c>
      <c r="G151" t="n">
        <v>19.9</v>
      </c>
      <c r="H151" t="n">
        <v>0</v>
      </c>
      <c r="I151" t="n">
        <v>0</v>
      </c>
      <c r="J151" t="n">
        <v>0</v>
      </c>
      <c r="K151" t="n">
        <v>0</v>
      </c>
      <c r="L151" t="n">
        <v>0</v>
      </c>
      <c r="M151" t="n">
        <v>0</v>
      </c>
      <c r="N151" t="n">
        <v>0</v>
      </c>
      <c r="O151" t="n">
        <v>0</v>
      </c>
      <c r="P151" t="n">
        <v>0</v>
      </c>
      <c r="Q151" t="n">
        <v>0</v>
      </c>
      <c r="R151" s="2" t="inlineStr"/>
    </row>
    <row r="152" ht="15" customHeight="1">
      <c r="A152" t="inlineStr">
        <is>
          <t>A 4136-2024</t>
        </is>
      </c>
      <c r="B152" s="1" t="n">
        <v>45323</v>
      </c>
      <c r="C152" s="1" t="n">
        <v>46139</v>
      </c>
      <c r="D152" t="inlineStr">
        <is>
          <t>NORRBOTTENS LÄN</t>
        </is>
      </c>
      <c r="E152" t="inlineStr">
        <is>
          <t>JOKKMOKK</t>
        </is>
      </c>
      <c r="G152" t="n">
        <v>27.3</v>
      </c>
      <c r="H152" t="n">
        <v>0</v>
      </c>
      <c r="I152" t="n">
        <v>0</v>
      </c>
      <c r="J152" t="n">
        <v>0</v>
      </c>
      <c r="K152" t="n">
        <v>0</v>
      </c>
      <c r="L152" t="n">
        <v>0</v>
      </c>
      <c r="M152" t="n">
        <v>0</v>
      </c>
      <c r="N152" t="n">
        <v>0</v>
      </c>
      <c r="O152" t="n">
        <v>0</v>
      </c>
      <c r="P152" t="n">
        <v>0</v>
      </c>
      <c r="Q152" t="n">
        <v>0</v>
      </c>
      <c r="R152" s="2" t="inlineStr"/>
    </row>
    <row r="153" ht="15" customHeight="1">
      <c r="A153" t="inlineStr">
        <is>
          <t>A 52855-2024</t>
        </is>
      </c>
      <c r="B153" s="1" t="n">
        <v>45610</v>
      </c>
      <c r="C153" s="1" t="n">
        <v>46139</v>
      </c>
      <c r="D153" t="inlineStr">
        <is>
          <t>NORRBOTTENS LÄN</t>
        </is>
      </c>
      <c r="E153" t="inlineStr">
        <is>
          <t>JOKKMOKK</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20593-2023</t>
        </is>
      </c>
      <c r="B154" s="1" t="n">
        <v>45057</v>
      </c>
      <c r="C154" s="1" t="n">
        <v>46139</v>
      </c>
      <c r="D154" t="inlineStr">
        <is>
          <t>NORRBOTTENS LÄN</t>
        </is>
      </c>
      <c r="E154" t="inlineStr">
        <is>
          <t>JOKKMOKK</t>
        </is>
      </c>
      <c r="F154" t="inlineStr">
        <is>
          <t>SCA</t>
        </is>
      </c>
      <c r="G154" t="n">
        <v>0.5</v>
      </c>
      <c r="H154" t="n">
        <v>0</v>
      </c>
      <c r="I154" t="n">
        <v>0</v>
      </c>
      <c r="J154" t="n">
        <v>0</v>
      </c>
      <c r="K154" t="n">
        <v>0</v>
      </c>
      <c r="L154" t="n">
        <v>0</v>
      </c>
      <c r="M154" t="n">
        <v>0</v>
      </c>
      <c r="N154" t="n">
        <v>0</v>
      </c>
      <c r="O154" t="n">
        <v>0</v>
      </c>
      <c r="P154" t="n">
        <v>0</v>
      </c>
      <c r="Q154" t="n">
        <v>0</v>
      </c>
      <c r="R154" s="2" t="inlineStr"/>
    </row>
    <row r="155" ht="15" customHeight="1">
      <c r="A155" t="inlineStr">
        <is>
          <t>A 23023-2023</t>
        </is>
      </c>
      <c r="B155" s="1" t="n">
        <v>45073</v>
      </c>
      <c r="C155" s="1" t="n">
        <v>46139</v>
      </c>
      <c r="D155" t="inlineStr">
        <is>
          <t>NORRBOTTENS LÄN</t>
        </is>
      </c>
      <c r="E155" t="inlineStr">
        <is>
          <t>JOKKMOKK</t>
        </is>
      </c>
      <c r="F155" t="inlineStr">
        <is>
          <t>SCA</t>
        </is>
      </c>
      <c r="G155" t="n">
        <v>3.2</v>
      </c>
      <c r="H155" t="n">
        <v>0</v>
      </c>
      <c r="I155" t="n">
        <v>0</v>
      </c>
      <c r="J155" t="n">
        <v>0</v>
      </c>
      <c r="K155" t="n">
        <v>0</v>
      </c>
      <c r="L155" t="n">
        <v>0</v>
      </c>
      <c r="M155" t="n">
        <v>0</v>
      </c>
      <c r="N155" t="n">
        <v>0</v>
      </c>
      <c r="O155" t="n">
        <v>0</v>
      </c>
      <c r="P155" t="n">
        <v>0</v>
      </c>
      <c r="Q155" t="n">
        <v>0</v>
      </c>
      <c r="R155" s="2" t="inlineStr"/>
    </row>
    <row r="156" ht="15" customHeight="1">
      <c r="A156" t="inlineStr">
        <is>
          <t>A 2040-2025</t>
        </is>
      </c>
      <c r="B156" s="1" t="n">
        <v>45671</v>
      </c>
      <c r="C156" s="1" t="n">
        <v>46139</v>
      </c>
      <c r="D156" t="inlineStr">
        <is>
          <t>NORRBOTTENS LÄN</t>
        </is>
      </c>
      <c r="E156" t="inlineStr">
        <is>
          <t>JOKKMOKK</t>
        </is>
      </c>
      <c r="G156" t="n">
        <v>5.1</v>
      </c>
      <c r="H156" t="n">
        <v>0</v>
      </c>
      <c r="I156" t="n">
        <v>0</v>
      </c>
      <c r="J156" t="n">
        <v>0</v>
      </c>
      <c r="K156" t="n">
        <v>0</v>
      </c>
      <c r="L156" t="n">
        <v>0</v>
      </c>
      <c r="M156" t="n">
        <v>0</v>
      </c>
      <c r="N156" t="n">
        <v>0</v>
      </c>
      <c r="O156" t="n">
        <v>0</v>
      </c>
      <c r="P156" t="n">
        <v>0</v>
      </c>
      <c r="Q156" t="n">
        <v>0</v>
      </c>
      <c r="R156" s="2" t="inlineStr"/>
    </row>
    <row r="157" ht="15" customHeight="1">
      <c r="A157" t="inlineStr">
        <is>
          <t>A 42639-2024</t>
        </is>
      </c>
      <c r="B157" s="1" t="n">
        <v>45565.91135416667</v>
      </c>
      <c r="C157" s="1" t="n">
        <v>46139</v>
      </c>
      <c r="D157" t="inlineStr">
        <is>
          <t>NORRBOTTENS LÄN</t>
        </is>
      </c>
      <c r="E157" t="inlineStr">
        <is>
          <t>JOKKMOKK</t>
        </is>
      </c>
      <c r="G157" t="n">
        <v>34.5</v>
      </c>
      <c r="H157" t="n">
        <v>0</v>
      </c>
      <c r="I157" t="n">
        <v>0</v>
      </c>
      <c r="J157" t="n">
        <v>0</v>
      </c>
      <c r="K157" t="n">
        <v>0</v>
      </c>
      <c r="L157" t="n">
        <v>0</v>
      </c>
      <c r="M157" t="n">
        <v>0</v>
      </c>
      <c r="N157" t="n">
        <v>0</v>
      </c>
      <c r="O157" t="n">
        <v>0</v>
      </c>
      <c r="P157" t="n">
        <v>0</v>
      </c>
      <c r="Q157" t="n">
        <v>0</v>
      </c>
      <c r="R157" s="2" t="inlineStr"/>
    </row>
    <row r="158" ht="15" customHeight="1">
      <c r="A158" t="inlineStr">
        <is>
          <t>A 61500-2024</t>
        </is>
      </c>
      <c r="B158" s="1" t="n">
        <v>45645</v>
      </c>
      <c r="C158" s="1" t="n">
        <v>46139</v>
      </c>
      <c r="D158" t="inlineStr">
        <is>
          <t>NORRBOTTENS LÄN</t>
        </is>
      </c>
      <c r="E158" t="inlineStr">
        <is>
          <t>JOKKMOKK</t>
        </is>
      </c>
      <c r="G158" t="n">
        <v>39.8</v>
      </c>
      <c r="H158" t="n">
        <v>0</v>
      </c>
      <c r="I158" t="n">
        <v>0</v>
      </c>
      <c r="J158" t="n">
        <v>0</v>
      </c>
      <c r="K158" t="n">
        <v>0</v>
      </c>
      <c r="L158" t="n">
        <v>0</v>
      </c>
      <c r="M158" t="n">
        <v>0</v>
      </c>
      <c r="N158" t="n">
        <v>0</v>
      </c>
      <c r="O158" t="n">
        <v>0</v>
      </c>
      <c r="P158" t="n">
        <v>0</v>
      </c>
      <c r="Q158" t="n">
        <v>0</v>
      </c>
      <c r="R158" s="2" t="inlineStr"/>
    </row>
    <row r="159" ht="15" customHeight="1">
      <c r="A159" t="inlineStr">
        <is>
          <t>A 39846-2025</t>
        </is>
      </c>
      <c r="B159" s="1" t="n">
        <v>45891.58376157407</v>
      </c>
      <c r="C159" s="1" t="n">
        <v>46139</v>
      </c>
      <c r="D159" t="inlineStr">
        <is>
          <t>NORRBOTTENS LÄN</t>
        </is>
      </c>
      <c r="E159" t="inlineStr">
        <is>
          <t>JOKKMOKK</t>
        </is>
      </c>
      <c r="F159" t="inlineStr">
        <is>
          <t>Sveaskog</t>
        </is>
      </c>
      <c r="G159" t="n">
        <v>7.1</v>
      </c>
      <c r="H159" t="n">
        <v>0</v>
      </c>
      <c r="I159" t="n">
        <v>0</v>
      </c>
      <c r="J159" t="n">
        <v>0</v>
      </c>
      <c r="K159" t="n">
        <v>0</v>
      </c>
      <c r="L159" t="n">
        <v>0</v>
      </c>
      <c r="M159" t="n">
        <v>0</v>
      </c>
      <c r="N159" t="n">
        <v>0</v>
      </c>
      <c r="O159" t="n">
        <v>0</v>
      </c>
      <c r="P159" t="n">
        <v>0</v>
      </c>
      <c r="Q159" t="n">
        <v>0</v>
      </c>
      <c r="R159" s="2" t="inlineStr"/>
    </row>
    <row r="160" ht="15" customHeight="1">
      <c r="A160" t="inlineStr">
        <is>
          <t>A 46418-2023</t>
        </is>
      </c>
      <c r="B160" s="1" t="n">
        <v>45197</v>
      </c>
      <c r="C160" s="1" t="n">
        <v>46139</v>
      </c>
      <c r="D160" t="inlineStr">
        <is>
          <t>NORRBOTTENS LÄN</t>
        </is>
      </c>
      <c r="E160" t="inlineStr">
        <is>
          <t>JOKKMOKK</t>
        </is>
      </c>
      <c r="G160" t="n">
        <v>7.4</v>
      </c>
      <c r="H160" t="n">
        <v>0</v>
      </c>
      <c r="I160" t="n">
        <v>0</v>
      </c>
      <c r="J160" t="n">
        <v>0</v>
      </c>
      <c r="K160" t="n">
        <v>0</v>
      </c>
      <c r="L160" t="n">
        <v>0</v>
      </c>
      <c r="M160" t="n">
        <v>0</v>
      </c>
      <c r="N160" t="n">
        <v>0</v>
      </c>
      <c r="O160" t="n">
        <v>0</v>
      </c>
      <c r="P160" t="n">
        <v>0</v>
      </c>
      <c r="Q160" t="n">
        <v>0</v>
      </c>
      <c r="R160" s="2" t="inlineStr"/>
    </row>
    <row r="161" ht="15" customHeight="1">
      <c r="A161" t="inlineStr">
        <is>
          <t>A 45510-2022</t>
        </is>
      </c>
      <c r="B161" s="1" t="n">
        <v>44841</v>
      </c>
      <c r="C161" s="1" t="n">
        <v>46139</v>
      </c>
      <c r="D161" t="inlineStr">
        <is>
          <t>NORRBOTTENS LÄN</t>
        </is>
      </c>
      <c r="E161" t="inlineStr">
        <is>
          <t>JOKKMOKK</t>
        </is>
      </c>
      <c r="F161" t="inlineStr">
        <is>
          <t>Övriga Aktiebolag</t>
        </is>
      </c>
      <c r="G161" t="n">
        <v>2.1</v>
      </c>
      <c r="H161" t="n">
        <v>0</v>
      </c>
      <c r="I161" t="n">
        <v>0</v>
      </c>
      <c r="J161" t="n">
        <v>0</v>
      </c>
      <c r="K161" t="n">
        <v>0</v>
      </c>
      <c r="L161" t="n">
        <v>0</v>
      </c>
      <c r="M161" t="n">
        <v>0</v>
      </c>
      <c r="N161" t="n">
        <v>0</v>
      </c>
      <c r="O161" t="n">
        <v>0</v>
      </c>
      <c r="P161" t="n">
        <v>0</v>
      </c>
      <c r="Q161" t="n">
        <v>0</v>
      </c>
      <c r="R161" s="2" t="inlineStr"/>
    </row>
    <row r="162" ht="15" customHeight="1">
      <c r="A162" t="inlineStr">
        <is>
          <t>A 71369-2021</t>
        </is>
      </c>
      <c r="B162" s="1" t="n">
        <v>44539.94476851852</v>
      </c>
      <c r="C162" s="1" t="n">
        <v>46139</v>
      </c>
      <c r="D162" t="inlineStr">
        <is>
          <t>NORRBOTTENS LÄN</t>
        </is>
      </c>
      <c r="E162" t="inlineStr">
        <is>
          <t>JOKKMOKK</t>
        </is>
      </c>
      <c r="F162" t="inlineStr">
        <is>
          <t>SCA</t>
        </is>
      </c>
      <c r="G162" t="n">
        <v>15.7</v>
      </c>
      <c r="H162" t="n">
        <v>0</v>
      </c>
      <c r="I162" t="n">
        <v>0</v>
      </c>
      <c r="J162" t="n">
        <v>0</v>
      </c>
      <c r="K162" t="n">
        <v>0</v>
      </c>
      <c r="L162" t="n">
        <v>0</v>
      </c>
      <c r="M162" t="n">
        <v>0</v>
      </c>
      <c r="N162" t="n">
        <v>0</v>
      </c>
      <c r="O162" t="n">
        <v>0</v>
      </c>
      <c r="P162" t="n">
        <v>0</v>
      </c>
      <c r="Q162" t="n">
        <v>0</v>
      </c>
      <c r="R162" s="2" t="inlineStr"/>
    </row>
    <row r="163" ht="15" customHeight="1">
      <c r="A163" t="inlineStr">
        <is>
          <t>A 56412-2021</t>
        </is>
      </c>
      <c r="B163" s="1" t="n">
        <v>44477</v>
      </c>
      <c r="C163" s="1" t="n">
        <v>46139</v>
      </c>
      <c r="D163" t="inlineStr">
        <is>
          <t>NORRBOTTENS LÄN</t>
        </is>
      </c>
      <c r="E163" t="inlineStr">
        <is>
          <t>JOKKMOKK</t>
        </is>
      </c>
      <c r="G163" t="n">
        <v>2.5</v>
      </c>
      <c r="H163" t="n">
        <v>0</v>
      </c>
      <c r="I163" t="n">
        <v>0</v>
      </c>
      <c r="J163" t="n">
        <v>0</v>
      </c>
      <c r="K163" t="n">
        <v>0</v>
      </c>
      <c r="L163" t="n">
        <v>0</v>
      </c>
      <c r="M163" t="n">
        <v>0</v>
      </c>
      <c r="N163" t="n">
        <v>0</v>
      </c>
      <c r="O163" t="n">
        <v>0</v>
      </c>
      <c r="P163" t="n">
        <v>0</v>
      </c>
      <c r="Q163" t="n">
        <v>0</v>
      </c>
      <c r="R163" s="2" t="inlineStr"/>
    </row>
    <row r="164" ht="15" customHeight="1">
      <c r="A164" t="inlineStr">
        <is>
          <t>A 40808-2025</t>
        </is>
      </c>
      <c r="B164" s="1" t="n">
        <v>45897.46922453704</v>
      </c>
      <c r="C164" s="1" t="n">
        <v>46139</v>
      </c>
      <c r="D164" t="inlineStr">
        <is>
          <t>NORRBOTTENS LÄN</t>
        </is>
      </c>
      <c r="E164" t="inlineStr">
        <is>
          <t>JOKKMOKK</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40756-2025</t>
        </is>
      </c>
      <c r="B165" s="1" t="n">
        <v>45897.38686342593</v>
      </c>
      <c r="C165" s="1" t="n">
        <v>46139</v>
      </c>
      <c r="D165" t="inlineStr">
        <is>
          <t>NORRBOTTENS LÄN</t>
        </is>
      </c>
      <c r="E165" t="inlineStr">
        <is>
          <t>JOKKMOKK</t>
        </is>
      </c>
      <c r="G165" t="n">
        <v>24.7</v>
      </c>
      <c r="H165" t="n">
        <v>0</v>
      </c>
      <c r="I165" t="n">
        <v>0</v>
      </c>
      <c r="J165" t="n">
        <v>0</v>
      </c>
      <c r="K165" t="n">
        <v>0</v>
      </c>
      <c r="L165" t="n">
        <v>0</v>
      </c>
      <c r="M165" t="n">
        <v>0</v>
      </c>
      <c r="N165" t="n">
        <v>0</v>
      </c>
      <c r="O165" t="n">
        <v>0</v>
      </c>
      <c r="P165" t="n">
        <v>0</v>
      </c>
      <c r="Q165" t="n">
        <v>0</v>
      </c>
      <c r="R165" s="2" t="inlineStr"/>
    </row>
    <row r="166" ht="15" customHeight="1">
      <c r="A166" t="inlineStr">
        <is>
          <t>A 40779-2025</t>
        </is>
      </c>
      <c r="B166" s="1" t="n">
        <v>45897</v>
      </c>
      <c r="C166" s="1" t="n">
        <v>46139</v>
      </c>
      <c r="D166" t="inlineStr">
        <is>
          <t>NORRBOTTENS LÄN</t>
        </is>
      </c>
      <c r="E166" t="inlineStr">
        <is>
          <t>JOKKMOKK</t>
        </is>
      </c>
      <c r="F166" t="inlineStr">
        <is>
          <t>Sveaskog</t>
        </is>
      </c>
      <c r="G166" t="n">
        <v>53.8</v>
      </c>
      <c r="H166" t="n">
        <v>0</v>
      </c>
      <c r="I166" t="n">
        <v>0</v>
      </c>
      <c r="J166" t="n">
        <v>0</v>
      </c>
      <c r="K166" t="n">
        <v>0</v>
      </c>
      <c r="L166" t="n">
        <v>0</v>
      </c>
      <c r="M166" t="n">
        <v>0</v>
      </c>
      <c r="N166" t="n">
        <v>0</v>
      </c>
      <c r="O166" t="n">
        <v>0</v>
      </c>
      <c r="P166" t="n">
        <v>0</v>
      </c>
      <c r="Q166" t="n">
        <v>0</v>
      </c>
      <c r="R166" s="2" t="inlineStr"/>
    </row>
    <row r="167" ht="15" customHeight="1">
      <c r="A167" t="inlineStr">
        <is>
          <t>A 1615-2024</t>
        </is>
      </c>
      <c r="B167" s="1" t="n">
        <v>45306</v>
      </c>
      <c r="C167" s="1" t="n">
        <v>46139</v>
      </c>
      <c r="D167" t="inlineStr">
        <is>
          <t>NORRBOTTENS LÄN</t>
        </is>
      </c>
      <c r="E167" t="inlineStr">
        <is>
          <t>JOKKMOKK</t>
        </is>
      </c>
      <c r="G167" t="n">
        <v>10.8</v>
      </c>
      <c r="H167" t="n">
        <v>0</v>
      </c>
      <c r="I167" t="n">
        <v>0</v>
      </c>
      <c r="J167" t="n">
        <v>0</v>
      </c>
      <c r="K167" t="n">
        <v>0</v>
      </c>
      <c r="L167" t="n">
        <v>0</v>
      </c>
      <c r="M167" t="n">
        <v>0</v>
      </c>
      <c r="N167" t="n">
        <v>0</v>
      </c>
      <c r="O167" t="n">
        <v>0</v>
      </c>
      <c r="P167" t="n">
        <v>0</v>
      </c>
      <c r="Q167" t="n">
        <v>0</v>
      </c>
      <c r="R167" s="2" t="inlineStr"/>
    </row>
    <row r="168" ht="15" customHeight="1">
      <c r="A168" t="inlineStr">
        <is>
          <t>A 32915-2023</t>
        </is>
      </c>
      <c r="B168" s="1" t="n">
        <v>45124.95214120371</v>
      </c>
      <c r="C168" s="1" t="n">
        <v>46139</v>
      </c>
      <c r="D168" t="inlineStr">
        <is>
          <t>NORRBOTTENS LÄN</t>
        </is>
      </c>
      <c r="E168" t="inlineStr">
        <is>
          <t>JOKKMOKK</t>
        </is>
      </c>
      <c r="F168" t="inlineStr">
        <is>
          <t>SCA</t>
        </is>
      </c>
      <c r="G168" t="n">
        <v>15.1</v>
      </c>
      <c r="H168" t="n">
        <v>0</v>
      </c>
      <c r="I168" t="n">
        <v>0</v>
      </c>
      <c r="J168" t="n">
        <v>0</v>
      </c>
      <c r="K168" t="n">
        <v>0</v>
      </c>
      <c r="L168" t="n">
        <v>0</v>
      </c>
      <c r="M168" t="n">
        <v>0</v>
      </c>
      <c r="N168" t="n">
        <v>0</v>
      </c>
      <c r="O168" t="n">
        <v>0</v>
      </c>
      <c r="P168" t="n">
        <v>0</v>
      </c>
      <c r="Q168" t="n">
        <v>0</v>
      </c>
      <c r="R168" s="2" t="inlineStr"/>
    </row>
    <row r="169" ht="15" customHeight="1">
      <c r="A169" t="inlineStr">
        <is>
          <t>A 49477-2024</t>
        </is>
      </c>
      <c r="B169" s="1" t="n">
        <v>45596.34576388889</v>
      </c>
      <c r="C169" s="1" t="n">
        <v>46139</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45596.34599537037</v>
      </c>
      <c r="C170" s="1" t="n">
        <v>46139</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30401-2024</t>
        </is>
      </c>
      <c r="B171" s="1" t="n">
        <v>45491</v>
      </c>
      <c r="C171" s="1" t="n">
        <v>46139</v>
      </c>
      <c r="D171" t="inlineStr">
        <is>
          <t>NORRBOTTENS LÄN</t>
        </is>
      </c>
      <c r="E171" t="inlineStr">
        <is>
          <t>JOKKMOKK</t>
        </is>
      </c>
      <c r="G171" t="n">
        <v>1</v>
      </c>
      <c r="H171" t="n">
        <v>0</v>
      </c>
      <c r="I171" t="n">
        <v>0</v>
      </c>
      <c r="J171" t="n">
        <v>0</v>
      </c>
      <c r="K171" t="n">
        <v>0</v>
      </c>
      <c r="L171" t="n">
        <v>0</v>
      </c>
      <c r="M171" t="n">
        <v>0</v>
      </c>
      <c r="N171" t="n">
        <v>0</v>
      </c>
      <c r="O171" t="n">
        <v>0</v>
      </c>
      <c r="P171" t="n">
        <v>0</v>
      </c>
      <c r="Q171" t="n">
        <v>0</v>
      </c>
      <c r="R171" s="2" t="inlineStr"/>
    </row>
    <row r="172" ht="15" customHeight="1">
      <c r="A172" t="inlineStr">
        <is>
          <t>A 40836-2022</t>
        </is>
      </c>
      <c r="B172" s="1" t="n">
        <v>44824</v>
      </c>
      <c r="C172" s="1" t="n">
        <v>46139</v>
      </c>
      <c r="D172" t="inlineStr">
        <is>
          <t>NORRBOTTENS LÄN</t>
        </is>
      </c>
      <c r="E172" t="inlineStr">
        <is>
          <t>JOKKMOKK</t>
        </is>
      </c>
      <c r="F172" t="inlineStr">
        <is>
          <t>SCA</t>
        </is>
      </c>
      <c r="G172" t="n">
        <v>229.8</v>
      </c>
      <c r="H172" t="n">
        <v>0</v>
      </c>
      <c r="I172" t="n">
        <v>0</v>
      </c>
      <c r="J172" t="n">
        <v>0</v>
      </c>
      <c r="K172" t="n">
        <v>0</v>
      </c>
      <c r="L172" t="n">
        <v>0</v>
      </c>
      <c r="M172" t="n">
        <v>0</v>
      </c>
      <c r="N172" t="n">
        <v>0</v>
      </c>
      <c r="O172" t="n">
        <v>0</v>
      </c>
      <c r="P172" t="n">
        <v>0</v>
      </c>
      <c r="Q172" t="n">
        <v>0</v>
      </c>
      <c r="R172" s="2" t="inlineStr"/>
    </row>
    <row r="173" ht="15" customHeight="1">
      <c r="A173" t="inlineStr">
        <is>
          <t>A 41403-2025</t>
        </is>
      </c>
      <c r="B173" s="1" t="n">
        <v>45901.344375</v>
      </c>
      <c r="C173" s="1" t="n">
        <v>46139</v>
      </c>
      <c r="D173" t="inlineStr">
        <is>
          <t>NORRBOTTENS LÄN</t>
        </is>
      </c>
      <c r="E173" t="inlineStr">
        <is>
          <t>JOKKMOKK</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47157-2024</t>
        </is>
      </c>
      <c r="B174" s="1" t="n">
        <v>45586</v>
      </c>
      <c r="C174" s="1" t="n">
        <v>46139</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23204-2024</t>
        </is>
      </c>
      <c r="B175" s="1" t="n">
        <v>45451</v>
      </c>
      <c r="C175" s="1" t="n">
        <v>46139</v>
      </c>
      <c r="D175" t="inlineStr">
        <is>
          <t>NORRBOTTENS LÄN</t>
        </is>
      </c>
      <c r="E175" t="inlineStr">
        <is>
          <t>JOKKMOKK</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19493-2025</t>
        </is>
      </c>
      <c r="B176" s="1" t="n">
        <v>45770.38886574074</v>
      </c>
      <c r="C176" s="1" t="n">
        <v>46139</v>
      </c>
      <c r="D176" t="inlineStr">
        <is>
          <t>NORRBOTTENS LÄN</t>
        </is>
      </c>
      <c r="E176" t="inlineStr">
        <is>
          <t>JOKKMOKK</t>
        </is>
      </c>
      <c r="F176" t="inlineStr">
        <is>
          <t>SCA</t>
        </is>
      </c>
      <c r="G176" t="n">
        <v>7.1</v>
      </c>
      <c r="H176" t="n">
        <v>0</v>
      </c>
      <c r="I176" t="n">
        <v>0</v>
      </c>
      <c r="J176" t="n">
        <v>0</v>
      </c>
      <c r="K176" t="n">
        <v>0</v>
      </c>
      <c r="L176" t="n">
        <v>0</v>
      </c>
      <c r="M176" t="n">
        <v>0</v>
      </c>
      <c r="N176" t="n">
        <v>0</v>
      </c>
      <c r="O176" t="n">
        <v>0</v>
      </c>
      <c r="P176" t="n">
        <v>0</v>
      </c>
      <c r="Q176" t="n">
        <v>0</v>
      </c>
      <c r="R176" s="2" t="inlineStr"/>
    </row>
    <row r="177" ht="15" customHeight="1">
      <c r="A177" t="inlineStr">
        <is>
          <t>A 29213-2024</t>
        </is>
      </c>
      <c r="B177" s="1" t="n">
        <v>45482</v>
      </c>
      <c r="C177" s="1" t="n">
        <v>46139</v>
      </c>
      <c r="D177" t="inlineStr">
        <is>
          <t>NORRBOTTENS LÄN</t>
        </is>
      </c>
      <c r="E177" t="inlineStr">
        <is>
          <t>JOKKMOKK</t>
        </is>
      </c>
      <c r="G177" t="n">
        <v>55</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46139</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52882-2023</t>
        </is>
      </c>
      <c r="B179" s="1" t="n">
        <v>45222</v>
      </c>
      <c r="C179" s="1" t="n">
        <v>46139</v>
      </c>
      <c r="D179" t="inlineStr">
        <is>
          <t>NORRBOTTENS LÄN</t>
        </is>
      </c>
      <c r="E179" t="inlineStr">
        <is>
          <t>JOKKMOKK</t>
        </is>
      </c>
      <c r="G179" t="n">
        <v>56.1</v>
      </c>
      <c r="H179" t="n">
        <v>0</v>
      </c>
      <c r="I179" t="n">
        <v>0</v>
      </c>
      <c r="J179" t="n">
        <v>0</v>
      </c>
      <c r="K179" t="n">
        <v>0</v>
      </c>
      <c r="L179" t="n">
        <v>0</v>
      </c>
      <c r="M179" t="n">
        <v>0</v>
      </c>
      <c r="N179" t="n">
        <v>0</v>
      </c>
      <c r="O179" t="n">
        <v>0</v>
      </c>
      <c r="P179" t="n">
        <v>0</v>
      </c>
      <c r="Q179" t="n">
        <v>0</v>
      </c>
      <c r="R179" s="2" t="inlineStr"/>
    </row>
    <row r="180" ht="15" customHeight="1">
      <c r="A180" t="inlineStr">
        <is>
          <t>A 42322-2025</t>
        </is>
      </c>
      <c r="B180" s="1" t="n">
        <v>45904</v>
      </c>
      <c r="C180" s="1" t="n">
        <v>46139</v>
      </c>
      <c r="D180" t="inlineStr">
        <is>
          <t>NORRBOTTENS LÄN</t>
        </is>
      </c>
      <c r="E180" t="inlineStr">
        <is>
          <t>JOKKMOKK</t>
        </is>
      </c>
      <c r="G180" t="n">
        <v>3.8</v>
      </c>
      <c r="H180" t="n">
        <v>0</v>
      </c>
      <c r="I180" t="n">
        <v>0</v>
      </c>
      <c r="J180" t="n">
        <v>0</v>
      </c>
      <c r="K180" t="n">
        <v>0</v>
      </c>
      <c r="L180" t="n">
        <v>0</v>
      </c>
      <c r="M180" t="n">
        <v>0</v>
      </c>
      <c r="N180" t="n">
        <v>0</v>
      </c>
      <c r="O180" t="n">
        <v>0</v>
      </c>
      <c r="P180" t="n">
        <v>0</v>
      </c>
      <c r="Q180" t="n">
        <v>0</v>
      </c>
      <c r="R180" s="2" t="inlineStr"/>
    </row>
    <row r="181" ht="15" customHeight="1">
      <c r="A181" t="inlineStr">
        <is>
          <t>A 61640-2024</t>
        </is>
      </c>
      <c r="B181" s="1" t="n">
        <v>45646.68362268519</v>
      </c>
      <c r="C181" s="1" t="n">
        <v>46139</v>
      </c>
      <c r="D181" t="inlineStr">
        <is>
          <t>NORRBOTTENS LÄN</t>
        </is>
      </c>
      <c r="E181" t="inlineStr">
        <is>
          <t>JOKKMOKK</t>
        </is>
      </c>
      <c r="G181" t="n">
        <v>10.6</v>
      </c>
      <c r="H181" t="n">
        <v>0</v>
      </c>
      <c r="I181" t="n">
        <v>0</v>
      </c>
      <c r="J181" t="n">
        <v>0</v>
      </c>
      <c r="K181" t="n">
        <v>0</v>
      </c>
      <c r="L181" t="n">
        <v>0</v>
      </c>
      <c r="M181" t="n">
        <v>0</v>
      </c>
      <c r="N181" t="n">
        <v>0</v>
      </c>
      <c r="O181" t="n">
        <v>0</v>
      </c>
      <c r="P181" t="n">
        <v>0</v>
      </c>
      <c r="Q181" t="n">
        <v>0</v>
      </c>
      <c r="R181" s="2" t="inlineStr"/>
    </row>
    <row r="182" ht="15" customHeight="1">
      <c r="A182" t="inlineStr">
        <is>
          <t>A 61641-2024</t>
        </is>
      </c>
      <c r="B182" s="1" t="n">
        <v>45646</v>
      </c>
      <c r="C182" s="1" t="n">
        <v>46139</v>
      </c>
      <c r="D182" t="inlineStr">
        <is>
          <t>NORRBOTTENS LÄN</t>
        </is>
      </c>
      <c r="E182" t="inlineStr">
        <is>
          <t>JOKKMOKK</t>
        </is>
      </c>
      <c r="G182" t="n">
        <v>3.2</v>
      </c>
      <c r="H182" t="n">
        <v>0</v>
      </c>
      <c r="I182" t="n">
        <v>0</v>
      </c>
      <c r="J182" t="n">
        <v>0</v>
      </c>
      <c r="K182" t="n">
        <v>0</v>
      </c>
      <c r="L182" t="n">
        <v>0</v>
      </c>
      <c r="M182" t="n">
        <v>0</v>
      </c>
      <c r="N182" t="n">
        <v>0</v>
      </c>
      <c r="O182" t="n">
        <v>0</v>
      </c>
      <c r="P182" t="n">
        <v>0</v>
      </c>
      <c r="Q182" t="n">
        <v>0</v>
      </c>
      <c r="R182" s="2" t="inlineStr"/>
    </row>
    <row r="183" ht="15" customHeight="1">
      <c r="A183" t="inlineStr">
        <is>
          <t>A 42575-2025</t>
        </is>
      </c>
      <c r="B183" s="1" t="n">
        <v>45905.61263888889</v>
      </c>
      <c r="C183" s="1" t="n">
        <v>46139</v>
      </c>
      <c r="D183" t="inlineStr">
        <is>
          <t>NORRBOTTENS LÄN</t>
        </is>
      </c>
      <c r="E183" t="inlineStr">
        <is>
          <t>JOKKMOKK</t>
        </is>
      </c>
      <c r="F183" t="inlineStr">
        <is>
          <t>Sveaskog</t>
        </is>
      </c>
      <c r="G183" t="n">
        <v>17.4</v>
      </c>
      <c r="H183" t="n">
        <v>0</v>
      </c>
      <c r="I183" t="n">
        <v>0</v>
      </c>
      <c r="J183" t="n">
        <v>0</v>
      </c>
      <c r="K183" t="n">
        <v>0</v>
      </c>
      <c r="L183" t="n">
        <v>0</v>
      </c>
      <c r="M183" t="n">
        <v>0</v>
      </c>
      <c r="N183" t="n">
        <v>0</v>
      </c>
      <c r="O183" t="n">
        <v>0</v>
      </c>
      <c r="P183" t="n">
        <v>0</v>
      </c>
      <c r="Q183" t="n">
        <v>0</v>
      </c>
      <c r="R183" s="2" t="inlineStr"/>
    </row>
    <row r="184" ht="15" customHeight="1">
      <c r="A184" t="inlineStr">
        <is>
          <t>A 40658-2024</t>
        </is>
      </c>
      <c r="B184" s="1" t="n">
        <v>45558</v>
      </c>
      <c r="C184" s="1" t="n">
        <v>46139</v>
      </c>
      <c r="D184" t="inlineStr">
        <is>
          <t>NORRBOTTENS LÄN</t>
        </is>
      </c>
      <c r="E184" t="inlineStr">
        <is>
          <t>JOKKMOKK</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18772-2023</t>
        </is>
      </c>
      <c r="B185" s="1" t="n">
        <v>45043</v>
      </c>
      <c r="C185" s="1" t="n">
        <v>46139</v>
      </c>
      <c r="D185" t="inlineStr">
        <is>
          <t>NORRBOTTENS LÄN</t>
        </is>
      </c>
      <c r="E185" t="inlineStr">
        <is>
          <t>JOKKMOKK</t>
        </is>
      </c>
      <c r="F185" t="inlineStr">
        <is>
          <t>SCA</t>
        </is>
      </c>
      <c r="G185" t="n">
        <v>11.9</v>
      </c>
      <c r="H185" t="n">
        <v>0</v>
      </c>
      <c r="I185" t="n">
        <v>0</v>
      </c>
      <c r="J185" t="n">
        <v>0</v>
      </c>
      <c r="K185" t="n">
        <v>0</v>
      </c>
      <c r="L185" t="n">
        <v>0</v>
      </c>
      <c r="M185" t="n">
        <v>0</v>
      </c>
      <c r="N185" t="n">
        <v>0</v>
      </c>
      <c r="O185" t="n">
        <v>0</v>
      </c>
      <c r="P185" t="n">
        <v>0</v>
      </c>
      <c r="Q185" t="n">
        <v>0</v>
      </c>
      <c r="R185" s="2" t="inlineStr"/>
    </row>
    <row r="186" ht="15" customHeight="1">
      <c r="A186" t="inlineStr">
        <is>
          <t>A 42126-2025</t>
        </is>
      </c>
      <c r="B186" s="1" t="n">
        <v>45904.34486111111</v>
      </c>
      <c r="C186" s="1" t="n">
        <v>46139</v>
      </c>
      <c r="D186" t="inlineStr">
        <is>
          <t>NORRBOTTENS LÄN</t>
        </is>
      </c>
      <c r="E186" t="inlineStr">
        <is>
          <t>JOKKMOKK</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21829-2025</t>
        </is>
      </c>
      <c r="B187" s="1" t="n">
        <v>45783.96920138889</v>
      </c>
      <c r="C187" s="1" t="n">
        <v>46139</v>
      </c>
      <c r="D187" t="inlineStr">
        <is>
          <t>NORRBOTTENS LÄN</t>
        </is>
      </c>
      <c r="E187" t="inlineStr">
        <is>
          <t>JOKKMOKK</t>
        </is>
      </c>
      <c r="G187" t="n">
        <v>7.1</v>
      </c>
      <c r="H187" t="n">
        <v>0</v>
      </c>
      <c r="I187" t="n">
        <v>0</v>
      </c>
      <c r="J187" t="n">
        <v>0</v>
      </c>
      <c r="K187" t="n">
        <v>0</v>
      </c>
      <c r="L187" t="n">
        <v>0</v>
      </c>
      <c r="M187" t="n">
        <v>0</v>
      </c>
      <c r="N187" t="n">
        <v>0</v>
      </c>
      <c r="O187" t="n">
        <v>0</v>
      </c>
      <c r="P187" t="n">
        <v>0</v>
      </c>
      <c r="Q187" t="n">
        <v>0</v>
      </c>
      <c r="R187" s="2" t="inlineStr"/>
    </row>
    <row r="188" ht="15" customHeight="1">
      <c r="A188" t="inlineStr">
        <is>
          <t>A 42944-2025</t>
        </is>
      </c>
      <c r="B188" s="1" t="n">
        <v>45909.34434027778</v>
      </c>
      <c r="C188" s="1" t="n">
        <v>46139</v>
      </c>
      <c r="D188" t="inlineStr">
        <is>
          <t>NORRBOTTENS LÄN</t>
        </is>
      </c>
      <c r="E188" t="inlineStr">
        <is>
          <t>JOKKMOKK</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42959-2025</t>
        </is>
      </c>
      <c r="B189" s="1" t="n">
        <v>45909</v>
      </c>
      <c r="C189" s="1" t="n">
        <v>46139</v>
      </c>
      <c r="D189" t="inlineStr">
        <is>
          <t>NORRBOTTENS LÄN</t>
        </is>
      </c>
      <c r="E189" t="inlineStr">
        <is>
          <t>JOKKMOKK</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49679-2024</t>
        </is>
      </c>
      <c r="B190" s="1" t="n">
        <v>45596.6649537037</v>
      </c>
      <c r="C190" s="1" t="n">
        <v>46139</v>
      </c>
      <c r="D190" t="inlineStr">
        <is>
          <t>NORRBOTTENS LÄN</t>
        </is>
      </c>
      <c r="E190" t="inlineStr">
        <is>
          <t>JOKKMOKK</t>
        </is>
      </c>
      <c r="F190" t="inlineStr">
        <is>
          <t>Allmännings- och besparingsskogar</t>
        </is>
      </c>
      <c r="G190" t="n">
        <v>14.1</v>
      </c>
      <c r="H190" t="n">
        <v>0</v>
      </c>
      <c r="I190" t="n">
        <v>0</v>
      </c>
      <c r="J190" t="n">
        <v>0</v>
      </c>
      <c r="K190" t="n">
        <v>0</v>
      </c>
      <c r="L190" t="n">
        <v>0</v>
      </c>
      <c r="M190" t="n">
        <v>0</v>
      </c>
      <c r="N190" t="n">
        <v>0</v>
      </c>
      <c r="O190" t="n">
        <v>0</v>
      </c>
      <c r="P190" t="n">
        <v>0</v>
      </c>
      <c r="Q190" t="n">
        <v>0</v>
      </c>
      <c r="R190" s="2" t="inlineStr"/>
    </row>
    <row r="191" ht="15" customHeight="1">
      <c r="A191" t="inlineStr">
        <is>
          <t>A 42664-2025</t>
        </is>
      </c>
      <c r="B191" s="1" t="n">
        <v>45907</v>
      </c>
      <c r="C191" s="1" t="n">
        <v>46139</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26131-2023</t>
        </is>
      </c>
      <c r="B192" s="1" t="n">
        <v>45086</v>
      </c>
      <c r="C192" s="1" t="n">
        <v>46139</v>
      </c>
      <c r="D192" t="inlineStr">
        <is>
          <t>NORRBOTTENS LÄN</t>
        </is>
      </c>
      <c r="E192" t="inlineStr">
        <is>
          <t>JOKKMOKK</t>
        </is>
      </c>
      <c r="G192" t="n">
        <v>35.6</v>
      </c>
      <c r="H192" t="n">
        <v>0</v>
      </c>
      <c r="I192" t="n">
        <v>0</v>
      </c>
      <c r="J192" t="n">
        <v>0</v>
      </c>
      <c r="K192" t="n">
        <v>0</v>
      </c>
      <c r="L192" t="n">
        <v>0</v>
      </c>
      <c r="M192" t="n">
        <v>0</v>
      </c>
      <c r="N192" t="n">
        <v>0</v>
      </c>
      <c r="O192" t="n">
        <v>0</v>
      </c>
      <c r="P192" t="n">
        <v>0</v>
      </c>
      <c r="Q192" t="n">
        <v>0</v>
      </c>
      <c r="R192" s="2" t="inlineStr"/>
    </row>
    <row r="193" ht="15" customHeight="1">
      <c r="A193" t="inlineStr">
        <is>
          <t>A 29212-2024</t>
        </is>
      </c>
      <c r="B193" s="1" t="n">
        <v>45482</v>
      </c>
      <c r="C193" s="1" t="n">
        <v>46139</v>
      </c>
      <c r="D193" t="inlineStr">
        <is>
          <t>NORRBOTTENS LÄN</t>
        </is>
      </c>
      <c r="E193" t="inlineStr">
        <is>
          <t>JOKKMOKK</t>
        </is>
      </c>
      <c r="G193" t="n">
        <v>8.5</v>
      </c>
      <c r="H193" t="n">
        <v>0</v>
      </c>
      <c r="I193" t="n">
        <v>0</v>
      </c>
      <c r="J193" t="n">
        <v>0</v>
      </c>
      <c r="K193" t="n">
        <v>0</v>
      </c>
      <c r="L193" t="n">
        <v>0</v>
      </c>
      <c r="M193" t="n">
        <v>0</v>
      </c>
      <c r="N193" t="n">
        <v>0</v>
      </c>
      <c r="O193" t="n">
        <v>0</v>
      </c>
      <c r="P193" t="n">
        <v>0</v>
      </c>
      <c r="Q193" t="n">
        <v>0</v>
      </c>
      <c r="R193" s="2" t="inlineStr"/>
    </row>
    <row r="194" ht="15" customHeight="1">
      <c r="A194" t="inlineStr">
        <is>
          <t>A 453-2025</t>
        </is>
      </c>
      <c r="B194" s="1" t="n">
        <v>45664.4005787037</v>
      </c>
      <c r="C194" s="1" t="n">
        <v>46139</v>
      </c>
      <c r="D194" t="inlineStr">
        <is>
          <t>NORRBOTTENS LÄN</t>
        </is>
      </c>
      <c r="E194" t="inlineStr">
        <is>
          <t>JOKKMOKK</t>
        </is>
      </c>
      <c r="F194" t="inlineStr">
        <is>
          <t>Övriga statliga verk och myndigheter</t>
        </is>
      </c>
      <c r="G194" t="n">
        <v>5</v>
      </c>
      <c r="H194" t="n">
        <v>0</v>
      </c>
      <c r="I194" t="n">
        <v>0</v>
      </c>
      <c r="J194" t="n">
        <v>0</v>
      </c>
      <c r="K194" t="n">
        <v>0</v>
      </c>
      <c r="L194" t="n">
        <v>0</v>
      </c>
      <c r="M194" t="n">
        <v>0</v>
      </c>
      <c r="N194" t="n">
        <v>0</v>
      </c>
      <c r="O194" t="n">
        <v>0</v>
      </c>
      <c r="P194" t="n">
        <v>0</v>
      </c>
      <c r="Q194" t="n">
        <v>0</v>
      </c>
      <c r="R194" s="2" t="inlineStr"/>
    </row>
    <row r="195" ht="15" customHeight="1">
      <c r="A195" t="inlineStr">
        <is>
          <t>A 2826-2025</t>
        </is>
      </c>
      <c r="B195" s="1" t="n">
        <v>45677.61483796296</v>
      </c>
      <c r="C195" s="1" t="n">
        <v>46139</v>
      </c>
      <c r="D195" t="inlineStr">
        <is>
          <t>NORRBOTTENS LÄN</t>
        </is>
      </c>
      <c r="E195" t="inlineStr">
        <is>
          <t>JOKKMOKK</t>
        </is>
      </c>
      <c r="F195" t="inlineStr">
        <is>
          <t>Övriga statliga verk och myndigheter</t>
        </is>
      </c>
      <c r="G195" t="n">
        <v>10.5</v>
      </c>
      <c r="H195" t="n">
        <v>0</v>
      </c>
      <c r="I195" t="n">
        <v>0</v>
      </c>
      <c r="J195" t="n">
        <v>0</v>
      </c>
      <c r="K195" t="n">
        <v>0</v>
      </c>
      <c r="L195" t="n">
        <v>0</v>
      </c>
      <c r="M195" t="n">
        <v>0</v>
      </c>
      <c r="N195" t="n">
        <v>0</v>
      </c>
      <c r="O195" t="n">
        <v>0</v>
      </c>
      <c r="P195" t="n">
        <v>0</v>
      </c>
      <c r="Q195" t="n">
        <v>0</v>
      </c>
      <c r="R195" s="2" t="inlineStr"/>
    </row>
    <row r="196" ht="15" customHeight="1">
      <c r="A196" t="inlineStr">
        <is>
          <t>A 43997-2025</t>
        </is>
      </c>
      <c r="B196" s="1" t="n">
        <v>45915.44868055556</v>
      </c>
      <c r="C196" s="1" t="n">
        <v>46139</v>
      </c>
      <c r="D196" t="inlineStr">
        <is>
          <t>NORRBOTTENS LÄN</t>
        </is>
      </c>
      <c r="E196" t="inlineStr">
        <is>
          <t>JOKKMOKK</t>
        </is>
      </c>
      <c r="G196" t="n">
        <v>4.5</v>
      </c>
      <c r="H196" t="n">
        <v>0</v>
      </c>
      <c r="I196" t="n">
        <v>0</v>
      </c>
      <c r="J196" t="n">
        <v>0</v>
      </c>
      <c r="K196" t="n">
        <v>0</v>
      </c>
      <c r="L196" t="n">
        <v>0</v>
      </c>
      <c r="M196" t="n">
        <v>0</v>
      </c>
      <c r="N196" t="n">
        <v>0</v>
      </c>
      <c r="O196" t="n">
        <v>0</v>
      </c>
      <c r="P196" t="n">
        <v>0</v>
      </c>
      <c r="Q196" t="n">
        <v>0</v>
      </c>
      <c r="R196" s="2" t="inlineStr"/>
    </row>
    <row r="197" ht="15" customHeight="1">
      <c r="A197" t="inlineStr">
        <is>
          <t>A 45468-2022</t>
        </is>
      </c>
      <c r="B197" s="1" t="n">
        <v>44841</v>
      </c>
      <c r="C197" s="1" t="n">
        <v>46139</v>
      </c>
      <c r="D197" t="inlineStr">
        <is>
          <t>NORRBOTTENS LÄN</t>
        </is>
      </c>
      <c r="E197" t="inlineStr">
        <is>
          <t>JOKKMOKK</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32915-2024</t>
        </is>
      </c>
      <c r="B198" s="1" t="n">
        <v>45516</v>
      </c>
      <c r="C198" s="1" t="n">
        <v>46139</v>
      </c>
      <c r="D198" t="inlineStr">
        <is>
          <t>NORRBOTTENS LÄN</t>
        </is>
      </c>
      <c r="E198" t="inlineStr">
        <is>
          <t>JOKKMOKK</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43658-2025</t>
        </is>
      </c>
      <c r="B199" s="1" t="n">
        <v>45912.34276620371</v>
      </c>
      <c r="C199" s="1" t="n">
        <v>46139</v>
      </c>
      <c r="D199" t="inlineStr">
        <is>
          <t>NORRBOTTENS LÄN</t>
        </is>
      </c>
      <c r="E199" t="inlineStr">
        <is>
          <t>JOKKMOKK</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23203-2024</t>
        </is>
      </c>
      <c r="B200" s="1" t="n">
        <v>45451</v>
      </c>
      <c r="C200" s="1" t="n">
        <v>46139</v>
      </c>
      <c r="D200" t="inlineStr">
        <is>
          <t>NORRBOTTENS LÄN</t>
        </is>
      </c>
      <c r="E200" t="inlineStr">
        <is>
          <t>JOKKMOKK</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44691-2025</t>
        </is>
      </c>
      <c r="B201" s="1" t="n">
        <v>45917.59425925926</v>
      </c>
      <c r="C201" s="1" t="n">
        <v>46139</v>
      </c>
      <c r="D201" t="inlineStr">
        <is>
          <t>NORRBOTTENS LÄN</t>
        </is>
      </c>
      <c r="E201" t="inlineStr">
        <is>
          <t>JOKKMOKK</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44606-2025</t>
        </is>
      </c>
      <c r="B202" s="1" t="n">
        <v>45917.4485300926</v>
      </c>
      <c r="C202" s="1" t="n">
        <v>46139</v>
      </c>
      <c r="D202" t="inlineStr">
        <is>
          <t>NORRBOTTENS LÄN</t>
        </is>
      </c>
      <c r="E202" t="inlineStr">
        <is>
          <t>JOKKMOKK</t>
        </is>
      </c>
      <c r="F202" t="inlineStr">
        <is>
          <t>SCA</t>
        </is>
      </c>
      <c r="G202" t="n">
        <v>4.3</v>
      </c>
      <c r="H202" t="n">
        <v>0</v>
      </c>
      <c r="I202" t="n">
        <v>0</v>
      </c>
      <c r="J202" t="n">
        <v>0</v>
      </c>
      <c r="K202" t="n">
        <v>0</v>
      </c>
      <c r="L202" t="n">
        <v>0</v>
      </c>
      <c r="M202" t="n">
        <v>0</v>
      </c>
      <c r="N202" t="n">
        <v>0</v>
      </c>
      <c r="O202" t="n">
        <v>0</v>
      </c>
      <c r="P202" t="n">
        <v>0</v>
      </c>
      <c r="Q202" t="n">
        <v>0</v>
      </c>
      <c r="R202" s="2" t="inlineStr"/>
    </row>
    <row r="203" ht="15" customHeight="1">
      <c r="A203" t="inlineStr">
        <is>
          <t>A 45065-2025</t>
        </is>
      </c>
      <c r="B203" s="1" t="n">
        <v>45919.34540509259</v>
      </c>
      <c r="C203" s="1" t="n">
        <v>46139</v>
      </c>
      <c r="D203" t="inlineStr">
        <is>
          <t>NORRBOTTENS LÄN</t>
        </is>
      </c>
      <c r="E203" t="inlineStr">
        <is>
          <t>JOKKMOKK</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44145-2024</t>
        </is>
      </c>
      <c r="B204" s="1" t="n">
        <v>45572.66908564815</v>
      </c>
      <c r="C204" s="1" t="n">
        <v>46139</v>
      </c>
      <c r="D204" t="inlineStr">
        <is>
          <t>NORRBOTTENS LÄN</t>
        </is>
      </c>
      <c r="E204" t="inlineStr">
        <is>
          <t>JOKKMOKK</t>
        </is>
      </c>
      <c r="F204" t="inlineStr">
        <is>
          <t>Sveaskog</t>
        </is>
      </c>
      <c r="G204" t="n">
        <v>4.7</v>
      </c>
      <c r="H204" t="n">
        <v>0</v>
      </c>
      <c r="I204" t="n">
        <v>0</v>
      </c>
      <c r="J204" t="n">
        <v>0</v>
      </c>
      <c r="K204" t="n">
        <v>0</v>
      </c>
      <c r="L204" t="n">
        <v>0</v>
      </c>
      <c r="M204" t="n">
        <v>0</v>
      </c>
      <c r="N204" t="n">
        <v>0</v>
      </c>
      <c r="O204" t="n">
        <v>0</v>
      </c>
      <c r="P204" t="n">
        <v>0</v>
      </c>
      <c r="Q204" t="n">
        <v>0</v>
      </c>
      <c r="R204" s="2" t="inlineStr"/>
    </row>
    <row r="205" ht="15" customHeight="1">
      <c r="A205" t="inlineStr">
        <is>
          <t>A 44958-2025</t>
        </is>
      </c>
      <c r="B205" s="1" t="n">
        <v>45918.61519675926</v>
      </c>
      <c r="C205" s="1" t="n">
        <v>46139</v>
      </c>
      <c r="D205" t="inlineStr">
        <is>
          <t>NORRBOTTENS LÄN</t>
        </is>
      </c>
      <c r="E205" t="inlineStr">
        <is>
          <t>JOKKMOKK</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9874-2023</t>
        </is>
      </c>
      <c r="B206" s="1" t="n">
        <v>44984.94069444444</v>
      </c>
      <c r="C206" s="1" t="n">
        <v>46139</v>
      </c>
      <c r="D206" t="inlineStr">
        <is>
          <t>NORRBOTTENS LÄN</t>
        </is>
      </c>
      <c r="E206" t="inlineStr">
        <is>
          <t>JOKKMOKK</t>
        </is>
      </c>
      <c r="G206" t="n">
        <v>1.7</v>
      </c>
      <c r="H206" t="n">
        <v>0</v>
      </c>
      <c r="I206" t="n">
        <v>0</v>
      </c>
      <c r="J206" t="n">
        <v>0</v>
      </c>
      <c r="K206" t="n">
        <v>0</v>
      </c>
      <c r="L206" t="n">
        <v>0</v>
      </c>
      <c r="M206" t="n">
        <v>0</v>
      </c>
      <c r="N206" t="n">
        <v>0</v>
      </c>
      <c r="O206" t="n">
        <v>0</v>
      </c>
      <c r="P206" t="n">
        <v>0</v>
      </c>
      <c r="Q206" t="n">
        <v>0</v>
      </c>
      <c r="R206" s="2" t="inlineStr"/>
    </row>
    <row r="207" ht="15" customHeight="1">
      <c r="A207" t="inlineStr">
        <is>
          <t>A 9875-2023</t>
        </is>
      </c>
      <c r="B207" s="1" t="n">
        <v>44984.94076388889</v>
      </c>
      <c r="C207" s="1" t="n">
        <v>46139</v>
      </c>
      <c r="D207" t="inlineStr">
        <is>
          <t>NORRBOTTENS LÄN</t>
        </is>
      </c>
      <c r="E207" t="inlineStr">
        <is>
          <t>JOKKMOKK</t>
        </is>
      </c>
      <c r="G207" t="n">
        <v>0.6</v>
      </c>
      <c r="H207" t="n">
        <v>0</v>
      </c>
      <c r="I207" t="n">
        <v>0</v>
      </c>
      <c r="J207" t="n">
        <v>0</v>
      </c>
      <c r="K207" t="n">
        <v>0</v>
      </c>
      <c r="L207" t="n">
        <v>0</v>
      </c>
      <c r="M207" t="n">
        <v>0</v>
      </c>
      <c r="N207" t="n">
        <v>0</v>
      </c>
      <c r="O207" t="n">
        <v>0</v>
      </c>
      <c r="P207" t="n">
        <v>0</v>
      </c>
      <c r="Q207" t="n">
        <v>0</v>
      </c>
      <c r="R207" s="2" t="inlineStr"/>
    </row>
    <row r="208" ht="15" customHeight="1">
      <c r="A208" t="inlineStr">
        <is>
          <t>A 23317-2025</t>
        </is>
      </c>
      <c r="B208" s="1" t="n">
        <v>45791.61278935185</v>
      </c>
      <c r="C208" s="1" t="n">
        <v>46139</v>
      </c>
      <c r="D208" t="inlineStr">
        <is>
          <t>NORRBOTTENS LÄN</t>
        </is>
      </c>
      <c r="E208" t="inlineStr">
        <is>
          <t>JOKKMOKK</t>
        </is>
      </c>
      <c r="F208" t="inlineStr">
        <is>
          <t>Sveaskog</t>
        </is>
      </c>
      <c r="G208" t="n">
        <v>22.4</v>
      </c>
      <c r="H208" t="n">
        <v>0</v>
      </c>
      <c r="I208" t="n">
        <v>0</v>
      </c>
      <c r="J208" t="n">
        <v>0</v>
      </c>
      <c r="K208" t="n">
        <v>0</v>
      </c>
      <c r="L208" t="n">
        <v>0</v>
      </c>
      <c r="M208" t="n">
        <v>0</v>
      </c>
      <c r="N208" t="n">
        <v>0</v>
      </c>
      <c r="O208" t="n">
        <v>0</v>
      </c>
      <c r="P208" t="n">
        <v>0</v>
      </c>
      <c r="Q208" t="n">
        <v>0</v>
      </c>
      <c r="R208" s="2" t="inlineStr"/>
    </row>
    <row r="209" ht="15" customHeight="1">
      <c r="A209" t="inlineStr">
        <is>
          <t>A 51293-2024</t>
        </is>
      </c>
      <c r="B209" s="1" t="n">
        <v>45603.92878472222</v>
      </c>
      <c r="C209" s="1" t="n">
        <v>46139</v>
      </c>
      <c r="D209" t="inlineStr">
        <is>
          <t>NORRBOTTENS LÄN</t>
        </is>
      </c>
      <c r="E209" t="inlineStr">
        <is>
          <t>JOKKMOKK</t>
        </is>
      </c>
      <c r="G209" t="n">
        <v>2.5</v>
      </c>
      <c r="H209" t="n">
        <v>0</v>
      </c>
      <c r="I209" t="n">
        <v>0</v>
      </c>
      <c r="J209" t="n">
        <v>0</v>
      </c>
      <c r="K209" t="n">
        <v>0</v>
      </c>
      <c r="L209" t="n">
        <v>0</v>
      </c>
      <c r="M209" t="n">
        <v>0</v>
      </c>
      <c r="N209" t="n">
        <v>0</v>
      </c>
      <c r="O209" t="n">
        <v>0</v>
      </c>
      <c r="P209" t="n">
        <v>0</v>
      </c>
      <c r="Q209" t="n">
        <v>0</v>
      </c>
      <c r="R209" s="2" t="inlineStr"/>
    </row>
    <row r="210" ht="15" customHeight="1">
      <c r="A210" t="inlineStr">
        <is>
          <t>A 45064-2025</t>
        </is>
      </c>
      <c r="B210" s="1" t="n">
        <v>45919.34533564815</v>
      </c>
      <c r="C210" s="1" t="n">
        <v>46139</v>
      </c>
      <c r="D210" t="inlineStr">
        <is>
          <t>NORRBOTTENS LÄN</t>
        </is>
      </c>
      <c r="E210" t="inlineStr">
        <is>
          <t>JOKKMOKK</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7845-2024</t>
        </is>
      </c>
      <c r="B211" s="1" t="n">
        <v>45349</v>
      </c>
      <c r="C211" s="1" t="n">
        <v>46139</v>
      </c>
      <c r="D211" t="inlineStr">
        <is>
          <t>NORRBOTTENS LÄN</t>
        </is>
      </c>
      <c r="E211" t="inlineStr">
        <is>
          <t>JOKKMOKK</t>
        </is>
      </c>
      <c r="G211" t="n">
        <v>3</v>
      </c>
      <c r="H211" t="n">
        <v>0</v>
      </c>
      <c r="I211" t="n">
        <v>0</v>
      </c>
      <c r="J211" t="n">
        <v>0</v>
      </c>
      <c r="K211" t="n">
        <v>0</v>
      </c>
      <c r="L211" t="n">
        <v>0</v>
      </c>
      <c r="M211" t="n">
        <v>0</v>
      </c>
      <c r="N211" t="n">
        <v>0</v>
      </c>
      <c r="O211" t="n">
        <v>0</v>
      </c>
      <c r="P211" t="n">
        <v>0</v>
      </c>
      <c r="Q211" t="n">
        <v>0</v>
      </c>
      <c r="R211" s="2" t="inlineStr"/>
    </row>
    <row r="212" ht="15" customHeight="1">
      <c r="A212" t="inlineStr">
        <is>
          <t>A 44842-2025</t>
        </is>
      </c>
      <c r="B212" s="1" t="n">
        <v>45918.42957175926</v>
      </c>
      <c r="C212" s="1" t="n">
        <v>46139</v>
      </c>
      <c r="D212" t="inlineStr">
        <is>
          <t>NORRBOTTENS LÄN</t>
        </is>
      </c>
      <c r="E212" t="inlineStr">
        <is>
          <t>JOKKMOKK</t>
        </is>
      </c>
      <c r="G212" t="n">
        <v>7.7</v>
      </c>
      <c r="H212" t="n">
        <v>0</v>
      </c>
      <c r="I212" t="n">
        <v>0</v>
      </c>
      <c r="J212" t="n">
        <v>0</v>
      </c>
      <c r="K212" t="n">
        <v>0</v>
      </c>
      <c r="L212" t="n">
        <v>0</v>
      </c>
      <c r="M212" t="n">
        <v>0</v>
      </c>
      <c r="N212" t="n">
        <v>0</v>
      </c>
      <c r="O212" t="n">
        <v>0</v>
      </c>
      <c r="P212" t="n">
        <v>0</v>
      </c>
      <c r="Q212" t="n">
        <v>0</v>
      </c>
      <c r="R212" s="2" t="inlineStr"/>
    </row>
    <row r="213" ht="15" customHeight="1">
      <c r="A213" t="inlineStr">
        <is>
          <t>A 33740-2025</t>
        </is>
      </c>
      <c r="B213" s="1" t="n">
        <v>45842.34456018519</v>
      </c>
      <c r="C213" s="1" t="n">
        <v>46139</v>
      </c>
      <c r="D213" t="inlineStr">
        <is>
          <t>NORRBOTTENS LÄN</t>
        </is>
      </c>
      <c r="E213" t="inlineStr">
        <is>
          <t>JOKKMOKK</t>
        </is>
      </c>
      <c r="F213" t="inlineStr">
        <is>
          <t>SCA</t>
        </is>
      </c>
      <c r="G213" t="n">
        <v>23.3</v>
      </c>
      <c r="H213" t="n">
        <v>0</v>
      </c>
      <c r="I213" t="n">
        <v>0</v>
      </c>
      <c r="J213" t="n">
        <v>0</v>
      </c>
      <c r="K213" t="n">
        <v>0</v>
      </c>
      <c r="L213" t="n">
        <v>0</v>
      </c>
      <c r="M213" t="n">
        <v>0</v>
      </c>
      <c r="N213" t="n">
        <v>0</v>
      </c>
      <c r="O213" t="n">
        <v>0</v>
      </c>
      <c r="P213" t="n">
        <v>0</v>
      </c>
      <c r="Q213" t="n">
        <v>0</v>
      </c>
      <c r="R213" s="2" t="inlineStr"/>
    </row>
    <row r="214" ht="15" customHeight="1">
      <c r="A214" t="inlineStr">
        <is>
          <t>A 32900-2023</t>
        </is>
      </c>
      <c r="B214" s="1" t="n">
        <v>45124</v>
      </c>
      <c r="C214" s="1" t="n">
        <v>46139</v>
      </c>
      <c r="D214" t="inlineStr">
        <is>
          <t>NORRBOTTENS LÄN</t>
        </is>
      </c>
      <c r="E214" t="inlineStr">
        <is>
          <t>JOKKMOKK</t>
        </is>
      </c>
      <c r="F214" t="inlineStr">
        <is>
          <t>SCA</t>
        </is>
      </c>
      <c r="G214" t="n">
        <v>4.4</v>
      </c>
      <c r="H214" t="n">
        <v>0</v>
      </c>
      <c r="I214" t="n">
        <v>0</v>
      </c>
      <c r="J214" t="n">
        <v>0</v>
      </c>
      <c r="K214" t="n">
        <v>0</v>
      </c>
      <c r="L214" t="n">
        <v>0</v>
      </c>
      <c r="M214" t="n">
        <v>0</v>
      </c>
      <c r="N214" t="n">
        <v>0</v>
      </c>
      <c r="O214" t="n">
        <v>0</v>
      </c>
      <c r="P214" t="n">
        <v>0</v>
      </c>
      <c r="Q214" t="n">
        <v>0</v>
      </c>
      <c r="R214" s="2" t="inlineStr"/>
    </row>
    <row r="215" ht="15" customHeight="1">
      <c r="A215" t="inlineStr">
        <is>
          <t>A 46460-2025</t>
        </is>
      </c>
      <c r="B215" s="1" t="n">
        <v>45925.66606481482</v>
      </c>
      <c r="C215" s="1" t="n">
        <v>46139</v>
      </c>
      <c r="D215" t="inlineStr">
        <is>
          <t>NORRBOTTENS LÄN</t>
        </is>
      </c>
      <c r="E215" t="inlineStr">
        <is>
          <t>JOKKMOKK</t>
        </is>
      </c>
      <c r="G215" t="n">
        <v>1.2</v>
      </c>
      <c r="H215" t="n">
        <v>0</v>
      </c>
      <c r="I215" t="n">
        <v>0</v>
      </c>
      <c r="J215" t="n">
        <v>0</v>
      </c>
      <c r="K215" t="n">
        <v>0</v>
      </c>
      <c r="L215" t="n">
        <v>0</v>
      </c>
      <c r="M215" t="n">
        <v>0</v>
      </c>
      <c r="N215" t="n">
        <v>0</v>
      </c>
      <c r="O215" t="n">
        <v>0</v>
      </c>
      <c r="P215" t="n">
        <v>0</v>
      </c>
      <c r="Q215" t="n">
        <v>0</v>
      </c>
      <c r="R215" s="2" t="inlineStr"/>
    </row>
    <row r="216" ht="15" customHeight="1">
      <c r="A216" t="inlineStr">
        <is>
          <t>A 46465-2025</t>
        </is>
      </c>
      <c r="B216" s="1" t="n">
        <v>45925.67710648148</v>
      </c>
      <c r="C216" s="1" t="n">
        <v>46139</v>
      </c>
      <c r="D216" t="inlineStr">
        <is>
          <t>NORRBOTTENS LÄN</t>
        </is>
      </c>
      <c r="E216" t="inlineStr">
        <is>
          <t>JOKKMOKK</t>
        </is>
      </c>
      <c r="G216" t="n">
        <v>3.6</v>
      </c>
      <c r="H216" t="n">
        <v>0</v>
      </c>
      <c r="I216" t="n">
        <v>0</v>
      </c>
      <c r="J216" t="n">
        <v>0</v>
      </c>
      <c r="K216" t="n">
        <v>0</v>
      </c>
      <c r="L216" t="n">
        <v>0</v>
      </c>
      <c r="M216" t="n">
        <v>0</v>
      </c>
      <c r="N216" t="n">
        <v>0</v>
      </c>
      <c r="O216" t="n">
        <v>0</v>
      </c>
      <c r="P216" t="n">
        <v>0</v>
      </c>
      <c r="Q216" t="n">
        <v>0</v>
      </c>
      <c r="R216" s="2" t="inlineStr"/>
    </row>
    <row r="217" ht="15" customHeight="1">
      <c r="A217" t="inlineStr">
        <is>
          <t>A 46458-2025</t>
        </is>
      </c>
      <c r="B217" s="1" t="n">
        <v>45925.66335648148</v>
      </c>
      <c r="C217" s="1" t="n">
        <v>46139</v>
      </c>
      <c r="D217" t="inlineStr">
        <is>
          <t>NORRBOTTENS LÄN</t>
        </is>
      </c>
      <c r="E217" t="inlineStr">
        <is>
          <t>JOKKMOKK</t>
        </is>
      </c>
      <c r="G217" t="n">
        <v>0.9</v>
      </c>
      <c r="H217" t="n">
        <v>0</v>
      </c>
      <c r="I217" t="n">
        <v>0</v>
      </c>
      <c r="J217" t="n">
        <v>0</v>
      </c>
      <c r="K217" t="n">
        <v>0</v>
      </c>
      <c r="L217" t="n">
        <v>0</v>
      </c>
      <c r="M217" t="n">
        <v>0</v>
      </c>
      <c r="N217" t="n">
        <v>0</v>
      </c>
      <c r="O217" t="n">
        <v>0</v>
      </c>
      <c r="P217" t="n">
        <v>0</v>
      </c>
      <c r="Q217" t="n">
        <v>0</v>
      </c>
      <c r="R217" s="2" t="inlineStr"/>
    </row>
    <row r="218" ht="15" customHeight="1">
      <c r="A218" t="inlineStr">
        <is>
          <t>A 61761-2024</t>
        </is>
      </c>
      <c r="B218" s="1" t="n">
        <v>45649</v>
      </c>
      <c r="C218" s="1" t="n">
        <v>46139</v>
      </c>
      <c r="D218" t="inlineStr">
        <is>
          <t>NORRBOTTENS LÄN</t>
        </is>
      </c>
      <c r="E218" t="inlineStr">
        <is>
          <t>JOKKMOKK</t>
        </is>
      </c>
      <c r="F218" t="inlineStr">
        <is>
          <t>Övriga statliga verk och myndigheter</t>
        </is>
      </c>
      <c r="G218" t="n">
        <v>3.7</v>
      </c>
      <c r="H218" t="n">
        <v>0</v>
      </c>
      <c r="I218" t="n">
        <v>0</v>
      </c>
      <c r="J218" t="n">
        <v>0</v>
      </c>
      <c r="K218" t="n">
        <v>0</v>
      </c>
      <c r="L218" t="n">
        <v>0</v>
      </c>
      <c r="M218" t="n">
        <v>0</v>
      </c>
      <c r="N218" t="n">
        <v>0</v>
      </c>
      <c r="O218" t="n">
        <v>0</v>
      </c>
      <c r="P218" t="n">
        <v>0</v>
      </c>
      <c r="Q218" t="n">
        <v>0</v>
      </c>
      <c r="R218" s="2" t="inlineStr"/>
    </row>
    <row r="219" ht="15" customHeight="1">
      <c r="A219" t="inlineStr">
        <is>
          <t>A 38928-2025</t>
        </is>
      </c>
      <c r="B219" s="1" t="n">
        <v>45887</v>
      </c>
      <c r="C219" s="1" t="n">
        <v>46139</v>
      </c>
      <c r="D219" t="inlineStr">
        <is>
          <t>NORRBOTTENS LÄN</t>
        </is>
      </c>
      <c r="E219" t="inlineStr">
        <is>
          <t>JOKKMOKK</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32957-2024</t>
        </is>
      </c>
      <c r="B220" s="1" t="n">
        <v>45517.3762037037</v>
      </c>
      <c r="C220" s="1" t="n">
        <v>46139</v>
      </c>
      <c r="D220" t="inlineStr">
        <is>
          <t>NORRBOTTENS LÄN</t>
        </is>
      </c>
      <c r="E220" t="inlineStr">
        <is>
          <t>JOKKMOKK</t>
        </is>
      </c>
      <c r="F220" t="inlineStr">
        <is>
          <t>Sveaskog</t>
        </is>
      </c>
      <c r="G220" t="n">
        <v>5.4</v>
      </c>
      <c r="H220" t="n">
        <v>0</v>
      </c>
      <c r="I220" t="n">
        <v>0</v>
      </c>
      <c r="J220" t="n">
        <v>0</v>
      </c>
      <c r="K220" t="n">
        <v>0</v>
      </c>
      <c r="L220" t="n">
        <v>0</v>
      </c>
      <c r="M220" t="n">
        <v>0</v>
      </c>
      <c r="N220" t="n">
        <v>0</v>
      </c>
      <c r="O220" t="n">
        <v>0</v>
      </c>
      <c r="P220" t="n">
        <v>0</v>
      </c>
      <c r="Q220" t="n">
        <v>0</v>
      </c>
      <c r="R220" s="2" t="inlineStr"/>
    </row>
    <row r="221" ht="15" customHeight="1">
      <c r="A221" t="inlineStr">
        <is>
          <t>A 2037-2025</t>
        </is>
      </c>
      <c r="B221" s="1" t="n">
        <v>45671</v>
      </c>
      <c r="C221" s="1" t="n">
        <v>46139</v>
      </c>
      <c r="D221" t="inlineStr">
        <is>
          <t>NORRBOTTENS LÄN</t>
        </is>
      </c>
      <c r="E221" t="inlineStr">
        <is>
          <t>JOKKMOKK</t>
        </is>
      </c>
      <c r="G221" t="n">
        <v>5.4</v>
      </c>
      <c r="H221" t="n">
        <v>0</v>
      </c>
      <c r="I221" t="n">
        <v>0</v>
      </c>
      <c r="J221" t="n">
        <v>0</v>
      </c>
      <c r="K221" t="n">
        <v>0</v>
      </c>
      <c r="L221" t="n">
        <v>0</v>
      </c>
      <c r="M221" t="n">
        <v>0</v>
      </c>
      <c r="N221" t="n">
        <v>0</v>
      </c>
      <c r="O221" t="n">
        <v>0</v>
      </c>
      <c r="P221" t="n">
        <v>0</v>
      </c>
      <c r="Q221" t="n">
        <v>0</v>
      </c>
      <c r="R221" s="2" t="inlineStr"/>
    </row>
    <row r="222" ht="15" customHeight="1">
      <c r="A222" t="inlineStr">
        <is>
          <t>A 53232-2024</t>
        </is>
      </c>
      <c r="B222" s="1" t="n">
        <v>45613.67967592592</v>
      </c>
      <c r="C222" s="1" t="n">
        <v>46139</v>
      </c>
      <c r="D222" t="inlineStr">
        <is>
          <t>NORRBOTTENS LÄN</t>
        </is>
      </c>
      <c r="E222" t="inlineStr">
        <is>
          <t>JOKKMOKK</t>
        </is>
      </c>
      <c r="G222" t="n">
        <v>1.9</v>
      </c>
      <c r="H222" t="n">
        <v>0</v>
      </c>
      <c r="I222" t="n">
        <v>0</v>
      </c>
      <c r="J222" t="n">
        <v>0</v>
      </c>
      <c r="K222" t="n">
        <v>0</v>
      </c>
      <c r="L222" t="n">
        <v>0</v>
      </c>
      <c r="M222" t="n">
        <v>0</v>
      </c>
      <c r="N222" t="n">
        <v>0</v>
      </c>
      <c r="O222" t="n">
        <v>0</v>
      </c>
      <c r="P222" t="n">
        <v>0</v>
      </c>
      <c r="Q222" t="n">
        <v>0</v>
      </c>
      <c r="R222" s="2" t="inlineStr"/>
    </row>
    <row r="223" ht="15" customHeight="1">
      <c r="A223" t="inlineStr">
        <is>
          <t>A 46837-2025</t>
        </is>
      </c>
      <c r="B223" s="1" t="n">
        <v>45928.34450231482</v>
      </c>
      <c r="C223" s="1" t="n">
        <v>46139</v>
      </c>
      <c r="D223" t="inlineStr">
        <is>
          <t>NORRBOTTENS LÄN</t>
        </is>
      </c>
      <c r="E223" t="inlineStr">
        <is>
          <t>JOKKMOKK</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47529-2025</t>
        </is>
      </c>
      <c r="B224" s="1" t="n">
        <v>45931</v>
      </c>
      <c r="C224" s="1" t="n">
        <v>46139</v>
      </c>
      <c r="D224" t="inlineStr">
        <is>
          <t>NORRBOTTENS LÄN</t>
        </is>
      </c>
      <c r="E224" t="inlineStr">
        <is>
          <t>JOKKMOKK</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47530-2025</t>
        </is>
      </c>
      <c r="B225" s="1" t="n">
        <v>45931</v>
      </c>
      <c r="C225" s="1" t="n">
        <v>46139</v>
      </c>
      <c r="D225" t="inlineStr">
        <is>
          <t>NORRBOTTENS LÄN</t>
        </is>
      </c>
      <c r="E225" t="inlineStr">
        <is>
          <t>JOKKMOKK</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24740-2025</t>
        </is>
      </c>
      <c r="B226" s="1" t="n">
        <v>45799.34543981482</v>
      </c>
      <c r="C226" s="1" t="n">
        <v>46139</v>
      </c>
      <c r="D226" t="inlineStr">
        <is>
          <t>NORRBOTTENS LÄN</t>
        </is>
      </c>
      <c r="E226" t="inlineStr">
        <is>
          <t>JOKKMOKK</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24743-2025</t>
        </is>
      </c>
      <c r="B227" s="1" t="n">
        <v>45799.34598379629</v>
      </c>
      <c r="C227" s="1" t="n">
        <v>46139</v>
      </c>
      <c r="D227" t="inlineStr">
        <is>
          <t>NORRBOTTENS LÄN</t>
        </is>
      </c>
      <c r="E227" t="inlineStr">
        <is>
          <t>JOKKMOKK</t>
        </is>
      </c>
      <c r="F227" t="inlineStr">
        <is>
          <t>SCA</t>
        </is>
      </c>
      <c r="G227" t="n">
        <v>3.1</v>
      </c>
      <c r="H227" t="n">
        <v>0</v>
      </c>
      <c r="I227" t="n">
        <v>0</v>
      </c>
      <c r="J227" t="n">
        <v>0</v>
      </c>
      <c r="K227" t="n">
        <v>0</v>
      </c>
      <c r="L227" t="n">
        <v>0</v>
      </c>
      <c r="M227" t="n">
        <v>0</v>
      </c>
      <c r="N227" t="n">
        <v>0</v>
      </c>
      <c r="O227" t="n">
        <v>0</v>
      </c>
      <c r="P227" t="n">
        <v>0</v>
      </c>
      <c r="Q227" t="n">
        <v>0</v>
      </c>
      <c r="R227" s="2" t="inlineStr"/>
    </row>
    <row r="228" ht="15" customHeight="1">
      <c r="A228" t="inlineStr">
        <is>
          <t>A 42095-2025</t>
        </is>
      </c>
      <c r="B228" s="1" t="n">
        <v>45903</v>
      </c>
      <c r="C228" s="1" t="n">
        <v>46139</v>
      </c>
      <c r="D228" t="inlineStr">
        <is>
          <t>NORRBOTTENS LÄN</t>
        </is>
      </c>
      <c r="E228" t="inlineStr">
        <is>
          <t>JOKKMOKK</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47472-2025</t>
        </is>
      </c>
      <c r="B229" s="1" t="n">
        <v>45930.67752314815</v>
      </c>
      <c r="C229" s="1" t="n">
        <v>46139</v>
      </c>
      <c r="D229" t="inlineStr">
        <is>
          <t>NORRBOTTENS LÄN</t>
        </is>
      </c>
      <c r="E229" t="inlineStr">
        <is>
          <t>JOKKMOKK</t>
        </is>
      </c>
      <c r="F229" t="inlineStr">
        <is>
          <t>SCA</t>
        </is>
      </c>
      <c r="G229" t="n">
        <v>4.1</v>
      </c>
      <c r="H229" t="n">
        <v>0</v>
      </c>
      <c r="I229" t="n">
        <v>0</v>
      </c>
      <c r="J229" t="n">
        <v>0</v>
      </c>
      <c r="K229" t="n">
        <v>0</v>
      </c>
      <c r="L229" t="n">
        <v>0</v>
      </c>
      <c r="M229" t="n">
        <v>0</v>
      </c>
      <c r="N229" t="n">
        <v>0</v>
      </c>
      <c r="O229" t="n">
        <v>0</v>
      </c>
      <c r="P229" t="n">
        <v>0</v>
      </c>
      <c r="Q229" t="n">
        <v>0</v>
      </c>
      <c r="R229" s="2" t="inlineStr"/>
    </row>
    <row r="230" ht="15" customHeight="1">
      <c r="A230" t="inlineStr">
        <is>
          <t>A 52280-2021</t>
        </is>
      </c>
      <c r="B230" s="1" t="n">
        <v>44462</v>
      </c>
      <c r="C230" s="1" t="n">
        <v>46139</v>
      </c>
      <c r="D230" t="inlineStr">
        <is>
          <t>NORRBOTTENS LÄN</t>
        </is>
      </c>
      <c r="E230" t="inlineStr">
        <is>
          <t>JOKKMOKK</t>
        </is>
      </c>
      <c r="F230" t="inlineStr">
        <is>
          <t>Övriga statliga verk och myndigheter</t>
        </is>
      </c>
      <c r="G230" t="n">
        <v>25.9</v>
      </c>
      <c r="H230" t="n">
        <v>0</v>
      </c>
      <c r="I230" t="n">
        <v>0</v>
      </c>
      <c r="J230" t="n">
        <v>0</v>
      </c>
      <c r="K230" t="n">
        <v>0</v>
      </c>
      <c r="L230" t="n">
        <v>0</v>
      </c>
      <c r="M230" t="n">
        <v>0</v>
      </c>
      <c r="N230" t="n">
        <v>0</v>
      </c>
      <c r="O230" t="n">
        <v>0</v>
      </c>
      <c r="P230" t="n">
        <v>0</v>
      </c>
      <c r="Q230" t="n">
        <v>0</v>
      </c>
      <c r="R230" s="2" t="inlineStr"/>
    </row>
    <row r="231" ht="15" customHeight="1">
      <c r="A231" t="inlineStr">
        <is>
          <t>A 28036-2024</t>
        </is>
      </c>
      <c r="B231" s="1" t="n">
        <v>45476.49958333333</v>
      </c>
      <c r="C231" s="1" t="n">
        <v>46139</v>
      </c>
      <c r="D231" t="inlineStr">
        <is>
          <t>NORRBOTTENS LÄN</t>
        </is>
      </c>
      <c r="E231" t="inlineStr">
        <is>
          <t>JOKKMOKK</t>
        </is>
      </c>
      <c r="G231" t="n">
        <v>7.4</v>
      </c>
      <c r="H231" t="n">
        <v>0</v>
      </c>
      <c r="I231" t="n">
        <v>0</v>
      </c>
      <c r="J231" t="n">
        <v>0</v>
      </c>
      <c r="K231" t="n">
        <v>0</v>
      </c>
      <c r="L231" t="n">
        <v>0</v>
      </c>
      <c r="M231" t="n">
        <v>0</v>
      </c>
      <c r="N231" t="n">
        <v>0</v>
      </c>
      <c r="O231" t="n">
        <v>0</v>
      </c>
      <c r="P231" t="n">
        <v>0</v>
      </c>
      <c r="Q231" t="n">
        <v>0</v>
      </c>
      <c r="R231" s="2" t="inlineStr"/>
    </row>
    <row r="232" ht="15" customHeight="1">
      <c r="A232" t="inlineStr">
        <is>
          <t>A 56168-2022</t>
        </is>
      </c>
      <c r="B232" s="1" t="n">
        <v>44889</v>
      </c>
      <c r="C232" s="1" t="n">
        <v>46139</v>
      </c>
      <c r="D232" t="inlineStr">
        <is>
          <t>NORRBOTTENS LÄN</t>
        </is>
      </c>
      <c r="E232" t="inlineStr">
        <is>
          <t>JOKKMOKK</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48166-2025</t>
        </is>
      </c>
      <c r="B233" s="1" t="n">
        <v>45933</v>
      </c>
      <c r="C233" s="1" t="n">
        <v>46139</v>
      </c>
      <c r="D233" t="inlineStr">
        <is>
          <t>NORRBOTTENS LÄN</t>
        </is>
      </c>
      <c r="E233" t="inlineStr">
        <is>
          <t>JOKKMOKK</t>
        </is>
      </c>
      <c r="G233" t="n">
        <v>41.8</v>
      </c>
      <c r="H233" t="n">
        <v>0</v>
      </c>
      <c r="I233" t="n">
        <v>0</v>
      </c>
      <c r="J233" t="n">
        <v>0</v>
      </c>
      <c r="K233" t="n">
        <v>0</v>
      </c>
      <c r="L233" t="n">
        <v>0</v>
      </c>
      <c r="M233" t="n">
        <v>0</v>
      </c>
      <c r="N233" t="n">
        <v>0</v>
      </c>
      <c r="O233" t="n">
        <v>0</v>
      </c>
      <c r="P233" t="n">
        <v>0</v>
      </c>
      <c r="Q233" t="n">
        <v>0</v>
      </c>
      <c r="R233" s="2" t="inlineStr"/>
    </row>
    <row r="234" ht="15" customHeight="1">
      <c r="A234" t="inlineStr">
        <is>
          <t>A 48167-2025</t>
        </is>
      </c>
      <c r="B234" s="1" t="n">
        <v>45933</v>
      </c>
      <c r="C234" s="1" t="n">
        <v>46139</v>
      </c>
      <c r="D234" t="inlineStr">
        <is>
          <t>NORRBOTTENS LÄN</t>
        </is>
      </c>
      <c r="E234" t="inlineStr">
        <is>
          <t>JOKKMOKK</t>
        </is>
      </c>
      <c r="G234" t="n">
        <v>3.4</v>
      </c>
      <c r="H234" t="n">
        <v>0</v>
      </c>
      <c r="I234" t="n">
        <v>0</v>
      </c>
      <c r="J234" t="n">
        <v>0</v>
      </c>
      <c r="K234" t="n">
        <v>0</v>
      </c>
      <c r="L234" t="n">
        <v>0</v>
      </c>
      <c r="M234" t="n">
        <v>0</v>
      </c>
      <c r="N234" t="n">
        <v>0</v>
      </c>
      <c r="O234" t="n">
        <v>0</v>
      </c>
      <c r="P234" t="n">
        <v>0</v>
      </c>
      <c r="Q234" t="n">
        <v>0</v>
      </c>
      <c r="R234" s="2" t="inlineStr"/>
    </row>
    <row r="235" ht="15" customHeight="1">
      <c r="A235" t="inlineStr">
        <is>
          <t>A 48141-2025</t>
        </is>
      </c>
      <c r="B235" s="1" t="n">
        <v>45933</v>
      </c>
      <c r="C235" s="1" t="n">
        <v>46139</v>
      </c>
      <c r="D235" t="inlineStr">
        <is>
          <t>NORRBOTTENS LÄN</t>
        </is>
      </c>
      <c r="E235" t="inlineStr">
        <is>
          <t>JOKKMOKK</t>
        </is>
      </c>
      <c r="G235" t="n">
        <v>17.7</v>
      </c>
      <c r="H235" t="n">
        <v>0</v>
      </c>
      <c r="I235" t="n">
        <v>0</v>
      </c>
      <c r="J235" t="n">
        <v>0</v>
      </c>
      <c r="K235" t="n">
        <v>0</v>
      </c>
      <c r="L235" t="n">
        <v>0</v>
      </c>
      <c r="M235" t="n">
        <v>0</v>
      </c>
      <c r="N235" t="n">
        <v>0</v>
      </c>
      <c r="O235" t="n">
        <v>0</v>
      </c>
      <c r="P235" t="n">
        <v>0</v>
      </c>
      <c r="Q235" t="n">
        <v>0</v>
      </c>
      <c r="R235" s="2" t="inlineStr"/>
    </row>
    <row r="236" ht="15" customHeight="1">
      <c r="A236" t="inlineStr">
        <is>
          <t>A 49474-2024</t>
        </is>
      </c>
      <c r="B236" s="1" t="n">
        <v>45596.34523148148</v>
      </c>
      <c r="C236" s="1" t="n">
        <v>46139</v>
      </c>
      <c r="D236" t="inlineStr">
        <is>
          <t>NORRBOTTENS LÄN</t>
        </is>
      </c>
      <c r="E236" t="inlineStr">
        <is>
          <t>JOKKMOKK</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45512-2022</t>
        </is>
      </c>
      <c r="B237" s="1" t="n">
        <v>44841</v>
      </c>
      <c r="C237" s="1" t="n">
        <v>46139</v>
      </c>
      <c r="D237" t="inlineStr">
        <is>
          <t>NORRBOTTENS LÄN</t>
        </is>
      </c>
      <c r="E237" t="inlineStr">
        <is>
          <t>JOKKMOKK</t>
        </is>
      </c>
      <c r="F237" t="inlineStr">
        <is>
          <t>Övriga Aktiebolag</t>
        </is>
      </c>
      <c r="G237" t="n">
        <v>0.6</v>
      </c>
      <c r="H237" t="n">
        <v>0</v>
      </c>
      <c r="I237" t="n">
        <v>0</v>
      </c>
      <c r="J237" t="n">
        <v>0</v>
      </c>
      <c r="K237" t="n">
        <v>0</v>
      </c>
      <c r="L237" t="n">
        <v>0</v>
      </c>
      <c r="M237" t="n">
        <v>0</v>
      </c>
      <c r="N237" t="n">
        <v>0</v>
      </c>
      <c r="O237" t="n">
        <v>0</v>
      </c>
      <c r="P237" t="n">
        <v>0</v>
      </c>
      <c r="Q237" t="n">
        <v>0</v>
      </c>
      <c r="R237" s="2" t="inlineStr"/>
    </row>
    <row r="238" ht="15" customHeight="1">
      <c r="A238" t="inlineStr">
        <is>
          <t>A 40771-2023</t>
        </is>
      </c>
      <c r="B238" s="1" t="n">
        <v>45170.95657407407</v>
      </c>
      <c r="C238" s="1" t="n">
        <v>46139</v>
      </c>
      <c r="D238" t="inlineStr">
        <is>
          <t>NORRBOTTENS LÄN</t>
        </is>
      </c>
      <c r="E238" t="inlineStr">
        <is>
          <t>JOKKMOKK</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6778-2023</t>
        </is>
      </c>
      <c r="B239" s="1" t="n">
        <v>44966</v>
      </c>
      <c r="C239" s="1" t="n">
        <v>46139</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37828-2024</t>
        </is>
      </c>
      <c r="B240" s="1" t="n">
        <v>45544</v>
      </c>
      <c r="C240" s="1" t="n">
        <v>46139</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60164-2023</t>
        </is>
      </c>
      <c r="B241" s="1" t="n">
        <v>45258</v>
      </c>
      <c r="C241" s="1" t="n">
        <v>46139</v>
      </c>
      <c r="D241" t="inlineStr">
        <is>
          <t>NORRBOTTENS LÄN</t>
        </is>
      </c>
      <c r="E241" t="inlineStr">
        <is>
          <t>JOKKMOKK</t>
        </is>
      </c>
      <c r="F241" t="inlineStr">
        <is>
          <t>Allmännings- och besparingsskogar</t>
        </is>
      </c>
      <c r="G241" t="n">
        <v>14.3</v>
      </c>
      <c r="H241" t="n">
        <v>0</v>
      </c>
      <c r="I241" t="n">
        <v>0</v>
      </c>
      <c r="J241" t="n">
        <v>0</v>
      </c>
      <c r="K241" t="n">
        <v>0</v>
      </c>
      <c r="L241" t="n">
        <v>0</v>
      </c>
      <c r="M241" t="n">
        <v>0</v>
      </c>
      <c r="N241" t="n">
        <v>0</v>
      </c>
      <c r="O241" t="n">
        <v>0</v>
      </c>
      <c r="P241" t="n">
        <v>0</v>
      </c>
      <c r="Q241" t="n">
        <v>0</v>
      </c>
      <c r="R241" s="2" t="inlineStr"/>
    </row>
    <row r="242" ht="15" customHeight="1">
      <c r="A242" t="inlineStr">
        <is>
          <t>A 60418-2023</t>
        </is>
      </c>
      <c r="B242" s="1" t="n">
        <v>45259.49666666667</v>
      </c>
      <c r="C242" s="1" t="n">
        <v>46139</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55635-2024</t>
        </is>
      </c>
      <c r="B243" s="1" t="n">
        <v>45622</v>
      </c>
      <c r="C243" s="1" t="n">
        <v>46139</v>
      </c>
      <c r="D243" t="inlineStr">
        <is>
          <t>NORRBOTTENS LÄN</t>
        </is>
      </c>
      <c r="E243" t="inlineStr">
        <is>
          <t>JOKKMOKK</t>
        </is>
      </c>
      <c r="F243" t="inlineStr">
        <is>
          <t>Allmännings- och besparingsskogar</t>
        </is>
      </c>
      <c r="G243" t="n">
        <v>16</v>
      </c>
      <c r="H243" t="n">
        <v>0</v>
      </c>
      <c r="I243" t="n">
        <v>0</v>
      </c>
      <c r="J243" t="n">
        <v>0</v>
      </c>
      <c r="K243" t="n">
        <v>0</v>
      </c>
      <c r="L243" t="n">
        <v>0</v>
      </c>
      <c r="M243" t="n">
        <v>0</v>
      </c>
      <c r="N243" t="n">
        <v>0</v>
      </c>
      <c r="O243" t="n">
        <v>0</v>
      </c>
      <c r="P243" t="n">
        <v>0</v>
      </c>
      <c r="Q243" t="n">
        <v>0</v>
      </c>
      <c r="R243" s="2" t="inlineStr"/>
    </row>
    <row r="244" ht="15" customHeight="1">
      <c r="A244" t="inlineStr">
        <is>
          <t>A 52130-2024</t>
        </is>
      </c>
      <c r="B244" s="1" t="n">
        <v>45608</v>
      </c>
      <c r="C244" s="1" t="n">
        <v>46139</v>
      </c>
      <c r="D244" t="inlineStr">
        <is>
          <t>NORRBOTTENS LÄN</t>
        </is>
      </c>
      <c r="E244" t="inlineStr">
        <is>
          <t>JOKKMOKK</t>
        </is>
      </c>
      <c r="G244" t="n">
        <v>84</v>
      </c>
      <c r="H244" t="n">
        <v>0</v>
      </c>
      <c r="I244" t="n">
        <v>0</v>
      </c>
      <c r="J244" t="n">
        <v>0</v>
      </c>
      <c r="K244" t="n">
        <v>0</v>
      </c>
      <c r="L244" t="n">
        <v>0</v>
      </c>
      <c r="M244" t="n">
        <v>0</v>
      </c>
      <c r="N244" t="n">
        <v>0</v>
      </c>
      <c r="O244" t="n">
        <v>0</v>
      </c>
      <c r="P244" t="n">
        <v>0</v>
      </c>
      <c r="Q244" t="n">
        <v>0</v>
      </c>
      <c r="R244" s="2" t="inlineStr"/>
    </row>
    <row r="245" ht="15" customHeight="1">
      <c r="A245" t="inlineStr">
        <is>
          <t>A 49475-2025</t>
        </is>
      </c>
      <c r="B245" s="1" t="n">
        <v>45939.34488425926</v>
      </c>
      <c r="C245" s="1" t="n">
        <v>46139</v>
      </c>
      <c r="D245" t="inlineStr">
        <is>
          <t>NORRBOTTENS LÄN</t>
        </is>
      </c>
      <c r="E245" t="inlineStr">
        <is>
          <t>JOKKMOKK</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49953-2024</t>
        </is>
      </c>
      <c r="B246" s="1" t="n">
        <v>45597</v>
      </c>
      <c r="C246" s="1" t="n">
        <v>46139</v>
      </c>
      <c r="D246" t="inlineStr">
        <is>
          <t>NORRBOTTENS LÄN</t>
        </is>
      </c>
      <c r="E246" t="inlineStr">
        <is>
          <t>JOKKMOKK</t>
        </is>
      </c>
      <c r="F246" t="inlineStr">
        <is>
          <t>Allmännings- och besparingsskogar</t>
        </is>
      </c>
      <c r="G246" t="n">
        <v>9.4</v>
      </c>
      <c r="H246" t="n">
        <v>0</v>
      </c>
      <c r="I246" t="n">
        <v>0</v>
      </c>
      <c r="J246" t="n">
        <v>0</v>
      </c>
      <c r="K246" t="n">
        <v>0</v>
      </c>
      <c r="L246" t="n">
        <v>0</v>
      </c>
      <c r="M246" t="n">
        <v>0</v>
      </c>
      <c r="N246" t="n">
        <v>0</v>
      </c>
      <c r="O246" t="n">
        <v>0</v>
      </c>
      <c r="P246" t="n">
        <v>0</v>
      </c>
      <c r="Q246" t="n">
        <v>0</v>
      </c>
      <c r="R246" s="2" t="inlineStr"/>
    </row>
    <row r="247" ht="15" customHeight="1">
      <c r="A247" t="inlineStr">
        <is>
          <t>A 18602-2024</t>
        </is>
      </c>
      <c r="B247" s="1" t="n">
        <v>45425</v>
      </c>
      <c r="C247" s="1" t="n">
        <v>46139</v>
      </c>
      <c r="D247" t="inlineStr">
        <is>
          <t>NORRBOTTENS LÄN</t>
        </is>
      </c>
      <c r="E247" t="inlineStr">
        <is>
          <t>JOKKMOKK</t>
        </is>
      </c>
      <c r="G247" t="n">
        <v>4.6</v>
      </c>
      <c r="H247" t="n">
        <v>0</v>
      </c>
      <c r="I247" t="n">
        <v>0</v>
      </c>
      <c r="J247" t="n">
        <v>0</v>
      </c>
      <c r="K247" t="n">
        <v>0</v>
      </c>
      <c r="L247" t="n">
        <v>0</v>
      </c>
      <c r="M247" t="n">
        <v>0</v>
      </c>
      <c r="N247" t="n">
        <v>0</v>
      </c>
      <c r="O247" t="n">
        <v>0</v>
      </c>
      <c r="P247" t="n">
        <v>0</v>
      </c>
      <c r="Q247" t="n">
        <v>0</v>
      </c>
      <c r="R247" s="2" t="inlineStr"/>
    </row>
    <row r="248" ht="15" customHeight="1">
      <c r="A248" t="inlineStr">
        <is>
          <t>A 49562-2024</t>
        </is>
      </c>
      <c r="B248" s="1" t="n">
        <v>45596</v>
      </c>
      <c r="C248" s="1" t="n">
        <v>46139</v>
      </c>
      <c r="D248" t="inlineStr">
        <is>
          <t>NORRBOTTENS LÄN</t>
        </is>
      </c>
      <c r="E248" t="inlineStr">
        <is>
          <t>JOKKMOKK</t>
        </is>
      </c>
      <c r="F248" t="inlineStr">
        <is>
          <t>Allmännings- och besparingsskogar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48946-2025</t>
        </is>
      </c>
      <c r="B249" s="1" t="n">
        <v>45937.53831018518</v>
      </c>
      <c r="C249" s="1" t="n">
        <v>46139</v>
      </c>
      <c r="D249" t="inlineStr">
        <is>
          <t>NORRBOTTENS LÄN</t>
        </is>
      </c>
      <c r="E249" t="inlineStr">
        <is>
          <t>JOKKMOKK</t>
        </is>
      </c>
      <c r="G249" t="n">
        <v>57.3</v>
      </c>
      <c r="H249" t="n">
        <v>0</v>
      </c>
      <c r="I249" t="n">
        <v>0</v>
      </c>
      <c r="J249" t="n">
        <v>0</v>
      </c>
      <c r="K249" t="n">
        <v>0</v>
      </c>
      <c r="L249" t="n">
        <v>0</v>
      </c>
      <c r="M249" t="n">
        <v>0</v>
      </c>
      <c r="N249" t="n">
        <v>0</v>
      </c>
      <c r="O249" t="n">
        <v>0</v>
      </c>
      <c r="P249" t="n">
        <v>0</v>
      </c>
      <c r="Q249" t="n">
        <v>0</v>
      </c>
      <c r="R249" s="2" t="inlineStr"/>
    </row>
    <row r="250" ht="15" customHeight="1">
      <c r="A250" t="inlineStr">
        <is>
          <t>A 49477-2025</t>
        </is>
      </c>
      <c r="B250" s="1" t="n">
        <v>45939.34547453704</v>
      </c>
      <c r="C250" s="1" t="n">
        <v>46139</v>
      </c>
      <c r="D250" t="inlineStr">
        <is>
          <t>NORRBOTTENS LÄN</t>
        </is>
      </c>
      <c r="E250" t="inlineStr">
        <is>
          <t>JOKKMOKK</t>
        </is>
      </c>
      <c r="F250" t="inlineStr">
        <is>
          <t>SCA</t>
        </is>
      </c>
      <c r="G250" t="n">
        <v>3.6</v>
      </c>
      <c r="H250" t="n">
        <v>0</v>
      </c>
      <c r="I250" t="n">
        <v>0</v>
      </c>
      <c r="J250" t="n">
        <v>0</v>
      </c>
      <c r="K250" t="n">
        <v>0</v>
      </c>
      <c r="L250" t="n">
        <v>0</v>
      </c>
      <c r="M250" t="n">
        <v>0</v>
      </c>
      <c r="N250" t="n">
        <v>0</v>
      </c>
      <c r="O250" t="n">
        <v>0</v>
      </c>
      <c r="P250" t="n">
        <v>0</v>
      </c>
      <c r="Q250" t="n">
        <v>0</v>
      </c>
      <c r="R250" s="2" t="inlineStr"/>
    </row>
    <row r="251" ht="15" customHeight="1">
      <c r="A251" t="inlineStr">
        <is>
          <t>A 49976-2025</t>
        </is>
      </c>
      <c r="B251" s="1" t="n">
        <v>45942.61506944444</v>
      </c>
      <c r="C251" s="1" t="n">
        <v>46139</v>
      </c>
      <c r="D251" t="inlineStr">
        <is>
          <t>NORRBOTTENS LÄN</t>
        </is>
      </c>
      <c r="E251" t="inlineStr">
        <is>
          <t>JOKKMOKK</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49978-2025</t>
        </is>
      </c>
      <c r="B252" s="1" t="n">
        <v>45942.61520833334</v>
      </c>
      <c r="C252" s="1" t="n">
        <v>46139</v>
      </c>
      <c r="D252" t="inlineStr">
        <is>
          <t>NORRBOTTENS LÄN</t>
        </is>
      </c>
      <c r="E252" t="inlineStr">
        <is>
          <t>JOKKMOKK</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35675-2024</t>
        </is>
      </c>
      <c r="B253" s="1" t="n">
        <v>45532</v>
      </c>
      <c r="C253" s="1" t="n">
        <v>46139</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50185-2025</t>
        </is>
      </c>
      <c r="B254" s="1" t="n">
        <v>45943.62515046296</v>
      </c>
      <c r="C254" s="1" t="n">
        <v>46139</v>
      </c>
      <c r="D254" t="inlineStr">
        <is>
          <t>NORRBOTTENS LÄN</t>
        </is>
      </c>
      <c r="E254" t="inlineStr">
        <is>
          <t>JOKKMOKK</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49896-2025</t>
        </is>
      </c>
      <c r="B255" s="1" t="n">
        <v>45940.58270833334</v>
      </c>
      <c r="C255" s="1" t="n">
        <v>46139</v>
      </c>
      <c r="D255" t="inlineStr">
        <is>
          <t>NORRBOTTENS LÄN</t>
        </is>
      </c>
      <c r="E255" t="inlineStr">
        <is>
          <t>JOKKMOKK</t>
        </is>
      </c>
      <c r="F255" t="inlineStr">
        <is>
          <t>Sveaskog</t>
        </is>
      </c>
      <c r="G255" t="n">
        <v>7.6</v>
      </c>
      <c r="H255" t="n">
        <v>0</v>
      </c>
      <c r="I255" t="n">
        <v>0</v>
      </c>
      <c r="J255" t="n">
        <v>0</v>
      </c>
      <c r="K255" t="n">
        <v>0</v>
      </c>
      <c r="L255" t="n">
        <v>0</v>
      </c>
      <c r="M255" t="n">
        <v>0</v>
      </c>
      <c r="N255" t="n">
        <v>0</v>
      </c>
      <c r="O255" t="n">
        <v>0</v>
      </c>
      <c r="P255" t="n">
        <v>0</v>
      </c>
      <c r="Q255" t="n">
        <v>0</v>
      </c>
      <c r="R255" s="2" t="inlineStr"/>
    </row>
    <row r="256" ht="15" customHeight="1">
      <c r="A256" t="inlineStr">
        <is>
          <t>A 49856-2025</t>
        </is>
      </c>
      <c r="B256" s="1" t="n">
        <v>45940.50591435185</v>
      </c>
      <c r="C256" s="1" t="n">
        <v>46139</v>
      </c>
      <c r="D256" t="inlineStr">
        <is>
          <t>NORRBOTTENS LÄN</t>
        </is>
      </c>
      <c r="E256" t="inlineStr">
        <is>
          <t>JOKKMOKK</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46139</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50397-2025</t>
        </is>
      </c>
      <c r="B258" s="1" t="n">
        <v>45944.62211805556</v>
      </c>
      <c r="C258" s="1" t="n">
        <v>46139</v>
      </c>
      <c r="D258" t="inlineStr">
        <is>
          <t>NORRBOTTENS LÄN</t>
        </is>
      </c>
      <c r="E258" t="inlineStr">
        <is>
          <t>JOKKMOKK</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50820-2024</t>
        </is>
      </c>
      <c r="B259" s="1" t="n">
        <v>45602</v>
      </c>
      <c r="C259" s="1" t="n">
        <v>46139</v>
      </c>
      <c r="D259" t="inlineStr">
        <is>
          <t>NORRBOTTENS LÄN</t>
        </is>
      </c>
      <c r="E259" t="inlineStr">
        <is>
          <t>JOKKMOKK</t>
        </is>
      </c>
      <c r="F259" t="inlineStr">
        <is>
          <t>Allmännings- och besparingsskogar</t>
        </is>
      </c>
      <c r="G259" t="n">
        <v>4</v>
      </c>
      <c r="H259" t="n">
        <v>0</v>
      </c>
      <c r="I259" t="n">
        <v>0</v>
      </c>
      <c r="J259" t="n">
        <v>0</v>
      </c>
      <c r="K259" t="n">
        <v>0</v>
      </c>
      <c r="L259" t="n">
        <v>0</v>
      </c>
      <c r="M259" t="n">
        <v>0</v>
      </c>
      <c r="N259" t="n">
        <v>0</v>
      </c>
      <c r="O259" t="n">
        <v>0</v>
      </c>
      <c r="P259" t="n">
        <v>0</v>
      </c>
      <c r="Q259" t="n">
        <v>0</v>
      </c>
      <c r="R259" s="2" t="inlineStr"/>
    </row>
    <row r="260" ht="15" customHeight="1">
      <c r="A260" t="inlineStr">
        <is>
          <t>A 27685-2025</t>
        </is>
      </c>
      <c r="B260" s="1" t="n">
        <v>45813.65023148148</v>
      </c>
      <c r="C260" s="1" t="n">
        <v>46139</v>
      </c>
      <c r="D260" t="inlineStr">
        <is>
          <t>NORRBOTTENS LÄN</t>
        </is>
      </c>
      <c r="E260" t="inlineStr">
        <is>
          <t>JOKKMOKK</t>
        </is>
      </c>
      <c r="G260" t="n">
        <v>2</v>
      </c>
      <c r="H260" t="n">
        <v>0</v>
      </c>
      <c r="I260" t="n">
        <v>0</v>
      </c>
      <c r="J260" t="n">
        <v>0</v>
      </c>
      <c r="K260" t="n">
        <v>0</v>
      </c>
      <c r="L260" t="n">
        <v>0</v>
      </c>
      <c r="M260" t="n">
        <v>0</v>
      </c>
      <c r="N260" t="n">
        <v>0</v>
      </c>
      <c r="O260" t="n">
        <v>0</v>
      </c>
      <c r="P260" t="n">
        <v>0</v>
      </c>
      <c r="Q260" t="n">
        <v>0</v>
      </c>
      <c r="R260" s="2" t="inlineStr"/>
    </row>
    <row r="261" ht="15" customHeight="1">
      <c r="A261" t="inlineStr">
        <is>
          <t>A 50717-2025</t>
        </is>
      </c>
      <c r="B261" s="1" t="n">
        <v>45946.34598379629</v>
      </c>
      <c r="C261" s="1" t="n">
        <v>46139</v>
      </c>
      <c r="D261" t="inlineStr">
        <is>
          <t>NORRBOTTENS LÄN</t>
        </is>
      </c>
      <c r="E261" t="inlineStr">
        <is>
          <t>JOKKMOKK</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28591-2025</t>
        </is>
      </c>
      <c r="B262" s="1" t="n">
        <v>45819.59027777778</v>
      </c>
      <c r="C262" s="1" t="n">
        <v>46139</v>
      </c>
      <c r="D262" t="inlineStr">
        <is>
          <t>NORRBOTTENS LÄN</t>
        </is>
      </c>
      <c r="E262" t="inlineStr">
        <is>
          <t>JOKKMOKK</t>
        </is>
      </c>
      <c r="F262" t="inlineStr">
        <is>
          <t>Sveaskog</t>
        </is>
      </c>
      <c r="G262" t="n">
        <v>11.9</v>
      </c>
      <c r="H262" t="n">
        <v>0</v>
      </c>
      <c r="I262" t="n">
        <v>0</v>
      </c>
      <c r="J262" t="n">
        <v>0</v>
      </c>
      <c r="K262" t="n">
        <v>0</v>
      </c>
      <c r="L262" t="n">
        <v>0</v>
      </c>
      <c r="M262" t="n">
        <v>0</v>
      </c>
      <c r="N262" t="n">
        <v>0</v>
      </c>
      <c r="O262" t="n">
        <v>0</v>
      </c>
      <c r="P262" t="n">
        <v>0</v>
      </c>
      <c r="Q262" t="n">
        <v>0</v>
      </c>
      <c r="R262" s="2" t="inlineStr"/>
    </row>
    <row r="263" ht="15" customHeight="1">
      <c r="A263" t="inlineStr">
        <is>
          <t>A 48339-2024</t>
        </is>
      </c>
      <c r="B263" s="1" t="n">
        <v>45590</v>
      </c>
      <c r="C263" s="1" t="n">
        <v>46139</v>
      </c>
      <c r="D263" t="inlineStr">
        <is>
          <t>NORRBOTTENS LÄN</t>
        </is>
      </c>
      <c r="E263" t="inlineStr">
        <is>
          <t>JOKKMOKK</t>
        </is>
      </c>
      <c r="F263" t="inlineStr">
        <is>
          <t>Allmännings- och besparingsskogar</t>
        </is>
      </c>
      <c r="G263" t="n">
        <v>24.9</v>
      </c>
      <c r="H263" t="n">
        <v>0</v>
      </c>
      <c r="I263" t="n">
        <v>0</v>
      </c>
      <c r="J263" t="n">
        <v>0</v>
      </c>
      <c r="K263" t="n">
        <v>0</v>
      </c>
      <c r="L263" t="n">
        <v>0</v>
      </c>
      <c r="M263" t="n">
        <v>0</v>
      </c>
      <c r="N263" t="n">
        <v>0</v>
      </c>
      <c r="O263" t="n">
        <v>0</v>
      </c>
      <c r="P263" t="n">
        <v>0</v>
      </c>
      <c r="Q263" t="n">
        <v>0</v>
      </c>
      <c r="R263" s="2" t="inlineStr"/>
    </row>
    <row r="264" ht="15" customHeight="1">
      <c r="A264" t="inlineStr">
        <is>
          <t>A 50723-2025</t>
        </is>
      </c>
      <c r="B264" s="1" t="n">
        <v>45946.34690972222</v>
      </c>
      <c r="C264" s="1" t="n">
        <v>46139</v>
      </c>
      <c r="D264" t="inlineStr">
        <is>
          <t>NORRBOTTENS LÄN</t>
        </is>
      </c>
      <c r="E264" t="inlineStr">
        <is>
          <t>JOKKMOKK</t>
        </is>
      </c>
      <c r="F264" t="inlineStr">
        <is>
          <t>SCA</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50732-2025</t>
        </is>
      </c>
      <c r="B265" s="1" t="n">
        <v>45946.36519675926</v>
      </c>
      <c r="C265" s="1" t="n">
        <v>46139</v>
      </c>
      <c r="D265" t="inlineStr">
        <is>
          <t>NORRBOTTENS LÄN</t>
        </is>
      </c>
      <c r="E265" t="inlineStr">
        <is>
          <t>JOKKMOKK</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28639-2025</t>
        </is>
      </c>
      <c r="B266" s="1" t="n">
        <v>45819.63649305556</v>
      </c>
      <c r="C266" s="1" t="n">
        <v>46139</v>
      </c>
      <c r="D266" t="inlineStr">
        <is>
          <t>NORRBOTTENS LÄN</t>
        </is>
      </c>
      <c r="E266" t="inlineStr">
        <is>
          <t>JOKKMOKK</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50986-2025</t>
        </is>
      </c>
      <c r="B267" s="1" t="n">
        <v>45947.3453125</v>
      </c>
      <c r="C267" s="1" t="n">
        <v>46139</v>
      </c>
      <c r="D267" t="inlineStr">
        <is>
          <t>NORRBOTTENS LÄN</t>
        </is>
      </c>
      <c r="E267" t="inlineStr">
        <is>
          <t>JOKKMOKK</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28601-2025</t>
        </is>
      </c>
      <c r="B268" s="1" t="n">
        <v>45819.59802083333</v>
      </c>
      <c r="C268" s="1" t="n">
        <v>46139</v>
      </c>
      <c r="D268" t="inlineStr">
        <is>
          <t>NORRBOTTENS LÄN</t>
        </is>
      </c>
      <c r="E268" t="inlineStr">
        <is>
          <t>JOKKMOKK</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50731-2025</t>
        </is>
      </c>
      <c r="B269" s="1" t="n">
        <v>45946.36513888889</v>
      </c>
      <c r="C269" s="1" t="n">
        <v>46139</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51700-2025</t>
        </is>
      </c>
      <c r="B270" s="1" t="n">
        <v>45951.55287037037</v>
      </c>
      <c r="C270" s="1" t="n">
        <v>46139</v>
      </c>
      <c r="D270" t="inlineStr">
        <is>
          <t>NORRBOTTENS LÄN</t>
        </is>
      </c>
      <c r="E270" t="inlineStr">
        <is>
          <t>JOKKMOKK</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51715-2025</t>
        </is>
      </c>
      <c r="B271" s="1" t="n">
        <v>45951.57585648148</v>
      </c>
      <c r="C271" s="1" t="n">
        <v>46139</v>
      </c>
      <c r="D271" t="inlineStr">
        <is>
          <t>NORRBOTTENS LÄN</t>
        </is>
      </c>
      <c r="E271" t="inlineStr">
        <is>
          <t>JOKKMOKK</t>
        </is>
      </c>
      <c r="F271" t="inlineStr">
        <is>
          <t>Övriga statliga verk och myndigheter</t>
        </is>
      </c>
      <c r="G271" t="n">
        <v>4.1</v>
      </c>
      <c r="H271" t="n">
        <v>0</v>
      </c>
      <c r="I271" t="n">
        <v>0</v>
      </c>
      <c r="J271" t="n">
        <v>0</v>
      </c>
      <c r="K271" t="n">
        <v>0</v>
      </c>
      <c r="L271" t="n">
        <v>0</v>
      </c>
      <c r="M271" t="n">
        <v>0</v>
      </c>
      <c r="N271" t="n">
        <v>0</v>
      </c>
      <c r="O271" t="n">
        <v>0</v>
      </c>
      <c r="P271" t="n">
        <v>0</v>
      </c>
      <c r="Q271" t="n">
        <v>0</v>
      </c>
      <c r="R271" s="2" t="inlineStr"/>
    </row>
    <row r="272" ht="15" customHeight="1">
      <c r="A272" t="inlineStr">
        <is>
          <t>A 51699-2025</t>
        </is>
      </c>
      <c r="B272" s="1" t="n">
        <v>45951.55253472222</v>
      </c>
      <c r="C272" s="1" t="n">
        <v>46139</v>
      </c>
      <c r="D272" t="inlineStr">
        <is>
          <t>NORRBOTTENS LÄN</t>
        </is>
      </c>
      <c r="E272" t="inlineStr">
        <is>
          <t>JOKKMOKK</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27653-2024</t>
        </is>
      </c>
      <c r="B273" s="1" t="n">
        <v>45474.95037037037</v>
      </c>
      <c r="C273" s="1" t="n">
        <v>46139</v>
      </c>
      <c r="D273" t="inlineStr">
        <is>
          <t>NORRBOTTENS LÄN</t>
        </is>
      </c>
      <c r="E273" t="inlineStr">
        <is>
          <t>JOKKMOKK</t>
        </is>
      </c>
      <c r="F273" t="inlineStr">
        <is>
          <t>SCA</t>
        </is>
      </c>
      <c r="G273" t="n">
        <v>7.1</v>
      </c>
      <c r="H273" t="n">
        <v>0</v>
      </c>
      <c r="I273" t="n">
        <v>0</v>
      </c>
      <c r="J273" t="n">
        <v>0</v>
      </c>
      <c r="K273" t="n">
        <v>0</v>
      </c>
      <c r="L273" t="n">
        <v>0</v>
      </c>
      <c r="M273" t="n">
        <v>0</v>
      </c>
      <c r="N273" t="n">
        <v>0</v>
      </c>
      <c r="O273" t="n">
        <v>0</v>
      </c>
      <c r="P273" t="n">
        <v>0</v>
      </c>
      <c r="Q273" t="n">
        <v>0</v>
      </c>
      <c r="R273" s="2" t="inlineStr"/>
    </row>
    <row r="274" ht="15" customHeight="1">
      <c r="A274" t="inlineStr">
        <is>
          <t>A 27654-2024</t>
        </is>
      </c>
      <c r="B274" s="1" t="n">
        <v>45474</v>
      </c>
      <c r="C274" s="1" t="n">
        <v>46139</v>
      </c>
      <c r="D274" t="inlineStr">
        <is>
          <t>NORRBOTTENS LÄN</t>
        </is>
      </c>
      <c r="E274" t="inlineStr">
        <is>
          <t>JOKKMOKK</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27656-2024</t>
        </is>
      </c>
      <c r="B275" s="1" t="n">
        <v>45474</v>
      </c>
      <c r="C275" s="1" t="n">
        <v>46139</v>
      </c>
      <c r="D275" t="inlineStr">
        <is>
          <t>NORRBOTTENS LÄN</t>
        </is>
      </c>
      <c r="E275" t="inlineStr">
        <is>
          <t>JOKKMOKK</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51721-2025</t>
        </is>
      </c>
      <c r="B276" s="1" t="n">
        <v>45951.58004629629</v>
      </c>
      <c r="C276" s="1" t="n">
        <v>46139</v>
      </c>
      <c r="D276" t="inlineStr">
        <is>
          <t>NORRBOTTENS LÄN</t>
        </is>
      </c>
      <c r="E276" t="inlineStr">
        <is>
          <t>JOKKMOKK</t>
        </is>
      </c>
      <c r="F276" t="inlineStr">
        <is>
          <t>Övriga statliga verk och myndigheter</t>
        </is>
      </c>
      <c r="G276" t="n">
        <v>16.3</v>
      </c>
      <c r="H276" t="n">
        <v>0</v>
      </c>
      <c r="I276" t="n">
        <v>0</v>
      </c>
      <c r="J276" t="n">
        <v>0</v>
      </c>
      <c r="K276" t="n">
        <v>0</v>
      </c>
      <c r="L276" t="n">
        <v>0</v>
      </c>
      <c r="M276" t="n">
        <v>0</v>
      </c>
      <c r="N276" t="n">
        <v>0</v>
      </c>
      <c r="O276" t="n">
        <v>0</v>
      </c>
      <c r="P276" t="n">
        <v>0</v>
      </c>
      <c r="Q276" t="n">
        <v>0</v>
      </c>
      <c r="R276" s="2" t="inlineStr"/>
    </row>
    <row r="277" ht="15" customHeight="1">
      <c r="A277" t="inlineStr">
        <is>
          <t>A 51576-2025</t>
        </is>
      </c>
      <c r="B277" s="1" t="n">
        <v>45951.34469907408</v>
      </c>
      <c r="C277" s="1" t="n">
        <v>46139</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51577-2025</t>
        </is>
      </c>
      <c r="B278" s="1" t="n">
        <v>45951</v>
      </c>
      <c r="C278" s="1" t="n">
        <v>46139</v>
      </c>
      <c r="D278" t="inlineStr">
        <is>
          <t>NORRBOTTENS LÄN</t>
        </is>
      </c>
      <c r="E278" t="inlineStr">
        <is>
          <t>JOKKMOKK</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29333-2025</t>
        </is>
      </c>
      <c r="B279" s="1" t="n">
        <v>45824</v>
      </c>
      <c r="C279" s="1" t="n">
        <v>46139</v>
      </c>
      <c r="D279" t="inlineStr">
        <is>
          <t>NORRBOTTENS LÄN</t>
        </is>
      </c>
      <c r="E279" t="inlineStr">
        <is>
          <t>JOKKMOKK</t>
        </is>
      </c>
      <c r="G279" t="n">
        <v>17.3</v>
      </c>
      <c r="H279" t="n">
        <v>0</v>
      </c>
      <c r="I279" t="n">
        <v>0</v>
      </c>
      <c r="J279" t="n">
        <v>0</v>
      </c>
      <c r="K279" t="n">
        <v>0</v>
      </c>
      <c r="L279" t="n">
        <v>0</v>
      </c>
      <c r="M279" t="n">
        <v>0</v>
      </c>
      <c r="N279" t="n">
        <v>0</v>
      </c>
      <c r="O279" t="n">
        <v>0</v>
      </c>
      <c r="P279" t="n">
        <v>0</v>
      </c>
      <c r="Q279" t="n">
        <v>0</v>
      </c>
      <c r="R279" s="2" t="inlineStr"/>
    </row>
    <row r="280" ht="15" customHeight="1">
      <c r="A280" t="inlineStr">
        <is>
          <t>A 51679-2025</t>
        </is>
      </c>
      <c r="B280" s="1" t="n">
        <v>45951.51141203703</v>
      </c>
      <c r="C280" s="1" t="n">
        <v>46139</v>
      </c>
      <c r="D280" t="inlineStr">
        <is>
          <t>NORRBOTTENS LÄN</t>
        </is>
      </c>
      <c r="E280" t="inlineStr">
        <is>
          <t>JOKKMOKK</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51707-2025</t>
        </is>
      </c>
      <c r="B281" s="1" t="n">
        <v>45951</v>
      </c>
      <c r="C281" s="1" t="n">
        <v>46139</v>
      </c>
      <c r="D281" t="inlineStr">
        <is>
          <t>NORRBOTTENS LÄN</t>
        </is>
      </c>
      <c r="E281" t="inlineStr">
        <is>
          <t>JOKKMOKK</t>
        </is>
      </c>
      <c r="F281" t="inlineStr">
        <is>
          <t>Övriga statliga verk och myndigheter</t>
        </is>
      </c>
      <c r="G281" t="n">
        <v>7.2</v>
      </c>
      <c r="H281" t="n">
        <v>0</v>
      </c>
      <c r="I281" t="n">
        <v>0</v>
      </c>
      <c r="J281" t="n">
        <v>0</v>
      </c>
      <c r="K281" t="n">
        <v>0</v>
      </c>
      <c r="L281" t="n">
        <v>0</v>
      </c>
      <c r="M281" t="n">
        <v>0</v>
      </c>
      <c r="N281" t="n">
        <v>0</v>
      </c>
      <c r="O281" t="n">
        <v>0</v>
      </c>
      <c r="P281" t="n">
        <v>0</v>
      </c>
      <c r="Q281" t="n">
        <v>0</v>
      </c>
      <c r="R281" s="2" t="inlineStr"/>
    </row>
    <row r="282" ht="15" customHeight="1">
      <c r="A282" t="inlineStr">
        <is>
          <t>A 51717-2025</t>
        </is>
      </c>
      <c r="B282" s="1" t="n">
        <v>45951.57743055555</v>
      </c>
      <c r="C282" s="1" t="n">
        <v>46139</v>
      </c>
      <c r="D282" t="inlineStr">
        <is>
          <t>NORRBOTTENS LÄN</t>
        </is>
      </c>
      <c r="E282" t="inlineStr">
        <is>
          <t>JOKKMOKK</t>
        </is>
      </c>
      <c r="F282" t="inlineStr">
        <is>
          <t>Övriga statliga verk och myndigheter</t>
        </is>
      </c>
      <c r="G282" t="n">
        <v>3.4</v>
      </c>
      <c r="H282" t="n">
        <v>0</v>
      </c>
      <c r="I282" t="n">
        <v>0</v>
      </c>
      <c r="J282" t="n">
        <v>0</v>
      </c>
      <c r="K282" t="n">
        <v>0</v>
      </c>
      <c r="L282" t="n">
        <v>0</v>
      </c>
      <c r="M282" t="n">
        <v>0</v>
      </c>
      <c r="N282" t="n">
        <v>0</v>
      </c>
      <c r="O282" t="n">
        <v>0</v>
      </c>
      <c r="P282" t="n">
        <v>0</v>
      </c>
      <c r="Q282" t="n">
        <v>0</v>
      </c>
      <c r="R282" s="2" t="inlineStr"/>
    </row>
    <row r="283" ht="15" customHeight="1">
      <c r="A283" t="inlineStr">
        <is>
          <t>A 51718-2025</t>
        </is>
      </c>
      <c r="B283" s="1" t="n">
        <v>45951.57791666667</v>
      </c>
      <c r="C283" s="1" t="n">
        <v>46139</v>
      </c>
      <c r="D283" t="inlineStr">
        <is>
          <t>NORRBOTTENS LÄN</t>
        </is>
      </c>
      <c r="E283" t="inlineStr">
        <is>
          <t>JOKKMOKK</t>
        </is>
      </c>
      <c r="F283" t="inlineStr">
        <is>
          <t>Övriga statliga verk och myndigheter</t>
        </is>
      </c>
      <c r="G283" t="n">
        <v>31.9</v>
      </c>
      <c r="H283" t="n">
        <v>0</v>
      </c>
      <c r="I283" t="n">
        <v>0</v>
      </c>
      <c r="J283" t="n">
        <v>0</v>
      </c>
      <c r="K283" t="n">
        <v>0</v>
      </c>
      <c r="L283" t="n">
        <v>0</v>
      </c>
      <c r="M283" t="n">
        <v>0</v>
      </c>
      <c r="N283" t="n">
        <v>0</v>
      </c>
      <c r="O283" t="n">
        <v>0</v>
      </c>
      <c r="P283" t="n">
        <v>0</v>
      </c>
      <c r="Q283" t="n">
        <v>0</v>
      </c>
      <c r="R283" s="2" t="inlineStr"/>
    </row>
    <row r="284" ht="15" customHeight="1">
      <c r="A284" t="inlineStr">
        <is>
          <t>A 51499-2025</t>
        </is>
      </c>
      <c r="B284" s="1" t="n">
        <v>45950.63737268518</v>
      </c>
      <c r="C284" s="1" t="n">
        <v>46139</v>
      </c>
      <c r="D284" t="inlineStr">
        <is>
          <t>NORRBOTTENS LÄN</t>
        </is>
      </c>
      <c r="E284" t="inlineStr">
        <is>
          <t>JOKKMOKK</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51500-2025</t>
        </is>
      </c>
      <c r="B285" s="1" t="n">
        <v>45950.63739583334</v>
      </c>
      <c r="C285" s="1" t="n">
        <v>46139</v>
      </c>
      <c r="D285" t="inlineStr">
        <is>
          <t>NORRBOTTENS LÄN</t>
        </is>
      </c>
      <c r="E285" t="inlineStr">
        <is>
          <t>JOKKMOKK</t>
        </is>
      </c>
      <c r="G285" t="n">
        <v>10.1</v>
      </c>
      <c r="H285" t="n">
        <v>0</v>
      </c>
      <c r="I285" t="n">
        <v>0</v>
      </c>
      <c r="J285" t="n">
        <v>0</v>
      </c>
      <c r="K285" t="n">
        <v>0</v>
      </c>
      <c r="L285" t="n">
        <v>0</v>
      </c>
      <c r="M285" t="n">
        <v>0</v>
      </c>
      <c r="N285" t="n">
        <v>0</v>
      </c>
      <c r="O285" t="n">
        <v>0</v>
      </c>
      <c r="P285" t="n">
        <v>0</v>
      </c>
      <c r="Q285" t="n">
        <v>0</v>
      </c>
      <c r="R285" s="2" t="inlineStr"/>
    </row>
    <row r="286" ht="15" customHeight="1">
      <c r="A286" t="inlineStr">
        <is>
          <t>A 52291-2025</t>
        </is>
      </c>
      <c r="B286" s="1" t="n">
        <v>45953.59836805556</v>
      </c>
      <c r="C286" s="1" t="n">
        <v>46139</v>
      </c>
      <c r="D286" t="inlineStr">
        <is>
          <t>NORRBOTTENS LÄN</t>
        </is>
      </c>
      <c r="E286" t="inlineStr">
        <is>
          <t>JOKKMOKK</t>
        </is>
      </c>
      <c r="F286" t="inlineStr">
        <is>
          <t>Övriga statliga verk och myndigheter</t>
        </is>
      </c>
      <c r="G286" t="n">
        <v>41.2</v>
      </c>
      <c r="H286" t="n">
        <v>0</v>
      </c>
      <c r="I286" t="n">
        <v>0</v>
      </c>
      <c r="J286" t="n">
        <v>0</v>
      </c>
      <c r="K286" t="n">
        <v>0</v>
      </c>
      <c r="L286" t="n">
        <v>0</v>
      </c>
      <c r="M286" t="n">
        <v>0</v>
      </c>
      <c r="N286" t="n">
        <v>0</v>
      </c>
      <c r="O286" t="n">
        <v>0</v>
      </c>
      <c r="P286" t="n">
        <v>0</v>
      </c>
      <c r="Q286" t="n">
        <v>0</v>
      </c>
      <c r="R286" s="2" t="inlineStr"/>
    </row>
    <row r="287" ht="15" customHeight="1">
      <c r="A287" t="inlineStr">
        <is>
          <t>A 29446-2025</t>
        </is>
      </c>
      <c r="B287" s="1" t="n">
        <v>45824</v>
      </c>
      <c r="C287" s="1" t="n">
        <v>46139</v>
      </c>
      <c r="D287" t="inlineStr">
        <is>
          <t>NORRBOTTENS LÄN</t>
        </is>
      </c>
      <c r="E287" t="inlineStr">
        <is>
          <t>JOKKMOKK</t>
        </is>
      </c>
      <c r="G287" t="n">
        <v>68.5</v>
      </c>
      <c r="H287" t="n">
        <v>0</v>
      </c>
      <c r="I287" t="n">
        <v>0</v>
      </c>
      <c r="J287" t="n">
        <v>0</v>
      </c>
      <c r="K287" t="n">
        <v>0</v>
      </c>
      <c r="L287" t="n">
        <v>0</v>
      </c>
      <c r="M287" t="n">
        <v>0</v>
      </c>
      <c r="N287" t="n">
        <v>0</v>
      </c>
      <c r="O287" t="n">
        <v>0</v>
      </c>
      <c r="P287" t="n">
        <v>0</v>
      </c>
      <c r="Q287" t="n">
        <v>0</v>
      </c>
      <c r="R287" s="2" t="inlineStr"/>
    </row>
    <row r="288" ht="15" customHeight="1">
      <c r="A288" t="inlineStr">
        <is>
          <t>A 29418-2025</t>
        </is>
      </c>
      <c r="B288" s="1" t="n">
        <v>45824.63607638889</v>
      </c>
      <c r="C288" s="1" t="n">
        <v>46139</v>
      </c>
      <c r="D288" t="inlineStr">
        <is>
          <t>NORRBOTTENS LÄN</t>
        </is>
      </c>
      <c r="E288" t="inlineStr">
        <is>
          <t>JOKKMOKK</t>
        </is>
      </c>
      <c r="G288" t="n">
        <v>17.8</v>
      </c>
      <c r="H288" t="n">
        <v>0</v>
      </c>
      <c r="I288" t="n">
        <v>0</v>
      </c>
      <c r="J288" t="n">
        <v>0</v>
      </c>
      <c r="K288" t="n">
        <v>0</v>
      </c>
      <c r="L288" t="n">
        <v>0</v>
      </c>
      <c r="M288" t="n">
        <v>0</v>
      </c>
      <c r="N288" t="n">
        <v>0</v>
      </c>
      <c r="O288" t="n">
        <v>0</v>
      </c>
      <c r="P288" t="n">
        <v>0</v>
      </c>
      <c r="Q288" t="n">
        <v>0</v>
      </c>
      <c r="R288" s="2" t="inlineStr"/>
    </row>
    <row r="289" ht="15" customHeight="1">
      <c r="A289" t="inlineStr">
        <is>
          <t>A 52278-2025</t>
        </is>
      </c>
      <c r="B289" s="1" t="n">
        <v>45953.56256944445</v>
      </c>
      <c r="C289" s="1" t="n">
        <v>46139</v>
      </c>
      <c r="D289" t="inlineStr">
        <is>
          <t>NORRBOTTENS LÄN</t>
        </is>
      </c>
      <c r="E289" t="inlineStr">
        <is>
          <t>JOKKMOKK</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52112-2025</t>
        </is>
      </c>
      <c r="B290" s="1" t="n">
        <v>45952.69846064815</v>
      </c>
      <c r="C290" s="1" t="n">
        <v>46139</v>
      </c>
      <c r="D290" t="inlineStr">
        <is>
          <t>NORRBOTTENS LÄN</t>
        </is>
      </c>
      <c r="E290" t="inlineStr">
        <is>
          <t>JOKKMOKK</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9852-2023</t>
        </is>
      </c>
      <c r="B291" s="1" t="n">
        <v>44984</v>
      </c>
      <c r="C291" s="1" t="n">
        <v>46139</v>
      </c>
      <c r="D291" t="inlineStr">
        <is>
          <t>NORRBOTTENS LÄN</t>
        </is>
      </c>
      <c r="E291" t="inlineStr">
        <is>
          <t>JOKKMOKK</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52293-2025</t>
        </is>
      </c>
      <c r="B292" s="1" t="n">
        <v>45953.59943287037</v>
      </c>
      <c r="C292" s="1" t="n">
        <v>46139</v>
      </c>
      <c r="D292" t="inlineStr">
        <is>
          <t>NORRBOTTENS LÄN</t>
        </is>
      </c>
      <c r="E292" t="inlineStr">
        <is>
          <t>JOKKMOKK</t>
        </is>
      </c>
      <c r="F292" t="inlineStr">
        <is>
          <t>Övriga statliga verk och myndigheter</t>
        </is>
      </c>
      <c r="G292" t="n">
        <v>65.09999999999999</v>
      </c>
      <c r="H292" t="n">
        <v>0</v>
      </c>
      <c r="I292" t="n">
        <v>0</v>
      </c>
      <c r="J292" t="n">
        <v>0</v>
      </c>
      <c r="K292" t="n">
        <v>0</v>
      </c>
      <c r="L292" t="n">
        <v>0</v>
      </c>
      <c r="M292" t="n">
        <v>0</v>
      </c>
      <c r="N292" t="n">
        <v>0</v>
      </c>
      <c r="O292" t="n">
        <v>0</v>
      </c>
      <c r="P292" t="n">
        <v>0</v>
      </c>
      <c r="Q292" t="n">
        <v>0</v>
      </c>
      <c r="R292" s="2" t="inlineStr"/>
    </row>
    <row r="293" ht="15" customHeight="1">
      <c r="A293" t="inlineStr">
        <is>
          <t>A 52294-2025</t>
        </is>
      </c>
      <c r="B293" s="1" t="n">
        <v>45953.59979166667</v>
      </c>
      <c r="C293" s="1" t="n">
        <v>46139</v>
      </c>
      <c r="D293" t="inlineStr">
        <is>
          <t>NORRBOTTENS LÄN</t>
        </is>
      </c>
      <c r="E293" t="inlineStr">
        <is>
          <t>JOKKMOKK</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52288-2025</t>
        </is>
      </c>
      <c r="B294" s="1" t="n">
        <v>45953.59483796296</v>
      </c>
      <c r="C294" s="1" t="n">
        <v>46139</v>
      </c>
      <c r="D294" t="inlineStr">
        <is>
          <t>NORRBOTTENS LÄN</t>
        </is>
      </c>
      <c r="E294" t="inlineStr">
        <is>
          <t>JOKKMOKK</t>
        </is>
      </c>
      <c r="F294" t="inlineStr">
        <is>
          <t>Övriga statliga verk och myndigheter</t>
        </is>
      </c>
      <c r="G294" t="n">
        <v>11.4</v>
      </c>
      <c r="H294" t="n">
        <v>0</v>
      </c>
      <c r="I294" t="n">
        <v>0</v>
      </c>
      <c r="J294" t="n">
        <v>0</v>
      </c>
      <c r="K294" t="n">
        <v>0</v>
      </c>
      <c r="L294" t="n">
        <v>0</v>
      </c>
      <c r="M294" t="n">
        <v>0</v>
      </c>
      <c r="N294" t="n">
        <v>0</v>
      </c>
      <c r="O294" t="n">
        <v>0</v>
      </c>
      <c r="P294" t="n">
        <v>0</v>
      </c>
      <c r="Q294" t="n">
        <v>0</v>
      </c>
      <c r="R294" s="2" t="inlineStr"/>
    </row>
    <row r="295" ht="15" customHeight="1">
      <c r="A295" t="inlineStr">
        <is>
          <t>A 30178-2025</t>
        </is>
      </c>
      <c r="B295" s="1" t="n">
        <v>45827.34571759259</v>
      </c>
      <c r="C295" s="1" t="n">
        <v>46139</v>
      </c>
      <c r="D295" t="inlineStr">
        <is>
          <t>NORRBOTTENS LÄN</t>
        </is>
      </c>
      <c r="E295" t="inlineStr">
        <is>
          <t>JOKKMOKK</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30177-2025</t>
        </is>
      </c>
      <c r="B296" s="1" t="n">
        <v>45827.34537037037</v>
      </c>
      <c r="C296" s="1" t="n">
        <v>46139</v>
      </c>
      <c r="D296" t="inlineStr">
        <is>
          <t>NORRBOTTENS LÄN</t>
        </is>
      </c>
      <c r="E296" t="inlineStr">
        <is>
          <t>JOKKMOKK</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30185-2025</t>
        </is>
      </c>
      <c r="B297" s="1" t="n">
        <v>45827.34717592593</v>
      </c>
      <c r="C297" s="1" t="n">
        <v>46139</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30181-2025</t>
        </is>
      </c>
      <c r="B298" s="1" t="n">
        <v>45827.34607638889</v>
      </c>
      <c r="C298" s="1" t="n">
        <v>46139</v>
      </c>
      <c r="D298" t="inlineStr">
        <is>
          <t>NORRBOTTENS LÄN</t>
        </is>
      </c>
      <c r="E298" t="inlineStr">
        <is>
          <t>JOKKMOKK</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30182-2025</t>
        </is>
      </c>
      <c r="B299" s="1" t="n">
        <v>45827.34640046296</v>
      </c>
      <c r="C299" s="1" t="n">
        <v>46139</v>
      </c>
      <c r="D299" t="inlineStr">
        <is>
          <t>NORRBOTTENS LÄN</t>
        </is>
      </c>
      <c r="E299" t="inlineStr">
        <is>
          <t>JOKKMOKK</t>
        </is>
      </c>
      <c r="F299" t="inlineStr">
        <is>
          <t>SCA</t>
        </is>
      </c>
      <c r="G299" t="n">
        <v>9.9</v>
      </c>
      <c r="H299" t="n">
        <v>0</v>
      </c>
      <c r="I299" t="n">
        <v>0</v>
      </c>
      <c r="J299" t="n">
        <v>0</v>
      </c>
      <c r="K299" t="n">
        <v>0</v>
      </c>
      <c r="L299" t="n">
        <v>0</v>
      </c>
      <c r="M299" t="n">
        <v>0</v>
      </c>
      <c r="N299" t="n">
        <v>0</v>
      </c>
      <c r="O299" t="n">
        <v>0</v>
      </c>
      <c r="P299" t="n">
        <v>0</v>
      </c>
      <c r="Q299" t="n">
        <v>0</v>
      </c>
      <c r="R299" s="2" t="inlineStr"/>
    </row>
    <row r="300" ht="15" customHeight="1">
      <c r="A300" t="inlineStr">
        <is>
          <t>A 30184-2025</t>
        </is>
      </c>
      <c r="B300" s="1" t="n">
        <v>45827.34695601852</v>
      </c>
      <c r="C300" s="1" t="n">
        <v>46139</v>
      </c>
      <c r="D300" t="inlineStr">
        <is>
          <t>NORRBOTTENS LÄN</t>
        </is>
      </c>
      <c r="E300" t="inlineStr">
        <is>
          <t>JOKKMOKK</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52770-2025</t>
        </is>
      </c>
      <c r="B301" s="1" t="n">
        <v>45957</v>
      </c>
      <c r="C301" s="1" t="n">
        <v>46139</v>
      </c>
      <c r="D301" t="inlineStr">
        <is>
          <t>NORRBOTTENS LÄN</t>
        </is>
      </c>
      <c r="E301" t="inlineStr">
        <is>
          <t>JOKKMOKK</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30189-2025</t>
        </is>
      </c>
      <c r="B302" s="1" t="n">
        <v>45827.34756944444</v>
      </c>
      <c r="C302" s="1" t="n">
        <v>46139</v>
      </c>
      <c r="D302" t="inlineStr">
        <is>
          <t>NORRBOTTENS LÄN</t>
        </is>
      </c>
      <c r="E302" t="inlineStr">
        <is>
          <t>JOKKMOKK</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29853-2025</t>
        </is>
      </c>
      <c r="B303" s="1" t="n">
        <v>45826.34438657408</v>
      </c>
      <c r="C303" s="1" t="n">
        <v>46139</v>
      </c>
      <c r="D303" t="inlineStr">
        <is>
          <t>NORRBOTTENS LÄN</t>
        </is>
      </c>
      <c r="E303" t="inlineStr">
        <is>
          <t>JOKKMOKK</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29857-2025</t>
        </is>
      </c>
      <c r="B304" s="1" t="n">
        <v>45826.3453125</v>
      </c>
      <c r="C304" s="1" t="n">
        <v>46139</v>
      </c>
      <c r="D304" t="inlineStr">
        <is>
          <t>NORRBOTTENS LÄN</t>
        </is>
      </c>
      <c r="E304" t="inlineStr">
        <is>
          <t>JOKKMOKK</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29856-2025</t>
        </is>
      </c>
      <c r="B305" s="1" t="n">
        <v>45826.345</v>
      </c>
      <c r="C305" s="1" t="n">
        <v>46139</v>
      </c>
      <c r="D305" t="inlineStr">
        <is>
          <t>NORRBOTTENS LÄN</t>
        </is>
      </c>
      <c r="E305" t="inlineStr">
        <is>
          <t>JOKKMOKK</t>
        </is>
      </c>
      <c r="F305" t="inlineStr">
        <is>
          <t>SCA</t>
        </is>
      </c>
      <c r="G305" t="n">
        <v>7.1</v>
      </c>
      <c r="H305" t="n">
        <v>0</v>
      </c>
      <c r="I305" t="n">
        <v>0</v>
      </c>
      <c r="J305" t="n">
        <v>0</v>
      </c>
      <c r="K305" t="n">
        <v>0</v>
      </c>
      <c r="L305" t="n">
        <v>0</v>
      </c>
      <c r="M305" t="n">
        <v>0</v>
      </c>
      <c r="N305" t="n">
        <v>0</v>
      </c>
      <c r="O305" t="n">
        <v>0</v>
      </c>
      <c r="P305" t="n">
        <v>0</v>
      </c>
      <c r="Q305" t="n">
        <v>0</v>
      </c>
      <c r="R305" s="2" t="inlineStr"/>
    </row>
    <row r="306" ht="15" customHeight="1">
      <c r="A306" t="inlineStr">
        <is>
          <t>A 29858-2025</t>
        </is>
      </c>
      <c r="B306" s="1" t="n">
        <v>45826.34565972222</v>
      </c>
      <c r="C306" s="1" t="n">
        <v>46139</v>
      </c>
      <c r="D306" t="inlineStr">
        <is>
          <t>NORRBOTTENS LÄN</t>
        </is>
      </c>
      <c r="E306" t="inlineStr">
        <is>
          <t>JOKKMOKK</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52812-2024</t>
        </is>
      </c>
      <c r="B307" s="1" t="n">
        <v>45610.58070601852</v>
      </c>
      <c r="C307" s="1" t="n">
        <v>46139</v>
      </c>
      <c r="D307" t="inlineStr">
        <is>
          <t>NORRBOTTENS LÄN</t>
        </is>
      </c>
      <c r="E307" t="inlineStr">
        <is>
          <t>JOKKMOKK</t>
        </is>
      </c>
      <c r="G307" t="n">
        <v>84</v>
      </c>
      <c r="H307" t="n">
        <v>0</v>
      </c>
      <c r="I307" t="n">
        <v>0</v>
      </c>
      <c r="J307" t="n">
        <v>0</v>
      </c>
      <c r="K307" t="n">
        <v>0</v>
      </c>
      <c r="L307" t="n">
        <v>0</v>
      </c>
      <c r="M307" t="n">
        <v>0</v>
      </c>
      <c r="N307" t="n">
        <v>0</v>
      </c>
      <c r="O307" t="n">
        <v>0</v>
      </c>
      <c r="P307" t="n">
        <v>0</v>
      </c>
      <c r="Q307" t="n">
        <v>0</v>
      </c>
      <c r="R307" s="2" t="inlineStr"/>
    </row>
    <row r="308" ht="15" customHeight="1">
      <c r="A308" t="inlineStr">
        <is>
          <t>A 53513-2025</t>
        </is>
      </c>
      <c r="B308" s="1" t="n">
        <v>45960</v>
      </c>
      <c r="C308" s="1" t="n">
        <v>46139</v>
      </c>
      <c r="D308" t="inlineStr">
        <is>
          <t>NORRBOTTENS LÄN</t>
        </is>
      </c>
      <c r="E308" t="inlineStr">
        <is>
          <t>JOKKMOKK</t>
        </is>
      </c>
      <c r="G308" t="n">
        <v>3.7</v>
      </c>
      <c r="H308" t="n">
        <v>0</v>
      </c>
      <c r="I308" t="n">
        <v>0</v>
      </c>
      <c r="J308" t="n">
        <v>0</v>
      </c>
      <c r="K308" t="n">
        <v>0</v>
      </c>
      <c r="L308" t="n">
        <v>0</v>
      </c>
      <c r="M308" t="n">
        <v>0</v>
      </c>
      <c r="N308" t="n">
        <v>0</v>
      </c>
      <c r="O308" t="n">
        <v>0</v>
      </c>
      <c r="P308" t="n">
        <v>0</v>
      </c>
      <c r="Q308" t="n">
        <v>0</v>
      </c>
      <c r="R308" s="2" t="inlineStr"/>
    </row>
    <row r="309" ht="15" customHeight="1">
      <c r="A309" t="inlineStr">
        <is>
          <t>A 54546-2025</t>
        </is>
      </c>
      <c r="B309" s="1" t="n">
        <v>45965.65212962963</v>
      </c>
      <c r="C309" s="1" t="n">
        <v>46139</v>
      </c>
      <c r="D309" t="inlineStr">
        <is>
          <t>NORRBOTTENS LÄN</t>
        </is>
      </c>
      <c r="E309" t="inlineStr">
        <is>
          <t>JOKKMOKK</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30399-2024</t>
        </is>
      </c>
      <c r="B310" s="1" t="n">
        <v>45491</v>
      </c>
      <c r="C310" s="1" t="n">
        <v>46139</v>
      </c>
      <c r="D310" t="inlineStr">
        <is>
          <t>NORRBOTTENS LÄN</t>
        </is>
      </c>
      <c r="E310" t="inlineStr">
        <is>
          <t>JOKKMOKK</t>
        </is>
      </c>
      <c r="G310" t="n">
        <v>4.6</v>
      </c>
      <c r="H310" t="n">
        <v>0</v>
      </c>
      <c r="I310" t="n">
        <v>0</v>
      </c>
      <c r="J310" t="n">
        <v>0</v>
      </c>
      <c r="K310" t="n">
        <v>0</v>
      </c>
      <c r="L310" t="n">
        <v>0</v>
      </c>
      <c r="M310" t="n">
        <v>0</v>
      </c>
      <c r="N310" t="n">
        <v>0</v>
      </c>
      <c r="O310" t="n">
        <v>0</v>
      </c>
      <c r="P310" t="n">
        <v>0</v>
      </c>
      <c r="Q310" t="n">
        <v>0</v>
      </c>
      <c r="R310" s="2" t="inlineStr"/>
    </row>
    <row r="311" ht="15" customHeight="1">
      <c r="A311" t="inlineStr">
        <is>
          <t>A 54270-2025</t>
        </is>
      </c>
      <c r="B311" s="1" t="n">
        <v>45964.67798611111</v>
      </c>
      <c r="C311" s="1" t="n">
        <v>46139</v>
      </c>
      <c r="D311" t="inlineStr">
        <is>
          <t>NORRBOTTENS LÄN</t>
        </is>
      </c>
      <c r="E311" t="inlineStr">
        <is>
          <t>JOKKMOKK</t>
        </is>
      </c>
      <c r="F311" t="inlineStr">
        <is>
          <t>Allmännings- och besparingsskogar</t>
        </is>
      </c>
      <c r="G311" t="n">
        <v>5.3</v>
      </c>
      <c r="H311" t="n">
        <v>0</v>
      </c>
      <c r="I311" t="n">
        <v>0</v>
      </c>
      <c r="J311" t="n">
        <v>0</v>
      </c>
      <c r="K311" t="n">
        <v>0</v>
      </c>
      <c r="L311" t="n">
        <v>0</v>
      </c>
      <c r="M311" t="n">
        <v>0</v>
      </c>
      <c r="N311" t="n">
        <v>0</v>
      </c>
      <c r="O311" t="n">
        <v>0</v>
      </c>
      <c r="P311" t="n">
        <v>0</v>
      </c>
      <c r="Q311" t="n">
        <v>0</v>
      </c>
      <c r="R311" s="2" t="inlineStr"/>
    </row>
    <row r="312" ht="15" customHeight="1">
      <c r="A312" t="inlineStr">
        <is>
          <t>A 425-2025</t>
        </is>
      </c>
      <c r="B312" s="1" t="n">
        <v>45664.34549768519</v>
      </c>
      <c r="C312" s="1" t="n">
        <v>46139</v>
      </c>
      <c r="D312" t="inlineStr">
        <is>
          <t>NORRBOTTENS LÄN</t>
        </is>
      </c>
      <c r="E312" t="inlineStr">
        <is>
          <t>JOKKMOKK</t>
        </is>
      </c>
      <c r="F312" t="inlineStr">
        <is>
          <t>Övriga statliga verk och myndigheter</t>
        </is>
      </c>
      <c r="G312" t="n">
        <v>36.5</v>
      </c>
      <c r="H312" t="n">
        <v>0</v>
      </c>
      <c r="I312" t="n">
        <v>0</v>
      </c>
      <c r="J312" t="n">
        <v>0</v>
      </c>
      <c r="K312" t="n">
        <v>0</v>
      </c>
      <c r="L312" t="n">
        <v>0</v>
      </c>
      <c r="M312" t="n">
        <v>0</v>
      </c>
      <c r="N312" t="n">
        <v>0</v>
      </c>
      <c r="O312" t="n">
        <v>0</v>
      </c>
      <c r="P312" t="n">
        <v>0</v>
      </c>
      <c r="Q312" t="n">
        <v>0</v>
      </c>
      <c r="R312" s="2" t="inlineStr"/>
    </row>
    <row r="313" ht="15" customHeight="1">
      <c r="A313" t="inlineStr">
        <is>
          <t>A 54585-2025</t>
        </is>
      </c>
      <c r="B313" s="1" t="n">
        <v>45965.72071759259</v>
      </c>
      <c r="C313" s="1" t="n">
        <v>46139</v>
      </c>
      <c r="D313" t="inlineStr">
        <is>
          <t>NORRBOTTENS LÄN</t>
        </is>
      </c>
      <c r="E313" t="inlineStr">
        <is>
          <t>JOKKMOKK</t>
        </is>
      </c>
      <c r="F313" t="inlineStr">
        <is>
          <t>Allmännings- och besparingsskogar</t>
        </is>
      </c>
      <c r="G313" t="n">
        <v>10.2</v>
      </c>
      <c r="H313" t="n">
        <v>0</v>
      </c>
      <c r="I313" t="n">
        <v>0</v>
      </c>
      <c r="J313" t="n">
        <v>0</v>
      </c>
      <c r="K313" t="n">
        <v>0</v>
      </c>
      <c r="L313" t="n">
        <v>0</v>
      </c>
      <c r="M313" t="n">
        <v>0</v>
      </c>
      <c r="N313" t="n">
        <v>0</v>
      </c>
      <c r="O313" t="n">
        <v>0</v>
      </c>
      <c r="P313" t="n">
        <v>0</v>
      </c>
      <c r="Q313" t="n">
        <v>0</v>
      </c>
      <c r="R313" s="2" t="inlineStr"/>
    </row>
    <row r="314" ht="15" customHeight="1">
      <c r="A314" t="inlineStr">
        <is>
          <t>A 55015-2025</t>
        </is>
      </c>
      <c r="B314" s="1" t="n">
        <v>45967</v>
      </c>
      <c r="C314" s="1" t="n">
        <v>46139</v>
      </c>
      <c r="D314" t="inlineStr">
        <is>
          <t>NORRBOTTENS LÄN</t>
        </is>
      </c>
      <c r="E314" t="inlineStr">
        <is>
          <t>JOKKMOKK</t>
        </is>
      </c>
      <c r="G314" t="n">
        <v>14.9</v>
      </c>
      <c r="H314" t="n">
        <v>0</v>
      </c>
      <c r="I314" t="n">
        <v>0</v>
      </c>
      <c r="J314" t="n">
        <v>0</v>
      </c>
      <c r="K314" t="n">
        <v>0</v>
      </c>
      <c r="L314" t="n">
        <v>0</v>
      </c>
      <c r="M314" t="n">
        <v>0</v>
      </c>
      <c r="N314" t="n">
        <v>0</v>
      </c>
      <c r="O314" t="n">
        <v>0</v>
      </c>
      <c r="P314" t="n">
        <v>0</v>
      </c>
      <c r="Q314" t="n">
        <v>0</v>
      </c>
      <c r="R314" s="2" t="inlineStr"/>
    </row>
    <row r="315" ht="15" customHeight="1">
      <c r="A315" t="inlineStr">
        <is>
          <t>A 31918-2025</t>
        </is>
      </c>
      <c r="B315" s="1" t="n">
        <v>45834</v>
      </c>
      <c r="C315" s="1" t="n">
        <v>46139</v>
      </c>
      <c r="D315" t="inlineStr">
        <is>
          <t>NORRBOTTENS LÄN</t>
        </is>
      </c>
      <c r="E315" t="inlineStr">
        <is>
          <t>JOKKMOKK</t>
        </is>
      </c>
      <c r="G315" t="n">
        <v>15.2</v>
      </c>
      <c r="H315" t="n">
        <v>0</v>
      </c>
      <c r="I315" t="n">
        <v>0</v>
      </c>
      <c r="J315" t="n">
        <v>0</v>
      </c>
      <c r="K315" t="n">
        <v>0</v>
      </c>
      <c r="L315" t="n">
        <v>0</v>
      </c>
      <c r="M315" t="n">
        <v>0</v>
      </c>
      <c r="N315" t="n">
        <v>0</v>
      </c>
      <c r="O315" t="n">
        <v>0</v>
      </c>
      <c r="P315" t="n">
        <v>0</v>
      </c>
      <c r="Q315" t="n">
        <v>0</v>
      </c>
      <c r="R315" s="2" t="inlineStr"/>
    </row>
    <row r="316" ht="15" customHeight="1">
      <c r="A316" t="inlineStr">
        <is>
          <t>A 32670-2025</t>
        </is>
      </c>
      <c r="B316" s="1" t="n">
        <v>45838.70071759259</v>
      </c>
      <c r="C316" s="1" t="n">
        <v>46139</v>
      </c>
      <c r="D316" t="inlineStr">
        <is>
          <t>NORRBOTTENS LÄN</t>
        </is>
      </c>
      <c r="E316" t="inlineStr">
        <is>
          <t>JOKKMOKK</t>
        </is>
      </c>
      <c r="F316" t="inlineStr">
        <is>
          <t>Sveaskog</t>
        </is>
      </c>
      <c r="G316" t="n">
        <v>6.8</v>
      </c>
      <c r="H316" t="n">
        <v>0</v>
      </c>
      <c r="I316" t="n">
        <v>0</v>
      </c>
      <c r="J316" t="n">
        <v>0</v>
      </c>
      <c r="K316" t="n">
        <v>0</v>
      </c>
      <c r="L316" t="n">
        <v>0</v>
      </c>
      <c r="M316" t="n">
        <v>0</v>
      </c>
      <c r="N316" t="n">
        <v>0</v>
      </c>
      <c r="O316" t="n">
        <v>0</v>
      </c>
      <c r="P316" t="n">
        <v>0</v>
      </c>
      <c r="Q316" t="n">
        <v>0</v>
      </c>
      <c r="R316" s="2" t="inlineStr"/>
    </row>
    <row r="317" ht="15" customHeight="1">
      <c r="A317" t="inlineStr">
        <is>
          <t>A 16972-2025</t>
        </is>
      </c>
      <c r="B317" s="1" t="n">
        <v>45755.46942129629</v>
      </c>
      <c r="C317" s="1" t="n">
        <v>46139</v>
      </c>
      <c r="D317" t="inlineStr">
        <is>
          <t>NORRBOTTENS LÄN</t>
        </is>
      </c>
      <c r="E317" t="inlineStr">
        <is>
          <t>JOKKMOKK</t>
        </is>
      </c>
      <c r="F317" t="inlineStr">
        <is>
          <t>SCA</t>
        </is>
      </c>
      <c r="G317" t="n">
        <v>4.5</v>
      </c>
      <c r="H317" t="n">
        <v>0</v>
      </c>
      <c r="I317" t="n">
        <v>0</v>
      </c>
      <c r="J317" t="n">
        <v>0</v>
      </c>
      <c r="K317" t="n">
        <v>0</v>
      </c>
      <c r="L317" t="n">
        <v>0</v>
      </c>
      <c r="M317" t="n">
        <v>0</v>
      </c>
      <c r="N317" t="n">
        <v>0</v>
      </c>
      <c r="O317" t="n">
        <v>0</v>
      </c>
      <c r="P317" t="n">
        <v>0</v>
      </c>
      <c r="Q317" t="n">
        <v>0</v>
      </c>
      <c r="R317" s="2" t="inlineStr"/>
    </row>
    <row r="318" ht="15" customHeight="1">
      <c r="A318" t="inlineStr">
        <is>
          <t>A 55577-2025</t>
        </is>
      </c>
      <c r="B318" s="1" t="n">
        <v>45971.6684837963</v>
      </c>
      <c r="C318" s="1" t="n">
        <v>46139</v>
      </c>
      <c r="D318" t="inlineStr">
        <is>
          <t>NORRBOTTENS LÄN</t>
        </is>
      </c>
      <c r="E318" t="inlineStr">
        <is>
          <t>JOKKMOKK</t>
        </is>
      </c>
      <c r="F318" t="inlineStr">
        <is>
          <t>Allmännings- och besparingsskogar</t>
        </is>
      </c>
      <c r="G318" t="n">
        <v>7.8</v>
      </c>
      <c r="H318" t="n">
        <v>0</v>
      </c>
      <c r="I318" t="n">
        <v>0</v>
      </c>
      <c r="J318" t="n">
        <v>0</v>
      </c>
      <c r="K318" t="n">
        <v>0</v>
      </c>
      <c r="L318" t="n">
        <v>0</v>
      </c>
      <c r="M318" t="n">
        <v>0</v>
      </c>
      <c r="N318" t="n">
        <v>0</v>
      </c>
      <c r="O318" t="n">
        <v>0</v>
      </c>
      <c r="P318" t="n">
        <v>0</v>
      </c>
      <c r="Q318" t="n">
        <v>0</v>
      </c>
      <c r="R318" s="2" t="inlineStr"/>
    </row>
    <row r="319" ht="15" customHeight="1">
      <c r="A319" t="inlineStr">
        <is>
          <t>A 37206-2025</t>
        </is>
      </c>
      <c r="B319" s="1" t="n">
        <v>45875.69855324074</v>
      </c>
      <c r="C319" s="1" t="n">
        <v>46139</v>
      </c>
      <c r="D319" t="inlineStr">
        <is>
          <t>NORRBOTTENS LÄN</t>
        </is>
      </c>
      <c r="E319" t="inlineStr">
        <is>
          <t>JOKKMOKK</t>
        </is>
      </c>
      <c r="G319" t="n">
        <v>2.9</v>
      </c>
      <c r="H319" t="n">
        <v>0</v>
      </c>
      <c r="I319" t="n">
        <v>0</v>
      </c>
      <c r="J319" t="n">
        <v>0</v>
      </c>
      <c r="K319" t="n">
        <v>0</v>
      </c>
      <c r="L319" t="n">
        <v>0</v>
      </c>
      <c r="M319" t="n">
        <v>0</v>
      </c>
      <c r="N319" t="n">
        <v>0</v>
      </c>
      <c r="O319" t="n">
        <v>0</v>
      </c>
      <c r="P319" t="n">
        <v>0</v>
      </c>
      <c r="Q319" t="n">
        <v>0</v>
      </c>
      <c r="R319" s="2" t="inlineStr"/>
    </row>
    <row r="320" ht="15" customHeight="1">
      <c r="A320" t="inlineStr">
        <is>
          <t>A 55195-2025</t>
        </is>
      </c>
      <c r="B320" s="1" t="n">
        <v>45968.5525</v>
      </c>
      <c r="C320" s="1" t="n">
        <v>46139</v>
      </c>
      <c r="D320" t="inlineStr">
        <is>
          <t>NORRBOTTENS LÄN</t>
        </is>
      </c>
      <c r="E320" t="inlineStr">
        <is>
          <t>JOKKMOKK</t>
        </is>
      </c>
      <c r="G320" t="n">
        <v>5.3</v>
      </c>
      <c r="H320" t="n">
        <v>0</v>
      </c>
      <c r="I320" t="n">
        <v>0</v>
      </c>
      <c r="J320" t="n">
        <v>0</v>
      </c>
      <c r="K320" t="n">
        <v>0</v>
      </c>
      <c r="L320" t="n">
        <v>0</v>
      </c>
      <c r="M320" t="n">
        <v>0</v>
      </c>
      <c r="N320" t="n">
        <v>0</v>
      </c>
      <c r="O320" t="n">
        <v>0</v>
      </c>
      <c r="P320" t="n">
        <v>0</v>
      </c>
      <c r="Q320" t="n">
        <v>0</v>
      </c>
      <c r="R320" s="2" t="inlineStr"/>
    </row>
    <row r="321" ht="15" customHeight="1">
      <c r="A321" t="inlineStr">
        <is>
          <t>A 33551-2025</t>
        </is>
      </c>
      <c r="B321" s="1" t="n">
        <v>45841.57357638889</v>
      </c>
      <c r="C321" s="1" t="n">
        <v>46139</v>
      </c>
      <c r="D321" t="inlineStr">
        <is>
          <t>NORRBOTTENS LÄN</t>
        </is>
      </c>
      <c r="E321" t="inlineStr">
        <is>
          <t>JOKKMOKK</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33515-2025</t>
        </is>
      </c>
      <c r="B322" s="1" t="n">
        <v>45841.53164351852</v>
      </c>
      <c r="C322" s="1" t="n">
        <v>46139</v>
      </c>
      <c r="D322" t="inlineStr">
        <is>
          <t>NORRBOTTENS LÄN</t>
        </is>
      </c>
      <c r="E322" t="inlineStr">
        <is>
          <t>JOKKMOKK</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33523-2025</t>
        </is>
      </c>
      <c r="B323" s="1" t="n">
        <v>45841.54601851852</v>
      </c>
      <c r="C323" s="1" t="n">
        <v>46139</v>
      </c>
      <c r="D323" t="inlineStr">
        <is>
          <t>NORRBOTTENS LÄN</t>
        </is>
      </c>
      <c r="E323" t="inlineStr">
        <is>
          <t>JOKKMOKK</t>
        </is>
      </c>
      <c r="F323" t="inlineStr">
        <is>
          <t>Sveaskog</t>
        </is>
      </c>
      <c r="G323" t="n">
        <v>5.5</v>
      </c>
      <c r="H323" t="n">
        <v>0</v>
      </c>
      <c r="I323" t="n">
        <v>0</v>
      </c>
      <c r="J323" t="n">
        <v>0</v>
      </c>
      <c r="K323" t="n">
        <v>0</v>
      </c>
      <c r="L323" t="n">
        <v>0</v>
      </c>
      <c r="M323" t="n">
        <v>0</v>
      </c>
      <c r="N323" t="n">
        <v>0</v>
      </c>
      <c r="O323" t="n">
        <v>0</v>
      </c>
      <c r="P323" t="n">
        <v>0</v>
      </c>
      <c r="Q323" t="n">
        <v>0</v>
      </c>
      <c r="R323" s="2" t="inlineStr"/>
    </row>
    <row r="324" ht="15" customHeight="1">
      <c r="A324" t="inlineStr">
        <is>
          <t>A 55990-2025</t>
        </is>
      </c>
      <c r="B324" s="1" t="n">
        <v>45973.55615740741</v>
      </c>
      <c r="C324" s="1" t="n">
        <v>46139</v>
      </c>
      <c r="D324" t="inlineStr">
        <is>
          <t>NORRBOTTENS LÄN</t>
        </is>
      </c>
      <c r="E324" t="inlineStr">
        <is>
          <t>JOKKMOKK</t>
        </is>
      </c>
      <c r="F324" t="inlineStr">
        <is>
          <t>Naturvårdsverket</t>
        </is>
      </c>
      <c r="G324" t="n">
        <v>6.2</v>
      </c>
      <c r="H324" t="n">
        <v>0</v>
      </c>
      <c r="I324" t="n">
        <v>0</v>
      </c>
      <c r="J324" t="n">
        <v>0</v>
      </c>
      <c r="K324" t="n">
        <v>0</v>
      </c>
      <c r="L324" t="n">
        <v>0</v>
      </c>
      <c r="M324" t="n">
        <v>0</v>
      </c>
      <c r="N324" t="n">
        <v>0</v>
      </c>
      <c r="O324" t="n">
        <v>0</v>
      </c>
      <c r="P324" t="n">
        <v>0</v>
      </c>
      <c r="Q324" t="n">
        <v>0</v>
      </c>
      <c r="R324" s="2" t="inlineStr"/>
    </row>
    <row r="325" ht="15" customHeight="1">
      <c r="A325" t="inlineStr">
        <is>
          <t>A 56012-2025</t>
        </is>
      </c>
      <c r="B325" s="1" t="n">
        <v>45973.58731481482</v>
      </c>
      <c r="C325" s="1" t="n">
        <v>46139</v>
      </c>
      <c r="D325" t="inlineStr">
        <is>
          <t>NORRBOTTENS LÄN</t>
        </is>
      </c>
      <c r="E325" t="inlineStr">
        <is>
          <t>JOKKMOKK</t>
        </is>
      </c>
      <c r="F325" t="inlineStr">
        <is>
          <t>Naturvårdsverket</t>
        </is>
      </c>
      <c r="G325" t="n">
        <v>1.5</v>
      </c>
      <c r="H325" t="n">
        <v>0</v>
      </c>
      <c r="I325" t="n">
        <v>0</v>
      </c>
      <c r="J325" t="n">
        <v>0</v>
      </c>
      <c r="K325" t="n">
        <v>0</v>
      </c>
      <c r="L325" t="n">
        <v>0</v>
      </c>
      <c r="M325" t="n">
        <v>0</v>
      </c>
      <c r="N325" t="n">
        <v>0</v>
      </c>
      <c r="O325" t="n">
        <v>0</v>
      </c>
      <c r="P325" t="n">
        <v>0</v>
      </c>
      <c r="Q325" t="n">
        <v>0</v>
      </c>
      <c r="R325" s="2" t="inlineStr"/>
    </row>
    <row r="326" ht="15" customHeight="1">
      <c r="A326" t="inlineStr">
        <is>
          <t>A 59849-2021</t>
        </is>
      </c>
      <c r="B326" s="1" t="n">
        <v>44493</v>
      </c>
      <c r="C326" s="1" t="n">
        <v>46139</v>
      </c>
      <c r="D326" t="inlineStr">
        <is>
          <t>NORRBOTTENS LÄN</t>
        </is>
      </c>
      <c r="E326" t="inlineStr">
        <is>
          <t>JOKKMOKK</t>
        </is>
      </c>
      <c r="F326" t="inlineStr">
        <is>
          <t>Övriga Aktiebolag</t>
        </is>
      </c>
      <c r="G326" t="n">
        <v>11.7</v>
      </c>
      <c r="H326" t="n">
        <v>0</v>
      </c>
      <c r="I326" t="n">
        <v>0</v>
      </c>
      <c r="J326" t="n">
        <v>0</v>
      </c>
      <c r="K326" t="n">
        <v>0</v>
      </c>
      <c r="L326" t="n">
        <v>0</v>
      </c>
      <c r="M326" t="n">
        <v>0</v>
      </c>
      <c r="N326" t="n">
        <v>0</v>
      </c>
      <c r="O326" t="n">
        <v>0</v>
      </c>
      <c r="P326" t="n">
        <v>0</v>
      </c>
      <c r="Q326" t="n">
        <v>0</v>
      </c>
      <c r="R326" s="2" t="inlineStr"/>
    </row>
    <row r="327" ht="15" customHeight="1">
      <c r="A327" t="inlineStr">
        <is>
          <t>A 33554-2025</t>
        </is>
      </c>
      <c r="B327" s="1" t="n">
        <v>45841.57400462963</v>
      </c>
      <c r="C327" s="1" t="n">
        <v>46139</v>
      </c>
      <c r="D327" t="inlineStr">
        <is>
          <t>NORRBOTTENS LÄN</t>
        </is>
      </c>
      <c r="E327" t="inlineStr">
        <is>
          <t>JOKKMOKK</t>
        </is>
      </c>
      <c r="F327" t="inlineStr">
        <is>
          <t>SCA</t>
        </is>
      </c>
      <c r="G327" t="n">
        <v>11.4</v>
      </c>
      <c r="H327" t="n">
        <v>0</v>
      </c>
      <c r="I327" t="n">
        <v>0</v>
      </c>
      <c r="J327" t="n">
        <v>0</v>
      </c>
      <c r="K327" t="n">
        <v>0</v>
      </c>
      <c r="L327" t="n">
        <v>0</v>
      </c>
      <c r="M327" t="n">
        <v>0</v>
      </c>
      <c r="N327" t="n">
        <v>0</v>
      </c>
      <c r="O327" t="n">
        <v>0</v>
      </c>
      <c r="P327" t="n">
        <v>0</v>
      </c>
      <c r="Q327" t="n">
        <v>0</v>
      </c>
      <c r="R327" s="2" t="inlineStr"/>
    </row>
    <row r="328" ht="15" customHeight="1">
      <c r="A328" t="inlineStr">
        <is>
          <t>A 55673-2025</t>
        </is>
      </c>
      <c r="B328" s="1" t="n">
        <v>45972.40754629629</v>
      </c>
      <c r="C328" s="1" t="n">
        <v>46139</v>
      </c>
      <c r="D328" t="inlineStr">
        <is>
          <t>NORRBOTTENS LÄN</t>
        </is>
      </c>
      <c r="E328" t="inlineStr">
        <is>
          <t>JOKKMOKK</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36361-2024</t>
        </is>
      </c>
      <c r="B329" s="1" t="n">
        <v>45534.64626157407</v>
      </c>
      <c r="C329" s="1" t="n">
        <v>46139</v>
      </c>
      <c r="D329" t="inlineStr">
        <is>
          <t>NORRBOTTENS LÄN</t>
        </is>
      </c>
      <c r="E329" t="inlineStr">
        <is>
          <t>JOKKMOKK</t>
        </is>
      </c>
      <c r="F329" t="inlineStr">
        <is>
          <t>SCA</t>
        </is>
      </c>
      <c r="G329" t="n">
        <v>2.2</v>
      </c>
      <c r="H329" t="n">
        <v>0</v>
      </c>
      <c r="I329" t="n">
        <v>0</v>
      </c>
      <c r="J329" t="n">
        <v>0</v>
      </c>
      <c r="K329" t="n">
        <v>0</v>
      </c>
      <c r="L329" t="n">
        <v>0</v>
      </c>
      <c r="M329" t="n">
        <v>0</v>
      </c>
      <c r="N329" t="n">
        <v>0</v>
      </c>
      <c r="O329" t="n">
        <v>0</v>
      </c>
      <c r="P329" t="n">
        <v>0</v>
      </c>
      <c r="Q329" t="n">
        <v>0</v>
      </c>
      <c r="R329" s="2" t="inlineStr"/>
    </row>
    <row r="330" ht="15" customHeight="1">
      <c r="A330" t="inlineStr">
        <is>
          <t>A 56507-2025</t>
        </is>
      </c>
      <c r="B330" s="1" t="n">
        <v>45975</v>
      </c>
      <c r="C330" s="1" t="n">
        <v>46139</v>
      </c>
      <c r="D330" t="inlineStr">
        <is>
          <t>NORRBOTTENS LÄN</t>
        </is>
      </c>
      <c r="E330" t="inlineStr">
        <is>
          <t>JOKKMOKK</t>
        </is>
      </c>
      <c r="F330" t="inlineStr">
        <is>
          <t>Allmännings- och besparingsskogar</t>
        </is>
      </c>
      <c r="G330" t="n">
        <v>20</v>
      </c>
      <c r="H330" t="n">
        <v>0</v>
      </c>
      <c r="I330" t="n">
        <v>0</v>
      </c>
      <c r="J330" t="n">
        <v>0</v>
      </c>
      <c r="K330" t="n">
        <v>0</v>
      </c>
      <c r="L330" t="n">
        <v>0</v>
      </c>
      <c r="M330" t="n">
        <v>0</v>
      </c>
      <c r="N330" t="n">
        <v>0</v>
      </c>
      <c r="O330" t="n">
        <v>0</v>
      </c>
      <c r="P330" t="n">
        <v>0</v>
      </c>
      <c r="Q330" t="n">
        <v>0</v>
      </c>
      <c r="R330" s="2" t="inlineStr"/>
    </row>
    <row r="331" ht="15" customHeight="1">
      <c r="A331" t="inlineStr">
        <is>
          <t>A 56322-2025</t>
        </is>
      </c>
      <c r="B331" s="1" t="n">
        <v>45974.63550925926</v>
      </c>
      <c r="C331" s="1" t="n">
        <v>46139</v>
      </c>
      <c r="D331" t="inlineStr">
        <is>
          <t>NORRBOTTENS LÄN</t>
        </is>
      </c>
      <c r="E331" t="inlineStr">
        <is>
          <t>JOKKMOKK</t>
        </is>
      </c>
      <c r="F331" t="inlineStr">
        <is>
          <t>Övriga statliga verk och myndigheter</t>
        </is>
      </c>
      <c r="G331" t="n">
        <v>6.2</v>
      </c>
      <c r="H331" t="n">
        <v>0</v>
      </c>
      <c r="I331" t="n">
        <v>0</v>
      </c>
      <c r="J331" t="n">
        <v>0</v>
      </c>
      <c r="K331" t="n">
        <v>0</v>
      </c>
      <c r="L331" t="n">
        <v>0</v>
      </c>
      <c r="M331" t="n">
        <v>0</v>
      </c>
      <c r="N331" t="n">
        <v>0</v>
      </c>
      <c r="O331" t="n">
        <v>0</v>
      </c>
      <c r="P331" t="n">
        <v>0</v>
      </c>
      <c r="Q331" t="n">
        <v>0</v>
      </c>
      <c r="R331" s="2" t="inlineStr"/>
    </row>
    <row r="332" ht="15" customHeight="1">
      <c r="A332" t="inlineStr">
        <is>
          <t>A 56323-2025</t>
        </is>
      </c>
      <c r="B332" s="1" t="n">
        <v>45974.63583333333</v>
      </c>
      <c r="C332" s="1" t="n">
        <v>46139</v>
      </c>
      <c r="D332" t="inlineStr">
        <is>
          <t>NORRBOTTENS LÄN</t>
        </is>
      </c>
      <c r="E332" t="inlineStr">
        <is>
          <t>JOKKMOKK</t>
        </is>
      </c>
      <c r="F332" t="inlineStr">
        <is>
          <t>Övriga statliga verk och myndigheter</t>
        </is>
      </c>
      <c r="G332" t="n">
        <v>5.5</v>
      </c>
      <c r="H332" t="n">
        <v>0</v>
      </c>
      <c r="I332" t="n">
        <v>0</v>
      </c>
      <c r="J332" t="n">
        <v>0</v>
      </c>
      <c r="K332" t="n">
        <v>0</v>
      </c>
      <c r="L332" t="n">
        <v>0</v>
      </c>
      <c r="M332" t="n">
        <v>0</v>
      </c>
      <c r="N332" t="n">
        <v>0</v>
      </c>
      <c r="O332" t="n">
        <v>0</v>
      </c>
      <c r="P332" t="n">
        <v>0</v>
      </c>
      <c r="Q332" t="n">
        <v>0</v>
      </c>
      <c r="R332" s="2" t="inlineStr"/>
    </row>
    <row r="333" ht="15" customHeight="1">
      <c r="A333" t="inlineStr">
        <is>
          <t>A 33349-2025</t>
        </is>
      </c>
      <c r="B333" s="1" t="n">
        <v>45841.3704050926</v>
      </c>
      <c r="C333" s="1" t="n">
        <v>46139</v>
      </c>
      <c r="D333" t="inlineStr">
        <is>
          <t>NORRBOTTENS LÄN</t>
        </is>
      </c>
      <c r="E333" t="inlineStr">
        <is>
          <t>JOKKMOKK</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56387-2025</t>
        </is>
      </c>
      <c r="B334" s="1" t="n">
        <v>45974.72184027778</v>
      </c>
      <c r="C334" s="1" t="n">
        <v>46139</v>
      </c>
      <c r="D334" t="inlineStr">
        <is>
          <t>NORRBOTTENS LÄN</t>
        </is>
      </c>
      <c r="E334" t="inlineStr">
        <is>
          <t>JOKKMOKK</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56317-2025</t>
        </is>
      </c>
      <c r="B335" s="1" t="n">
        <v>45974.63099537037</v>
      </c>
      <c r="C335" s="1" t="n">
        <v>46139</v>
      </c>
      <c r="D335" t="inlineStr">
        <is>
          <t>NORRBOTTENS LÄN</t>
        </is>
      </c>
      <c r="E335" t="inlineStr">
        <is>
          <t>JOKKMOKK</t>
        </is>
      </c>
      <c r="F335" t="inlineStr">
        <is>
          <t>Övriga statliga verk och myndigheter</t>
        </is>
      </c>
      <c r="G335" t="n">
        <v>14.5</v>
      </c>
      <c r="H335" t="n">
        <v>0</v>
      </c>
      <c r="I335" t="n">
        <v>0</v>
      </c>
      <c r="J335" t="n">
        <v>0</v>
      </c>
      <c r="K335" t="n">
        <v>0</v>
      </c>
      <c r="L335" t="n">
        <v>0</v>
      </c>
      <c r="M335" t="n">
        <v>0</v>
      </c>
      <c r="N335" t="n">
        <v>0</v>
      </c>
      <c r="O335" t="n">
        <v>0</v>
      </c>
      <c r="P335" t="n">
        <v>0</v>
      </c>
      <c r="Q335" t="n">
        <v>0</v>
      </c>
      <c r="R335" s="2" t="inlineStr"/>
    </row>
    <row r="336" ht="15" customHeight="1">
      <c r="A336" t="inlineStr">
        <is>
          <t>A 56321-2025</t>
        </is>
      </c>
      <c r="B336" s="1" t="n">
        <v>45974.63530092593</v>
      </c>
      <c r="C336" s="1" t="n">
        <v>46139</v>
      </c>
      <c r="D336" t="inlineStr">
        <is>
          <t>NORRBOTTENS LÄN</t>
        </is>
      </c>
      <c r="E336" t="inlineStr">
        <is>
          <t>JOKKMOKK</t>
        </is>
      </c>
      <c r="F336" t="inlineStr">
        <is>
          <t>Övriga statliga verk och myndigheter</t>
        </is>
      </c>
      <c r="G336" t="n">
        <v>14.6</v>
      </c>
      <c r="H336" t="n">
        <v>0</v>
      </c>
      <c r="I336" t="n">
        <v>0</v>
      </c>
      <c r="J336" t="n">
        <v>0</v>
      </c>
      <c r="K336" t="n">
        <v>0</v>
      </c>
      <c r="L336" t="n">
        <v>0</v>
      </c>
      <c r="M336" t="n">
        <v>0</v>
      </c>
      <c r="N336" t="n">
        <v>0</v>
      </c>
      <c r="O336" t="n">
        <v>0</v>
      </c>
      <c r="P336" t="n">
        <v>0</v>
      </c>
      <c r="Q336" t="n">
        <v>0</v>
      </c>
      <c r="R336" s="2" t="inlineStr"/>
    </row>
    <row r="337" ht="15" customHeight="1">
      <c r="A337" t="inlineStr">
        <is>
          <t>A 56286-2025</t>
        </is>
      </c>
      <c r="B337" s="1" t="n">
        <v>45974.59608796296</v>
      </c>
      <c r="C337" s="1" t="n">
        <v>46139</v>
      </c>
      <c r="D337" t="inlineStr">
        <is>
          <t>NORRBOTTENS LÄN</t>
        </is>
      </c>
      <c r="E337" t="inlineStr">
        <is>
          <t>JOKKMOKK</t>
        </is>
      </c>
      <c r="F337" t="inlineStr">
        <is>
          <t>Sveaskog</t>
        </is>
      </c>
      <c r="G337" t="n">
        <v>22.8</v>
      </c>
      <c r="H337" t="n">
        <v>0</v>
      </c>
      <c r="I337" t="n">
        <v>0</v>
      </c>
      <c r="J337" t="n">
        <v>0</v>
      </c>
      <c r="K337" t="n">
        <v>0</v>
      </c>
      <c r="L337" t="n">
        <v>0</v>
      </c>
      <c r="M337" t="n">
        <v>0</v>
      </c>
      <c r="N337" t="n">
        <v>0</v>
      </c>
      <c r="O337" t="n">
        <v>0</v>
      </c>
      <c r="P337" t="n">
        <v>0</v>
      </c>
      <c r="Q337" t="n">
        <v>0</v>
      </c>
      <c r="R337" s="2" t="inlineStr"/>
    </row>
    <row r="338" ht="15" customHeight="1">
      <c r="A338" t="inlineStr">
        <is>
          <t>A 56445-2025</t>
        </is>
      </c>
      <c r="B338" s="1" t="n">
        <v>45975.34825231481</v>
      </c>
      <c r="C338" s="1" t="n">
        <v>46139</v>
      </c>
      <c r="D338" t="inlineStr">
        <is>
          <t>NORRBOTTENS LÄN</t>
        </is>
      </c>
      <c r="E338" t="inlineStr">
        <is>
          <t>JOKKMOKK</t>
        </is>
      </c>
      <c r="G338" t="n">
        <v>35.7</v>
      </c>
      <c r="H338" t="n">
        <v>0</v>
      </c>
      <c r="I338" t="n">
        <v>0</v>
      </c>
      <c r="J338" t="n">
        <v>0</v>
      </c>
      <c r="K338" t="n">
        <v>0</v>
      </c>
      <c r="L338" t="n">
        <v>0</v>
      </c>
      <c r="M338" t="n">
        <v>0</v>
      </c>
      <c r="N338" t="n">
        <v>0</v>
      </c>
      <c r="O338" t="n">
        <v>0</v>
      </c>
      <c r="P338" t="n">
        <v>0</v>
      </c>
      <c r="Q338" t="n">
        <v>0</v>
      </c>
      <c r="R338" s="2" t="inlineStr"/>
    </row>
    <row r="339" ht="15" customHeight="1">
      <c r="A339" t="inlineStr">
        <is>
          <t>A 56343-2025</t>
        </is>
      </c>
      <c r="B339" s="1" t="n">
        <v>45974.64890046296</v>
      </c>
      <c r="C339" s="1" t="n">
        <v>46139</v>
      </c>
      <c r="D339" t="inlineStr">
        <is>
          <t>NORRBOTTENS LÄN</t>
        </is>
      </c>
      <c r="E339" t="inlineStr">
        <is>
          <t>JOKKMOKK</t>
        </is>
      </c>
      <c r="F339" t="inlineStr">
        <is>
          <t>Övriga statliga verk och myndigheter</t>
        </is>
      </c>
      <c r="G339" t="n">
        <v>14.8</v>
      </c>
      <c r="H339" t="n">
        <v>0</v>
      </c>
      <c r="I339" t="n">
        <v>0</v>
      </c>
      <c r="J339" t="n">
        <v>0</v>
      </c>
      <c r="K339" t="n">
        <v>0</v>
      </c>
      <c r="L339" t="n">
        <v>0</v>
      </c>
      <c r="M339" t="n">
        <v>0</v>
      </c>
      <c r="N339" t="n">
        <v>0</v>
      </c>
      <c r="O339" t="n">
        <v>0</v>
      </c>
      <c r="P339" t="n">
        <v>0</v>
      </c>
      <c r="Q339" t="n">
        <v>0</v>
      </c>
      <c r="R339" s="2" t="inlineStr"/>
    </row>
    <row r="340" ht="15" customHeight="1">
      <c r="A340" t="inlineStr">
        <is>
          <t>A 56372-2025</t>
        </is>
      </c>
      <c r="B340" s="1" t="n">
        <v>45974.68207175926</v>
      </c>
      <c r="C340" s="1" t="n">
        <v>46139</v>
      </c>
      <c r="D340" t="inlineStr">
        <is>
          <t>NORRBOTTENS LÄN</t>
        </is>
      </c>
      <c r="E340" t="inlineStr">
        <is>
          <t>JOKKMOKK</t>
        </is>
      </c>
      <c r="F340" t="inlineStr">
        <is>
          <t>Sveaskog</t>
        </is>
      </c>
      <c r="G340" t="n">
        <v>26.4</v>
      </c>
      <c r="H340" t="n">
        <v>0</v>
      </c>
      <c r="I340" t="n">
        <v>0</v>
      </c>
      <c r="J340" t="n">
        <v>0</v>
      </c>
      <c r="K340" t="n">
        <v>0</v>
      </c>
      <c r="L340" t="n">
        <v>0</v>
      </c>
      <c r="M340" t="n">
        <v>0</v>
      </c>
      <c r="N340" t="n">
        <v>0</v>
      </c>
      <c r="O340" t="n">
        <v>0</v>
      </c>
      <c r="P340" t="n">
        <v>0</v>
      </c>
      <c r="Q340" t="n">
        <v>0</v>
      </c>
      <c r="R340" s="2" t="inlineStr"/>
    </row>
    <row r="341" ht="15" customHeight="1">
      <c r="A341" t="inlineStr">
        <is>
          <t>A 56192-2025</t>
        </is>
      </c>
      <c r="B341" s="1" t="n">
        <v>45974.44472222222</v>
      </c>
      <c r="C341" s="1" t="n">
        <v>46139</v>
      </c>
      <c r="D341" t="inlineStr">
        <is>
          <t>NORRBOTTENS LÄN</t>
        </is>
      </c>
      <c r="E341" t="inlineStr">
        <is>
          <t>JOKKMOKK</t>
        </is>
      </c>
      <c r="F341" t="inlineStr">
        <is>
          <t>Sveaskog</t>
        </is>
      </c>
      <c r="G341" t="n">
        <v>3.8</v>
      </c>
      <c r="H341" t="n">
        <v>0</v>
      </c>
      <c r="I341" t="n">
        <v>0</v>
      </c>
      <c r="J341" t="n">
        <v>0</v>
      </c>
      <c r="K341" t="n">
        <v>0</v>
      </c>
      <c r="L341" t="n">
        <v>0</v>
      </c>
      <c r="M341" t="n">
        <v>0</v>
      </c>
      <c r="N341" t="n">
        <v>0</v>
      </c>
      <c r="O341" t="n">
        <v>0</v>
      </c>
      <c r="P341" t="n">
        <v>0</v>
      </c>
      <c r="Q341" t="n">
        <v>0</v>
      </c>
      <c r="R341" s="2" t="inlineStr"/>
    </row>
    <row r="342" ht="15" customHeight="1">
      <c r="A342" t="inlineStr">
        <is>
          <t>A 56193-2025</t>
        </is>
      </c>
      <c r="B342" s="1" t="n">
        <v>45974.44701388889</v>
      </c>
      <c r="C342" s="1" t="n">
        <v>46139</v>
      </c>
      <c r="D342" t="inlineStr">
        <is>
          <t>NORRBOTTENS LÄN</t>
        </is>
      </c>
      <c r="E342" t="inlineStr">
        <is>
          <t>JOKKMOKK</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33741-2025</t>
        </is>
      </c>
      <c r="B343" s="1" t="n">
        <v>45842.3446875</v>
      </c>
      <c r="C343" s="1" t="n">
        <v>46139</v>
      </c>
      <c r="D343" t="inlineStr">
        <is>
          <t>NORRBOTTENS LÄN</t>
        </is>
      </c>
      <c r="E343" t="inlineStr">
        <is>
          <t>JOKKMOKK</t>
        </is>
      </c>
      <c r="F343" t="inlineStr">
        <is>
          <t>SCA</t>
        </is>
      </c>
      <c r="G343" t="n">
        <v>5.1</v>
      </c>
      <c r="H343" t="n">
        <v>0</v>
      </c>
      <c r="I343" t="n">
        <v>0</v>
      </c>
      <c r="J343" t="n">
        <v>0</v>
      </c>
      <c r="K343" t="n">
        <v>0</v>
      </c>
      <c r="L343" t="n">
        <v>0</v>
      </c>
      <c r="M343" t="n">
        <v>0</v>
      </c>
      <c r="N343" t="n">
        <v>0</v>
      </c>
      <c r="O343" t="n">
        <v>0</v>
      </c>
      <c r="P343" t="n">
        <v>0</v>
      </c>
      <c r="Q343" t="n">
        <v>0</v>
      </c>
      <c r="R343" s="2" t="inlineStr"/>
    </row>
    <row r="344" ht="15" customHeight="1">
      <c r="A344" t="inlineStr">
        <is>
          <t>A 13864-2025</t>
        </is>
      </c>
      <c r="B344" s="1" t="n">
        <v>45737</v>
      </c>
      <c r="C344" s="1" t="n">
        <v>46139</v>
      </c>
      <c r="D344" t="inlineStr">
        <is>
          <t>NORRBOTTENS LÄN</t>
        </is>
      </c>
      <c r="E344" t="inlineStr">
        <is>
          <t>JOKKMOKK</t>
        </is>
      </c>
      <c r="G344" t="n">
        <v>1.7</v>
      </c>
      <c r="H344" t="n">
        <v>0</v>
      </c>
      <c r="I344" t="n">
        <v>0</v>
      </c>
      <c r="J344" t="n">
        <v>0</v>
      </c>
      <c r="K344" t="n">
        <v>0</v>
      </c>
      <c r="L344" t="n">
        <v>0</v>
      </c>
      <c r="M344" t="n">
        <v>0</v>
      </c>
      <c r="N344" t="n">
        <v>0</v>
      </c>
      <c r="O344" t="n">
        <v>0</v>
      </c>
      <c r="P344" t="n">
        <v>0</v>
      </c>
      <c r="Q344" t="n">
        <v>0</v>
      </c>
      <c r="R344" s="2" t="inlineStr"/>
    </row>
    <row r="345" ht="15" customHeight="1">
      <c r="A345" t="inlineStr">
        <is>
          <t>A 57256-2025</t>
        </is>
      </c>
      <c r="B345" s="1" t="n">
        <v>45979.65127314815</v>
      </c>
      <c r="C345" s="1" t="n">
        <v>46139</v>
      </c>
      <c r="D345" t="inlineStr">
        <is>
          <t>NORRBOTTENS LÄN</t>
        </is>
      </c>
      <c r="E345" t="inlineStr">
        <is>
          <t>JOKKMOKK</t>
        </is>
      </c>
      <c r="F345" t="inlineStr">
        <is>
          <t>Allmännings- och besparingsskogar</t>
        </is>
      </c>
      <c r="G345" t="n">
        <v>12.3</v>
      </c>
      <c r="H345" t="n">
        <v>0</v>
      </c>
      <c r="I345" t="n">
        <v>0</v>
      </c>
      <c r="J345" t="n">
        <v>0</v>
      </c>
      <c r="K345" t="n">
        <v>0</v>
      </c>
      <c r="L345" t="n">
        <v>0</v>
      </c>
      <c r="M345" t="n">
        <v>0</v>
      </c>
      <c r="N345" t="n">
        <v>0</v>
      </c>
      <c r="O345" t="n">
        <v>0</v>
      </c>
      <c r="P345" t="n">
        <v>0</v>
      </c>
      <c r="Q345" t="n">
        <v>0</v>
      </c>
      <c r="R345" s="2" t="inlineStr"/>
    </row>
    <row r="346" ht="15" customHeight="1">
      <c r="A346" t="inlineStr">
        <is>
          <t>A 57167-2025</t>
        </is>
      </c>
      <c r="B346" s="1" t="n">
        <v>45979.54135416666</v>
      </c>
      <c r="C346" s="1" t="n">
        <v>46139</v>
      </c>
      <c r="D346" t="inlineStr">
        <is>
          <t>NORRBOTTENS LÄN</t>
        </is>
      </c>
      <c r="E346" t="inlineStr">
        <is>
          <t>JOKKMOKK</t>
        </is>
      </c>
      <c r="F346" t="inlineStr">
        <is>
          <t>Allmännings- och besparingsskogar</t>
        </is>
      </c>
      <c r="G346" t="n">
        <v>12.8</v>
      </c>
      <c r="H346" t="n">
        <v>0</v>
      </c>
      <c r="I346" t="n">
        <v>0</v>
      </c>
      <c r="J346" t="n">
        <v>0</v>
      </c>
      <c r="K346" t="n">
        <v>0</v>
      </c>
      <c r="L346" t="n">
        <v>0</v>
      </c>
      <c r="M346" t="n">
        <v>0</v>
      </c>
      <c r="N346" t="n">
        <v>0</v>
      </c>
      <c r="O346" t="n">
        <v>0</v>
      </c>
      <c r="P346" t="n">
        <v>0</v>
      </c>
      <c r="Q346" t="n">
        <v>0</v>
      </c>
      <c r="R346" s="2" t="inlineStr"/>
    </row>
    <row r="347" ht="15" customHeight="1">
      <c r="A347" t="inlineStr">
        <is>
          <t>A 34598-2024</t>
        </is>
      </c>
      <c r="B347" s="1" t="n">
        <v>45526.39714120371</v>
      </c>
      <c r="C347" s="1" t="n">
        <v>46139</v>
      </c>
      <c r="D347" t="inlineStr">
        <is>
          <t>NORRBOTTENS LÄN</t>
        </is>
      </c>
      <c r="E347" t="inlineStr">
        <is>
          <t>JOKKMOKK</t>
        </is>
      </c>
      <c r="G347" t="n">
        <v>2.5</v>
      </c>
      <c r="H347" t="n">
        <v>0</v>
      </c>
      <c r="I347" t="n">
        <v>0</v>
      </c>
      <c r="J347" t="n">
        <v>0</v>
      </c>
      <c r="K347" t="n">
        <v>0</v>
      </c>
      <c r="L347" t="n">
        <v>0</v>
      </c>
      <c r="M347" t="n">
        <v>0</v>
      </c>
      <c r="N347" t="n">
        <v>0</v>
      </c>
      <c r="O347" t="n">
        <v>0</v>
      </c>
      <c r="P347" t="n">
        <v>0</v>
      </c>
      <c r="Q347" t="n">
        <v>0</v>
      </c>
      <c r="R347" s="2" t="inlineStr"/>
    </row>
    <row r="348" ht="15" customHeight="1">
      <c r="A348" t="inlineStr">
        <is>
          <t>A 35040-2025</t>
        </is>
      </c>
      <c r="B348" s="1" t="n">
        <v>45852.34420138889</v>
      </c>
      <c r="C348" s="1" t="n">
        <v>46139</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58133-2025</t>
        </is>
      </c>
      <c r="B349" s="1" t="n">
        <v>45982.61763888889</v>
      </c>
      <c r="C349" s="1" t="n">
        <v>46139</v>
      </c>
      <c r="D349" t="inlineStr">
        <is>
          <t>NORRBOTTENS LÄN</t>
        </is>
      </c>
      <c r="E349" t="inlineStr">
        <is>
          <t>JOKKMOKK</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30291-2023</t>
        </is>
      </c>
      <c r="B350" s="1" t="n">
        <v>45110.92523148148</v>
      </c>
      <c r="C350" s="1" t="n">
        <v>46139</v>
      </c>
      <c r="D350" t="inlineStr">
        <is>
          <t>NORRBOTTENS LÄN</t>
        </is>
      </c>
      <c r="E350" t="inlineStr">
        <is>
          <t>JOKKMOKK</t>
        </is>
      </c>
      <c r="G350" t="n">
        <v>1.6</v>
      </c>
      <c r="H350" t="n">
        <v>0</v>
      </c>
      <c r="I350" t="n">
        <v>0</v>
      </c>
      <c r="J350" t="n">
        <v>0</v>
      </c>
      <c r="K350" t="n">
        <v>0</v>
      </c>
      <c r="L350" t="n">
        <v>0</v>
      </c>
      <c r="M350" t="n">
        <v>0</v>
      </c>
      <c r="N350" t="n">
        <v>0</v>
      </c>
      <c r="O350" t="n">
        <v>0</v>
      </c>
      <c r="P350" t="n">
        <v>0</v>
      </c>
      <c r="Q350" t="n">
        <v>0</v>
      </c>
      <c r="R350" s="2" t="inlineStr"/>
    </row>
    <row r="351" ht="15" customHeight="1">
      <c r="A351" t="inlineStr">
        <is>
          <t>A 58404-2025</t>
        </is>
      </c>
      <c r="B351" s="1" t="n">
        <v>45985.56795138889</v>
      </c>
      <c r="C351" s="1" t="n">
        <v>46139</v>
      </c>
      <c r="D351" t="inlineStr">
        <is>
          <t>NORRBOTTENS LÄN</t>
        </is>
      </c>
      <c r="E351" t="inlineStr">
        <is>
          <t>JOKKMOKK</t>
        </is>
      </c>
      <c r="F351" t="inlineStr">
        <is>
          <t>Övriga statliga verk och myndigheter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58418-2025</t>
        </is>
      </c>
      <c r="B352" s="1" t="n">
        <v>45985.58361111111</v>
      </c>
      <c r="C352" s="1" t="n">
        <v>46139</v>
      </c>
      <c r="D352" t="inlineStr">
        <is>
          <t>NORRBOTTENS LÄN</t>
        </is>
      </c>
      <c r="E352" t="inlineStr">
        <is>
          <t>JOKKMOKK</t>
        </is>
      </c>
      <c r="F352" t="inlineStr">
        <is>
          <t>Övriga statliga verk och myndigheter</t>
        </is>
      </c>
      <c r="G352" t="n">
        <v>18.1</v>
      </c>
      <c r="H352" t="n">
        <v>0</v>
      </c>
      <c r="I352" t="n">
        <v>0</v>
      </c>
      <c r="J352" t="n">
        <v>0</v>
      </c>
      <c r="K352" t="n">
        <v>0</v>
      </c>
      <c r="L352" t="n">
        <v>0</v>
      </c>
      <c r="M352" t="n">
        <v>0</v>
      </c>
      <c r="N352" t="n">
        <v>0</v>
      </c>
      <c r="O352" t="n">
        <v>0</v>
      </c>
      <c r="P352" t="n">
        <v>0</v>
      </c>
      <c r="Q352" t="n">
        <v>0</v>
      </c>
      <c r="R352" s="2" t="inlineStr"/>
    </row>
    <row r="353" ht="15" customHeight="1">
      <c r="A353" t="inlineStr">
        <is>
          <t>A 58419-2025</t>
        </is>
      </c>
      <c r="B353" s="1" t="n">
        <v>45985.58466435185</v>
      </c>
      <c r="C353" s="1" t="n">
        <v>46139</v>
      </c>
      <c r="D353" t="inlineStr">
        <is>
          <t>NORRBOTTENS LÄN</t>
        </is>
      </c>
      <c r="E353" t="inlineStr">
        <is>
          <t>JOKKMOKK</t>
        </is>
      </c>
      <c r="F353" t="inlineStr">
        <is>
          <t>Övriga statliga verk och myndigheter</t>
        </is>
      </c>
      <c r="G353" t="n">
        <v>3.5</v>
      </c>
      <c r="H353" t="n">
        <v>0</v>
      </c>
      <c r="I353" t="n">
        <v>0</v>
      </c>
      <c r="J353" t="n">
        <v>0</v>
      </c>
      <c r="K353" t="n">
        <v>0</v>
      </c>
      <c r="L353" t="n">
        <v>0</v>
      </c>
      <c r="M353" t="n">
        <v>0</v>
      </c>
      <c r="N353" t="n">
        <v>0</v>
      </c>
      <c r="O353" t="n">
        <v>0</v>
      </c>
      <c r="P353" t="n">
        <v>0</v>
      </c>
      <c r="Q353" t="n">
        <v>0</v>
      </c>
      <c r="R353" s="2" t="inlineStr"/>
    </row>
    <row r="354" ht="15" customHeight="1">
      <c r="A354" t="inlineStr">
        <is>
          <t>A 10630-2025</t>
        </is>
      </c>
      <c r="B354" s="1" t="n">
        <v>45721</v>
      </c>
      <c r="C354" s="1" t="n">
        <v>46139</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14869-2025</t>
        </is>
      </c>
      <c r="B355" s="1" t="n">
        <v>45743</v>
      </c>
      <c r="C355" s="1" t="n">
        <v>46139</v>
      </c>
      <c r="D355" t="inlineStr">
        <is>
          <t>NORRBOTTENS LÄN</t>
        </is>
      </c>
      <c r="E355" t="inlineStr">
        <is>
          <t>JOKKMOKK</t>
        </is>
      </c>
      <c r="G355" t="n">
        <v>4.9</v>
      </c>
      <c r="H355" t="n">
        <v>0</v>
      </c>
      <c r="I355" t="n">
        <v>0</v>
      </c>
      <c r="J355" t="n">
        <v>0</v>
      </c>
      <c r="K355" t="n">
        <v>0</v>
      </c>
      <c r="L355" t="n">
        <v>0</v>
      </c>
      <c r="M355" t="n">
        <v>0</v>
      </c>
      <c r="N355" t="n">
        <v>0</v>
      </c>
      <c r="O355" t="n">
        <v>0</v>
      </c>
      <c r="P355" t="n">
        <v>0</v>
      </c>
      <c r="Q355" t="n">
        <v>0</v>
      </c>
      <c r="R355" s="2" t="inlineStr"/>
    </row>
    <row r="356" ht="15" customHeight="1">
      <c r="A356" t="inlineStr">
        <is>
          <t>A 35511-2025</t>
        </is>
      </c>
      <c r="B356" s="1" t="n">
        <v>45856.36497685185</v>
      </c>
      <c r="C356" s="1" t="n">
        <v>46139</v>
      </c>
      <c r="D356" t="inlineStr">
        <is>
          <t>NORRBOTTENS LÄN</t>
        </is>
      </c>
      <c r="E356" t="inlineStr">
        <is>
          <t>JOKKMOKK</t>
        </is>
      </c>
      <c r="F356" t="inlineStr">
        <is>
          <t>SCA</t>
        </is>
      </c>
      <c r="G356" t="n">
        <v>7</v>
      </c>
      <c r="H356" t="n">
        <v>0</v>
      </c>
      <c r="I356" t="n">
        <v>0</v>
      </c>
      <c r="J356" t="n">
        <v>0</v>
      </c>
      <c r="K356" t="n">
        <v>0</v>
      </c>
      <c r="L356" t="n">
        <v>0</v>
      </c>
      <c r="M356" t="n">
        <v>0</v>
      </c>
      <c r="N356" t="n">
        <v>0</v>
      </c>
      <c r="O356" t="n">
        <v>0</v>
      </c>
      <c r="P356" t="n">
        <v>0</v>
      </c>
      <c r="Q356" t="n">
        <v>0</v>
      </c>
      <c r="R356" s="2" t="inlineStr"/>
    </row>
    <row r="357" ht="15" customHeight="1">
      <c r="A357" t="inlineStr">
        <is>
          <t>A 35805-2025</t>
        </is>
      </c>
      <c r="B357" s="1" t="n">
        <v>45861.4019212963</v>
      </c>
      <c r="C357" s="1" t="n">
        <v>46139</v>
      </c>
      <c r="D357" t="inlineStr">
        <is>
          <t>NORRBOTTENS LÄN</t>
        </is>
      </c>
      <c r="E357" t="inlineStr">
        <is>
          <t>JOKKMOKK</t>
        </is>
      </c>
      <c r="G357" t="n">
        <v>7</v>
      </c>
      <c r="H357" t="n">
        <v>0</v>
      </c>
      <c r="I357" t="n">
        <v>0</v>
      </c>
      <c r="J357" t="n">
        <v>0</v>
      </c>
      <c r="K357" t="n">
        <v>0</v>
      </c>
      <c r="L357" t="n">
        <v>0</v>
      </c>
      <c r="M357" t="n">
        <v>0</v>
      </c>
      <c r="N357" t="n">
        <v>0</v>
      </c>
      <c r="O357" t="n">
        <v>0</v>
      </c>
      <c r="P357" t="n">
        <v>0</v>
      </c>
      <c r="Q357" t="n">
        <v>0</v>
      </c>
      <c r="R357" s="2" t="inlineStr"/>
    </row>
    <row r="358" ht="15" customHeight="1">
      <c r="A358" t="inlineStr">
        <is>
          <t>A 58609-2025</t>
        </is>
      </c>
      <c r="B358" s="1" t="n">
        <v>45986</v>
      </c>
      <c r="C358" s="1" t="n">
        <v>46139</v>
      </c>
      <c r="D358" t="inlineStr">
        <is>
          <t>NORRBOTTENS LÄN</t>
        </is>
      </c>
      <c r="E358" t="inlineStr">
        <is>
          <t>JOKKMOKK</t>
        </is>
      </c>
      <c r="G358" t="n">
        <v>6.5</v>
      </c>
      <c r="H358" t="n">
        <v>0</v>
      </c>
      <c r="I358" t="n">
        <v>0</v>
      </c>
      <c r="J358" t="n">
        <v>0</v>
      </c>
      <c r="K358" t="n">
        <v>0</v>
      </c>
      <c r="L358" t="n">
        <v>0</v>
      </c>
      <c r="M358" t="n">
        <v>0</v>
      </c>
      <c r="N358" t="n">
        <v>0</v>
      </c>
      <c r="O358" t="n">
        <v>0</v>
      </c>
      <c r="P358" t="n">
        <v>0</v>
      </c>
      <c r="Q358" t="n">
        <v>0</v>
      </c>
      <c r="R358" s="2" t="inlineStr"/>
    </row>
    <row r="359" ht="15" customHeight="1">
      <c r="A359" t="inlineStr">
        <is>
          <t>A 56073-2025</t>
        </is>
      </c>
      <c r="B359" s="1" t="n">
        <v>45973</v>
      </c>
      <c r="C359" s="1" t="n">
        <v>46139</v>
      </c>
      <c r="D359" t="inlineStr">
        <is>
          <t>NORRBOTTENS LÄN</t>
        </is>
      </c>
      <c r="E359" t="inlineStr">
        <is>
          <t>JOKKMOKK</t>
        </is>
      </c>
      <c r="F359" t="inlineStr">
        <is>
          <t>Naturvårdsverket</t>
        </is>
      </c>
      <c r="G359" t="n">
        <v>8.1</v>
      </c>
      <c r="H359" t="n">
        <v>0</v>
      </c>
      <c r="I359" t="n">
        <v>0</v>
      </c>
      <c r="J359" t="n">
        <v>0</v>
      </c>
      <c r="K359" t="n">
        <v>0</v>
      </c>
      <c r="L359" t="n">
        <v>0</v>
      </c>
      <c r="M359" t="n">
        <v>0</v>
      </c>
      <c r="N359" t="n">
        <v>0</v>
      </c>
      <c r="O359" t="n">
        <v>0</v>
      </c>
      <c r="P359" t="n">
        <v>0</v>
      </c>
      <c r="Q359" t="n">
        <v>0</v>
      </c>
      <c r="R359" s="2" t="inlineStr"/>
    </row>
    <row r="360" ht="15" customHeight="1">
      <c r="A360" t="inlineStr">
        <is>
          <t>A 50258-2023</t>
        </is>
      </c>
      <c r="B360" s="1" t="n">
        <v>45216</v>
      </c>
      <c r="C360" s="1" t="n">
        <v>46139</v>
      </c>
      <c r="D360" t="inlineStr">
        <is>
          <t>NORRBOTTENS LÄN</t>
        </is>
      </c>
      <c r="E360" t="inlineStr">
        <is>
          <t>JOKKMOKK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36168-2025</t>
        </is>
      </c>
      <c r="B361" s="1" t="n">
        <v>45867.38582175926</v>
      </c>
      <c r="C361" s="1" t="n">
        <v>46139</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59074-2025</t>
        </is>
      </c>
      <c r="B362" s="1" t="n">
        <v>45988.42763888889</v>
      </c>
      <c r="C362" s="1" t="n">
        <v>46139</v>
      </c>
      <c r="D362" t="inlineStr">
        <is>
          <t>NORRBOTTENS LÄN</t>
        </is>
      </c>
      <c r="E362" t="inlineStr">
        <is>
          <t>JOKKMOKK</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36357-2025</t>
        </is>
      </c>
      <c r="B363" s="1" t="n">
        <v>45868.5107175926</v>
      </c>
      <c r="C363" s="1" t="n">
        <v>46139</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16847-2023</t>
        </is>
      </c>
      <c r="B364" s="1" t="n">
        <v>45028</v>
      </c>
      <c r="C364" s="1" t="n">
        <v>46139</v>
      </c>
      <c r="D364" t="inlineStr">
        <is>
          <t>NORRBOTTENS LÄN</t>
        </is>
      </c>
      <c r="E364" t="inlineStr">
        <is>
          <t>JOKKMOKK</t>
        </is>
      </c>
      <c r="G364" t="n">
        <v>7.3</v>
      </c>
      <c r="H364" t="n">
        <v>0</v>
      </c>
      <c r="I364" t="n">
        <v>0</v>
      </c>
      <c r="J364" t="n">
        <v>0</v>
      </c>
      <c r="K364" t="n">
        <v>0</v>
      </c>
      <c r="L364" t="n">
        <v>0</v>
      </c>
      <c r="M364" t="n">
        <v>0</v>
      </c>
      <c r="N364" t="n">
        <v>0</v>
      </c>
      <c r="O364" t="n">
        <v>0</v>
      </c>
      <c r="P364" t="n">
        <v>0</v>
      </c>
      <c r="Q364" t="n">
        <v>0</v>
      </c>
      <c r="R364" s="2" t="inlineStr"/>
    </row>
    <row r="365" ht="15" customHeight="1">
      <c r="A365" t="inlineStr">
        <is>
          <t>A 26552-2025</t>
        </is>
      </c>
      <c r="B365" s="1" t="n">
        <v>45807</v>
      </c>
      <c r="C365" s="1" t="n">
        <v>46139</v>
      </c>
      <c r="D365" t="inlineStr">
        <is>
          <t>NORRBOTTENS LÄN</t>
        </is>
      </c>
      <c r="E365" t="inlineStr">
        <is>
          <t>JOKKMOKK</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36325-2025</t>
        </is>
      </c>
      <c r="B366" s="1" t="n">
        <v>45868.40723379629</v>
      </c>
      <c r="C366" s="1" t="n">
        <v>46139</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60404-2025</t>
        </is>
      </c>
      <c r="B367" s="1" t="n">
        <v>45995.42780092593</v>
      </c>
      <c r="C367" s="1" t="n">
        <v>46139</v>
      </c>
      <c r="D367" t="inlineStr">
        <is>
          <t>NORRBOTTENS LÄN</t>
        </is>
      </c>
      <c r="E367" t="inlineStr">
        <is>
          <t>JOKKMOKK</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60408-2025</t>
        </is>
      </c>
      <c r="B368" s="1" t="n">
        <v>45995</v>
      </c>
      <c r="C368" s="1" t="n">
        <v>46139</v>
      </c>
      <c r="D368" t="inlineStr">
        <is>
          <t>NORRBOTTENS LÄN</t>
        </is>
      </c>
      <c r="E368" t="inlineStr">
        <is>
          <t>JOKKMOKK</t>
        </is>
      </c>
      <c r="F368" t="inlineStr">
        <is>
          <t>Övriga statliga verk och myndigheter</t>
        </is>
      </c>
      <c r="G368" t="n">
        <v>9.6</v>
      </c>
      <c r="H368" t="n">
        <v>0</v>
      </c>
      <c r="I368" t="n">
        <v>0</v>
      </c>
      <c r="J368" t="n">
        <v>0</v>
      </c>
      <c r="K368" t="n">
        <v>0</v>
      </c>
      <c r="L368" t="n">
        <v>0</v>
      </c>
      <c r="M368" t="n">
        <v>0</v>
      </c>
      <c r="N368" t="n">
        <v>0</v>
      </c>
      <c r="O368" t="n">
        <v>0</v>
      </c>
      <c r="P368" t="n">
        <v>0</v>
      </c>
      <c r="Q368" t="n">
        <v>0</v>
      </c>
      <c r="R368" s="2" t="inlineStr"/>
    </row>
    <row r="369" ht="15" customHeight="1">
      <c r="A369" t="inlineStr">
        <is>
          <t>A 60155-2025</t>
        </is>
      </c>
      <c r="B369" s="1" t="n">
        <v>45994.42386574074</v>
      </c>
      <c r="C369" s="1" t="n">
        <v>46139</v>
      </c>
      <c r="D369" t="inlineStr">
        <is>
          <t>NORRBOTTENS LÄN</t>
        </is>
      </c>
      <c r="E369" t="inlineStr">
        <is>
          <t>JOKKMOKK</t>
        </is>
      </c>
      <c r="F369" t="inlineStr">
        <is>
          <t>Övriga statliga verk och myndigheter</t>
        </is>
      </c>
      <c r="G369" t="n">
        <v>2.7</v>
      </c>
      <c r="H369" t="n">
        <v>0</v>
      </c>
      <c r="I369" t="n">
        <v>0</v>
      </c>
      <c r="J369" t="n">
        <v>0</v>
      </c>
      <c r="K369" t="n">
        <v>0</v>
      </c>
      <c r="L369" t="n">
        <v>0</v>
      </c>
      <c r="M369" t="n">
        <v>0</v>
      </c>
      <c r="N369" t="n">
        <v>0</v>
      </c>
      <c r="O369" t="n">
        <v>0</v>
      </c>
      <c r="P369" t="n">
        <v>0</v>
      </c>
      <c r="Q369" t="n">
        <v>0</v>
      </c>
      <c r="R369" s="2" t="inlineStr"/>
    </row>
    <row r="370" ht="15" customHeight="1">
      <c r="A370" t="inlineStr">
        <is>
          <t>A 37120-2025</t>
        </is>
      </c>
      <c r="B370" s="1" t="n">
        <v>45875.51827546296</v>
      </c>
      <c r="C370" s="1" t="n">
        <v>46139</v>
      </c>
      <c r="D370" t="inlineStr">
        <is>
          <t>NORRBOTTENS LÄN</t>
        </is>
      </c>
      <c r="E370" t="inlineStr">
        <is>
          <t>JOKKMOKK</t>
        </is>
      </c>
      <c r="G370" t="n">
        <v>17.6</v>
      </c>
      <c r="H370" t="n">
        <v>0</v>
      </c>
      <c r="I370" t="n">
        <v>0</v>
      </c>
      <c r="J370" t="n">
        <v>0</v>
      </c>
      <c r="K370" t="n">
        <v>0</v>
      </c>
      <c r="L370" t="n">
        <v>0</v>
      </c>
      <c r="M370" t="n">
        <v>0</v>
      </c>
      <c r="N370" t="n">
        <v>0</v>
      </c>
      <c r="O370" t="n">
        <v>0</v>
      </c>
      <c r="P370" t="n">
        <v>0</v>
      </c>
      <c r="Q370" t="n">
        <v>0</v>
      </c>
      <c r="R370" s="2" t="inlineStr"/>
    </row>
    <row r="371" ht="15" customHeight="1">
      <c r="A371" t="inlineStr">
        <is>
          <t>A 52240-2025</t>
        </is>
      </c>
      <c r="B371" s="1" t="n">
        <v>45953</v>
      </c>
      <c r="C371" s="1" t="n">
        <v>46139</v>
      </c>
      <c r="D371" t="inlineStr">
        <is>
          <t>NORRBOTTENS LÄN</t>
        </is>
      </c>
      <c r="E371" t="inlineStr">
        <is>
          <t>JOKKMOKK</t>
        </is>
      </c>
      <c r="F371" t="inlineStr">
        <is>
          <t>Övriga statliga verk och myndigheter</t>
        </is>
      </c>
      <c r="G371" t="n">
        <v>17.6</v>
      </c>
      <c r="H371" t="n">
        <v>0</v>
      </c>
      <c r="I371" t="n">
        <v>0</v>
      </c>
      <c r="J371" t="n">
        <v>0</v>
      </c>
      <c r="K371" t="n">
        <v>0</v>
      </c>
      <c r="L371" t="n">
        <v>0</v>
      </c>
      <c r="M371" t="n">
        <v>0</v>
      </c>
      <c r="N371" t="n">
        <v>0</v>
      </c>
      <c r="O371" t="n">
        <v>0</v>
      </c>
      <c r="P371" t="n">
        <v>0</v>
      </c>
      <c r="Q371" t="n">
        <v>0</v>
      </c>
      <c r="R371" s="2" t="inlineStr"/>
    </row>
    <row r="372" ht="15" customHeight="1">
      <c r="A372" t="inlineStr">
        <is>
          <t>A 61762-2024</t>
        </is>
      </c>
      <c r="B372" s="1" t="n">
        <v>45649</v>
      </c>
      <c r="C372" s="1" t="n">
        <v>46139</v>
      </c>
      <c r="D372" t="inlineStr">
        <is>
          <t>NORRBOTTENS LÄN</t>
        </is>
      </c>
      <c r="E372" t="inlineStr">
        <is>
          <t>JOKKMOKK</t>
        </is>
      </c>
      <c r="F372" t="inlineStr">
        <is>
          <t>Övriga statliga verk och myndigheter</t>
        </is>
      </c>
      <c r="G372" t="n">
        <v>15.4</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46139</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37694-2025</t>
        </is>
      </c>
      <c r="B374" s="1" t="n">
        <v>45880.57349537037</v>
      </c>
      <c r="C374" s="1" t="n">
        <v>46139</v>
      </c>
      <c r="D374" t="inlineStr">
        <is>
          <t>NORRBOTTENS LÄN</t>
        </is>
      </c>
      <c r="E374" t="inlineStr">
        <is>
          <t>JOKKMOKK</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37917-2025</t>
        </is>
      </c>
      <c r="B375" s="1" t="n">
        <v>45881.57443287037</v>
      </c>
      <c r="C375" s="1" t="n">
        <v>46139</v>
      </c>
      <c r="D375" t="inlineStr">
        <is>
          <t>NORRBOTTENS LÄN</t>
        </is>
      </c>
      <c r="E375" t="inlineStr">
        <is>
          <t>JOKKMOKK</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35749-2025</t>
        </is>
      </c>
      <c r="B376" s="1" t="n">
        <v>45860</v>
      </c>
      <c r="C376" s="1" t="n">
        <v>46139</v>
      </c>
      <c r="D376" t="inlineStr">
        <is>
          <t>NORRBOTTENS LÄN</t>
        </is>
      </c>
      <c r="E376" t="inlineStr">
        <is>
          <t>JOKKMOKK</t>
        </is>
      </c>
      <c r="G376" t="n">
        <v>4.2</v>
      </c>
      <c r="H376" t="n">
        <v>0</v>
      </c>
      <c r="I376" t="n">
        <v>0</v>
      </c>
      <c r="J376" t="n">
        <v>0</v>
      </c>
      <c r="K376" t="n">
        <v>0</v>
      </c>
      <c r="L376" t="n">
        <v>0</v>
      </c>
      <c r="M376" t="n">
        <v>0</v>
      </c>
      <c r="N376" t="n">
        <v>0</v>
      </c>
      <c r="O376" t="n">
        <v>0</v>
      </c>
      <c r="P376" t="n">
        <v>0</v>
      </c>
      <c r="Q376" t="n">
        <v>0</v>
      </c>
      <c r="R376" s="2" t="inlineStr"/>
    </row>
    <row r="377" ht="15" customHeight="1">
      <c r="A377" t="inlineStr">
        <is>
          <t>A 38223-2025</t>
        </is>
      </c>
      <c r="B377" s="1" t="n">
        <v>45883</v>
      </c>
      <c r="C377" s="1" t="n">
        <v>46139</v>
      </c>
      <c r="D377" t="inlineStr">
        <is>
          <t>NORRBOTTENS LÄN</t>
        </is>
      </c>
      <c r="E377" t="inlineStr">
        <is>
          <t>JOKKMOKK</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38228-2025</t>
        </is>
      </c>
      <c r="B378" s="1" t="n">
        <v>45883.34554398148</v>
      </c>
      <c r="C378" s="1" t="n">
        <v>46139</v>
      </c>
      <c r="D378" t="inlineStr">
        <is>
          <t>NORRBOTTENS LÄN</t>
        </is>
      </c>
      <c r="E378" t="inlineStr">
        <is>
          <t>JOKKMOKK</t>
        </is>
      </c>
      <c r="F378" t="inlineStr">
        <is>
          <t>SCA</t>
        </is>
      </c>
      <c r="G378" t="n">
        <v>14.5</v>
      </c>
      <c r="H378" t="n">
        <v>0</v>
      </c>
      <c r="I378" t="n">
        <v>0</v>
      </c>
      <c r="J378" t="n">
        <v>0</v>
      </c>
      <c r="K378" t="n">
        <v>0</v>
      </c>
      <c r="L378" t="n">
        <v>0</v>
      </c>
      <c r="M378" t="n">
        <v>0</v>
      </c>
      <c r="N378" t="n">
        <v>0</v>
      </c>
      <c r="O378" t="n">
        <v>0</v>
      </c>
      <c r="P378" t="n">
        <v>0</v>
      </c>
      <c r="Q378" t="n">
        <v>0</v>
      </c>
      <c r="R378" s="2" t="inlineStr"/>
    </row>
    <row r="379" ht="15" customHeight="1">
      <c r="A379" t="inlineStr">
        <is>
          <t>A 62093-2025</t>
        </is>
      </c>
      <c r="B379" s="1" t="n">
        <v>46006.38633101852</v>
      </c>
      <c r="C379" s="1" t="n">
        <v>46139</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44646-2021</t>
        </is>
      </c>
      <c r="B380" s="1" t="n">
        <v>44437</v>
      </c>
      <c r="C380" s="1" t="n">
        <v>46139</v>
      </c>
      <c r="D380" t="inlineStr">
        <is>
          <t>NORRBOTTENS LÄN</t>
        </is>
      </c>
      <c r="E380" t="inlineStr">
        <is>
          <t>JOKKMOKK</t>
        </is>
      </c>
      <c r="G380" t="n">
        <v>10</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46139</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38226-2025</t>
        </is>
      </c>
      <c r="B382" s="1" t="n">
        <v>45883.34521990741</v>
      </c>
      <c r="C382" s="1" t="n">
        <v>46139</v>
      </c>
      <c r="D382" t="inlineStr">
        <is>
          <t>NORRBOTTENS LÄN</t>
        </is>
      </c>
      <c r="E382" t="inlineStr">
        <is>
          <t>JOKKMOKK</t>
        </is>
      </c>
      <c r="F382" t="inlineStr">
        <is>
          <t>SCA</t>
        </is>
      </c>
      <c r="G382" t="n">
        <v>14.5</v>
      </c>
      <c r="H382" t="n">
        <v>0</v>
      </c>
      <c r="I382" t="n">
        <v>0</v>
      </c>
      <c r="J382" t="n">
        <v>0</v>
      </c>
      <c r="K382" t="n">
        <v>0</v>
      </c>
      <c r="L382" t="n">
        <v>0</v>
      </c>
      <c r="M382" t="n">
        <v>0</v>
      </c>
      <c r="N382" t="n">
        <v>0</v>
      </c>
      <c r="O382" t="n">
        <v>0</v>
      </c>
      <c r="P382" t="n">
        <v>0</v>
      </c>
      <c r="Q382" t="n">
        <v>0</v>
      </c>
      <c r="R382" s="2" t="inlineStr"/>
    </row>
    <row r="383" ht="15" customHeight="1">
      <c r="A383" t="inlineStr">
        <is>
          <t>A 38595-2025</t>
        </is>
      </c>
      <c r="B383" s="1" t="n">
        <v>45884.49027777778</v>
      </c>
      <c r="C383" s="1" t="n">
        <v>46139</v>
      </c>
      <c r="D383" t="inlineStr">
        <is>
          <t>NORRBOTTENS LÄN</t>
        </is>
      </c>
      <c r="E383" t="inlineStr">
        <is>
          <t>JOKKMOKK</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63206-2025</t>
        </is>
      </c>
      <c r="B384" s="1" t="n">
        <v>46010</v>
      </c>
      <c r="C384" s="1" t="n">
        <v>46139</v>
      </c>
      <c r="D384" t="inlineStr">
        <is>
          <t>NORRBOTTENS LÄN</t>
        </is>
      </c>
      <c r="E384" t="inlineStr">
        <is>
          <t>JOKKMOKK</t>
        </is>
      </c>
      <c r="G384" t="n">
        <v>1.1</v>
      </c>
      <c r="H384" t="n">
        <v>0</v>
      </c>
      <c r="I384" t="n">
        <v>0</v>
      </c>
      <c r="J384" t="n">
        <v>0</v>
      </c>
      <c r="K384" t="n">
        <v>0</v>
      </c>
      <c r="L384" t="n">
        <v>0</v>
      </c>
      <c r="M384" t="n">
        <v>0</v>
      </c>
      <c r="N384" t="n">
        <v>0</v>
      </c>
      <c r="O384" t="n">
        <v>0</v>
      </c>
      <c r="P384" t="n">
        <v>0</v>
      </c>
      <c r="Q384" t="n">
        <v>0</v>
      </c>
      <c r="R384" s="2" t="inlineStr"/>
    </row>
    <row r="385" ht="15" customHeight="1">
      <c r="A385" t="inlineStr">
        <is>
          <t>A 4661-2022</t>
        </is>
      </c>
      <c r="B385" s="1" t="n">
        <v>44589</v>
      </c>
      <c r="C385" s="1" t="n">
        <v>46139</v>
      </c>
      <c r="D385" t="inlineStr">
        <is>
          <t>NORRBOTTENS LÄN</t>
        </is>
      </c>
      <c r="E385" t="inlineStr">
        <is>
          <t>JOKKMOKK</t>
        </is>
      </c>
      <c r="G385" t="n">
        <v>39.5</v>
      </c>
      <c r="H385" t="n">
        <v>0</v>
      </c>
      <c r="I385" t="n">
        <v>0</v>
      </c>
      <c r="J385" t="n">
        <v>0</v>
      </c>
      <c r="K385" t="n">
        <v>0</v>
      </c>
      <c r="L385" t="n">
        <v>0</v>
      </c>
      <c r="M385" t="n">
        <v>0</v>
      </c>
      <c r="N385" t="n">
        <v>0</v>
      </c>
      <c r="O385" t="n">
        <v>0</v>
      </c>
      <c r="P385" t="n">
        <v>0</v>
      </c>
      <c r="Q385" t="n">
        <v>0</v>
      </c>
      <c r="R385" s="2" t="inlineStr"/>
    </row>
    <row r="386" ht="15" customHeight="1">
      <c r="A386" t="inlineStr">
        <is>
          <t>A 40106-2023</t>
        </is>
      </c>
      <c r="B386" s="1" t="n">
        <v>45168.93785879629</v>
      </c>
      <c r="C386" s="1" t="n">
        <v>46139</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43997-2024</t>
        </is>
      </c>
      <c r="B387" s="1" t="n">
        <v>45572</v>
      </c>
      <c r="C387" s="1" t="n">
        <v>46139</v>
      </c>
      <c r="D387" t="inlineStr">
        <is>
          <t>NORRBOTTENS LÄN</t>
        </is>
      </c>
      <c r="E387" t="inlineStr">
        <is>
          <t>JOKKMOKK</t>
        </is>
      </c>
      <c r="F387" t="inlineStr">
        <is>
          <t>Sveaskog</t>
        </is>
      </c>
      <c r="G387" t="n">
        <v>17.4</v>
      </c>
      <c r="H387" t="n">
        <v>0</v>
      </c>
      <c r="I387" t="n">
        <v>0</v>
      </c>
      <c r="J387" t="n">
        <v>0</v>
      </c>
      <c r="K387" t="n">
        <v>0</v>
      </c>
      <c r="L387" t="n">
        <v>0</v>
      </c>
      <c r="M387" t="n">
        <v>0</v>
      </c>
      <c r="N387" t="n">
        <v>0</v>
      </c>
      <c r="O387" t="n">
        <v>0</v>
      </c>
      <c r="P387" t="n">
        <v>0</v>
      </c>
      <c r="Q387" t="n">
        <v>0</v>
      </c>
      <c r="R387" s="2" t="inlineStr"/>
    </row>
    <row r="388" ht="15" customHeight="1">
      <c r="A388" t="inlineStr">
        <is>
          <t>A 45709-2025</t>
        </is>
      </c>
      <c r="B388" s="1" t="n">
        <v>45923</v>
      </c>
      <c r="C388" s="1" t="n">
        <v>46139</v>
      </c>
      <c r="D388" t="inlineStr">
        <is>
          <t>NORRBOTTENS LÄN</t>
        </is>
      </c>
      <c r="E388" t="inlineStr">
        <is>
          <t>JOKKMOKK</t>
        </is>
      </c>
      <c r="G388" t="n">
        <v>11.7</v>
      </c>
      <c r="H388" t="n">
        <v>0</v>
      </c>
      <c r="I388" t="n">
        <v>0</v>
      </c>
      <c r="J388" t="n">
        <v>0</v>
      </c>
      <c r="K388" t="n">
        <v>0</v>
      </c>
      <c r="L388" t="n">
        <v>0</v>
      </c>
      <c r="M388" t="n">
        <v>0</v>
      </c>
      <c r="N388" t="n">
        <v>0</v>
      </c>
      <c r="O388" t="n">
        <v>0</v>
      </c>
      <c r="P388" t="n">
        <v>0</v>
      </c>
      <c r="Q388" t="n">
        <v>0</v>
      </c>
      <c r="R388" s="2" t="inlineStr"/>
    </row>
    <row r="389" ht="15" customHeight="1">
      <c r="A389" t="inlineStr">
        <is>
          <t>A 64016-2025</t>
        </is>
      </c>
      <c r="B389" s="1" t="n">
        <v>46021.44820601852</v>
      </c>
      <c r="C389" s="1" t="n">
        <v>46139</v>
      </c>
      <c r="D389" t="inlineStr">
        <is>
          <t>NORRBOTTENS LÄN</t>
        </is>
      </c>
      <c r="E389" t="inlineStr">
        <is>
          <t>JOKKMOKK</t>
        </is>
      </c>
      <c r="G389" t="n">
        <v>8.4</v>
      </c>
      <c r="H389" t="n">
        <v>0</v>
      </c>
      <c r="I389" t="n">
        <v>0</v>
      </c>
      <c r="J389" t="n">
        <v>0</v>
      </c>
      <c r="K389" t="n">
        <v>0</v>
      </c>
      <c r="L389" t="n">
        <v>0</v>
      </c>
      <c r="M389" t="n">
        <v>0</v>
      </c>
      <c r="N389" t="n">
        <v>0</v>
      </c>
      <c r="O389" t="n">
        <v>0</v>
      </c>
      <c r="P389" t="n">
        <v>0</v>
      </c>
      <c r="Q389" t="n">
        <v>0</v>
      </c>
      <c r="R389" s="2" t="inlineStr"/>
    </row>
    <row r="390" ht="15" customHeight="1">
      <c r="A390" t="inlineStr">
        <is>
          <t>A 11657-2024</t>
        </is>
      </c>
      <c r="B390" s="1" t="n">
        <v>45373</v>
      </c>
      <c r="C390" s="1" t="n">
        <v>46139</v>
      </c>
      <c r="D390" t="inlineStr">
        <is>
          <t>NORRBOTTENS LÄN</t>
        </is>
      </c>
      <c r="E390" t="inlineStr">
        <is>
          <t>JOKKMOKK</t>
        </is>
      </c>
      <c r="G390" t="n">
        <v>14.3</v>
      </c>
      <c r="H390" t="n">
        <v>0</v>
      </c>
      <c r="I390" t="n">
        <v>0</v>
      </c>
      <c r="J390" t="n">
        <v>0</v>
      </c>
      <c r="K390" t="n">
        <v>0</v>
      </c>
      <c r="L390" t="n">
        <v>0</v>
      </c>
      <c r="M390" t="n">
        <v>0</v>
      </c>
      <c r="N390" t="n">
        <v>0</v>
      </c>
      <c r="O390" t="n">
        <v>0</v>
      </c>
      <c r="P390" t="n">
        <v>0</v>
      </c>
      <c r="Q390" t="n">
        <v>0</v>
      </c>
      <c r="R390" s="2" t="inlineStr"/>
    </row>
    <row r="391" ht="15" customHeight="1">
      <c r="A391" t="inlineStr">
        <is>
          <t>A 43886-2025</t>
        </is>
      </c>
      <c r="B391" s="1" t="n">
        <v>45912</v>
      </c>
      <c r="C391" s="1" t="n">
        <v>46139</v>
      </c>
      <c r="D391" t="inlineStr">
        <is>
          <t>NORRBOTTENS LÄN</t>
        </is>
      </c>
      <c r="E391" t="inlineStr">
        <is>
          <t>JOKKMOKK</t>
        </is>
      </c>
      <c r="G391" t="n">
        <v>38.1</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46139</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49483-2021</t>
        </is>
      </c>
      <c r="B393" s="1" t="n">
        <v>44454</v>
      </c>
      <c r="C393" s="1" t="n">
        <v>46139</v>
      </c>
      <c r="D393" t="inlineStr">
        <is>
          <t>NORRBOTTENS LÄN</t>
        </is>
      </c>
      <c r="E393" t="inlineStr">
        <is>
          <t>JOKKMOKK</t>
        </is>
      </c>
      <c r="F393" t="inlineStr">
        <is>
          <t>SCA</t>
        </is>
      </c>
      <c r="G393" t="n">
        <v>24.2</v>
      </c>
      <c r="H393" t="n">
        <v>0</v>
      </c>
      <c r="I393" t="n">
        <v>0</v>
      </c>
      <c r="J393" t="n">
        <v>0</v>
      </c>
      <c r="K393" t="n">
        <v>0</v>
      </c>
      <c r="L393" t="n">
        <v>0</v>
      </c>
      <c r="M393" t="n">
        <v>0</v>
      </c>
      <c r="N393" t="n">
        <v>0</v>
      </c>
      <c r="O393" t="n">
        <v>0</v>
      </c>
      <c r="P393" t="n">
        <v>0</v>
      </c>
      <c r="Q393" t="n">
        <v>0</v>
      </c>
      <c r="R393" s="2" t="inlineStr"/>
    </row>
    <row r="394" ht="15" customHeight="1">
      <c r="A394" t="inlineStr">
        <is>
          <t>A 59150-2025</t>
        </is>
      </c>
      <c r="B394" s="1" t="n">
        <v>45988.53171296296</v>
      </c>
      <c r="C394" s="1" t="n">
        <v>46139</v>
      </c>
      <c r="D394" t="inlineStr">
        <is>
          <t>NORRBOTTENS LÄN</t>
        </is>
      </c>
      <c r="E394" t="inlineStr">
        <is>
          <t>JOKKMOKK</t>
        </is>
      </c>
      <c r="F394" t="inlineStr">
        <is>
          <t>SCA</t>
        </is>
      </c>
      <c r="G394" t="n">
        <v>16.6</v>
      </c>
      <c r="H394" t="n">
        <v>0</v>
      </c>
      <c r="I394" t="n">
        <v>0</v>
      </c>
      <c r="J394" t="n">
        <v>0</v>
      </c>
      <c r="K394" t="n">
        <v>0</v>
      </c>
      <c r="L394" t="n">
        <v>0</v>
      </c>
      <c r="M394" t="n">
        <v>0</v>
      </c>
      <c r="N394" t="n">
        <v>0</v>
      </c>
      <c r="O394" t="n">
        <v>0</v>
      </c>
      <c r="P394" t="n">
        <v>0</v>
      </c>
      <c r="Q394" t="n">
        <v>0</v>
      </c>
      <c r="R394" s="2" t="inlineStr"/>
    </row>
    <row r="395" ht="15" customHeight="1">
      <c r="A395" t="inlineStr">
        <is>
          <t>A 32853-2024</t>
        </is>
      </c>
      <c r="B395" s="1" t="n">
        <v>45516.63964120371</v>
      </c>
      <c r="C395" s="1" t="n">
        <v>46139</v>
      </c>
      <c r="D395" t="inlineStr">
        <is>
          <t>NORRBOTTENS LÄN</t>
        </is>
      </c>
      <c r="E395" t="inlineStr">
        <is>
          <t>JOKKMOKK</t>
        </is>
      </c>
      <c r="F395" t="inlineStr">
        <is>
          <t>Sveaskog</t>
        </is>
      </c>
      <c r="G395" t="n">
        <v>40.4</v>
      </c>
      <c r="H395" t="n">
        <v>0</v>
      </c>
      <c r="I395" t="n">
        <v>0</v>
      </c>
      <c r="J395" t="n">
        <v>0</v>
      </c>
      <c r="K395" t="n">
        <v>0</v>
      </c>
      <c r="L395" t="n">
        <v>0</v>
      </c>
      <c r="M395" t="n">
        <v>0</v>
      </c>
      <c r="N395" t="n">
        <v>0</v>
      </c>
      <c r="O395" t="n">
        <v>0</v>
      </c>
      <c r="P395" t="n">
        <v>0</v>
      </c>
      <c r="Q395" t="n">
        <v>0</v>
      </c>
      <c r="R395" s="2" t="inlineStr"/>
    </row>
    <row r="396" ht="15" customHeight="1">
      <c r="A396" t="inlineStr">
        <is>
          <t>A 63181-2025</t>
        </is>
      </c>
      <c r="B396" s="1" t="n">
        <v>46010</v>
      </c>
      <c r="C396" s="1" t="n">
        <v>46139</v>
      </c>
      <c r="D396" t="inlineStr">
        <is>
          <t>NORRBOTTENS LÄN</t>
        </is>
      </c>
      <c r="E396" t="inlineStr">
        <is>
          <t>JOKKMOKK</t>
        </is>
      </c>
      <c r="G396" t="n">
        <v>42.7</v>
      </c>
      <c r="H396" t="n">
        <v>0</v>
      </c>
      <c r="I396" t="n">
        <v>0</v>
      </c>
      <c r="J396" t="n">
        <v>0</v>
      </c>
      <c r="K396" t="n">
        <v>0</v>
      </c>
      <c r="L396" t="n">
        <v>0</v>
      </c>
      <c r="M396" t="n">
        <v>0</v>
      </c>
      <c r="N396" t="n">
        <v>0</v>
      </c>
      <c r="O396" t="n">
        <v>0</v>
      </c>
      <c r="P396" t="n">
        <v>0</v>
      </c>
      <c r="Q396" t="n">
        <v>0</v>
      </c>
      <c r="R396" s="2" t="inlineStr"/>
    </row>
    <row r="397" ht="15" customHeight="1">
      <c r="A397" t="inlineStr">
        <is>
          <t>A 63142-2025</t>
        </is>
      </c>
      <c r="B397" s="1" t="n">
        <v>46010</v>
      </c>
      <c r="C397" s="1" t="n">
        <v>46139</v>
      </c>
      <c r="D397" t="inlineStr">
        <is>
          <t>NORRBOTTENS LÄN</t>
        </is>
      </c>
      <c r="E397" t="inlineStr">
        <is>
          <t>JOKKMOKK</t>
        </is>
      </c>
      <c r="F397" t="inlineStr">
        <is>
          <t>SCA</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39684-2023</t>
        </is>
      </c>
      <c r="B398" s="1" t="n">
        <v>45166</v>
      </c>
      <c r="C398" s="1" t="n">
        <v>46139</v>
      </c>
      <c r="D398" t="inlineStr">
        <is>
          <t>NORRBOTTENS LÄN</t>
        </is>
      </c>
      <c r="E398" t="inlineStr">
        <is>
          <t>JOKKMOKK</t>
        </is>
      </c>
      <c r="G398" t="n">
        <v>6.8</v>
      </c>
      <c r="H398" t="n">
        <v>0</v>
      </c>
      <c r="I398" t="n">
        <v>0</v>
      </c>
      <c r="J398" t="n">
        <v>0</v>
      </c>
      <c r="K398" t="n">
        <v>0</v>
      </c>
      <c r="L398" t="n">
        <v>0</v>
      </c>
      <c r="M398" t="n">
        <v>0</v>
      </c>
      <c r="N398" t="n">
        <v>0</v>
      </c>
      <c r="O398" t="n">
        <v>0</v>
      </c>
      <c r="P398" t="n">
        <v>0</v>
      </c>
      <c r="Q398" t="n">
        <v>0</v>
      </c>
      <c r="R398" s="2" t="inlineStr"/>
    </row>
    <row r="399" ht="15" customHeight="1">
      <c r="A399" t="inlineStr">
        <is>
          <t>A 43803-2025</t>
        </is>
      </c>
      <c r="B399" s="1" t="n">
        <v>45912</v>
      </c>
      <c r="C399" s="1" t="n">
        <v>46139</v>
      </c>
      <c r="D399" t="inlineStr">
        <is>
          <t>NORRBOTTENS LÄN</t>
        </is>
      </c>
      <c r="E399" t="inlineStr">
        <is>
          <t>JOKKMOKK</t>
        </is>
      </c>
      <c r="F399" t="inlineStr">
        <is>
          <t>SCA</t>
        </is>
      </c>
      <c r="G399" t="n">
        <v>6.2</v>
      </c>
      <c r="H399" t="n">
        <v>0</v>
      </c>
      <c r="I399" t="n">
        <v>0</v>
      </c>
      <c r="J399" t="n">
        <v>0</v>
      </c>
      <c r="K399" t="n">
        <v>0</v>
      </c>
      <c r="L399" t="n">
        <v>0</v>
      </c>
      <c r="M399" t="n">
        <v>0</v>
      </c>
      <c r="N399" t="n">
        <v>0</v>
      </c>
      <c r="O399" t="n">
        <v>0</v>
      </c>
      <c r="P399" t="n">
        <v>0</v>
      </c>
      <c r="Q399" t="n">
        <v>0</v>
      </c>
      <c r="R399" s="2" t="inlineStr"/>
    </row>
    <row r="400" ht="15" customHeight="1">
      <c r="A400" t="inlineStr">
        <is>
          <t>A 63024-2025</t>
        </is>
      </c>
      <c r="B400" s="1" t="n">
        <v>46009</v>
      </c>
      <c r="C400" s="1" t="n">
        <v>46139</v>
      </c>
      <c r="D400" t="inlineStr">
        <is>
          <t>NORRBOTTENS LÄN</t>
        </is>
      </c>
      <c r="E400" t="inlineStr">
        <is>
          <t>JOKKMOKK</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59984-2025</t>
        </is>
      </c>
      <c r="B401" s="1" t="n">
        <v>45993.54810185185</v>
      </c>
      <c r="C401" s="1" t="n">
        <v>46139</v>
      </c>
      <c r="D401" t="inlineStr">
        <is>
          <t>NORRBOTTENS LÄN</t>
        </is>
      </c>
      <c r="E401" t="inlineStr">
        <is>
          <t>JOKKMOKK</t>
        </is>
      </c>
      <c r="F401" t="inlineStr">
        <is>
          <t>Allmännings- och besparingsskogar</t>
        </is>
      </c>
      <c r="G401" t="n">
        <v>4.4</v>
      </c>
      <c r="H401" t="n">
        <v>0</v>
      </c>
      <c r="I401" t="n">
        <v>0</v>
      </c>
      <c r="J401" t="n">
        <v>0</v>
      </c>
      <c r="K401" t="n">
        <v>0</v>
      </c>
      <c r="L401" t="n">
        <v>0</v>
      </c>
      <c r="M401" t="n">
        <v>0</v>
      </c>
      <c r="N401" t="n">
        <v>0</v>
      </c>
      <c r="O401" t="n">
        <v>0</v>
      </c>
      <c r="P401" t="n">
        <v>0</v>
      </c>
      <c r="Q401" t="n">
        <v>0</v>
      </c>
      <c r="R401" s="2" t="inlineStr"/>
    </row>
    <row r="402" ht="15" customHeight="1">
      <c r="A402" t="inlineStr">
        <is>
          <t>A 53237-2025</t>
        </is>
      </c>
      <c r="B402" s="1" t="n">
        <v>45957</v>
      </c>
      <c r="C402" s="1" t="n">
        <v>46139</v>
      </c>
      <c r="D402" t="inlineStr">
        <is>
          <t>NORRBOTTENS LÄN</t>
        </is>
      </c>
      <c r="E402" t="inlineStr">
        <is>
          <t>JOKKMOKK</t>
        </is>
      </c>
      <c r="F402" t="inlineStr">
        <is>
          <t>Övriga Aktiebolag</t>
        </is>
      </c>
      <c r="G402" t="n">
        <v>28.1</v>
      </c>
      <c r="H402" t="n">
        <v>0</v>
      </c>
      <c r="I402" t="n">
        <v>0</v>
      </c>
      <c r="J402" t="n">
        <v>0</v>
      </c>
      <c r="K402" t="n">
        <v>0</v>
      </c>
      <c r="L402" t="n">
        <v>0</v>
      </c>
      <c r="M402" t="n">
        <v>0</v>
      </c>
      <c r="N402" t="n">
        <v>0</v>
      </c>
      <c r="O402" t="n">
        <v>0</v>
      </c>
      <c r="P402" t="n">
        <v>0</v>
      </c>
      <c r="Q402" t="n">
        <v>0</v>
      </c>
      <c r="R402" s="2" t="inlineStr"/>
    </row>
    <row r="403" ht="15" customHeight="1">
      <c r="A403" t="inlineStr">
        <is>
          <t>A 59666-2025</t>
        </is>
      </c>
      <c r="B403" s="1" t="n">
        <v>45992.45447916666</v>
      </c>
      <c r="C403" s="1" t="n">
        <v>46139</v>
      </c>
      <c r="D403" t="inlineStr">
        <is>
          <t>NORRBOTTENS LÄN</t>
        </is>
      </c>
      <c r="E403" t="inlineStr">
        <is>
          <t>JOKKMOKK</t>
        </is>
      </c>
      <c r="F403" t="inlineStr">
        <is>
          <t>Allmännings- och besparingsskogar</t>
        </is>
      </c>
      <c r="G403" t="n">
        <v>12.2</v>
      </c>
      <c r="H403" t="n">
        <v>0</v>
      </c>
      <c r="I403" t="n">
        <v>0</v>
      </c>
      <c r="J403" t="n">
        <v>0</v>
      </c>
      <c r="K403" t="n">
        <v>0</v>
      </c>
      <c r="L403" t="n">
        <v>0</v>
      </c>
      <c r="M403" t="n">
        <v>0</v>
      </c>
      <c r="N403" t="n">
        <v>0</v>
      </c>
      <c r="O403" t="n">
        <v>0</v>
      </c>
      <c r="P403" t="n">
        <v>0</v>
      </c>
      <c r="Q403" t="n">
        <v>0</v>
      </c>
      <c r="R403" s="2" t="inlineStr"/>
    </row>
    <row r="404" ht="15" customHeight="1">
      <c r="A404" t="inlineStr">
        <is>
          <t>A 30292-2023</t>
        </is>
      </c>
      <c r="B404" s="1" t="n">
        <v>45110</v>
      </c>
      <c r="C404" s="1" t="n">
        <v>46139</v>
      </c>
      <c r="D404" t="inlineStr">
        <is>
          <t>NORRBOTTENS LÄN</t>
        </is>
      </c>
      <c r="E404" t="inlineStr">
        <is>
          <t>JOKKMOKK</t>
        </is>
      </c>
      <c r="G404" t="n">
        <v>1.4</v>
      </c>
      <c r="H404" t="n">
        <v>0</v>
      </c>
      <c r="I404" t="n">
        <v>0</v>
      </c>
      <c r="J404" t="n">
        <v>0</v>
      </c>
      <c r="K404" t="n">
        <v>0</v>
      </c>
      <c r="L404" t="n">
        <v>0</v>
      </c>
      <c r="M404" t="n">
        <v>0</v>
      </c>
      <c r="N404" t="n">
        <v>0</v>
      </c>
      <c r="O404" t="n">
        <v>0</v>
      </c>
      <c r="P404" t="n">
        <v>0</v>
      </c>
      <c r="Q404" t="n">
        <v>0</v>
      </c>
      <c r="R404" s="2" t="inlineStr"/>
    </row>
    <row r="405" ht="15" customHeight="1">
      <c r="A405" t="inlineStr">
        <is>
          <t>A 60308-2025</t>
        </is>
      </c>
      <c r="B405" s="1" t="n">
        <v>45994.68775462963</v>
      </c>
      <c r="C405" s="1" t="n">
        <v>46139</v>
      </c>
      <c r="D405" t="inlineStr">
        <is>
          <t>NORRBOTTENS LÄN</t>
        </is>
      </c>
      <c r="E405" t="inlineStr">
        <is>
          <t>JOKKMOKK</t>
        </is>
      </c>
      <c r="F405" t="inlineStr">
        <is>
          <t>Allmännings- och besparingsskogar</t>
        </is>
      </c>
      <c r="G405" t="n">
        <v>6.5</v>
      </c>
      <c r="H405" t="n">
        <v>0</v>
      </c>
      <c r="I405" t="n">
        <v>0</v>
      </c>
      <c r="J405" t="n">
        <v>0</v>
      </c>
      <c r="K405" t="n">
        <v>0</v>
      </c>
      <c r="L405" t="n">
        <v>0</v>
      </c>
      <c r="M405" t="n">
        <v>0</v>
      </c>
      <c r="N405" t="n">
        <v>0</v>
      </c>
      <c r="O405" t="n">
        <v>0</v>
      </c>
      <c r="P405" t="n">
        <v>0</v>
      </c>
      <c r="Q405" t="n">
        <v>0</v>
      </c>
      <c r="R405" s="2" t="inlineStr"/>
    </row>
    <row r="406" ht="15" customHeight="1">
      <c r="A406" t="inlineStr">
        <is>
          <t>A 848-2026</t>
        </is>
      </c>
      <c r="B406" s="1" t="n">
        <v>46030.38719907407</v>
      </c>
      <c r="C406" s="1" t="n">
        <v>46139</v>
      </c>
      <c r="D406" t="inlineStr">
        <is>
          <t>NORRBOTTENS LÄN</t>
        </is>
      </c>
      <c r="E406" t="inlineStr">
        <is>
          <t>JOKKMOKK</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10596-2025</t>
        </is>
      </c>
      <c r="B407" s="1" t="n">
        <v>45721</v>
      </c>
      <c r="C407" s="1" t="n">
        <v>46139</v>
      </c>
      <c r="D407" t="inlineStr">
        <is>
          <t>NORRBOTTENS LÄN</t>
        </is>
      </c>
      <c r="E407" t="inlineStr">
        <is>
          <t>JOKKMOKK</t>
        </is>
      </c>
      <c r="G407" t="n">
        <v>17.7</v>
      </c>
      <c r="H407" t="n">
        <v>0</v>
      </c>
      <c r="I407" t="n">
        <v>0</v>
      </c>
      <c r="J407" t="n">
        <v>0</v>
      </c>
      <c r="K407" t="n">
        <v>0</v>
      </c>
      <c r="L407" t="n">
        <v>0</v>
      </c>
      <c r="M407" t="n">
        <v>0</v>
      </c>
      <c r="N407" t="n">
        <v>0</v>
      </c>
      <c r="O407" t="n">
        <v>0</v>
      </c>
      <c r="P407" t="n">
        <v>0</v>
      </c>
      <c r="Q407" t="n">
        <v>0</v>
      </c>
      <c r="R407" s="2" t="inlineStr"/>
    </row>
    <row r="408" ht="15" customHeight="1">
      <c r="A408" t="inlineStr">
        <is>
          <t>A 56199-2021</t>
        </is>
      </c>
      <c r="B408" s="1" t="n">
        <v>44477</v>
      </c>
      <c r="C408" s="1" t="n">
        <v>46139</v>
      </c>
      <c r="D408" t="inlineStr">
        <is>
          <t>NORRBOTTENS LÄN</t>
        </is>
      </c>
      <c r="E408" t="inlineStr">
        <is>
          <t>JOKKMOKK</t>
        </is>
      </c>
      <c r="G408" t="n">
        <v>1</v>
      </c>
      <c r="H408" t="n">
        <v>0</v>
      </c>
      <c r="I408" t="n">
        <v>0</v>
      </c>
      <c r="J408" t="n">
        <v>0</v>
      </c>
      <c r="K408" t="n">
        <v>0</v>
      </c>
      <c r="L408" t="n">
        <v>0</v>
      </c>
      <c r="M408" t="n">
        <v>0</v>
      </c>
      <c r="N408" t="n">
        <v>0</v>
      </c>
      <c r="O408" t="n">
        <v>0</v>
      </c>
      <c r="P408" t="n">
        <v>0</v>
      </c>
      <c r="Q408" t="n">
        <v>0</v>
      </c>
      <c r="R408" s="2" t="inlineStr"/>
    </row>
    <row r="409" ht="15" customHeight="1">
      <c r="A409" t="inlineStr">
        <is>
          <t>A 16018-2024</t>
        </is>
      </c>
      <c r="B409" s="1" t="n">
        <v>45405.67028935185</v>
      </c>
      <c r="C409" s="1" t="n">
        <v>46139</v>
      </c>
      <c r="D409" t="inlineStr">
        <is>
          <t>NORRBOTTENS LÄN</t>
        </is>
      </c>
      <c r="E409" t="inlineStr">
        <is>
          <t>JOKKMOKK</t>
        </is>
      </c>
      <c r="G409" t="n">
        <v>1.8</v>
      </c>
      <c r="H409" t="n">
        <v>0</v>
      </c>
      <c r="I409" t="n">
        <v>0</v>
      </c>
      <c r="J409" t="n">
        <v>0</v>
      </c>
      <c r="K409" t="n">
        <v>0</v>
      </c>
      <c r="L409" t="n">
        <v>0</v>
      </c>
      <c r="M409" t="n">
        <v>0</v>
      </c>
      <c r="N409" t="n">
        <v>0</v>
      </c>
      <c r="O409" t="n">
        <v>0</v>
      </c>
      <c r="P409" t="n">
        <v>0</v>
      </c>
      <c r="Q409" t="n">
        <v>0</v>
      </c>
      <c r="R409" s="2" t="inlineStr"/>
    </row>
    <row r="410" ht="15" customHeight="1">
      <c r="A410" t="inlineStr">
        <is>
          <t>A 6437-2025</t>
        </is>
      </c>
      <c r="B410" s="1" t="n">
        <v>45699</v>
      </c>
      <c r="C410" s="1" t="n">
        <v>46139</v>
      </c>
      <c r="D410" t="inlineStr">
        <is>
          <t>NORRBOTTENS LÄN</t>
        </is>
      </c>
      <c r="E410" t="inlineStr">
        <is>
          <t>JOKKMOKK</t>
        </is>
      </c>
      <c r="G410" t="n">
        <v>3.4</v>
      </c>
      <c r="H410" t="n">
        <v>0</v>
      </c>
      <c r="I410" t="n">
        <v>0</v>
      </c>
      <c r="J410" t="n">
        <v>0</v>
      </c>
      <c r="K410" t="n">
        <v>0</v>
      </c>
      <c r="L410" t="n">
        <v>0</v>
      </c>
      <c r="M410" t="n">
        <v>0</v>
      </c>
      <c r="N410" t="n">
        <v>0</v>
      </c>
      <c r="O410" t="n">
        <v>0</v>
      </c>
      <c r="P410" t="n">
        <v>0</v>
      </c>
      <c r="Q410" t="n">
        <v>0</v>
      </c>
      <c r="R410" s="2" t="inlineStr"/>
    </row>
    <row r="411" ht="15" customHeight="1">
      <c r="A411" t="inlineStr">
        <is>
          <t>A 5670-2025</t>
        </is>
      </c>
      <c r="B411" s="1" t="n">
        <v>45693</v>
      </c>
      <c r="C411" s="1" t="n">
        <v>46139</v>
      </c>
      <c r="D411" t="inlineStr">
        <is>
          <t>NORRBOTTENS LÄN</t>
        </is>
      </c>
      <c r="E411" t="inlineStr">
        <is>
          <t>JOKKMOKK</t>
        </is>
      </c>
      <c r="G411" t="n">
        <v>2.1</v>
      </c>
      <c r="H411" t="n">
        <v>0</v>
      </c>
      <c r="I411" t="n">
        <v>0</v>
      </c>
      <c r="J411" t="n">
        <v>0</v>
      </c>
      <c r="K411" t="n">
        <v>0</v>
      </c>
      <c r="L411" t="n">
        <v>0</v>
      </c>
      <c r="M411" t="n">
        <v>0</v>
      </c>
      <c r="N411" t="n">
        <v>0</v>
      </c>
      <c r="O411" t="n">
        <v>0</v>
      </c>
      <c r="P411" t="n">
        <v>0</v>
      </c>
      <c r="Q411" t="n">
        <v>0</v>
      </c>
      <c r="R411" s="2" t="inlineStr"/>
    </row>
    <row r="412" ht="15" customHeight="1">
      <c r="A412" t="inlineStr">
        <is>
          <t>A 23019-2023</t>
        </is>
      </c>
      <c r="B412" s="1" t="n">
        <v>45073</v>
      </c>
      <c r="C412" s="1" t="n">
        <v>46139</v>
      </c>
      <c r="D412" t="inlineStr">
        <is>
          <t>NORRBOTTENS LÄN</t>
        </is>
      </c>
      <c r="E412" t="inlineStr">
        <is>
          <t>JOKKMOKK</t>
        </is>
      </c>
      <c r="F412" t="inlineStr">
        <is>
          <t>SCA</t>
        </is>
      </c>
      <c r="G412" t="n">
        <v>6.3</v>
      </c>
      <c r="H412" t="n">
        <v>0</v>
      </c>
      <c r="I412" t="n">
        <v>0</v>
      </c>
      <c r="J412" t="n">
        <v>0</v>
      </c>
      <c r="K412" t="n">
        <v>0</v>
      </c>
      <c r="L412" t="n">
        <v>0</v>
      </c>
      <c r="M412" t="n">
        <v>0</v>
      </c>
      <c r="N412" t="n">
        <v>0</v>
      </c>
      <c r="O412" t="n">
        <v>0</v>
      </c>
      <c r="P412" t="n">
        <v>0</v>
      </c>
      <c r="Q412" t="n">
        <v>0</v>
      </c>
      <c r="R412" s="2" t="inlineStr"/>
    </row>
    <row r="413" ht="15" customHeight="1">
      <c r="A413" t="inlineStr">
        <is>
          <t>A 37827-2024</t>
        </is>
      </c>
      <c r="B413" s="1" t="n">
        <v>45544</v>
      </c>
      <c r="C413" s="1" t="n">
        <v>46139</v>
      </c>
      <c r="D413" t="inlineStr">
        <is>
          <t>NORRBOTTENS LÄN</t>
        </is>
      </c>
      <c r="E413" t="inlineStr">
        <is>
          <t>JOKKMOKK</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55491-2024</t>
        </is>
      </c>
      <c r="B414" s="1" t="n">
        <v>45622</v>
      </c>
      <c r="C414" s="1" t="n">
        <v>46139</v>
      </c>
      <c r="D414" t="inlineStr">
        <is>
          <t>NORRBOTTENS LÄN</t>
        </is>
      </c>
      <c r="E414" t="inlineStr">
        <is>
          <t>JOKKMOKK</t>
        </is>
      </c>
      <c r="F414" t="inlineStr">
        <is>
          <t>Allmännings- och besparingsskogar</t>
        </is>
      </c>
      <c r="G414" t="n">
        <v>25.2</v>
      </c>
      <c r="H414" t="n">
        <v>0</v>
      </c>
      <c r="I414" t="n">
        <v>0</v>
      </c>
      <c r="J414" t="n">
        <v>0</v>
      </c>
      <c r="K414" t="n">
        <v>0</v>
      </c>
      <c r="L414" t="n">
        <v>0</v>
      </c>
      <c r="M414" t="n">
        <v>0</v>
      </c>
      <c r="N414" t="n">
        <v>0</v>
      </c>
      <c r="O414" t="n">
        <v>0</v>
      </c>
      <c r="P414" t="n">
        <v>0</v>
      </c>
      <c r="Q414" t="n">
        <v>0</v>
      </c>
      <c r="R414" s="2" t="inlineStr"/>
    </row>
    <row r="415" ht="15" customHeight="1">
      <c r="A415" t="inlineStr">
        <is>
          <t>A 52564-2024</t>
        </is>
      </c>
      <c r="B415" s="1" t="n">
        <v>45609</v>
      </c>
      <c r="C415" s="1" t="n">
        <v>46139</v>
      </c>
      <c r="D415" t="inlineStr">
        <is>
          <t>NORRBOTTENS LÄN</t>
        </is>
      </c>
      <c r="E415" t="inlineStr">
        <is>
          <t>JOKKMOKK</t>
        </is>
      </c>
      <c r="F415" t="inlineStr">
        <is>
          <t>Allmännings- och besparingsskogar</t>
        </is>
      </c>
      <c r="G415" t="n">
        <v>16.5</v>
      </c>
      <c r="H415" t="n">
        <v>0</v>
      </c>
      <c r="I415" t="n">
        <v>0</v>
      </c>
      <c r="J415" t="n">
        <v>0</v>
      </c>
      <c r="K415" t="n">
        <v>0</v>
      </c>
      <c r="L415" t="n">
        <v>0</v>
      </c>
      <c r="M415" t="n">
        <v>0</v>
      </c>
      <c r="N415" t="n">
        <v>0</v>
      </c>
      <c r="O415" t="n">
        <v>0</v>
      </c>
      <c r="P415" t="n">
        <v>0</v>
      </c>
      <c r="Q415" t="n">
        <v>0</v>
      </c>
      <c r="R415" s="2" t="inlineStr"/>
    </row>
    <row r="416" ht="15" customHeight="1">
      <c r="A416" t="inlineStr">
        <is>
          <t>A 3821-2026</t>
        </is>
      </c>
      <c r="B416" s="1" t="n">
        <v>46043</v>
      </c>
      <c r="C416" s="1" t="n">
        <v>46139</v>
      </c>
      <c r="D416" t="inlineStr">
        <is>
          <t>NORRBOTTENS LÄN</t>
        </is>
      </c>
      <c r="E416" t="inlineStr">
        <is>
          <t>JOKKMOKK</t>
        </is>
      </c>
      <c r="G416" t="n">
        <v>15.7</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45113.95096064815</v>
      </c>
      <c r="C417" s="1" t="n">
        <v>46139</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50628-2024</t>
        </is>
      </c>
      <c r="B418" s="1" t="n">
        <v>45601.66423611111</v>
      </c>
      <c r="C418" s="1" t="n">
        <v>46139</v>
      </c>
      <c r="D418" t="inlineStr">
        <is>
          <t>NORRBOTTENS LÄN</t>
        </is>
      </c>
      <c r="E418" t="inlineStr">
        <is>
          <t>JOKKMOKK</t>
        </is>
      </c>
      <c r="F418" t="inlineStr">
        <is>
          <t>Allmännings- och besparingsskogar</t>
        </is>
      </c>
      <c r="G418" t="n">
        <v>2.4</v>
      </c>
      <c r="H418" t="n">
        <v>0</v>
      </c>
      <c r="I418" t="n">
        <v>0</v>
      </c>
      <c r="J418" t="n">
        <v>0</v>
      </c>
      <c r="K418" t="n">
        <v>0</v>
      </c>
      <c r="L418" t="n">
        <v>0</v>
      </c>
      <c r="M418" t="n">
        <v>0</v>
      </c>
      <c r="N418" t="n">
        <v>0</v>
      </c>
      <c r="O418" t="n">
        <v>0</v>
      </c>
      <c r="P418" t="n">
        <v>0</v>
      </c>
      <c r="Q418" t="n">
        <v>0</v>
      </c>
      <c r="R418" s="2" t="inlineStr"/>
    </row>
    <row r="419" ht="15" customHeight="1">
      <c r="A419" t="inlineStr">
        <is>
          <t>A 9349-2023</t>
        </is>
      </c>
      <c r="B419" s="1" t="n">
        <v>44980</v>
      </c>
      <c r="C419" s="1" t="n">
        <v>46139</v>
      </c>
      <c r="D419" t="inlineStr">
        <is>
          <t>NORRBOTTENS LÄN</t>
        </is>
      </c>
      <c r="E419" t="inlineStr">
        <is>
          <t>JOKKMOKK</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9351-2023</t>
        </is>
      </c>
      <c r="B420" s="1" t="n">
        <v>44980</v>
      </c>
      <c r="C420" s="1" t="n">
        <v>46139</v>
      </c>
      <c r="D420" t="inlineStr">
        <is>
          <t>NORRBOTTENS LÄN</t>
        </is>
      </c>
      <c r="E420" t="inlineStr">
        <is>
          <t>JOKKMOKK</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4859-2026</t>
        </is>
      </c>
      <c r="B421" s="1" t="n">
        <v>46048.63609953703</v>
      </c>
      <c r="C421" s="1" t="n">
        <v>46139</v>
      </c>
      <c r="D421" t="inlineStr">
        <is>
          <t>NORRBOTTENS LÄN</t>
        </is>
      </c>
      <c r="E421" t="inlineStr">
        <is>
          <t>JOKKMOKK</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51336-2024</t>
        </is>
      </c>
      <c r="B422" s="1" t="n">
        <v>45604.34443287037</v>
      </c>
      <c r="C422" s="1" t="n">
        <v>46139</v>
      </c>
      <c r="D422" t="inlineStr">
        <is>
          <t>NORRBOTTENS LÄN</t>
        </is>
      </c>
      <c r="E422" t="inlineStr">
        <is>
          <t>JOKKMOKK</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38462-2025</t>
        </is>
      </c>
      <c r="B423" s="1" t="n">
        <v>45883</v>
      </c>
      <c r="C423" s="1" t="n">
        <v>46139</v>
      </c>
      <c r="D423" t="inlineStr">
        <is>
          <t>NORRBOTTENS LÄN</t>
        </is>
      </c>
      <c r="E423" t="inlineStr">
        <is>
          <t>JOKKMOKK</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63190-2025</t>
        </is>
      </c>
      <c r="B424" s="1" t="n">
        <v>46010</v>
      </c>
      <c r="C424" s="1" t="n">
        <v>46139</v>
      </c>
      <c r="D424" t="inlineStr">
        <is>
          <t>NORRBOTTENS LÄN</t>
        </is>
      </c>
      <c r="E424" t="inlineStr">
        <is>
          <t>JOKKMOKK</t>
        </is>
      </c>
      <c r="G424" t="n">
        <v>11.4</v>
      </c>
      <c r="H424" t="n">
        <v>0</v>
      </c>
      <c r="I424" t="n">
        <v>0</v>
      </c>
      <c r="J424" t="n">
        <v>0</v>
      </c>
      <c r="K424" t="n">
        <v>0</v>
      </c>
      <c r="L424" t="n">
        <v>0</v>
      </c>
      <c r="M424" t="n">
        <v>0</v>
      </c>
      <c r="N424" t="n">
        <v>0</v>
      </c>
      <c r="O424" t="n">
        <v>0</v>
      </c>
      <c r="P424" t="n">
        <v>0</v>
      </c>
      <c r="Q424" t="n">
        <v>0</v>
      </c>
      <c r="R424" s="2" t="inlineStr"/>
    </row>
    <row r="425" ht="15" customHeight="1">
      <c r="A425" t="inlineStr">
        <is>
          <t>A 63182-2025</t>
        </is>
      </c>
      <c r="B425" s="1" t="n">
        <v>46010</v>
      </c>
      <c r="C425" s="1" t="n">
        <v>46139</v>
      </c>
      <c r="D425" t="inlineStr">
        <is>
          <t>NORRBOTTENS LÄN</t>
        </is>
      </c>
      <c r="E425" t="inlineStr">
        <is>
          <t>JOKKMOKK</t>
        </is>
      </c>
      <c r="G425" t="n">
        <v>6.9</v>
      </c>
      <c r="H425" t="n">
        <v>0</v>
      </c>
      <c r="I425" t="n">
        <v>0</v>
      </c>
      <c r="J425" t="n">
        <v>0</v>
      </c>
      <c r="K425" t="n">
        <v>0</v>
      </c>
      <c r="L425" t="n">
        <v>0</v>
      </c>
      <c r="M425" t="n">
        <v>0</v>
      </c>
      <c r="N425" t="n">
        <v>0</v>
      </c>
      <c r="O425" t="n">
        <v>0</v>
      </c>
      <c r="P425" t="n">
        <v>0</v>
      </c>
      <c r="Q425" t="n">
        <v>0</v>
      </c>
      <c r="R425" s="2" t="inlineStr"/>
    </row>
    <row r="426" ht="15" customHeight="1">
      <c r="A426" t="inlineStr">
        <is>
          <t>A 27657-2024</t>
        </is>
      </c>
      <c r="B426" s="1" t="n">
        <v>45474.95196759259</v>
      </c>
      <c r="C426" s="1" t="n">
        <v>46139</v>
      </c>
      <c r="D426" t="inlineStr">
        <is>
          <t>NORRBOTTENS LÄN</t>
        </is>
      </c>
      <c r="E426" t="inlineStr">
        <is>
          <t>JOKKMOKK</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27658-2024</t>
        </is>
      </c>
      <c r="B427" s="1" t="n">
        <v>45474.95246527778</v>
      </c>
      <c r="C427" s="1" t="n">
        <v>46139</v>
      </c>
      <c r="D427" t="inlineStr">
        <is>
          <t>NORRBOTTENS LÄN</t>
        </is>
      </c>
      <c r="E427" t="inlineStr">
        <is>
          <t>JOKKMOKK</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14815-2024</t>
        </is>
      </c>
      <c r="B428" s="1" t="n">
        <v>45397.95770833334</v>
      </c>
      <c r="C428" s="1" t="n">
        <v>46139</v>
      </c>
      <c r="D428" t="inlineStr">
        <is>
          <t>NORRBOTTENS LÄN</t>
        </is>
      </c>
      <c r="E428" t="inlineStr">
        <is>
          <t>JOKKMOKK</t>
        </is>
      </c>
      <c r="F428" t="inlineStr">
        <is>
          <t>SCA</t>
        </is>
      </c>
      <c r="G428" t="n">
        <v>54.1</v>
      </c>
      <c r="H428" t="n">
        <v>0</v>
      </c>
      <c r="I428" t="n">
        <v>0</v>
      </c>
      <c r="J428" t="n">
        <v>0</v>
      </c>
      <c r="K428" t="n">
        <v>0</v>
      </c>
      <c r="L428" t="n">
        <v>0</v>
      </c>
      <c r="M428" t="n">
        <v>0</v>
      </c>
      <c r="N428" t="n">
        <v>0</v>
      </c>
      <c r="O428" t="n">
        <v>0</v>
      </c>
      <c r="P428" t="n">
        <v>0</v>
      </c>
      <c r="Q428" t="n">
        <v>0</v>
      </c>
      <c r="R428" s="2" t="inlineStr"/>
    </row>
    <row r="429" ht="15" customHeight="1">
      <c r="A429" t="inlineStr">
        <is>
          <t>A 52733-2024</t>
        </is>
      </c>
      <c r="B429" s="1" t="n">
        <v>45610</v>
      </c>
      <c r="C429" s="1" t="n">
        <v>46139</v>
      </c>
      <c r="D429" t="inlineStr">
        <is>
          <t>NORRBOTTENS LÄN</t>
        </is>
      </c>
      <c r="E429" t="inlineStr">
        <is>
          <t>JOKKMOKK</t>
        </is>
      </c>
      <c r="F429" t="inlineStr">
        <is>
          <t>Allmännings- och besparingsskogar</t>
        </is>
      </c>
      <c r="G429" t="n">
        <v>6.1</v>
      </c>
      <c r="H429" t="n">
        <v>0</v>
      </c>
      <c r="I429" t="n">
        <v>0</v>
      </c>
      <c r="J429" t="n">
        <v>0</v>
      </c>
      <c r="K429" t="n">
        <v>0</v>
      </c>
      <c r="L429" t="n">
        <v>0</v>
      </c>
      <c r="M429" t="n">
        <v>0</v>
      </c>
      <c r="N429" t="n">
        <v>0</v>
      </c>
      <c r="O429" t="n">
        <v>0</v>
      </c>
      <c r="P429" t="n">
        <v>0</v>
      </c>
      <c r="Q429" t="n">
        <v>0</v>
      </c>
      <c r="R429" s="2" t="inlineStr"/>
    </row>
    <row r="430" ht="15" customHeight="1">
      <c r="A430" t="inlineStr">
        <is>
          <t>A 61760-2024</t>
        </is>
      </c>
      <c r="B430" s="1" t="n">
        <v>45649</v>
      </c>
      <c r="C430" s="1" t="n">
        <v>46139</v>
      </c>
      <c r="D430" t="inlineStr">
        <is>
          <t>NORRBOTTENS LÄN</t>
        </is>
      </c>
      <c r="E430" t="inlineStr">
        <is>
          <t>JOKKMOKK</t>
        </is>
      </c>
      <c r="F430" t="inlineStr">
        <is>
          <t>Övriga statliga verk och myndigheter</t>
        </is>
      </c>
      <c r="G430" t="n">
        <v>19.3</v>
      </c>
      <c r="H430" t="n">
        <v>0</v>
      </c>
      <c r="I430" t="n">
        <v>0</v>
      </c>
      <c r="J430" t="n">
        <v>0</v>
      </c>
      <c r="K430" t="n">
        <v>0</v>
      </c>
      <c r="L430" t="n">
        <v>0</v>
      </c>
      <c r="M430" t="n">
        <v>0</v>
      </c>
      <c r="N430" t="n">
        <v>0</v>
      </c>
      <c r="O430" t="n">
        <v>0</v>
      </c>
      <c r="P430" t="n">
        <v>0</v>
      </c>
      <c r="Q430" t="n">
        <v>0</v>
      </c>
      <c r="R430" s="2" t="inlineStr"/>
    </row>
    <row r="431" ht="15" customHeight="1">
      <c r="A431" t="inlineStr">
        <is>
          <t>A 51304-2022</t>
        </is>
      </c>
      <c r="B431" s="1" t="n">
        <v>44868</v>
      </c>
      <c r="C431" s="1" t="n">
        <v>46139</v>
      </c>
      <c r="D431" t="inlineStr">
        <is>
          <t>NORRBOTTENS LÄN</t>
        </is>
      </c>
      <c r="E431" t="inlineStr">
        <is>
          <t>JOKKMOKK</t>
        </is>
      </c>
      <c r="G431" t="n">
        <v>1.5</v>
      </c>
      <c r="H431" t="n">
        <v>0</v>
      </c>
      <c r="I431" t="n">
        <v>0</v>
      </c>
      <c r="J431" t="n">
        <v>0</v>
      </c>
      <c r="K431" t="n">
        <v>0</v>
      </c>
      <c r="L431" t="n">
        <v>0</v>
      </c>
      <c r="M431" t="n">
        <v>0</v>
      </c>
      <c r="N431" t="n">
        <v>0</v>
      </c>
      <c r="O431" t="n">
        <v>0</v>
      </c>
      <c r="P431" t="n">
        <v>0</v>
      </c>
      <c r="Q431" t="n">
        <v>0</v>
      </c>
      <c r="R431" s="2" t="inlineStr"/>
    </row>
    <row r="432" ht="15" customHeight="1">
      <c r="A432" t="inlineStr">
        <is>
          <t>A 44150-2024</t>
        </is>
      </c>
      <c r="B432" s="1" t="n">
        <v>45572.67520833333</v>
      </c>
      <c r="C432" s="1" t="n">
        <v>46139</v>
      </c>
      <c r="D432" t="inlineStr">
        <is>
          <t>NORRBOTTENS LÄN</t>
        </is>
      </c>
      <c r="E432" t="inlineStr">
        <is>
          <t>JOKKMOKK</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46442-2023</t>
        </is>
      </c>
      <c r="B433" s="1" t="n">
        <v>45197.59248842593</v>
      </c>
      <c r="C433" s="1" t="n">
        <v>46139</v>
      </c>
      <c r="D433" t="inlineStr">
        <is>
          <t>NORRBOTTENS LÄN</t>
        </is>
      </c>
      <c r="E433" t="inlineStr">
        <is>
          <t>JOKKMOKK</t>
        </is>
      </c>
      <c r="G433" t="n">
        <v>6.4</v>
      </c>
      <c r="H433" t="n">
        <v>0</v>
      </c>
      <c r="I433" t="n">
        <v>0</v>
      </c>
      <c r="J433" t="n">
        <v>0</v>
      </c>
      <c r="K433" t="n">
        <v>0</v>
      </c>
      <c r="L433" t="n">
        <v>0</v>
      </c>
      <c r="M433" t="n">
        <v>0</v>
      </c>
      <c r="N433" t="n">
        <v>0</v>
      </c>
      <c r="O433" t="n">
        <v>0</v>
      </c>
      <c r="P433" t="n">
        <v>0</v>
      </c>
      <c r="Q433" t="n">
        <v>0</v>
      </c>
      <c r="R433" s="2" t="inlineStr"/>
    </row>
    <row r="434" ht="15" customHeight="1">
      <c r="A434" t="inlineStr">
        <is>
          <t>A 14786-2026</t>
        </is>
      </c>
      <c r="B434" s="1" t="n">
        <v>46101.6775462963</v>
      </c>
      <c r="C434" s="1" t="n">
        <v>46139</v>
      </c>
      <c r="D434" t="inlineStr">
        <is>
          <t>NORRBOTTENS LÄN</t>
        </is>
      </c>
      <c r="E434" t="inlineStr">
        <is>
          <t>JOKKMOKK</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14650-2026</t>
        </is>
      </c>
      <c r="B435" s="1" t="n">
        <v>46101.42767361111</v>
      </c>
      <c r="C435" s="1" t="n">
        <v>46139</v>
      </c>
      <c r="D435" t="inlineStr">
        <is>
          <t>NORRBOTTENS LÄN</t>
        </is>
      </c>
      <c r="E435" t="inlineStr">
        <is>
          <t>JOKKMOKK</t>
        </is>
      </c>
      <c r="F435" t="inlineStr">
        <is>
          <t>SCA</t>
        </is>
      </c>
      <c r="G435" t="n">
        <v>23.6</v>
      </c>
      <c r="H435" t="n">
        <v>0</v>
      </c>
      <c r="I435" t="n">
        <v>0</v>
      </c>
      <c r="J435" t="n">
        <v>0</v>
      </c>
      <c r="K435" t="n">
        <v>0</v>
      </c>
      <c r="L435" t="n">
        <v>0</v>
      </c>
      <c r="M435" t="n">
        <v>0</v>
      </c>
      <c r="N435" t="n">
        <v>0</v>
      </c>
      <c r="O435" t="n">
        <v>0</v>
      </c>
      <c r="P435" t="n">
        <v>0</v>
      </c>
      <c r="Q435" t="n">
        <v>0</v>
      </c>
      <c r="R435" s="2" t="inlineStr"/>
    </row>
    <row r="436" ht="15" customHeight="1">
      <c r="A436" t="inlineStr">
        <is>
          <t>A 56523-2021</t>
        </is>
      </c>
      <c r="B436" s="1" t="n">
        <v>44477</v>
      </c>
      <c r="C436" s="1" t="n">
        <v>46139</v>
      </c>
      <c r="D436" t="inlineStr">
        <is>
          <t>NORRBOTTENS LÄN</t>
        </is>
      </c>
      <c r="E436" t="inlineStr">
        <is>
          <t>JOKKMOKK</t>
        </is>
      </c>
      <c r="G436" t="n">
        <v>6.6</v>
      </c>
      <c r="H436" t="n">
        <v>0</v>
      </c>
      <c r="I436" t="n">
        <v>0</v>
      </c>
      <c r="J436" t="n">
        <v>0</v>
      </c>
      <c r="K436" t="n">
        <v>0</v>
      </c>
      <c r="L436" t="n">
        <v>0</v>
      </c>
      <c r="M436" t="n">
        <v>0</v>
      </c>
      <c r="N436" t="n">
        <v>0</v>
      </c>
      <c r="O436" t="n">
        <v>0</v>
      </c>
      <c r="P436" t="n">
        <v>0</v>
      </c>
      <c r="Q436" t="n">
        <v>0</v>
      </c>
      <c r="R436" s="2" t="inlineStr"/>
    </row>
    <row r="437" ht="15" customHeight="1">
      <c r="A437" t="inlineStr">
        <is>
          <t>A 33827-2024</t>
        </is>
      </c>
      <c r="B437" s="1" t="n">
        <v>45520</v>
      </c>
      <c r="C437" s="1" t="n">
        <v>46139</v>
      </c>
      <c r="D437" t="inlineStr">
        <is>
          <t>NORRBOTTENS LÄN</t>
        </is>
      </c>
      <c r="E437" t="inlineStr">
        <is>
          <t>JOKKMOKK</t>
        </is>
      </c>
      <c r="F437" t="inlineStr">
        <is>
          <t>SCA</t>
        </is>
      </c>
      <c r="G437" t="n">
        <v>12.8</v>
      </c>
      <c r="H437" t="n">
        <v>0</v>
      </c>
      <c r="I437" t="n">
        <v>0</v>
      </c>
      <c r="J437" t="n">
        <v>0</v>
      </c>
      <c r="K437" t="n">
        <v>0</v>
      </c>
      <c r="L437" t="n">
        <v>0</v>
      </c>
      <c r="M437" t="n">
        <v>0</v>
      </c>
      <c r="N437" t="n">
        <v>0</v>
      </c>
      <c r="O437" t="n">
        <v>0</v>
      </c>
      <c r="P437" t="n">
        <v>0</v>
      </c>
      <c r="Q437" t="n">
        <v>0</v>
      </c>
      <c r="R437" s="2" t="inlineStr"/>
    </row>
    <row r="438" ht="15" customHeight="1">
      <c r="A438" t="inlineStr">
        <is>
          <t>A 41923-2021</t>
        </is>
      </c>
      <c r="B438" s="1" t="n">
        <v>44425</v>
      </c>
      <c r="C438" s="1" t="n">
        <v>46139</v>
      </c>
      <c r="D438" t="inlineStr">
        <is>
          <t>NORRBOTTENS LÄN</t>
        </is>
      </c>
      <c r="E438" t="inlineStr">
        <is>
          <t>JOKKMOKK</t>
        </is>
      </c>
      <c r="F438" t="inlineStr">
        <is>
          <t>Övriga statliga verk och myndigheter</t>
        </is>
      </c>
      <c r="G438" t="n">
        <v>22</v>
      </c>
      <c r="H438" t="n">
        <v>0</v>
      </c>
      <c r="I438" t="n">
        <v>0</v>
      </c>
      <c r="J438" t="n">
        <v>0</v>
      </c>
      <c r="K438" t="n">
        <v>0</v>
      </c>
      <c r="L438" t="n">
        <v>0</v>
      </c>
      <c r="M438" t="n">
        <v>0</v>
      </c>
      <c r="N438" t="n">
        <v>0</v>
      </c>
      <c r="O438" t="n">
        <v>0</v>
      </c>
      <c r="P438" t="n">
        <v>0</v>
      </c>
      <c r="Q438" t="n">
        <v>0</v>
      </c>
      <c r="R438" s="2" t="inlineStr"/>
    </row>
    <row r="439" ht="15" customHeight="1">
      <c r="A439" t="inlineStr">
        <is>
          <t>A 48586-2022</t>
        </is>
      </c>
      <c r="B439" s="1" t="n">
        <v>44854</v>
      </c>
      <c r="C439" s="1" t="n">
        <v>46139</v>
      </c>
      <c r="D439" t="inlineStr">
        <is>
          <t>NORRBOTTENS LÄN</t>
        </is>
      </c>
      <c r="E439" t="inlineStr">
        <is>
          <t>JOKKMOKK</t>
        </is>
      </c>
      <c r="F439" t="inlineStr">
        <is>
          <t>Övriga statliga verk och myndigheter</t>
        </is>
      </c>
      <c r="G439" t="n">
        <v>26.1</v>
      </c>
      <c r="H439" t="n">
        <v>0</v>
      </c>
      <c r="I439" t="n">
        <v>0</v>
      </c>
      <c r="J439" t="n">
        <v>0</v>
      </c>
      <c r="K439" t="n">
        <v>0</v>
      </c>
      <c r="L439" t="n">
        <v>0</v>
      </c>
      <c r="M439" t="n">
        <v>0</v>
      </c>
      <c r="N439" t="n">
        <v>0</v>
      </c>
      <c r="O439" t="n">
        <v>0</v>
      </c>
      <c r="P439" t="n">
        <v>0</v>
      </c>
      <c r="Q439" t="n">
        <v>0</v>
      </c>
      <c r="R439" s="2" t="inlineStr"/>
    </row>
    <row r="440" ht="15" customHeight="1">
      <c r="A440" t="inlineStr">
        <is>
          <t>A 34609-2024</t>
        </is>
      </c>
      <c r="B440" s="1" t="n">
        <v>45526</v>
      </c>
      <c r="C440" s="1" t="n">
        <v>46139</v>
      </c>
      <c r="D440" t="inlineStr">
        <is>
          <t>NORRBOTTENS LÄN</t>
        </is>
      </c>
      <c r="E440" t="inlineStr">
        <is>
          <t>JOKKMOKK</t>
        </is>
      </c>
      <c r="G440" t="n">
        <v>27</v>
      </c>
      <c r="H440" t="n">
        <v>0</v>
      </c>
      <c r="I440" t="n">
        <v>0</v>
      </c>
      <c r="J440" t="n">
        <v>0</v>
      </c>
      <c r="K440" t="n">
        <v>0</v>
      </c>
      <c r="L440" t="n">
        <v>0</v>
      </c>
      <c r="M440" t="n">
        <v>0</v>
      </c>
      <c r="N440" t="n">
        <v>0</v>
      </c>
      <c r="O440" t="n">
        <v>0</v>
      </c>
      <c r="P440" t="n">
        <v>0</v>
      </c>
      <c r="Q440" t="n">
        <v>0</v>
      </c>
      <c r="R440" s="2" t="inlineStr"/>
    </row>
    <row r="441" ht="15" customHeight="1">
      <c r="A441" t="inlineStr">
        <is>
          <t>A 51617-2024</t>
        </is>
      </c>
      <c r="B441" s="1" t="n">
        <v>45604.71908564815</v>
      </c>
      <c r="C441" s="1" t="n">
        <v>46139</v>
      </c>
      <c r="D441" t="inlineStr">
        <is>
          <t>NORRBOTTENS LÄN</t>
        </is>
      </c>
      <c r="E441" t="inlineStr">
        <is>
          <t>JOKKMOKK</t>
        </is>
      </c>
      <c r="F441" t="inlineStr">
        <is>
          <t>SCA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63025-2025</t>
        </is>
      </c>
      <c r="B442" s="1" t="n">
        <v>46009</v>
      </c>
      <c r="C442" s="1" t="n">
        <v>46139</v>
      </c>
      <c r="D442" t="inlineStr">
        <is>
          <t>NORRBOTTENS LÄN</t>
        </is>
      </c>
      <c r="E442" t="inlineStr">
        <is>
          <t>JOKKMOKK</t>
        </is>
      </c>
      <c r="G442" t="n">
        <v>11.1</v>
      </c>
      <c r="H442" t="n">
        <v>0</v>
      </c>
      <c r="I442" t="n">
        <v>0</v>
      </c>
      <c r="J442" t="n">
        <v>0</v>
      </c>
      <c r="K442" t="n">
        <v>0</v>
      </c>
      <c r="L442" t="n">
        <v>0</v>
      </c>
      <c r="M442" t="n">
        <v>0</v>
      </c>
      <c r="N442" t="n">
        <v>0</v>
      </c>
      <c r="O442" t="n">
        <v>0</v>
      </c>
      <c r="P442" t="n">
        <v>0</v>
      </c>
      <c r="Q442" t="n">
        <v>0</v>
      </c>
      <c r="R442" s="2" t="inlineStr"/>
    </row>
    <row r="443" ht="15" customHeight="1">
      <c r="A443" t="inlineStr">
        <is>
          <t>A 20270-2025</t>
        </is>
      </c>
      <c r="B443" s="1" t="n">
        <v>45773.71444444444</v>
      </c>
      <c r="C443" s="1" t="n">
        <v>46139</v>
      </c>
      <c r="D443" t="inlineStr">
        <is>
          <t>NORRBOTTENS LÄN</t>
        </is>
      </c>
      <c r="E443" t="inlineStr">
        <is>
          <t>JOKKMOKK</t>
        </is>
      </c>
      <c r="G443" t="n">
        <v>90.09999999999999</v>
      </c>
      <c r="H443" t="n">
        <v>0</v>
      </c>
      <c r="I443" t="n">
        <v>0</v>
      </c>
      <c r="J443" t="n">
        <v>0</v>
      </c>
      <c r="K443" t="n">
        <v>0</v>
      </c>
      <c r="L443" t="n">
        <v>0</v>
      </c>
      <c r="M443" t="n">
        <v>0</v>
      </c>
      <c r="N443" t="n">
        <v>0</v>
      </c>
      <c r="O443" t="n">
        <v>0</v>
      </c>
      <c r="P443" t="n">
        <v>0</v>
      </c>
      <c r="Q443" t="n">
        <v>0</v>
      </c>
      <c r="R443" s="2" t="inlineStr"/>
    </row>
    <row r="444" ht="15" customHeight="1">
      <c r="A444" t="inlineStr">
        <is>
          <t>A 15385-2026</t>
        </is>
      </c>
      <c r="B444" s="1" t="n">
        <v>46106.34521990741</v>
      </c>
      <c r="C444" s="1" t="n">
        <v>46139</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3055-2025</t>
        </is>
      </c>
      <c r="B445" s="1" t="n">
        <v>45678.61530092593</v>
      </c>
      <c r="C445" s="1" t="n">
        <v>46139</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25720-2023</t>
        </is>
      </c>
      <c r="B446" s="1" t="n">
        <v>45090</v>
      </c>
      <c r="C446" s="1" t="n">
        <v>46139</v>
      </c>
      <c r="D446" t="inlineStr">
        <is>
          <t>NORRBOTTENS LÄN</t>
        </is>
      </c>
      <c r="E446" t="inlineStr">
        <is>
          <t>JOKKMOKK</t>
        </is>
      </c>
      <c r="G446" t="n">
        <v>2.1</v>
      </c>
      <c r="H446" t="n">
        <v>0</v>
      </c>
      <c r="I446" t="n">
        <v>0</v>
      </c>
      <c r="J446" t="n">
        <v>0</v>
      </c>
      <c r="K446" t="n">
        <v>0</v>
      </c>
      <c r="L446" t="n">
        <v>0</v>
      </c>
      <c r="M446" t="n">
        <v>0</v>
      </c>
      <c r="N446" t="n">
        <v>0</v>
      </c>
      <c r="O446" t="n">
        <v>0</v>
      </c>
      <c r="P446" t="n">
        <v>0</v>
      </c>
      <c r="Q446" t="n">
        <v>0</v>
      </c>
      <c r="R446" s="2" t="inlineStr"/>
    </row>
    <row r="447" ht="15" customHeight="1">
      <c r="A447" t="inlineStr">
        <is>
          <t>A 15968-2026</t>
        </is>
      </c>
      <c r="B447" s="1" t="n">
        <v>46108.34496527778</v>
      </c>
      <c r="C447" s="1" t="n">
        <v>46139</v>
      </c>
      <c r="D447" t="inlineStr">
        <is>
          <t>NORRBOTTENS LÄN</t>
        </is>
      </c>
      <c r="E447" t="inlineStr">
        <is>
          <t>JOKKMOKK</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27650-2024</t>
        </is>
      </c>
      <c r="B448" s="1" t="n">
        <v>45474.94802083333</v>
      </c>
      <c r="C448" s="1" t="n">
        <v>46139</v>
      </c>
      <c r="D448" t="inlineStr">
        <is>
          <t>NORRBOTTENS LÄN</t>
        </is>
      </c>
      <c r="E448" t="inlineStr">
        <is>
          <t>JOKKMOKK</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27651-2024</t>
        </is>
      </c>
      <c r="B449" s="1" t="n">
        <v>45474</v>
      </c>
      <c r="C449" s="1" t="n">
        <v>46139</v>
      </c>
      <c r="D449" t="inlineStr">
        <is>
          <t>NORRBOTTENS LÄN</t>
        </is>
      </c>
      <c r="E449" t="inlineStr">
        <is>
          <t>JOKKMOKK</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34639-2024</t>
        </is>
      </c>
      <c r="B450" s="1" t="n">
        <v>45526.47293981481</v>
      </c>
      <c r="C450" s="1" t="n">
        <v>46139</v>
      </c>
      <c r="D450" t="inlineStr">
        <is>
          <t>NORRBOTTENS LÄN</t>
        </is>
      </c>
      <c r="E450" t="inlineStr">
        <is>
          <t>JOKKMOKK</t>
        </is>
      </c>
      <c r="G450" t="n">
        <v>7.7</v>
      </c>
      <c r="H450" t="n">
        <v>0</v>
      </c>
      <c r="I450" t="n">
        <v>0</v>
      </c>
      <c r="J450" t="n">
        <v>0</v>
      </c>
      <c r="K450" t="n">
        <v>0</v>
      </c>
      <c r="L450" t="n">
        <v>0</v>
      </c>
      <c r="M450" t="n">
        <v>0</v>
      </c>
      <c r="N450" t="n">
        <v>0</v>
      </c>
      <c r="O450" t="n">
        <v>0</v>
      </c>
      <c r="P450" t="n">
        <v>0</v>
      </c>
      <c r="Q450" t="n">
        <v>0</v>
      </c>
      <c r="R450" s="2" t="inlineStr"/>
    </row>
    <row r="451" ht="15" customHeight="1">
      <c r="A451" t="inlineStr">
        <is>
          <t>A 16708-2026</t>
        </is>
      </c>
      <c r="B451" s="1" t="n">
        <v>46113.3455787037</v>
      </c>
      <c r="C451" s="1" t="n">
        <v>46139</v>
      </c>
      <c r="D451" t="inlineStr">
        <is>
          <t>NORRBOTTENS LÄN</t>
        </is>
      </c>
      <c r="E451" t="inlineStr">
        <is>
          <t>JOKKMOKK</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16716-2026</t>
        </is>
      </c>
      <c r="B452" s="1" t="n">
        <v>46113.34640046296</v>
      </c>
      <c r="C452" s="1" t="n">
        <v>46139</v>
      </c>
      <c r="D452" t="inlineStr">
        <is>
          <t>NORRBOTTENS LÄN</t>
        </is>
      </c>
      <c r="E452" t="inlineStr">
        <is>
          <t>JOKKMOKK</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35876-2022</t>
        </is>
      </c>
      <c r="B453" s="1" t="n">
        <v>44802</v>
      </c>
      <c r="C453" s="1" t="n">
        <v>46139</v>
      </c>
      <c r="D453" t="inlineStr">
        <is>
          <t>NORRBOTTENS LÄN</t>
        </is>
      </c>
      <c r="E453" t="inlineStr">
        <is>
          <t>JOKKMOKK</t>
        </is>
      </c>
      <c r="G453" t="n">
        <v>9.5</v>
      </c>
      <c r="H453" t="n">
        <v>0</v>
      </c>
      <c r="I453" t="n">
        <v>0</v>
      </c>
      <c r="J453" t="n">
        <v>0</v>
      </c>
      <c r="K453" t="n">
        <v>0</v>
      </c>
      <c r="L453" t="n">
        <v>0</v>
      </c>
      <c r="M453" t="n">
        <v>0</v>
      </c>
      <c r="N453" t="n">
        <v>0</v>
      </c>
      <c r="O453" t="n">
        <v>0</v>
      </c>
      <c r="P453" t="n">
        <v>0</v>
      </c>
      <c r="Q453" t="n">
        <v>0</v>
      </c>
      <c r="R453" s="2" t="inlineStr"/>
    </row>
    <row r="454" ht="15" customHeight="1">
      <c r="A454" t="inlineStr">
        <is>
          <t>A 15969-2026</t>
        </is>
      </c>
      <c r="B454" s="1" t="n">
        <v>46108.34518518519</v>
      </c>
      <c r="C454" s="1" t="n">
        <v>46139</v>
      </c>
      <c r="D454" t="inlineStr">
        <is>
          <t>NORRBOTTENS LÄN</t>
        </is>
      </c>
      <c r="E454" t="inlineStr">
        <is>
          <t>JOKKMOKK</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47208-2022</t>
        </is>
      </c>
      <c r="B455" s="1" t="n">
        <v>44851</v>
      </c>
      <c r="C455" s="1" t="n">
        <v>46139</v>
      </c>
      <c r="D455" t="inlineStr">
        <is>
          <t>NORRBOTTENS LÄN</t>
        </is>
      </c>
      <c r="E455" t="inlineStr">
        <is>
          <t>JOKKMOKK</t>
        </is>
      </c>
      <c r="G455" t="n">
        <v>1.2</v>
      </c>
      <c r="H455" t="n">
        <v>0</v>
      </c>
      <c r="I455" t="n">
        <v>0</v>
      </c>
      <c r="J455" t="n">
        <v>0</v>
      </c>
      <c r="K455" t="n">
        <v>0</v>
      </c>
      <c r="L455" t="n">
        <v>0</v>
      </c>
      <c r="M455" t="n">
        <v>0</v>
      </c>
      <c r="N455" t="n">
        <v>0</v>
      </c>
      <c r="O455" t="n">
        <v>0</v>
      </c>
      <c r="P455" t="n">
        <v>0</v>
      </c>
      <c r="Q455" t="n">
        <v>0</v>
      </c>
      <c r="R455" s="2" t="inlineStr"/>
    </row>
    <row r="456" ht="15" customHeight="1">
      <c r="A456" t="inlineStr">
        <is>
          <t>A 16709-2026</t>
        </is>
      </c>
      <c r="B456" s="1" t="n">
        <v>46113.34570601852</v>
      </c>
      <c r="C456" s="1" t="n">
        <v>46139</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16714-2026</t>
        </is>
      </c>
      <c r="B457" s="1" t="n">
        <v>46113.34625</v>
      </c>
      <c r="C457" s="1" t="n">
        <v>46139</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16711-2026</t>
        </is>
      </c>
      <c r="B458" s="1" t="n">
        <v>46113.34599537037</v>
      </c>
      <c r="C458" s="1" t="n">
        <v>46139</v>
      </c>
      <c r="D458" t="inlineStr">
        <is>
          <t>NORRBOTTENS LÄN</t>
        </is>
      </c>
      <c r="E458" t="inlineStr">
        <is>
          <t>JOKKMOKK</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36113-2024</t>
        </is>
      </c>
      <c r="B459" s="1" t="n">
        <v>45534.30302083334</v>
      </c>
      <c r="C459" s="1" t="n">
        <v>46139</v>
      </c>
      <c r="D459" t="inlineStr">
        <is>
          <t>NORRBOTTENS LÄN</t>
        </is>
      </c>
      <c r="E459" t="inlineStr">
        <is>
          <t>JOKKMOKK</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16757-2026</t>
        </is>
      </c>
      <c r="B460" s="1" t="n">
        <v>46113.40782407407</v>
      </c>
      <c r="C460" s="1" t="n">
        <v>46139</v>
      </c>
      <c r="D460" t="inlineStr">
        <is>
          <t>NORRBOTTENS LÄN</t>
        </is>
      </c>
      <c r="E460" t="inlineStr">
        <is>
          <t>JOKKMOKK</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17001-2026</t>
        </is>
      </c>
      <c r="B461" s="1" t="n">
        <v>46114</v>
      </c>
      <c r="C461" s="1" t="n">
        <v>46139</v>
      </c>
      <c r="D461" t="inlineStr">
        <is>
          <t>NORRBOTTENS LÄN</t>
        </is>
      </c>
      <c r="E461" t="inlineStr">
        <is>
          <t>JOKKMOKK</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10590-2026</t>
        </is>
      </c>
      <c r="B462" s="1" t="n">
        <v>46077.6984837963</v>
      </c>
      <c r="C462" s="1" t="n">
        <v>46139</v>
      </c>
      <c r="D462" t="inlineStr">
        <is>
          <t>NORRBOTTENS LÄN</t>
        </is>
      </c>
      <c r="E462" t="inlineStr">
        <is>
          <t>JOKKMOKK</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10593-2026</t>
        </is>
      </c>
      <c r="B463" s="1" t="n">
        <v>46077.69886574074</v>
      </c>
      <c r="C463" s="1" t="n">
        <v>46139</v>
      </c>
      <c r="D463" t="inlineStr">
        <is>
          <t>NORRBOTTENS LÄN</t>
        </is>
      </c>
      <c r="E463" t="inlineStr">
        <is>
          <t>JOKKMOKK</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10576-2026</t>
        </is>
      </c>
      <c r="B464" s="1" t="n">
        <v>46077.66550925926</v>
      </c>
      <c r="C464" s="1" t="n">
        <v>46139</v>
      </c>
      <c r="D464" t="inlineStr">
        <is>
          <t>NORRBOTTENS LÄN</t>
        </is>
      </c>
      <c r="E464" t="inlineStr">
        <is>
          <t>JOKKMOKK</t>
        </is>
      </c>
      <c r="G464" t="n">
        <v>2.5</v>
      </c>
      <c r="H464" t="n">
        <v>0</v>
      </c>
      <c r="I464" t="n">
        <v>0</v>
      </c>
      <c r="J464" t="n">
        <v>0</v>
      </c>
      <c r="K464" t="n">
        <v>0</v>
      </c>
      <c r="L464" t="n">
        <v>0</v>
      </c>
      <c r="M464" t="n">
        <v>0</v>
      </c>
      <c r="N464" t="n">
        <v>0</v>
      </c>
      <c r="O464" t="n">
        <v>0</v>
      </c>
      <c r="P464" t="n">
        <v>0</v>
      </c>
      <c r="Q464" t="n">
        <v>0</v>
      </c>
      <c r="R464" s="2" t="inlineStr"/>
    </row>
    <row r="465" ht="15" customHeight="1">
      <c r="A465" t="inlineStr">
        <is>
          <t>A 10592-2026</t>
        </is>
      </c>
      <c r="B465" s="1" t="n">
        <v>46077.69880787037</v>
      </c>
      <c r="C465" s="1" t="n">
        <v>46139</v>
      </c>
      <c r="D465" t="inlineStr">
        <is>
          <t>NORRBOTTENS LÄN</t>
        </is>
      </c>
      <c r="E465" t="inlineStr">
        <is>
          <t>JOKKMOKK</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15386-2026</t>
        </is>
      </c>
      <c r="B466" s="1" t="n">
        <v>46106.34540509259</v>
      </c>
      <c r="C466" s="1" t="n">
        <v>46139</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15972-2026</t>
        </is>
      </c>
      <c r="B467" s="1" t="n">
        <v>46108.34601851852</v>
      </c>
      <c r="C467" s="1" t="n">
        <v>46139</v>
      </c>
      <c r="D467" t="inlineStr">
        <is>
          <t>NORRBOTTENS LÄN</t>
        </is>
      </c>
      <c r="E467" t="inlineStr">
        <is>
          <t>JOKKMOKK</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10591-2026</t>
        </is>
      </c>
      <c r="B468" s="1" t="n">
        <v>46077.69856481482</v>
      </c>
      <c r="C468" s="1" t="n">
        <v>46139</v>
      </c>
      <c r="D468" t="inlineStr">
        <is>
          <t>NORRBOTTENS LÄN</t>
        </is>
      </c>
      <c r="E468" t="inlineStr">
        <is>
          <t>JOKKMOKK</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16710-2026</t>
        </is>
      </c>
      <c r="B469" s="1" t="n">
        <v>46113</v>
      </c>
      <c r="C469" s="1" t="n">
        <v>46139</v>
      </c>
      <c r="D469" t="inlineStr">
        <is>
          <t>NORRBOTTENS LÄN</t>
        </is>
      </c>
      <c r="E469" t="inlineStr">
        <is>
          <t>JOKKMOKK</t>
        </is>
      </c>
      <c r="F469" t="inlineStr">
        <is>
          <t>SCA</t>
        </is>
      </c>
      <c r="G469" t="n">
        <v>18.9</v>
      </c>
      <c r="H469" t="n">
        <v>0</v>
      </c>
      <c r="I469" t="n">
        <v>0</v>
      </c>
      <c r="J469" t="n">
        <v>0</v>
      </c>
      <c r="K469" t="n">
        <v>0</v>
      </c>
      <c r="L469" t="n">
        <v>0</v>
      </c>
      <c r="M469" t="n">
        <v>0</v>
      </c>
      <c r="N469" t="n">
        <v>0</v>
      </c>
      <c r="O469" t="n">
        <v>0</v>
      </c>
      <c r="P469" t="n">
        <v>0</v>
      </c>
      <c r="Q469" t="n">
        <v>0</v>
      </c>
      <c r="R469" s="2" t="inlineStr"/>
    </row>
    <row r="470" ht="15" customHeight="1">
      <c r="A470" t="inlineStr">
        <is>
          <t>A 13726-2026</t>
        </is>
      </c>
      <c r="B470" s="1" t="n">
        <v>46097</v>
      </c>
      <c r="C470" s="1" t="n">
        <v>46139</v>
      </c>
      <c r="D470" t="inlineStr">
        <is>
          <t>NORRBOTTENS LÄN</t>
        </is>
      </c>
      <c r="E470" t="inlineStr">
        <is>
          <t>JOKKMOKK</t>
        </is>
      </c>
      <c r="F470" t="inlineStr">
        <is>
          <t>SCA</t>
        </is>
      </c>
      <c r="G470" t="n">
        <v>7.4</v>
      </c>
      <c r="H470" t="n">
        <v>0</v>
      </c>
      <c r="I470" t="n">
        <v>0</v>
      </c>
      <c r="J470" t="n">
        <v>0</v>
      </c>
      <c r="K470" t="n">
        <v>0</v>
      </c>
      <c r="L470" t="n">
        <v>0</v>
      </c>
      <c r="M470" t="n">
        <v>0</v>
      </c>
      <c r="N470" t="n">
        <v>0</v>
      </c>
      <c r="O470" t="n">
        <v>0</v>
      </c>
      <c r="P470" t="n">
        <v>0</v>
      </c>
      <c r="Q470" t="n">
        <v>0</v>
      </c>
      <c r="R470" s="2" t="inlineStr"/>
    </row>
    <row r="471" ht="15" customHeight="1">
      <c r="A471" t="inlineStr">
        <is>
          <t>A 31208-2023</t>
        </is>
      </c>
      <c r="B471" s="1" t="n">
        <v>45113.95083333334</v>
      </c>
      <c r="C471" s="1" t="n">
        <v>46139</v>
      </c>
      <c r="D471" t="inlineStr">
        <is>
          <t>NORRBOTTENS LÄN</t>
        </is>
      </c>
      <c r="E471" t="inlineStr">
        <is>
          <t>JOKKMOKK</t>
        </is>
      </c>
      <c r="F471" t="inlineStr">
        <is>
          <t>SCA</t>
        </is>
      </c>
      <c r="G471" t="n">
        <v>10.3</v>
      </c>
      <c r="H471" t="n">
        <v>0</v>
      </c>
      <c r="I471" t="n">
        <v>0</v>
      </c>
      <c r="J471" t="n">
        <v>0</v>
      </c>
      <c r="K471" t="n">
        <v>0</v>
      </c>
      <c r="L471" t="n">
        <v>0</v>
      </c>
      <c r="M471" t="n">
        <v>0</v>
      </c>
      <c r="N471" t="n">
        <v>0</v>
      </c>
      <c r="O471" t="n">
        <v>0</v>
      </c>
      <c r="P471" t="n">
        <v>0</v>
      </c>
      <c r="Q471" t="n">
        <v>0</v>
      </c>
      <c r="R471" s="2" t="inlineStr"/>
    </row>
    <row r="472" ht="15" customHeight="1">
      <c r="A472" t="inlineStr">
        <is>
          <t>A 17595-2026</t>
        </is>
      </c>
      <c r="B472" s="1" t="n">
        <v>46121.41641203704</v>
      </c>
      <c r="C472" s="1" t="n">
        <v>46139</v>
      </c>
      <c r="D472" t="inlineStr">
        <is>
          <t>NORRBOTTENS LÄN</t>
        </is>
      </c>
      <c r="E472" t="inlineStr">
        <is>
          <t>JOKKMOKK</t>
        </is>
      </c>
      <c r="G472" t="n">
        <v>16.3</v>
      </c>
      <c r="H472" t="n">
        <v>0</v>
      </c>
      <c r="I472" t="n">
        <v>0</v>
      </c>
      <c r="J472" t="n">
        <v>0</v>
      </c>
      <c r="K472" t="n">
        <v>0</v>
      </c>
      <c r="L472" t="n">
        <v>0</v>
      </c>
      <c r="M472" t="n">
        <v>0</v>
      </c>
      <c r="N472" t="n">
        <v>0</v>
      </c>
      <c r="O472" t="n">
        <v>0</v>
      </c>
      <c r="P472" t="n">
        <v>0</v>
      </c>
      <c r="Q472" t="n">
        <v>0</v>
      </c>
      <c r="R472" s="2" t="inlineStr"/>
    </row>
    <row r="473" ht="15" customHeight="1">
      <c r="A473" t="inlineStr">
        <is>
          <t>A 11381-2026</t>
        </is>
      </c>
      <c r="B473" s="1" t="n">
        <v>46083</v>
      </c>
      <c r="C473" s="1" t="n">
        <v>46139</v>
      </c>
      <c r="D473" t="inlineStr">
        <is>
          <t>NORRBOTTENS LÄN</t>
        </is>
      </c>
      <c r="E473" t="inlineStr">
        <is>
          <t>JOKKMOKK</t>
        </is>
      </c>
      <c r="G473" t="n">
        <v>49.1</v>
      </c>
      <c r="H473" t="n">
        <v>0</v>
      </c>
      <c r="I473" t="n">
        <v>0</v>
      </c>
      <c r="J473" t="n">
        <v>0</v>
      </c>
      <c r="K473" t="n">
        <v>0</v>
      </c>
      <c r="L473" t="n">
        <v>0</v>
      </c>
      <c r="M473" t="n">
        <v>0</v>
      </c>
      <c r="N473" t="n">
        <v>0</v>
      </c>
      <c r="O473" t="n">
        <v>0</v>
      </c>
      <c r="P473" t="n">
        <v>0</v>
      </c>
      <c r="Q473" t="n">
        <v>0</v>
      </c>
      <c r="R473" s="2" t="inlineStr"/>
    </row>
    <row r="474" ht="15" customHeight="1">
      <c r="A474" t="inlineStr">
        <is>
          <t>A 15383-2026</t>
        </is>
      </c>
      <c r="B474" s="1" t="n">
        <v>46106</v>
      </c>
      <c r="C474" s="1" t="n">
        <v>46139</v>
      </c>
      <c r="D474" t="inlineStr">
        <is>
          <t>NORRBOTTENS LÄN</t>
        </is>
      </c>
      <c r="E474" t="inlineStr">
        <is>
          <t>JOKKMOKK</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18493-2025</t>
        </is>
      </c>
      <c r="B475" s="1" t="n">
        <v>45763.34474537037</v>
      </c>
      <c r="C475" s="1" t="n">
        <v>46139</v>
      </c>
      <c r="D475" t="inlineStr">
        <is>
          <t>NORRBOTTENS LÄN</t>
        </is>
      </c>
      <c r="E475" t="inlineStr">
        <is>
          <t>JOKKMOKK</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52181-2023</t>
        </is>
      </c>
      <c r="B476" s="1" t="n">
        <v>45224</v>
      </c>
      <c r="C476" s="1" t="n">
        <v>46139</v>
      </c>
      <c r="D476" t="inlineStr">
        <is>
          <t>NORRBOTTENS LÄN</t>
        </is>
      </c>
      <c r="E476" t="inlineStr">
        <is>
          <t>JOKKMOKK</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44151-2024</t>
        </is>
      </c>
      <c r="B477" s="1" t="n">
        <v>45572.67773148148</v>
      </c>
      <c r="C477" s="1" t="n">
        <v>46139</v>
      </c>
      <c r="D477" t="inlineStr">
        <is>
          <t>NORRBOTTENS LÄN</t>
        </is>
      </c>
      <c r="E477" t="inlineStr">
        <is>
          <t>JOKKMOKK</t>
        </is>
      </c>
      <c r="F477" t="inlineStr">
        <is>
          <t>Sveaskog</t>
        </is>
      </c>
      <c r="G477" t="n">
        <v>9.4</v>
      </c>
      <c r="H477" t="n">
        <v>0</v>
      </c>
      <c r="I477" t="n">
        <v>0</v>
      </c>
      <c r="J477" t="n">
        <v>0</v>
      </c>
      <c r="K477" t="n">
        <v>0</v>
      </c>
      <c r="L477" t="n">
        <v>0</v>
      </c>
      <c r="M477" t="n">
        <v>0</v>
      </c>
      <c r="N477" t="n">
        <v>0</v>
      </c>
      <c r="O477" t="n">
        <v>0</v>
      </c>
      <c r="P477" t="n">
        <v>0</v>
      </c>
      <c r="Q477" t="n">
        <v>0</v>
      </c>
      <c r="R477" s="2" t="inlineStr"/>
    </row>
    <row r="478" ht="15" customHeight="1">
      <c r="A478" t="inlineStr">
        <is>
          <t>A 27652-2024</t>
        </is>
      </c>
      <c r="B478" s="1" t="n">
        <v>45474.94982638889</v>
      </c>
      <c r="C478" s="1" t="n">
        <v>46139</v>
      </c>
      <c r="D478" t="inlineStr">
        <is>
          <t>NORRBOTTENS LÄN</t>
        </is>
      </c>
      <c r="E478" t="inlineStr">
        <is>
          <t>JOKKMOKK</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60028-2025</t>
        </is>
      </c>
      <c r="B479" s="1" t="n">
        <v>45993</v>
      </c>
      <c r="C479" s="1" t="n">
        <v>46139</v>
      </c>
      <c r="D479" t="inlineStr">
        <is>
          <t>NORRBOTTENS LÄN</t>
        </is>
      </c>
      <c r="E479" t="inlineStr">
        <is>
          <t>JOKKMOKK</t>
        </is>
      </c>
      <c r="F479" t="inlineStr">
        <is>
          <t>Övriga statliga verk och myndigheter</t>
        </is>
      </c>
      <c r="G479" t="n">
        <v>15.8</v>
      </c>
      <c r="H479" t="n">
        <v>0</v>
      </c>
      <c r="I479" t="n">
        <v>0</v>
      </c>
      <c r="J479" t="n">
        <v>0</v>
      </c>
      <c r="K479" t="n">
        <v>0</v>
      </c>
      <c r="L479" t="n">
        <v>0</v>
      </c>
      <c r="M479" t="n">
        <v>0</v>
      </c>
      <c r="N479" t="n">
        <v>0</v>
      </c>
      <c r="O479" t="n">
        <v>0</v>
      </c>
      <c r="P479" t="n">
        <v>0</v>
      </c>
      <c r="Q479" t="n">
        <v>0</v>
      </c>
      <c r="R479" s="2" t="inlineStr"/>
    </row>
    <row r="480" ht="15" customHeight="1">
      <c r="A480" t="inlineStr">
        <is>
          <t>A 12862-2026</t>
        </is>
      </c>
      <c r="B480" s="1" t="n">
        <v>46092.49033564814</v>
      </c>
      <c r="C480" s="1" t="n">
        <v>46139</v>
      </c>
      <c r="D480" t="inlineStr">
        <is>
          <t>NORRBOTTENS LÄN</t>
        </is>
      </c>
      <c r="E480" t="inlineStr">
        <is>
          <t>JOKKMOKK</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46139</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12867-2026</t>
        </is>
      </c>
      <c r="B482" s="1" t="n">
        <v>46092.49130787037</v>
      </c>
      <c r="C482" s="1" t="n">
        <v>46139</v>
      </c>
      <c r="D482" t="inlineStr">
        <is>
          <t>NORRBOTTENS LÄN</t>
        </is>
      </c>
      <c r="E482" t="inlineStr">
        <is>
          <t>JOKKMOKK</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12861-2026</t>
        </is>
      </c>
      <c r="B483" s="1" t="n">
        <v>46092.49012731481</v>
      </c>
      <c r="C483" s="1" t="n">
        <v>46139</v>
      </c>
      <c r="D483" t="inlineStr">
        <is>
          <t>NORRBOTTENS LÄN</t>
        </is>
      </c>
      <c r="E483" t="inlineStr">
        <is>
          <t>JOKKMOKK</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12863-2026</t>
        </is>
      </c>
      <c r="B484" s="1" t="n">
        <v>46092.49055555555</v>
      </c>
      <c r="C484" s="1" t="n">
        <v>46139</v>
      </c>
      <c r="D484" t="inlineStr">
        <is>
          <t>NORRBOTTENS LÄN</t>
        </is>
      </c>
      <c r="E484" t="inlineStr">
        <is>
          <t>JOKKMOKK</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31535-2024</t>
        </is>
      </c>
      <c r="B485" s="1" t="n">
        <v>45505</v>
      </c>
      <c r="C485" s="1" t="n">
        <v>46139</v>
      </c>
      <c r="D485" t="inlineStr">
        <is>
          <t>NORRBOTTENS LÄN</t>
        </is>
      </c>
      <c r="E485" t="inlineStr">
        <is>
          <t>JOKKMOKK</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53172-2024</t>
        </is>
      </c>
      <c r="B486" s="1" t="n">
        <v>45611.65689814815</v>
      </c>
      <c r="C486" s="1" t="n">
        <v>46139</v>
      </c>
      <c r="D486" t="inlineStr">
        <is>
          <t>NORRBOTTENS LÄN</t>
        </is>
      </c>
      <c r="E486" t="inlineStr">
        <is>
          <t>JOKKMOKK</t>
        </is>
      </c>
      <c r="F486" t="inlineStr">
        <is>
          <t>Allmännings- och besparingsskogar</t>
        </is>
      </c>
      <c r="G486" t="n">
        <v>6.5</v>
      </c>
      <c r="H486" t="n">
        <v>0</v>
      </c>
      <c r="I486" t="n">
        <v>0</v>
      </c>
      <c r="J486" t="n">
        <v>0</v>
      </c>
      <c r="K486" t="n">
        <v>0</v>
      </c>
      <c r="L486" t="n">
        <v>0</v>
      </c>
      <c r="M486" t="n">
        <v>0</v>
      </c>
      <c r="N486" t="n">
        <v>0</v>
      </c>
      <c r="O486" t="n">
        <v>0</v>
      </c>
      <c r="P486" t="n">
        <v>0</v>
      </c>
      <c r="Q486" t="n">
        <v>0</v>
      </c>
      <c r="R486" s="2" t="inlineStr"/>
    </row>
    <row r="487" ht="15" customHeight="1">
      <c r="A487" t="inlineStr">
        <is>
          <t>A 42481-2024</t>
        </is>
      </c>
      <c r="B487" s="1" t="n">
        <v>45565.49210648148</v>
      </c>
      <c r="C487" s="1" t="n">
        <v>46139</v>
      </c>
      <c r="D487" t="inlineStr">
        <is>
          <t>NORRBOTTENS LÄN</t>
        </is>
      </c>
      <c r="E487" t="inlineStr">
        <is>
          <t>JOKKMOKK</t>
        </is>
      </c>
      <c r="F487" t="inlineStr">
        <is>
          <t>SCA</t>
        </is>
      </c>
      <c r="G487" t="n">
        <v>25.2</v>
      </c>
      <c r="H487" t="n">
        <v>0</v>
      </c>
      <c r="I487" t="n">
        <v>0</v>
      </c>
      <c r="J487" t="n">
        <v>0</v>
      </c>
      <c r="K487" t="n">
        <v>0</v>
      </c>
      <c r="L487" t="n">
        <v>0</v>
      </c>
      <c r="M487" t="n">
        <v>0</v>
      </c>
      <c r="N487" t="n">
        <v>0</v>
      </c>
      <c r="O487" t="n">
        <v>0</v>
      </c>
      <c r="P487" t="n">
        <v>0</v>
      </c>
      <c r="Q487" t="n">
        <v>0</v>
      </c>
      <c r="R487" s="2" t="inlineStr"/>
    </row>
    <row r="488" ht="15" customHeight="1">
      <c r="A488" t="inlineStr">
        <is>
          <t>A 32899-2023</t>
        </is>
      </c>
      <c r="B488" s="1" t="n">
        <v>45124</v>
      </c>
      <c r="C488" s="1" t="n">
        <v>46139</v>
      </c>
      <c r="D488" t="inlineStr">
        <is>
          <t>NORRBOTTENS LÄN</t>
        </is>
      </c>
      <c r="E488" t="inlineStr">
        <is>
          <t>JOKKMOKK</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33014-2023</t>
        </is>
      </c>
      <c r="B489" s="1" t="n">
        <v>45113</v>
      </c>
      <c r="C489" s="1" t="n">
        <v>46139</v>
      </c>
      <c r="D489" t="inlineStr">
        <is>
          <t>NORRBOTTENS LÄN</t>
        </is>
      </c>
      <c r="E489" t="inlineStr">
        <is>
          <t>JOKKMOKK</t>
        </is>
      </c>
      <c r="F489" t="inlineStr">
        <is>
          <t>Övriga statliga verk och myndigheter</t>
        </is>
      </c>
      <c r="G489" t="n">
        <v>7.2</v>
      </c>
      <c r="H489" t="n">
        <v>0</v>
      </c>
      <c r="I489" t="n">
        <v>0</v>
      </c>
      <c r="J489" t="n">
        <v>0</v>
      </c>
      <c r="K489" t="n">
        <v>0</v>
      </c>
      <c r="L489" t="n">
        <v>0</v>
      </c>
      <c r="M489" t="n">
        <v>0</v>
      </c>
      <c r="N489" t="n">
        <v>0</v>
      </c>
      <c r="O489" t="n">
        <v>0</v>
      </c>
      <c r="P489" t="n">
        <v>0</v>
      </c>
      <c r="Q489" t="n">
        <v>0</v>
      </c>
      <c r="R489" s="2" t="inlineStr"/>
    </row>
    <row r="490" ht="15" customHeight="1">
      <c r="A490" t="inlineStr">
        <is>
          <t>A 52901-2023</t>
        </is>
      </c>
      <c r="B490" s="1" t="n">
        <v>45222</v>
      </c>
      <c r="C490" s="1" t="n">
        <v>46139</v>
      </c>
      <c r="D490" t="inlineStr">
        <is>
          <t>NORRBOTTENS LÄN</t>
        </is>
      </c>
      <c r="E490" t="inlineStr">
        <is>
          <t>JOKKMOKK</t>
        </is>
      </c>
      <c r="G490" t="n">
        <v>16.6</v>
      </c>
      <c r="H490" t="n">
        <v>0</v>
      </c>
      <c r="I490" t="n">
        <v>0</v>
      </c>
      <c r="J490" t="n">
        <v>0</v>
      </c>
      <c r="K490" t="n">
        <v>0</v>
      </c>
      <c r="L490" t="n">
        <v>0</v>
      </c>
      <c r="M490" t="n">
        <v>0</v>
      </c>
      <c r="N490" t="n">
        <v>0</v>
      </c>
      <c r="O490" t="n">
        <v>0</v>
      </c>
      <c r="P490" t="n">
        <v>0</v>
      </c>
      <c r="Q490" t="n">
        <v>0</v>
      </c>
      <c r="R490" s="2" t="inlineStr"/>
    </row>
    <row r="491" ht="15" customHeight="1">
      <c r="A491" t="inlineStr">
        <is>
          <t>A 40432-2024</t>
        </is>
      </c>
      <c r="B491" s="1" t="n">
        <v>45555.47401620371</v>
      </c>
      <c r="C491" s="1" t="n">
        <v>46139</v>
      </c>
      <c r="D491" t="inlineStr">
        <is>
          <t>NORRBOTTENS LÄN</t>
        </is>
      </c>
      <c r="E491" t="inlineStr">
        <is>
          <t>JOKKMOKK</t>
        </is>
      </c>
      <c r="G491" t="n">
        <v>0.5</v>
      </c>
      <c r="H491" t="n">
        <v>0</v>
      </c>
      <c r="I491" t="n">
        <v>0</v>
      </c>
      <c r="J491" t="n">
        <v>0</v>
      </c>
      <c r="K491" t="n">
        <v>0</v>
      </c>
      <c r="L491" t="n">
        <v>0</v>
      </c>
      <c r="M491" t="n">
        <v>0</v>
      </c>
      <c r="N491" t="n">
        <v>0</v>
      </c>
      <c r="O491" t="n">
        <v>0</v>
      </c>
      <c r="P491" t="n">
        <v>0</v>
      </c>
      <c r="Q491" t="n">
        <v>0</v>
      </c>
      <c r="R491" s="2" t="inlineStr"/>
    </row>
    <row r="492" ht="15" customHeight="1">
      <c r="A492" t="inlineStr">
        <is>
          <t>A 50568-2022</t>
        </is>
      </c>
      <c r="B492" s="1" t="n">
        <v>44866</v>
      </c>
      <c r="C492" s="1" t="n">
        <v>46139</v>
      </c>
      <c r="D492" t="inlineStr">
        <is>
          <t>NORRBOTTENS LÄN</t>
        </is>
      </c>
      <c r="E492" t="inlineStr">
        <is>
          <t>JOKKMOKK</t>
        </is>
      </c>
      <c r="F492" t="inlineStr">
        <is>
          <t>Sveaskog</t>
        </is>
      </c>
      <c r="G492" t="n">
        <v>6.2</v>
      </c>
      <c r="H492" t="n">
        <v>0</v>
      </c>
      <c r="I492" t="n">
        <v>0</v>
      </c>
      <c r="J492" t="n">
        <v>0</v>
      </c>
      <c r="K492" t="n">
        <v>0</v>
      </c>
      <c r="L492" t="n">
        <v>0</v>
      </c>
      <c r="M492" t="n">
        <v>0</v>
      </c>
      <c r="N492" t="n">
        <v>0</v>
      </c>
      <c r="O492" t="n">
        <v>0</v>
      </c>
      <c r="P492" t="n">
        <v>0</v>
      </c>
      <c r="Q492" t="n">
        <v>0</v>
      </c>
      <c r="R492" s="2" t="inlineStr"/>
    </row>
    <row r="493" ht="15" customHeight="1">
      <c r="A493" t="inlineStr">
        <is>
          <t>A 48210-2024</t>
        </is>
      </c>
      <c r="B493" s="1" t="n">
        <v>45590</v>
      </c>
      <c r="C493" s="1" t="n">
        <v>46139</v>
      </c>
      <c r="D493" t="inlineStr">
        <is>
          <t>NORRBOTTENS LÄN</t>
        </is>
      </c>
      <c r="E493" t="inlineStr">
        <is>
          <t>JOKKMOKK</t>
        </is>
      </c>
      <c r="F493" t="inlineStr">
        <is>
          <t>SCA</t>
        </is>
      </c>
      <c r="G493" t="n">
        <v>6.5</v>
      </c>
      <c r="H493" t="n">
        <v>0</v>
      </c>
      <c r="I493" t="n">
        <v>0</v>
      </c>
      <c r="J493" t="n">
        <v>0</v>
      </c>
      <c r="K493" t="n">
        <v>0</v>
      </c>
      <c r="L493" t="n">
        <v>0</v>
      </c>
      <c r="M493" t="n">
        <v>0</v>
      </c>
      <c r="N493" t="n">
        <v>0</v>
      </c>
      <c r="O493" t="n">
        <v>0</v>
      </c>
      <c r="P493" t="n">
        <v>0</v>
      </c>
      <c r="Q493" t="n">
        <v>0</v>
      </c>
      <c r="R493" s="2" t="inlineStr"/>
    </row>
    <row r="494" ht="15" customHeight="1">
      <c r="A494" t="inlineStr">
        <is>
          <t>A 28090-2023</t>
        </is>
      </c>
      <c r="B494" s="1" t="n">
        <v>45099</v>
      </c>
      <c r="C494" s="1" t="n">
        <v>46139</v>
      </c>
      <c r="D494" t="inlineStr">
        <is>
          <t>NORRBOTTENS LÄN</t>
        </is>
      </c>
      <c r="E494" t="inlineStr">
        <is>
          <t>JOKKMOKK</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24052-2023</t>
        </is>
      </c>
      <c r="B495" s="1" t="n">
        <v>45078</v>
      </c>
      <c r="C495" s="1" t="n">
        <v>46139</v>
      </c>
      <c r="D495" t="inlineStr">
        <is>
          <t>NORRBOTTENS LÄN</t>
        </is>
      </c>
      <c r="E495" t="inlineStr">
        <is>
          <t>JOKKMOKK</t>
        </is>
      </c>
      <c r="F495" t="inlineStr">
        <is>
          <t>Naturvårdsverket</t>
        </is>
      </c>
      <c r="G495" t="n">
        <v>58.1</v>
      </c>
      <c r="H495" t="n">
        <v>0</v>
      </c>
      <c r="I495" t="n">
        <v>0</v>
      </c>
      <c r="J495" t="n">
        <v>0</v>
      </c>
      <c r="K495" t="n">
        <v>0</v>
      </c>
      <c r="L495" t="n">
        <v>0</v>
      </c>
      <c r="M495" t="n">
        <v>0</v>
      </c>
      <c r="N495" t="n">
        <v>0</v>
      </c>
      <c r="O495" t="n">
        <v>0</v>
      </c>
      <c r="P495" t="n">
        <v>0</v>
      </c>
      <c r="Q495" t="n">
        <v>0</v>
      </c>
      <c r="R495" s="2" t="inlineStr"/>
    </row>
    <row r="496" ht="15" customHeight="1">
      <c r="A496" t="inlineStr">
        <is>
          <t>A 52289-2024</t>
        </is>
      </c>
      <c r="B496" s="1" t="n">
        <v>45608.69555555555</v>
      </c>
      <c r="C496" s="1" t="n">
        <v>46139</v>
      </c>
      <c r="D496" t="inlineStr">
        <is>
          <t>NORRBOTTENS LÄN</t>
        </is>
      </c>
      <c r="E496" t="inlineStr">
        <is>
          <t>JOKKMOKK</t>
        </is>
      </c>
      <c r="F496" t="inlineStr">
        <is>
          <t>Allmännings- och besparingsskogar</t>
        </is>
      </c>
      <c r="G496" t="n">
        <v>11.6</v>
      </c>
      <c r="H496" t="n">
        <v>0</v>
      </c>
      <c r="I496" t="n">
        <v>0</v>
      </c>
      <c r="J496" t="n">
        <v>0</v>
      </c>
      <c r="K496" t="n">
        <v>0</v>
      </c>
      <c r="L496" t="n">
        <v>0</v>
      </c>
      <c r="M496" t="n">
        <v>0</v>
      </c>
      <c r="N496" t="n">
        <v>0</v>
      </c>
      <c r="O496" t="n">
        <v>0</v>
      </c>
      <c r="P496" t="n">
        <v>0</v>
      </c>
      <c r="Q496" t="n">
        <v>0</v>
      </c>
      <c r="R496" s="2" t="inlineStr"/>
    </row>
    <row r="497" ht="15" customHeight="1">
      <c r="A497" t="inlineStr">
        <is>
          <t>A 50651-2024</t>
        </is>
      </c>
      <c r="B497" s="1" t="n">
        <v>45601.70364583333</v>
      </c>
      <c r="C497" s="1" t="n">
        <v>46139</v>
      </c>
      <c r="D497" t="inlineStr">
        <is>
          <t>NORRBOTTENS LÄN</t>
        </is>
      </c>
      <c r="E497" t="inlineStr">
        <is>
          <t>JOKKMOKK</t>
        </is>
      </c>
      <c r="F497" t="inlineStr">
        <is>
          <t>Allmännings- och besparingsskogar</t>
        </is>
      </c>
      <c r="G497" t="n">
        <v>6.1</v>
      </c>
      <c r="H497" t="n">
        <v>0</v>
      </c>
      <c r="I497" t="n">
        <v>0</v>
      </c>
      <c r="J497" t="n">
        <v>0</v>
      </c>
      <c r="K497" t="n">
        <v>0</v>
      </c>
      <c r="L497" t="n">
        <v>0</v>
      </c>
      <c r="M497" t="n">
        <v>0</v>
      </c>
      <c r="N497" t="n">
        <v>0</v>
      </c>
      <c r="O497" t="n">
        <v>0</v>
      </c>
      <c r="P497" t="n">
        <v>0</v>
      </c>
      <c r="Q497" t="n">
        <v>0</v>
      </c>
      <c r="R497" s="2" t="inlineStr"/>
    </row>
    <row r="498" ht="15" customHeight="1">
      <c r="A498" t="inlineStr">
        <is>
          <t>A 60390-2023</t>
        </is>
      </c>
      <c r="B498" s="1" t="n">
        <v>45259.43483796297</v>
      </c>
      <c r="C498" s="1" t="n">
        <v>46139</v>
      </c>
      <c r="D498" t="inlineStr">
        <is>
          <t>NORRBOTTENS LÄN</t>
        </is>
      </c>
      <c r="E498" t="inlineStr">
        <is>
          <t>JOKKMOKK</t>
        </is>
      </c>
      <c r="F498" t="inlineStr">
        <is>
          <t>Sveaskog</t>
        </is>
      </c>
      <c r="G498" t="n">
        <v>10.9</v>
      </c>
      <c r="H498" t="n">
        <v>0</v>
      </c>
      <c r="I498" t="n">
        <v>0</v>
      </c>
      <c r="J498" t="n">
        <v>0</v>
      </c>
      <c r="K498" t="n">
        <v>0</v>
      </c>
      <c r="L498" t="n">
        <v>0</v>
      </c>
      <c r="M498" t="n">
        <v>0</v>
      </c>
      <c r="N498" t="n">
        <v>0</v>
      </c>
      <c r="O498" t="n">
        <v>0</v>
      </c>
      <c r="P498" t="n">
        <v>0</v>
      </c>
      <c r="Q498" t="n">
        <v>0</v>
      </c>
      <c r="R498" s="2" t="inlineStr"/>
    </row>
    <row r="499" ht="15" customHeight="1">
      <c r="A499" t="inlineStr">
        <is>
          <t>A 60275-2023</t>
        </is>
      </c>
      <c r="B499" s="1" t="n">
        <v>45258.67847222222</v>
      </c>
      <c r="C499" s="1" t="n">
        <v>46139</v>
      </c>
      <c r="D499" t="inlineStr">
        <is>
          <t>NORRBOTTENS LÄN</t>
        </is>
      </c>
      <c r="E499" t="inlineStr">
        <is>
          <t>JOKKMOKK</t>
        </is>
      </c>
      <c r="G499" t="n">
        <v>3.2</v>
      </c>
      <c r="H499" t="n">
        <v>0</v>
      </c>
      <c r="I499" t="n">
        <v>0</v>
      </c>
      <c r="J499" t="n">
        <v>0</v>
      </c>
      <c r="K499" t="n">
        <v>0</v>
      </c>
      <c r="L499" t="n">
        <v>0</v>
      </c>
      <c r="M499" t="n">
        <v>0</v>
      </c>
      <c r="N499" t="n">
        <v>0</v>
      </c>
      <c r="O499" t="n">
        <v>0</v>
      </c>
      <c r="P499" t="n">
        <v>0</v>
      </c>
      <c r="Q499" t="n">
        <v>0</v>
      </c>
      <c r="R499" s="2" t="inlineStr"/>
    </row>
    <row r="500" ht="15" customHeight="1">
      <c r="A500" t="inlineStr">
        <is>
          <t>A 16864-2023</t>
        </is>
      </c>
      <c r="B500" s="1" t="n">
        <v>45028</v>
      </c>
      <c r="C500" s="1" t="n">
        <v>46139</v>
      </c>
      <c r="D500" t="inlineStr">
        <is>
          <t>NORRBOTTENS LÄN</t>
        </is>
      </c>
      <c r="E500" t="inlineStr">
        <is>
          <t>JOKKMOKK</t>
        </is>
      </c>
      <c r="G500" t="n">
        <v>4</v>
      </c>
      <c r="H500" t="n">
        <v>0</v>
      </c>
      <c r="I500" t="n">
        <v>0</v>
      </c>
      <c r="J500" t="n">
        <v>0</v>
      </c>
      <c r="K500" t="n">
        <v>0</v>
      </c>
      <c r="L500" t="n">
        <v>0</v>
      </c>
      <c r="M500" t="n">
        <v>0</v>
      </c>
      <c r="N500" t="n">
        <v>0</v>
      </c>
      <c r="O500" t="n">
        <v>0</v>
      </c>
      <c r="P500" t="n">
        <v>0</v>
      </c>
      <c r="Q500" t="n">
        <v>0</v>
      </c>
      <c r="R500" s="2" t="inlineStr"/>
    </row>
    <row r="501" ht="15" customHeight="1">
      <c r="A501" t="inlineStr">
        <is>
          <t>A 26962-2023</t>
        </is>
      </c>
      <c r="B501" s="1" t="n">
        <v>45093</v>
      </c>
      <c r="C501" s="1" t="n">
        <v>46139</v>
      </c>
      <c r="D501" t="inlineStr">
        <is>
          <t>NORRBOTTENS LÄN</t>
        </is>
      </c>
      <c r="E501" t="inlineStr">
        <is>
          <t>JOKKMOKK</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26969-2024</t>
        </is>
      </c>
      <c r="B502" s="1" t="n">
        <v>45471.27252314815</v>
      </c>
      <c r="C502" s="1" t="n">
        <v>46139</v>
      </c>
      <c r="D502" t="inlineStr">
        <is>
          <t>NORRBOTTENS LÄN</t>
        </is>
      </c>
      <c r="E502" t="inlineStr">
        <is>
          <t>JOKKMOKK</t>
        </is>
      </c>
      <c r="F502" t="inlineStr">
        <is>
          <t>Sveaskog</t>
        </is>
      </c>
      <c r="G502" t="n">
        <v>5.9</v>
      </c>
      <c r="H502" t="n">
        <v>0</v>
      </c>
      <c r="I502" t="n">
        <v>0</v>
      </c>
      <c r="J502" t="n">
        <v>0</v>
      </c>
      <c r="K502" t="n">
        <v>0</v>
      </c>
      <c r="L502" t="n">
        <v>0</v>
      </c>
      <c r="M502" t="n">
        <v>0</v>
      </c>
      <c r="N502" t="n">
        <v>0</v>
      </c>
      <c r="O502" t="n">
        <v>0</v>
      </c>
      <c r="P502" t="n">
        <v>0</v>
      </c>
      <c r="Q502" t="n">
        <v>0</v>
      </c>
      <c r="R502" s="2" t="inlineStr"/>
    </row>
    <row r="503" ht="15" customHeight="1">
      <c r="A503" t="inlineStr">
        <is>
          <t>A 28319-2021</t>
        </is>
      </c>
      <c r="B503" s="1" t="n">
        <v>44355</v>
      </c>
      <c r="C503" s="1" t="n">
        <v>46139</v>
      </c>
      <c r="D503" t="inlineStr">
        <is>
          <t>NORRBOTTENS LÄN</t>
        </is>
      </c>
      <c r="E503" t="inlineStr">
        <is>
          <t>JOKKMOKK</t>
        </is>
      </c>
      <c r="F503" t="inlineStr">
        <is>
          <t>Övriga statliga verk och myndigheter</t>
        </is>
      </c>
      <c r="G503" t="n">
        <v>40</v>
      </c>
      <c r="H503" t="n">
        <v>0</v>
      </c>
      <c r="I503" t="n">
        <v>0</v>
      </c>
      <c r="J503" t="n">
        <v>0</v>
      </c>
      <c r="K503" t="n">
        <v>0</v>
      </c>
      <c r="L503" t="n">
        <v>0</v>
      </c>
      <c r="M503" t="n">
        <v>0</v>
      </c>
      <c r="N503" t="n">
        <v>0</v>
      </c>
      <c r="O503" t="n">
        <v>0</v>
      </c>
      <c r="P503" t="n">
        <v>0</v>
      </c>
      <c r="Q503" t="n">
        <v>0</v>
      </c>
      <c r="R503" s="2" t="inlineStr"/>
    </row>
    <row r="504" ht="15" customHeight="1">
      <c r="A504" t="inlineStr">
        <is>
          <t>A 9865-2023</t>
        </is>
      </c>
      <c r="B504" s="1" t="n">
        <v>44984</v>
      </c>
      <c r="C504" s="1" t="n">
        <v>46139</v>
      </c>
      <c r="D504" t="inlineStr">
        <is>
          <t>NORRBOTTENS LÄN</t>
        </is>
      </c>
      <c r="E504" t="inlineStr">
        <is>
          <t>JOKKMOKK</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45469-2022</t>
        </is>
      </c>
      <c r="B505" s="1" t="n">
        <v>44841</v>
      </c>
      <c r="C505" s="1" t="n">
        <v>46139</v>
      </c>
      <c r="D505" t="inlineStr">
        <is>
          <t>NORRBOTTENS LÄN</t>
        </is>
      </c>
      <c r="E505" t="inlineStr">
        <is>
          <t>JOKKMOKK</t>
        </is>
      </c>
      <c r="F505" t="inlineStr">
        <is>
          <t>Övriga Aktiebolag</t>
        </is>
      </c>
      <c r="G505" t="n">
        <v>3.4</v>
      </c>
      <c r="H505" t="n">
        <v>0</v>
      </c>
      <c r="I505" t="n">
        <v>0</v>
      </c>
      <c r="J505" t="n">
        <v>0</v>
      </c>
      <c r="K505" t="n">
        <v>0</v>
      </c>
      <c r="L505" t="n">
        <v>0</v>
      </c>
      <c r="M505" t="n">
        <v>0</v>
      </c>
      <c r="N505" t="n">
        <v>0</v>
      </c>
      <c r="O505" t="n">
        <v>0</v>
      </c>
      <c r="P505" t="n">
        <v>0</v>
      </c>
      <c r="Q505" t="n">
        <v>0</v>
      </c>
      <c r="R505" s="2" t="inlineStr"/>
    </row>
    <row r="506" ht="15" customHeight="1">
      <c r="A506" t="inlineStr">
        <is>
          <t>A 45505-2022</t>
        </is>
      </c>
      <c r="B506" s="1" t="n">
        <v>44841</v>
      </c>
      <c r="C506" s="1" t="n">
        <v>46139</v>
      </c>
      <c r="D506" t="inlineStr">
        <is>
          <t>NORRBOTTENS LÄN</t>
        </is>
      </c>
      <c r="E506" t="inlineStr">
        <is>
          <t>JOKKMOKK</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9860-2023</t>
        </is>
      </c>
      <c r="B507" s="1" t="n">
        <v>44984</v>
      </c>
      <c r="C507" s="1" t="n">
        <v>46139</v>
      </c>
      <c r="D507" t="inlineStr">
        <is>
          <t>NORRBOTTENS LÄN</t>
        </is>
      </c>
      <c r="E507" t="inlineStr">
        <is>
          <t>JOKKMOKK</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9863-2023</t>
        </is>
      </c>
      <c r="B508" s="1" t="n">
        <v>44984</v>
      </c>
      <c r="C508" s="1" t="n">
        <v>46139</v>
      </c>
      <c r="D508" t="inlineStr">
        <is>
          <t>NORRBOTTENS LÄN</t>
        </is>
      </c>
      <c r="E508" t="inlineStr">
        <is>
          <t>JOKKMOKK</t>
        </is>
      </c>
      <c r="F508" t="inlineStr">
        <is>
          <t>SCA</t>
        </is>
      </c>
      <c r="G508" t="n">
        <v>14.4</v>
      </c>
      <c r="H508" t="n">
        <v>0</v>
      </c>
      <c r="I508" t="n">
        <v>0</v>
      </c>
      <c r="J508" t="n">
        <v>0</v>
      </c>
      <c r="K508" t="n">
        <v>0</v>
      </c>
      <c r="L508" t="n">
        <v>0</v>
      </c>
      <c r="M508" t="n">
        <v>0</v>
      </c>
      <c r="N508" t="n">
        <v>0</v>
      </c>
      <c r="O508" t="n">
        <v>0</v>
      </c>
      <c r="P508" t="n">
        <v>0</v>
      </c>
      <c r="Q508" t="n">
        <v>0</v>
      </c>
      <c r="R508" s="2" t="inlineStr"/>
    </row>
    <row r="509" ht="15" customHeight="1">
      <c r="A509" t="inlineStr">
        <is>
          <t>A 9872-2023</t>
        </is>
      </c>
      <c r="B509" s="1" t="n">
        <v>44984</v>
      </c>
      <c r="C509" s="1" t="n">
        <v>46139</v>
      </c>
      <c r="D509" t="inlineStr">
        <is>
          <t>NORRBOTTENS LÄN</t>
        </is>
      </c>
      <c r="E509" t="inlineStr">
        <is>
          <t>JOKKMOKK</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9873-2023</t>
        </is>
      </c>
      <c r="B510" s="1" t="n">
        <v>44984</v>
      </c>
      <c r="C510" s="1" t="n">
        <v>46139</v>
      </c>
      <c r="D510" t="inlineStr">
        <is>
          <t>NORRBOTTENS LÄN</t>
        </is>
      </c>
      <c r="E510" t="inlineStr">
        <is>
          <t>JOKKMOKK</t>
        </is>
      </c>
      <c r="G510" t="n">
        <v>1.6</v>
      </c>
      <c r="H510" t="n">
        <v>0</v>
      </c>
      <c r="I510" t="n">
        <v>0</v>
      </c>
      <c r="J510" t="n">
        <v>0</v>
      </c>
      <c r="K510" t="n">
        <v>0</v>
      </c>
      <c r="L510" t="n">
        <v>0</v>
      </c>
      <c r="M510" t="n">
        <v>0</v>
      </c>
      <c r="N510" t="n">
        <v>0</v>
      </c>
      <c r="O510" t="n">
        <v>0</v>
      </c>
      <c r="P510" t="n">
        <v>0</v>
      </c>
      <c r="Q510" t="n">
        <v>0</v>
      </c>
      <c r="R510" s="2" t="inlineStr"/>
    </row>
    <row r="511" ht="15" customHeight="1">
      <c r="A511" t="inlineStr">
        <is>
          <t>A 9877-2023</t>
        </is>
      </c>
      <c r="B511" s="1" t="n">
        <v>44984.94033564815</v>
      </c>
      <c r="C511" s="1" t="n">
        <v>46139</v>
      </c>
      <c r="D511" t="inlineStr">
        <is>
          <t>NORRBOTTENS LÄN</t>
        </is>
      </c>
      <c r="E511" t="inlineStr">
        <is>
          <t>JOKKMOKK</t>
        </is>
      </c>
      <c r="F511" t="inlineStr">
        <is>
          <t>SCA</t>
        </is>
      </c>
      <c r="G511" t="n">
        <v>5.4</v>
      </c>
      <c r="H511" t="n">
        <v>0</v>
      </c>
      <c r="I511" t="n">
        <v>0</v>
      </c>
      <c r="J511" t="n">
        <v>0</v>
      </c>
      <c r="K511" t="n">
        <v>0</v>
      </c>
      <c r="L511" t="n">
        <v>0</v>
      </c>
      <c r="M511" t="n">
        <v>0</v>
      </c>
      <c r="N511" t="n">
        <v>0</v>
      </c>
      <c r="O511" t="n">
        <v>0</v>
      </c>
      <c r="P511" t="n">
        <v>0</v>
      </c>
      <c r="Q511" t="n">
        <v>0</v>
      </c>
      <c r="R511" s="2" t="inlineStr"/>
    </row>
    <row r="512" ht="15" customHeight="1">
      <c r="A512" t="inlineStr">
        <is>
          <t>A 30313-2024</t>
        </is>
      </c>
      <c r="B512" s="1" t="n">
        <v>45490</v>
      </c>
      <c r="C512" s="1" t="n">
        <v>46139</v>
      </c>
      <c r="D512" t="inlineStr">
        <is>
          <t>NORRBOTTENS LÄN</t>
        </is>
      </c>
      <c r="E512" t="inlineStr">
        <is>
          <t>JOKKMOKK</t>
        </is>
      </c>
      <c r="G512" t="n">
        <v>3.4</v>
      </c>
      <c r="H512" t="n">
        <v>0</v>
      </c>
      <c r="I512" t="n">
        <v>0</v>
      </c>
      <c r="J512" t="n">
        <v>0</v>
      </c>
      <c r="K512" t="n">
        <v>0</v>
      </c>
      <c r="L512" t="n">
        <v>0</v>
      </c>
      <c r="M512" t="n">
        <v>0</v>
      </c>
      <c r="N512" t="n">
        <v>0</v>
      </c>
      <c r="O512" t="n">
        <v>0</v>
      </c>
      <c r="P512" t="n">
        <v>0</v>
      </c>
      <c r="Q512" t="n">
        <v>0</v>
      </c>
      <c r="R512" s="2" t="inlineStr"/>
    </row>
    <row r="513" ht="15" customHeight="1">
      <c r="A513" t="inlineStr">
        <is>
          <t>A 18903-2025</t>
        </is>
      </c>
      <c r="B513" s="1" t="n">
        <v>45764.46019675926</v>
      </c>
      <c r="C513" s="1" t="n">
        <v>46139</v>
      </c>
      <c r="D513" t="inlineStr">
        <is>
          <t>NORRBOTTENS LÄN</t>
        </is>
      </c>
      <c r="E513" t="inlineStr">
        <is>
          <t>JOKKMOKK</t>
        </is>
      </c>
      <c r="G513" t="n">
        <v>9.1</v>
      </c>
      <c r="H513" t="n">
        <v>0</v>
      </c>
      <c r="I513" t="n">
        <v>0</v>
      </c>
      <c r="J513" t="n">
        <v>0</v>
      </c>
      <c r="K513" t="n">
        <v>0</v>
      </c>
      <c r="L513" t="n">
        <v>0</v>
      </c>
      <c r="M513" t="n">
        <v>0</v>
      </c>
      <c r="N513" t="n">
        <v>0</v>
      </c>
      <c r="O513" t="n">
        <v>0</v>
      </c>
      <c r="P513" t="n">
        <v>0</v>
      </c>
      <c r="Q513" t="n">
        <v>0</v>
      </c>
      <c r="R513" s="2" t="inlineStr"/>
    </row>
    <row r="514" ht="15" customHeight="1">
      <c r="A514" t="inlineStr">
        <is>
          <t>A 50436-2024</t>
        </is>
      </c>
      <c r="B514" s="1" t="n">
        <v>45601.4096875</v>
      </c>
      <c r="C514" s="1" t="n">
        <v>46139</v>
      </c>
      <c r="D514" t="inlineStr">
        <is>
          <t>NORRBOTTENS LÄN</t>
        </is>
      </c>
      <c r="E514" t="inlineStr">
        <is>
          <t>JOKKMOKK</t>
        </is>
      </c>
      <c r="F514" t="inlineStr">
        <is>
          <t>Allmännings- och besparingsskogar</t>
        </is>
      </c>
      <c r="G514" t="n">
        <v>6.5</v>
      </c>
      <c r="H514" t="n">
        <v>0</v>
      </c>
      <c r="I514" t="n">
        <v>0</v>
      </c>
      <c r="J514" t="n">
        <v>0</v>
      </c>
      <c r="K514" t="n">
        <v>0</v>
      </c>
      <c r="L514" t="n">
        <v>0</v>
      </c>
      <c r="M514" t="n">
        <v>0</v>
      </c>
      <c r="N514" t="n">
        <v>0</v>
      </c>
      <c r="O514" t="n">
        <v>0</v>
      </c>
      <c r="P514" t="n">
        <v>0</v>
      </c>
      <c r="Q514" t="n">
        <v>0</v>
      </c>
      <c r="R514" s="2" t="inlineStr"/>
    </row>
    <row r="515" ht="15" customHeight="1">
      <c r="A515" t="inlineStr">
        <is>
          <t>A 59793-2024</t>
        </is>
      </c>
      <c r="B515" s="1" t="n">
        <v>45639.58967592593</v>
      </c>
      <c r="C515" s="1" t="n">
        <v>46139</v>
      </c>
      <c r="D515" t="inlineStr">
        <is>
          <t>NORRBOTTENS LÄN</t>
        </is>
      </c>
      <c r="E515" t="inlineStr">
        <is>
          <t>JOKKMOKK</t>
        </is>
      </c>
      <c r="F515" t="inlineStr">
        <is>
          <t>Sveaskog</t>
        </is>
      </c>
      <c r="G515" t="n">
        <v>10.8</v>
      </c>
      <c r="H515" t="n">
        <v>0</v>
      </c>
      <c r="I515" t="n">
        <v>0</v>
      </c>
      <c r="J515" t="n">
        <v>0</v>
      </c>
      <c r="K515" t="n">
        <v>0</v>
      </c>
      <c r="L515" t="n">
        <v>0</v>
      </c>
      <c r="M515" t="n">
        <v>0</v>
      </c>
      <c r="N515" t="n">
        <v>0</v>
      </c>
      <c r="O515" t="n">
        <v>0</v>
      </c>
      <c r="P515" t="n">
        <v>0</v>
      </c>
      <c r="Q515" t="n">
        <v>0</v>
      </c>
      <c r="R515" s="2" t="inlineStr"/>
    </row>
    <row r="516" ht="15" customHeight="1">
      <c r="A516" t="inlineStr">
        <is>
          <t>A 50496-2024</t>
        </is>
      </c>
      <c r="B516" s="1" t="n">
        <v>45601.51266203704</v>
      </c>
      <c r="C516" s="1" t="n">
        <v>46139</v>
      </c>
      <c r="D516" t="inlineStr">
        <is>
          <t>NORRBOTTENS LÄN</t>
        </is>
      </c>
      <c r="E516" t="inlineStr">
        <is>
          <t>JOKKMOKK</t>
        </is>
      </c>
      <c r="F516" t="inlineStr">
        <is>
          <t>Allmännings- och besparingsskogar</t>
        </is>
      </c>
      <c r="G516" t="n">
        <v>2.1</v>
      </c>
      <c r="H516" t="n">
        <v>0</v>
      </c>
      <c r="I516" t="n">
        <v>0</v>
      </c>
      <c r="J516" t="n">
        <v>0</v>
      </c>
      <c r="K516" t="n">
        <v>0</v>
      </c>
      <c r="L516" t="n">
        <v>0</v>
      </c>
      <c r="M516" t="n">
        <v>0</v>
      </c>
      <c r="N516" t="n">
        <v>0</v>
      </c>
      <c r="O516" t="n">
        <v>0</v>
      </c>
      <c r="P516" t="n">
        <v>0</v>
      </c>
      <c r="Q516" t="n">
        <v>0</v>
      </c>
      <c r="R516" s="2" t="inlineStr"/>
    </row>
    <row r="517" ht="15" customHeight="1">
      <c r="A517" t="inlineStr">
        <is>
          <t>A 16336-2023</t>
        </is>
      </c>
      <c r="B517" s="1" t="n">
        <v>45022</v>
      </c>
      <c r="C517" s="1" t="n">
        <v>46139</v>
      </c>
      <c r="D517" t="inlineStr">
        <is>
          <t>NORRBOTTENS LÄN</t>
        </is>
      </c>
      <c r="E517" t="inlineStr">
        <is>
          <t>JOKKMOKK</t>
        </is>
      </c>
      <c r="F517" t="inlineStr">
        <is>
          <t>Övriga statliga verk och myndigheter</t>
        </is>
      </c>
      <c r="G517" t="n">
        <v>130.2</v>
      </c>
      <c r="H517" t="n">
        <v>0</v>
      </c>
      <c r="I517" t="n">
        <v>0</v>
      </c>
      <c r="J517" t="n">
        <v>0</v>
      </c>
      <c r="K517" t="n">
        <v>0</v>
      </c>
      <c r="L517" t="n">
        <v>0</v>
      </c>
      <c r="M517" t="n">
        <v>0</v>
      </c>
      <c r="N517" t="n">
        <v>0</v>
      </c>
      <c r="O517" t="n">
        <v>0</v>
      </c>
      <c r="P517" t="n">
        <v>0</v>
      </c>
      <c r="Q517" t="n">
        <v>0</v>
      </c>
      <c r="R517" s="2" t="inlineStr"/>
    </row>
    <row r="518" ht="15" customHeight="1">
      <c r="A518" t="inlineStr">
        <is>
          <t>A 51261-2024</t>
        </is>
      </c>
      <c r="B518" s="1" t="n">
        <v>45603.69465277778</v>
      </c>
      <c r="C518" s="1" t="n">
        <v>46139</v>
      </c>
      <c r="D518" t="inlineStr">
        <is>
          <t>NORRBOTTENS LÄN</t>
        </is>
      </c>
      <c r="E518" t="inlineStr">
        <is>
          <t>JOKKMOKK</t>
        </is>
      </c>
      <c r="F518" t="inlineStr">
        <is>
          <t>Allmännings- och besparingsskogar</t>
        </is>
      </c>
      <c r="G518" t="n">
        <v>11</v>
      </c>
      <c r="H518" t="n">
        <v>0</v>
      </c>
      <c r="I518" t="n">
        <v>0</v>
      </c>
      <c r="J518" t="n">
        <v>0</v>
      </c>
      <c r="K518" t="n">
        <v>0</v>
      </c>
      <c r="L518" t="n">
        <v>0</v>
      </c>
      <c r="M518" t="n">
        <v>0</v>
      </c>
      <c r="N518" t="n">
        <v>0</v>
      </c>
      <c r="O518" t="n">
        <v>0</v>
      </c>
      <c r="P518" t="n">
        <v>0</v>
      </c>
      <c r="Q518" t="n">
        <v>0</v>
      </c>
      <c r="R518" s="2" t="inlineStr"/>
    </row>
    <row r="519">
      <c r="A519" t="inlineStr">
        <is>
          <t>A 45333-2024</t>
        </is>
      </c>
      <c r="B519" s="1" t="n">
        <v>45576</v>
      </c>
      <c r="C519" s="1" t="n">
        <v>46139</v>
      </c>
      <c r="D519" t="inlineStr">
        <is>
          <t>NORRBOTTENS LÄN</t>
        </is>
      </c>
      <c r="E519" t="inlineStr">
        <is>
          <t>JOKKMOKK</t>
        </is>
      </c>
      <c r="F519" t="inlineStr">
        <is>
          <t>Sveaskog</t>
        </is>
      </c>
      <c r="G519" t="n">
        <v>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2026-04-27T11:27:25Z</dcterms:created>
  <dcterms:modified xmlns:dcterms="http://purl.org/dc/terms/" xmlns:xsi="http://www.w3.org/2001/XMLSchema-instance" xsi:type="dcterms:W3CDTF">2026-04-27T11:27:25Z</dcterms:modified>
</cp:coreProperties>
</file>