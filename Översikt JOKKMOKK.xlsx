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45922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3557-2025</t>
        </is>
      </c>
      <c r="B8" s="1" t="n">
        <v>45680</v>
      </c>
      <c r="C8" s="1" t="n">
        <v>45922</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27667-2024</t>
        </is>
      </c>
      <c r="B9" s="1" t="n">
        <v>45474</v>
      </c>
      <c r="C9" s="1" t="n">
        <v>45922</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2025-2025</t>
        </is>
      </c>
      <c r="B10" s="1" t="n">
        <v>45672.48186342593</v>
      </c>
      <c r="C10" s="1" t="n">
        <v>45922</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45922</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45922</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45922</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45922</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45922</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45922</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45922</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45922</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45922</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45922</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45922</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45922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45922</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58473-2020</t>
        </is>
      </c>
      <c r="B24" s="1" t="n">
        <v>44144</v>
      </c>
      <c r="C24" s="1" t="n">
        <v>45922</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45922</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45922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45922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45922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45922</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45922</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45922</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45922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45922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45922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45922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45922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45922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45922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24737-2025</t>
        </is>
      </c>
      <c r="B39" s="1" t="n">
        <v>45799.34494212963</v>
      </c>
      <c r="C39" s="1" t="n">
        <v>45922</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33139-2023</t>
        </is>
      </c>
      <c r="B40" s="1" t="n">
        <v>45114</v>
      </c>
      <c r="C40" s="1" t="n">
        <v>45922</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72477-2021</t>
        </is>
      </c>
      <c r="B41" s="1" t="n">
        <v>44545</v>
      </c>
      <c r="C41" s="1" t="n">
        <v>45922</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26837-2025</t>
        </is>
      </c>
      <c r="B42" s="1" t="n">
        <v>45810</v>
      </c>
      <c r="C42" s="1" t="n">
        <v>45922</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33994-2023</t>
        </is>
      </c>
      <c r="B43" s="1" t="n">
        <v>45134</v>
      </c>
      <c r="C43" s="1" t="n">
        <v>45922</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6435-2025</t>
        </is>
      </c>
      <c r="B44" s="1" t="n">
        <v>45699</v>
      </c>
      <c r="C44" s="1" t="n">
        <v>45922</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45922</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45922</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24408-2022</t>
        </is>
      </c>
      <c r="B47" s="1" t="n">
        <v>44726</v>
      </c>
      <c r="C47" s="1" t="n">
        <v>45922</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45922</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45922</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45922</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45922</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45922</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45922</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43039-2024</t>
        </is>
      </c>
      <c r="B54" s="1" t="n">
        <v>45567</v>
      </c>
      <c r="C54" s="1" t="n">
        <v>45922</v>
      </c>
      <c r="D54" t="inlineStr">
        <is>
          <t>NORRBOTTENS LÄN</t>
        </is>
      </c>
      <c r="E54" t="inlineStr">
        <is>
          <t>JOKKMOKK</t>
        </is>
      </c>
      <c r="F54" t="inlineStr">
        <is>
          <t>Sveaskog</t>
        </is>
      </c>
      <c r="G54" t="n">
        <v>8.199999999999999</v>
      </c>
      <c r="H54" t="n">
        <v>1</v>
      </c>
      <c r="I54" t="n">
        <v>0</v>
      </c>
      <c r="J54" t="n">
        <v>0</v>
      </c>
      <c r="K54" t="n">
        <v>1</v>
      </c>
      <c r="L54" t="n">
        <v>0</v>
      </c>
      <c r="M54" t="n">
        <v>0</v>
      </c>
      <c r="N54" t="n">
        <v>0</v>
      </c>
      <c r="O54" t="n">
        <v>1</v>
      </c>
      <c r="P54" t="n">
        <v>1</v>
      </c>
      <c r="Q54" t="n">
        <v>1</v>
      </c>
      <c r="R54" s="2" t="inlineStr">
        <is>
          <t>Doftticka</t>
        </is>
      </c>
      <c r="S54">
        <f>HYPERLINK("https://klasma.github.io/Logging_2510/artfynd/A 43039-2024 artfynd.xlsx", "A 43039-2024")</f>
        <v/>
      </c>
      <c r="T54">
        <f>HYPERLINK("https://klasma.github.io/Logging_2510/kartor/A 43039-2024 karta.png", "A 43039-2024")</f>
        <v/>
      </c>
      <c r="V54">
        <f>HYPERLINK("https://klasma.github.io/Logging_2510/klagomål/A 43039-2024 FSC-klagomål.docx", "A 43039-2024")</f>
        <v/>
      </c>
      <c r="W54">
        <f>HYPERLINK("https://klasma.github.io/Logging_2510/klagomålsmail/A 43039-2024 FSC-klagomål mail.docx", "A 43039-2024")</f>
        <v/>
      </c>
      <c r="X54">
        <f>HYPERLINK("https://klasma.github.io/Logging_2510/tillsyn/A 43039-2024 tillsynsbegäran.docx", "A 43039-2024")</f>
        <v/>
      </c>
      <c r="Y54">
        <f>HYPERLINK("https://klasma.github.io/Logging_2510/tillsynsmail/A 43039-2024 tillsynsbegäran mail.docx", "A 43039-2024")</f>
        <v/>
      </c>
    </row>
    <row r="55" ht="15" customHeight="1">
      <c r="A55" t="inlineStr">
        <is>
          <t>A 44147-2024</t>
        </is>
      </c>
      <c r="B55" s="1" t="n">
        <v>45572.67306712963</v>
      </c>
      <c r="C55" s="1" t="n">
        <v>45922</v>
      </c>
      <c r="D55" t="inlineStr">
        <is>
          <t>NORRBOTTENS LÄN</t>
        </is>
      </c>
      <c r="E55" t="inlineStr">
        <is>
          <t>JOKKMOKK</t>
        </is>
      </c>
      <c r="F55" t="inlineStr">
        <is>
          <t>Sveaskog</t>
        </is>
      </c>
      <c r="G55" t="n">
        <v>6.2</v>
      </c>
      <c r="H55" t="n">
        <v>1</v>
      </c>
      <c r="I55" t="n">
        <v>1</v>
      </c>
      <c r="J55" t="n">
        <v>0</v>
      </c>
      <c r="K55" t="n">
        <v>0</v>
      </c>
      <c r="L55" t="n">
        <v>0</v>
      </c>
      <c r="M55" t="n">
        <v>0</v>
      </c>
      <c r="N55" t="n">
        <v>0</v>
      </c>
      <c r="O55" t="n">
        <v>0</v>
      </c>
      <c r="P55" t="n">
        <v>0</v>
      </c>
      <c r="Q55" t="n">
        <v>1</v>
      </c>
      <c r="R55" s="2" t="inlineStr">
        <is>
          <t>Plattlummer</t>
        </is>
      </c>
      <c r="S55">
        <f>HYPERLINK("https://klasma.github.io/Logging_2510/artfynd/A 44147-2024 artfynd.xlsx", "A 44147-2024")</f>
        <v/>
      </c>
      <c r="T55">
        <f>HYPERLINK("https://klasma.github.io/Logging_2510/kartor/A 44147-2024 karta.png", "A 44147-2024")</f>
        <v/>
      </c>
      <c r="V55">
        <f>HYPERLINK("https://klasma.github.io/Logging_2510/klagomål/A 44147-2024 FSC-klagomål.docx", "A 44147-2024")</f>
        <v/>
      </c>
      <c r="W55">
        <f>HYPERLINK("https://klasma.github.io/Logging_2510/klagomålsmail/A 44147-2024 FSC-klagomål mail.docx", "A 44147-2024")</f>
        <v/>
      </c>
      <c r="X55">
        <f>HYPERLINK("https://klasma.github.io/Logging_2510/tillsyn/A 44147-2024 tillsynsbegäran.docx", "A 44147-2024")</f>
        <v/>
      </c>
      <c r="Y55">
        <f>HYPERLINK("https://klasma.github.io/Logging_2510/tillsynsmail/A 44147-2024 tillsynsbegäran mail.docx", "A 44147-2024")</f>
        <v/>
      </c>
    </row>
    <row r="56" ht="15" customHeight="1">
      <c r="A56" t="inlineStr">
        <is>
          <t>A 50121-2024</t>
        </is>
      </c>
      <c r="B56" s="1" t="n">
        <v>45600.42096064815</v>
      </c>
      <c r="C56" s="1" t="n">
        <v>45922</v>
      </c>
      <c r="D56" t="inlineStr">
        <is>
          <t>NORRBOTTENS LÄN</t>
        </is>
      </c>
      <c r="E56" t="inlineStr">
        <is>
          <t>JOKKMOKK</t>
        </is>
      </c>
      <c r="G56" t="n">
        <v>2.3</v>
      </c>
      <c r="H56" t="n">
        <v>1</v>
      </c>
      <c r="I56" t="n">
        <v>0</v>
      </c>
      <c r="J56" t="n">
        <v>1</v>
      </c>
      <c r="K56" t="n">
        <v>0</v>
      </c>
      <c r="L56" t="n">
        <v>0</v>
      </c>
      <c r="M56" t="n">
        <v>0</v>
      </c>
      <c r="N56" t="n">
        <v>0</v>
      </c>
      <c r="O56" t="n">
        <v>1</v>
      </c>
      <c r="P56" t="n">
        <v>0</v>
      </c>
      <c r="Q56" t="n">
        <v>1</v>
      </c>
      <c r="R56" s="2" t="inlineStr">
        <is>
          <t>Buskskvätta</t>
        </is>
      </c>
      <c r="S56">
        <f>HYPERLINK("https://klasma.github.io/Logging_2510/artfynd/A 50121-2024 artfynd.xlsx", "A 50121-2024")</f>
        <v/>
      </c>
      <c r="T56">
        <f>HYPERLINK("https://klasma.github.io/Logging_2510/kartor/A 50121-2024 karta.png", "A 50121-2024")</f>
        <v/>
      </c>
      <c r="V56">
        <f>HYPERLINK("https://klasma.github.io/Logging_2510/klagomål/A 50121-2024 FSC-klagomål.docx", "A 50121-2024")</f>
        <v/>
      </c>
      <c r="W56">
        <f>HYPERLINK("https://klasma.github.io/Logging_2510/klagomålsmail/A 50121-2024 FSC-klagomål mail.docx", "A 50121-2024")</f>
        <v/>
      </c>
      <c r="X56">
        <f>HYPERLINK("https://klasma.github.io/Logging_2510/tillsyn/A 50121-2024 tillsynsbegäran.docx", "A 50121-2024")</f>
        <v/>
      </c>
      <c r="Y56">
        <f>HYPERLINK("https://klasma.github.io/Logging_2510/tillsynsmail/A 50121-2024 tillsynsbegäran mail.docx", "A 50121-2024")</f>
        <v/>
      </c>
      <c r="Z56">
        <f>HYPERLINK("https://klasma.github.io/Logging_2510/fåglar/A 50121-2024 prioriterade fågelarter.docx", "A 50121-2024")</f>
        <v/>
      </c>
    </row>
    <row r="57" ht="15" customHeight="1">
      <c r="A57" t="inlineStr">
        <is>
          <t>A 72480-2021</t>
        </is>
      </c>
      <c r="B57" s="1" t="n">
        <v>44545</v>
      </c>
      <c r="C57" s="1" t="n">
        <v>45922</v>
      </c>
      <c r="D57" t="inlineStr">
        <is>
          <t>NORRBOTTENS LÄN</t>
        </is>
      </c>
      <c r="E57" t="inlineStr">
        <is>
          <t>JOKKMOKK</t>
        </is>
      </c>
      <c r="G57" t="n">
        <v>8.800000000000001</v>
      </c>
      <c r="H57" t="n">
        <v>0</v>
      </c>
      <c r="I57" t="n">
        <v>0</v>
      </c>
      <c r="J57" t="n">
        <v>1</v>
      </c>
      <c r="K57" t="n">
        <v>0</v>
      </c>
      <c r="L57" t="n">
        <v>0</v>
      </c>
      <c r="M57" t="n">
        <v>0</v>
      </c>
      <c r="N57" t="n">
        <v>0</v>
      </c>
      <c r="O57" t="n">
        <v>1</v>
      </c>
      <c r="P57" t="n">
        <v>0</v>
      </c>
      <c r="Q57" t="n">
        <v>1</v>
      </c>
      <c r="R57" s="2" t="inlineStr">
        <is>
          <t>Dvärgbägarlav</t>
        </is>
      </c>
      <c r="S57">
        <f>HYPERLINK("https://klasma.github.io/Logging_2510/artfynd/A 72480-2021 artfynd.xlsx", "A 72480-2021")</f>
        <v/>
      </c>
      <c r="T57">
        <f>HYPERLINK("https://klasma.github.io/Logging_2510/kartor/A 72480-2021 karta.png", "A 72480-2021")</f>
        <v/>
      </c>
      <c r="V57">
        <f>HYPERLINK("https://klasma.github.io/Logging_2510/klagomål/A 72480-2021 FSC-klagomål.docx", "A 72480-2021")</f>
        <v/>
      </c>
      <c r="W57">
        <f>HYPERLINK("https://klasma.github.io/Logging_2510/klagomålsmail/A 72480-2021 FSC-klagomål mail.docx", "A 72480-2021")</f>
        <v/>
      </c>
      <c r="X57">
        <f>HYPERLINK("https://klasma.github.io/Logging_2510/tillsyn/A 72480-2021 tillsynsbegäran.docx", "A 72480-2021")</f>
        <v/>
      </c>
      <c r="Y57">
        <f>HYPERLINK("https://klasma.github.io/Logging_2510/tillsynsmail/A 72480-2021 tillsynsbegäran mail.docx", "A 72480-2021")</f>
        <v/>
      </c>
    </row>
    <row r="58" ht="15" customHeight="1">
      <c r="A58" t="inlineStr">
        <is>
          <t>A 40466-2023</t>
        </is>
      </c>
      <c r="B58" s="1" t="n">
        <v>45170</v>
      </c>
      <c r="C58" s="1" t="n">
        <v>45922</v>
      </c>
      <c r="D58" t="inlineStr">
        <is>
          <t>NORRBOTTENS LÄN</t>
        </is>
      </c>
      <c r="E58" t="inlineStr">
        <is>
          <t>JOKKMOKK</t>
        </is>
      </c>
      <c r="F58" t="inlineStr">
        <is>
          <t>Sveaskog</t>
        </is>
      </c>
      <c r="G58" t="n">
        <v>1.5</v>
      </c>
      <c r="H58" t="n">
        <v>0</v>
      </c>
      <c r="I58" t="n">
        <v>0</v>
      </c>
      <c r="J58" t="n">
        <v>1</v>
      </c>
      <c r="K58" t="n">
        <v>0</v>
      </c>
      <c r="L58" t="n">
        <v>0</v>
      </c>
      <c r="M58" t="n">
        <v>0</v>
      </c>
      <c r="N58" t="n">
        <v>0</v>
      </c>
      <c r="O58" t="n">
        <v>1</v>
      </c>
      <c r="P58" t="n">
        <v>0</v>
      </c>
      <c r="Q58" t="n">
        <v>1</v>
      </c>
      <c r="R58" s="2" t="inlineStr">
        <is>
          <t>Motaggsvamp</t>
        </is>
      </c>
      <c r="S58">
        <f>HYPERLINK("https://klasma.github.io/Logging_2510/artfynd/A 40466-2023 artfynd.xlsx", "A 40466-2023")</f>
        <v/>
      </c>
      <c r="T58">
        <f>HYPERLINK("https://klasma.github.io/Logging_2510/kartor/A 40466-2023 karta.png", "A 40466-2023")</f>
        <v/>
      </c>
      <c r="V58">
        <f>HYPERLINK("https://klasma.github.io/Logging_2510/klagomål/A 40466-2023 FSC-klagomål.docx", "A 40466-2023")</f>
        <v/>
      </c>
      <c r="W58">
        <f>HYPERLINK("https://klasma.github.io/Logging_2510/klagomålsmail/A 40466-2023 FSC-klagomål mail.docx", "A 40466-2023")</f>
        <v/>
      </c>
      <c r="X58">
        <f>HYPERLINK("https://klasma.github.io/Logging_2510/tillsyn/A 40466-2023 tillsynsbegäran.docx", "A 40466-2023")</f>
        <v/>
      </c>
      <c r="Y58">
        <f>HYPERLINK("https://klasma.github.io/Logging_2510/tillsynsmail/A 40466-2023 tillsynsbegäran mail.docx", "A 40466-2023")</f>
        <v/>
      </c>
    </row>
    <row r="59" ht="15" customHeight="1">
      <c r="A59" t="inlineStr">
        <is>
          <t>A 43023-2024</t>
        </is>
      </c>
      <c r="B59" s="1" t="n">
        <v>45567</v>
      </c>
      <c r="C59" s="1" t="n">
        <v>45922</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29859-2025</t>
        </is>
      </c>
      <c r="B60" s="1" t="n">
        <v>45826.34621527778</v>
      </c>
      <c r="C60" s="1" t="n">
        <v>45922</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52260-2024</t>
        </is>
      </c>
      <c r="B61" s="1" t="n">
        <v>45608</v>
      </c>
      <c r="C61" s="1" t="n">
        <v>45922</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52994-2024</t>
        </is>
      </c>
      <c r="B62" s="1" t="n">
        <v>45611.37796296296</v>
      </c>
      <c r="C62" s="1" t="n">
        <v>45922</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52537-2023</t>
        </is>
      </c>
      <c r="B63" s="1" t="n">
        <v>45225</v>
      </c>
      <c r="C63" s="1" t="n">
        <v>45922</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32669-2025</t>
        </is>
      </c>
      <c r="B64" s="1" t="n">
        <v>45838.69793981482</v>
      </c>
      <c r="C64" s="1" t="n">
        <v>45922</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49525-2024</t>
        </is>
      </c>
      <c r="B65" s="1" t="n">
        <v>45596</v>
      </c>
      <c r="C65" s="1" t="n">
        <v>45922</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34135-2025</t>
        </is>
      </c>
      <c r="B66" s="1" t="n">
        <v>45845.5409375</v>
      </c>
      <c r="C66" s="1" t="n">
        <v>45922</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39850-2025</t>
        </is>
      </c>
      <c r="B67" s="1" t="n">
        <v>45891.58591435185</v>
      </c>
      <c r="C67" s="1" t="n">
        <v>45922</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42834-2025</t>
        </is>
      </c>
      <c r="B68" s="1" t="n">
        <v>45908.57949074074</v>
      </c>
      <c r="C68" s="1" t="n">
        <v>45922</v>
      </c>
      <c r="D68" t="inlineStr">
        <is>
          <t>NORRBOTTENS LÄN</t>
        </is>
      </c>
      <c r="E68" t="inlineStr">
        <is>
          <t>JOKKMOKK</t>
        </is>
      </c>
      <c r="F68" t="inlineStr">
        <is>
          <t>Sveaskog</t>
        </is>
      </c>
      <c r="G68" t="n">
        <v>11.2</v>
      </c>
      <c r="H68" t="n">
        <v>1</v>
      </c>
      <c r="I68" t="n">
        <v>0</v>
      </c>
      <c r="J68" t="n">
        <v>0</v>
      </c>
      <c r="K68" t="n">
        <v>1</v>
      </c>
      <c r="L68" t="n">
        <v>0</v>
      </c>
      <c r="M68" t="n">
        <v>0</v>
      </c>
      <c r="N68" t="n">
        <v>0</v>
      </c>
      <c r="O68" t="n">
        <v>1</v>
      </c>
      <c r="P68" t="n">
        <v>1</v>
      </c>
      <c r="Q68" t="n">
        <v>1</v>
      </c>
      <c r="R68" s="2" t="inlineStr">
        <is>
          <t>Knärot</t>
        </is>
      </c>
      <c r="S68">
        <f>HYPERLINK("https://klasma.github.io/Logging_2510/artfynd/A 42834-2025 artfynd.xlsx", "A 42834-2025")</f>
        <v/>
      </c>
      <c r="T68">
        <f>HYPERLINK("https://klasma.github.io/Logging_2510/kartor/A 42834-2025 karta.png", "A 42834-2025")</f>
        <v/>
      </c>
      <c r="U68">
        <f>HYPERLINK("https://klasma.github.io/Logging_2510/knärot/A 42834-2025 karta knärot.png", "A 42834-2025")</f>
        <v/>
      </c>
      <c r="V68">
        <f>HYPERLINK("https://klasma.github.io/Logging_2510/klagomål/A 42834-2025 FSC-klagomål.docx", "A 42834-2025")</f>
        <v/>
      </c>
      <c r="W68">
        <f>HYPERLINK("https://klasma.github.io/Logging_2510/klagomålsmail/A 42834-2025 FSC-klagomål mail.docx", "A 42834-2025")</f>
        <v/>
      </c>
      <c r="X68">
        <f>HYPERLINK("https://klasma.github.io/Logging_2510/tillsyn/A 42834-2025 tillsynsbegäran.docx", "A 42834-2025")</f>
        <v/>
      </c>
      <c r="Y68">
        <f>HYPERLINK("https://klasma.github.io/Logging_2510/tillsynsmail/A 42834-2025 tillsynsbegäran mail.docx", "A 42834-2025")</f>
        <v/>
      </c>
    </row>
    <row r="69" ht="15" customHeight="1">
      <c r="A69" t="inlineStr">
        <is>
          <t>A 44203-2025</t>
        </is>
      </c>
      <c r="B69" s="1" t="n">
        <v>45915.62523148148</v>
      </c>
      <c r="C69" s="1" t="n">
        <v>45922</v>
      </c>
      <c r="D69" t="inlineStr">
        <is>
          <t>NORRBOTTENS LÄN</t>
        </is>
      </c>
      <c r="E69" t="inlineStr">
        <is>
          <t>JOKKMOKK</t>
        </is>
      </c>
      <c r="F69" t="inlineStr">
        <is>
          <t>Sveaskog</t>
        </is>
      </c>
      <c r="G69" t="n">
        <v>5.7</v>
      </c>
      <c r="H69" t="n">
        <v>0</v>
      </c>
      <c r="I69" t="n">
        <v>1</v>
      </c>
      <c r="J69" t="n">
        <v>0</v>
      </c>
      <c r="K69" t="n">
        <v>0</v>
      </c>
      <c r="L69" t="n">
        <v>0</v>
      </c>
      <c r="M69" t="n">
        <v>0</v>
      </c>
      <c r="N69" t="n">
        <v>0</v>
      </c>
      <c r="O69" t="n">
        <v>0</v>
      </c>
      <c r="P69" t="n">
        <v>0</v>
      </c>
      <c r="Q69" t="n">
        <v>1</v>
      </c>
      <c r="R69" s="2" t="inlineStr">
        <is>
          <t>Skarp dropptaggsvamp</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44234-2025</t>
        </is>
      </c>
      <c r="B70" s="1" t="n">
        <v>45915.65525462963</v>
      </c>
      <c r="C70" s="1" t="n">
        <v>45922</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37252-2025</t>
        </is>
      </c>
      <c r="B71" s="1" t="n">
        <v>45876.4228125</v>
      </c>
      <c r="C71" s="1" t="n">
        <v>45922</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44828-2025</t>
        </is>
      </c>
      <c r="B72" s="1" t="n">
        <v>45918.38981481481</v>
      </c>
      <c r="C72" s="1" t="n">
        <v>45922</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51875-2020</t>
        </is>
      </c>
      <c r="B73" s="1" t="n">
        <v>44109</v>
      </c>
      <c r="C73" s="1" t="n">
        <v>45922</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48338-2020</t>
        </is>
      </c>
      <c r="B74" s="1" t="n">
        <v>44098</v>
      </c>
      <c r="C74" s="1" t="n">
        <v>45922</v>
      </c>
      <c r="D74" t="inlineStr">
        <is>
          <t>NORRBOTTENS LÄN</t>
        </is>
      </c>
      <c r="E74" t="inlineStr">
        <is>
          <t>JOKKMOKK</t>
        </is>
      </c>
      <c r="F74" t="inlineStr">
        <is>
          <t>Allmännings- och besparingsskogar</t>
        </is>
      </c>
      <c r="G74" t="n">
        <v>3.4</v>
      </c>
      <c r="H74" t="n">
        <v>0</v>
      </c>
      <c r="I74" t="n">
        <v>0</v>
      </c>
      <c r="J74" t="n">
        <v>0</v>
      </c>
      <c r="K74" t="n">
        <v>0</v>
      </c>
      <c r="L74" t="n">
        <v>0</v>
      </c>
      <c r="M74" t="n">
        <v>0</v>
      </c>
      <c r="N74" t="n">
        <v>0</v>
      </c>
      <c r="O74" t="n">
        <v>0</v>
      </c>
      <c r="P74" t="n">
        <v>0</v>
      </c>
      <c r="Q74" t="n">
        <v>0</v>
      </c>
      <c r="R74" s="2" t="inlineStr"/>
    </row>
    <row r="75" ht="15" customHeight="1">
      <c r="A75" t="inlineStr">
        <is>
          <t>A 38039-2021</t>
        </is>
      </c>
      <c r="B75" s="1" t="n">
        <v>44404</v>
      </c>
      <c r="C75" s="1" t="n">
        <v>45922</v>
      </c>
      <c r="D75" t="inlineStr">
        <is>
          <t>NORRBOTTENS LÄN</t>
        </is>
      </c>
      <c r="E75" t="inlineStr">
        <is>
          <t>JOKKMOKK</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40248-2022</t>
        </is>
      </c>
      <c r="B76" s="1" t="n">
        <v>44820</v>
      </c>
      <c r="C76" s="1" t="n">
        <v>45922</v>
      </c>
      <c r="D76" t="inlineStr">
        <is>
          <t>NORRBOTTENS LÄN</t>
        </is>
      </c>
      <c r="E76" t="inlineStr">
        <is>
          <t>JOKKMOKK</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45922</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51436-2020</t>
        </is>
      </c>
      <c r="B78" s="1" t="n">
        <v>44113</v>
      </c>
      <c r="C78" s="1" t="n">
        <v>45922</v>
      </c>
      <c r="D78" t="inlineStr">
        <is>
          <t>NORRBOTTENS LÄN</t>
        </is>
      </c>
      <c r="E78" t="inlineStr">
        <is>
          <t>JOKKMOKK</t>
        </is>
      </c>
      <c r="F78" t="inlineStr">
        <is>
          <t>Sveaskog</t>
        </is>
      </c>
      <c r="G78" t="n">
        <v>10.7</v>
      </c>
      <c r="H78" t="n">
        <v>0</v>
      </c>
      <c r="I78" t="n">
        <v>0</v>
      </c>
      <c r="J78" t="n">
        <v>0</v>
      </c>
      <c r="K78" t="n">
        <v>0</v>
      </c>
      <c r="L78" t="n">
        <v>0</v>
      </c>
      <c r="M78" t="n">
        <v>0</v>
      </c>
      <c r="N78" t="n">
        <v>0</v>
      </c>
      <c r="O78" t="n">
        <v>0</v>
      </c>
      <c r="P78" t="n">
        <v>0</v>
      </c>
      <c r="Q78" t="n">
        <v>0</v>
      </c>
      <c r="R78" s="2" t="inlineStr"/>
    </row>
    <row r="79" ht="15" customHeight="1">
      <c r="A79" t="inlineStr">
        <is>
          <t>A 51438-2020</t>
        </is>
      </c>
      <c r="B79" s="1" t="n">
        <v>44113</v>
      </c>
      <c r="C79" s="1" t="n">
        <v>45922</v>
      </c>
      <c r="D79" t="inlineStr">
        <is>
          <t>NORRBOTTENS LÄN</t>
        </is>
      </c>
      <c r="E79" t="inlineStr">
        <is>
          <t>JOKKMOKK</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68583-2020</t>
        </is>
      </c>
      <c r="B80" s="1" t="n">
        <v>44186</v>
      </c>
      <c r="C80" s="1" t="n">
        <v>45922</v>
      </c>
      <c r="D80" t="inlineStr">
        <is>
          <t>NORRBOTTENS LÄN</t>
        </is>
      </c>
      <c r="E80" t="inlineStr">
        <is>
          <t>JOKKMOKK</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37114-2021</t>
        </is>
      </c>
      <c r="B81" s="1" t="n">
        <v>44393</v>
      </c>
      <c r="C81" s="1" t="n">
        <v>45922</v>
      </c>
      <c r="D81" t="inlineStr">
        <is>
          <t>NORRBOTTENS LÄN</t>
        </is>
      </c>
      <c r="E81" t="inlineStr">
        <is>
          <t>JOKKMOKK</t>
        </is>
      </c>
      <c r="F81" t="inlineStr">
        <is>
          <t>Övriga statliga verk och myndigheter</t>
        </is>
      </c>
      <c r="G81" t="n">
        <v>30</v>
      </c>
      <c r="H81" t="n">
        <v>0</v>
      </c>
      <c r="I81" t="n">
        <v>0</v>
      </c>
      <c r="J81" t="n">
        <v>0</v>
      </c>
      <c r="K81" t="n">
        <v>0</v>
      </c>
      <c r="L81" t="n">
        <v>0</v>
      </c>
      <c r="M81" t="n">
        <v>0</v>
      </c>
      <c r="N81" t="n">
        <v>0</v>
      </c>
      <c r="O81" t="n">
        <v>0</v>
      </c>
      <c r="P81" t="n">
        <v>0</v>
      </c>
      <c r="Q81" t="n">
        <v>0</v>
      </c>
      <c r="R81" s="2" t="inlineStr"/>
    </row>
    <row r="82" ht="15" customHeight="1">
      <c r="A82" t="inlineStr">
        <is>
          <t>A 43781-2021</t>
        </is>
      </c>
      <c r="B82" s="1" t="n">
        <v>44433</v>
      </c>
      <c r="C82" s="1" t="n">
        <v>45922</v>
      </c>
      <c r="D82" t="inlineStr">
        <is>
          <t>NORRBOTTENS LÄN</t>
        </is>
      </c>
      <c r="E82" t="inlineStr">
        <is>
          <t>JOKKMOKK</t>
        </is>
      </c>
      <c r="G82" t="n">
        <v>1.7</v>
      </c>
      <c r="H82" t="n">
        <v>0</v>
      </c>
      <c r="I82" t="n">
        <v>0</v>
      </c>
      <c r="J82" t="n">
        <v>0</v>
      </c>
      <c r="K82" t="n">
        <v>0</v>
      </c>
      <c r="L82" t="n">
        <v>0</v>
      </c>
      <c r="M82" t="n">
        <v>0</v>
      </c>
      <c r="N82" t="n">
        <v>0</v>
      </c>
      <c r="O82" t="n">
        <v>0</v>
      </c>
      <c r="P82" t="n">
        <v>0</v>
      </c>
      <c r="Q82" t="n">
        <v>0</v>
      </c>
      <c r="R82" s="2" t="inlineStr"/>
    </row>
    <row r="83" ht="15" customHeight="1">
      <c r="A83" t="inlineStr">
        <is>
          <t>A 71955-2021</t>
        </is>
      </c>
      <c r="B83" s="1" t="n">
        <v>44543</v>
      </c>
      <c r="C83" s="1" t="n">
        <v>45922</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45922</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45922</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45922</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8358-2021</t>
        </is>
      </c>
      <c r="B87" s="1" t="n">
        <v>44244</v>
      </c>
      <c r="C87" s="1" t="n">
        <v>45922</v>
      </c>
      <c r="D87" t="inlineStr">
        <is>
          <t>NORRBOTTENS LÄN</t>
        </is>
      </c>
      <c r="E87" t="inlineStr">
        <is>
          <t>JOKKMOKK</t>
        </is>
      </c>
      <c r="F87" t="inlineStr">
        <is>
          <t>SCA</t>
        </is>
      </c>
      <c r="G87" t="n">
        <v>4.5</v>
      </c>
      <c r="H87" t="n">
        <v>0</v>
      </c>
      <c r="I87" t="n">
        <v>0</v>
      </c>
      <c r="J87" t="n">
        <v>0</v>
      </c>
      <c r="K87" t="n">
        <v>0</v>
      </c>
      <c r="L87" t="n">
        <v>0</v>
      </c>
      <c r="M87" t="n">
        <v>0</v>
      </c>
      <c r="N87" t="n">
        <v>0</v>
      </c>
      <c r="O87" t="n">
        <v>0</v>
      </c>
      <c r="P87" t="n">
        <v>0</v>
      </c>
      <c r="Q87" t="n">
        <v>0</v>
      </c>
      <c r="R87" s="2" t="inlineStr"/>
    </row>
    <row r="88" ht="15" customHeight="1">
      <c r="A88" t="inlineStr">
        <is>
          <t>A 37798-2022</t>
        </is>
      </c>
      <c r="B88" s="1" t="n">
        <v>44810</v>
      </c>
      <c r="C88" s="1" t="n">
        <v>45922</v>
      </c>
      <c r="D88" t="inlineStr">
        <is>
          <t>NORRBOTTENS LÄN</t>
        </is>
      </c>
      <c r="E88" t="inlineStr">
        <is>
          <t>JOKKMOKK</t>
        </is>
      </c>
      <c r="G88" t="n">
        <v>0.3</v>
      </c>
      <c r="H88" t="n">
        <v>0</v>
      </c>
      <c r="I88" t="n">
        <v>0</v>
      </c>
      <c r="J88" t="n">
        <v>0</v>
      </c>
      <c r="K88" t="n">
        <v>0</v>
      </c>
      <c r="L88" t="n">
        <v>0</v>
      </c>
      <c r="M88" t="n">
        <v>0</v>
      </c>
      <c r="N88" t="n">
        <v>0</v>
      </c>
      <c r="O88" t="n">
        <v>0</v>
      </c>
      <c r="P88" t="n">
        <v>0</v>
      </c>
      <c r="Q88" t="n">
        <v>0</v>
      </c>
      <c r="R88" s="2" t="inlineStr"/>
    </row>
    <row r="89" ht="15" customHeight="1">
      <c r="A89" t="inlineStr">
        <is>
          <t>A 71936-2021</t>
        </is>
      </c>
      <c r="B89" s="1" t="n">
        <v>44543</v>
      </c>
      <c r="C89" s="1" t="n">
        <v>45922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3772-2022</t>
        </is>
      </c>
      <c r="B90" s="1" t="n">
        <v>44586</v>
      </c>
      <c r="C90" s="1" t="n">
        <v>45922</v>
      </c>
      <c r="D90" t="inlineStr">
        <is>
          <t>NORRBOTTENS LÄN</t>
        </is>
      </c>
      <c r="E90" t="inlineStr">
        <is>
          <t>JOKKMOKK</t>
        </is>
      </c>
      <c r="F90" t="inlineStr">
        <is>
          <t>SCA</t>
        </is>
      </c>
      <c r="G90" t="n">
        <v>2.4</v>
      </c>
      <c r="H90" t="n">
        <v>0</v>
      </c>
      <c r="I90" t="n">
        <v>0</v>
      </c>
      <c r="J90" t="n">
        <v>0</v>
      </c>
      <c r="K90" t="n">
        <v>0</v>
      </c>
      <c r="L90" t="n">
        <v>0</v>
      </c>
      <c r="M90" t="n">
        <v>0</v>
      </c>
      <c r="N90" t="n">
        <v>0</v>
      </c>
      <c r="O90" t="n">
        <v>0</v>
      </c>
      <c r="P90" t="n">
        <v>0</v>
      </c>
      <c r="Q90" t="n">
        <v>0</v>
      </c>
      <c r="R90" s="2" t="inlineStr"/>
    </row>
    <row r="91" ht="15" customHeight="1">
      <c r="A91" t="inlineStr">
        <is>
          <t>A 3776-2022</t>
        </is>
      </c>
      <c r="B91" s="1" t="n">
        <v>44586.93454861111</v>
      </c>
      <c r="C91" s="1" t="n">
        <v>45922</v>
      </c>
      <c r="D91" t="inlineStr">
        <is>
          <t>NORRBOTTENS LÄN</t>
        </is>
      </c>
      <c r="E91" t="inlineStr">
        <is>
          <t>JOKKMOKK</t>
        </is>
      </c>
      <c r="F91" t="inlineStr">
        <is>
          <t>SCA</t>
        </is>
      </c>
      <c r="G91" t="n">
        <v>8</v>
      </c>
      <c r="H91" t="n">
        <v>0</v>
      </c>
      <c r="I91" t="n">
        <v>0</v>
      </c>
      <c r="J91" t="n">
        <v>0</v>
      </c>
      <c r="K91" t="n">
        <v>0</v>
      </c>
      <c r="L91" t="n">
        <v>0</v>
      </c>
      <c r="M91" t="n">
        <v>0</v>
      </c>
      <c r="N91" t="n">
        <v>0</v>
      </c>
      <c r="O91" t="n">
        <v>0</v>
      </c>
      <c r="P91" t="n">
        <v>0</v>
      </c>
      <c r="Q91" t="n">
        <v>0</v>
      </c>
      <c r="R91" s="2" t="inlineStr"/>
    </row>
    <row r="92" ht="15" customHeight="1">
      <c r="A92" t="inlineStr">
        <is>
          <t>A 47252-2020</t>
        </is>
      </c>
      <c r="B92" s="1" t="n">
        <v>44096</v>
      </c>
      <c r="C92" s="1" t="n">
        <v>45922</v>
      </c>
      <c r="D92" t="inlineStr">
        <is>
          <t>NORRBOTTENS LÄN</t>
        </is>
      </c>
      <c r="E92" t="inlineStr">
        <is>
          <t>JOKKMOKK</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62038-2020</t>
        </is>
      </c>
      <c r="B93" s="1" t="n">
        <v>44158</v>
      </c>
      <c r="C93" s="1" t="n">
        <v>45922</v>
      </c>
      <c r="D93" t="inlineStr">
        <is>
          <t>NORRBOTTENS LÄN</t>
        </is>
      </c>
      <c r="E93" t="inlineStr">
        <is>
          <t>JOKKMOKK</t>
        </is>
      </c>
      <c r="F93" t="inlineStr">
        <is>
          <t>Övriga Aktiebolag</t>
        </is>
      </c>
      <c r="G93" t="n">
        <v>7.3</v>
      </c>
      <c r="H93" t="n">
        <v>0</v>
      </c>
      <c r="I93" t="n">
        <v>0</v>
      </c>
      <c r="J93" t="n">
        <v>0</v>
      </c>
      <c r="K93" t="n">
        <v>0</v>
      </c>
      <c r="L93" t="n">
        <v>0</v>
      </c>
      <c r="M93" t="n">
        <v>0</v>
      </c>
      <c r="N93" t="n">
        <v>0</v>
      </c>
      <c r="O93" t="n">
        <v>0</v>
      </c>
      <c r="P93" t="n">
        <v>0</v>
      </c>
      <c r="Q93" t="n">
        <v>0</v>
      </c>
      <c r="R93" s="2" t="inlineStr"/>
    </row>
    <row r="94" ht="15" customHeight="1">
      <c r="A94" t="inlineStr">
        <is>
          <t>A 29955-2021</t>
        </is>
      </c>
      <c r="B94" s="1" t="n">
        <v>44362</v>
      </c>
      <c r="C94" s="1" t="n">
        <v>45922</v>
      </c>
      <c r="D94" t="inlineStr">
        <is>
          <t>NORRBOTTENS LÄN</t>
        </is>
      </c>
      <c r="E94" t="inlineStr">
        <is>
          <t>JOKKMOKK</t>
        </is>
      </c>
      <c r="G94" t="n">
        <v>14.1</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45922</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54863-2020</t>
        </is>
      </c>
      <c r="B96" s="1" t="n">
        <v>44126</v>
      </c>
      <c r="C96" s="1" t="n">
        <v>45922</v>
      </c>
      <c r="D96" t="inlineStr">
        <is>
          <t>NORRBOTTENS LÄN</t>
        </is>
      </c>
      <c r="E96" t="inlineStr">
        <is>
          <t>JOKKMOKK</t>
        </is>
      </c>
      <c r="F96" t="inlineStr">
        <is>
          <t>Allmännings- och besparingsskogar</t>
        </is>
      </c>
      <c r="G96" t="n">
        <v>43.3</v>
      </c>
      <c r="H96" t="n">
        <v>0</v>
      </c>
      <c r="I96" t="n">
        <v>0</v>
      </c>
      <c r="J96" t="n">
        <v>0</v>
      </c>
      <c r="K96" t="n">
        <v>0</v>
      </c>
      <c r="L96" t="n">
        <v>0</v>
      </c>
      <c r="M96" t="n">
        <v>0</v>
      </c>
      <c r="N96" t="n">
        <v>0</v>
      </c>
      <c r="O96" t="n">
        <v>0</v>
      </c>
      <c r="P96" t="n">
        <v>0</v>
      </c>
      <c r="Q96" t="n">
        <v>0</v>
      </c>
      <c r="R96" s="2" t="inlineStr"/>
    </row>
    <row r="97" ht="15" customHeight="1">
      <c r="A97" t="inlineStr">
        <is>
          <t>A 58578-2020</t>
        </is>
      </c>
      <c r="B97" s="1" t="n">
        <v>44144</v>
      </c>
      <c r="C97" s="1" t="n">
        <v>45922</v>
      </c>
      <c r="D97" t="inlineStr">
        <is>
          <t>NORRBOTTENS LÄN</t>
        </is>
      </c>
      <c r="E97" t="inlineStr">
        <is>
          <t>JOKKMOKK</t>
        </is>
      </c>
      <c r="F97" t="inlineStr">
        <is>
          <t>Övriga statliga verk och myndigheter</t>
        </is>
      </c>
      <c r="G97" t="n">
        <v>20.4</v>
      </c>
      <c r="H97" t="n">
        <v>0</v>
      </c>
      <c r="I97" t="n">
        <v>0</v>
      </c>
      <c r="J97" t="n">
        <v>0</v>
      </c>
      <c r="K97" t="n">
        <v>0</v>
      </c>
      <c r="L97" t="n">
        <v>0</v>
      </c>
      <c r="M97" t="n">
        <v>0</v>
      </c>
      <c r="N97" t="n">
        <v>0</v>
      </c>
      <c r="O97" t="n">
        <v>0</v>
      </c>
      <c r="P97" t="n">
        <v>0</v>
      </c>
      <c r="Q97" t="n">
        <v>0</v>
      </c>
      <c r="R97" s="2" t="inlineStr"/>
    </row>
    <row r="98" ht="15" customHeight="1">
      <c r="A98" t="inlineStr">
        <is>
          <t>A 18248-2022</t>
        </is>
      </c>
      <c r="B98" s="1" t="n">
        <v>44685</v>
      </c>
      <c r="C98" s="1" t="n">
        <v>45922</v>
      </c>
      <c r="D98" t="inlineStr">
        <is>
          <t>NORRBOTTENS LÄN</t>
        </is>
      </c>
      <c r="E98" t="inlineStr">
        <is>
          <t>JOKKMOKK</t>
        </is>
      </c>
      <c r="F98" t="inlineStr">
        <is>
          <t>Övriga statliga verk och myndigheter</t>
        </is>
      </c>
      <c r="G98" t="n">
        <v>1</v>
      </c>
      <c r="H98" t="n">
        <v>0</v>
      </c>
      <c r="I98" t="n">
        <v>0</v>
      </c>
      <c r="J98" t="n">
        <v>0</v>
      </c>
      <c r="K98" t="n">
        <v>0</v>
      </c>
      <c r="L98" t="n">
        <v>0</v>
      </c>
      <c r="M98" t="n">
        <v>0</v>
      </c>
      <c r="N98" t="n">
        <v>0</v>
      </c>
      <c r="O98" t="n">
        <v>0</v>
      </c>
      <c r="P98" t="n">
        <v>0</v>
      </c>
      <c r="Q98" t="n">
        <v>0</v>
      </c>
      <c r="R98" s="2" t="inlineStr"/>
    </row>
    <row r="99" ht="15" customHeight="1">
      <c r="A99" t="inlineStr">
        <is>
          <t>A 3783-2022</t>
        </is>
      </c>
      <c r="B99" s="1" t="n">
        <v>44586.93534722222</v>
      </c>
      <c r="C99" s="1" t="n">
        <v>45922</v>
      </c>
      <c r="D99" t="inlineStr">
        <is>
          <t>NORRBOTTENS LÄN</t>
        </is>
      </c>
      <c r="E99" t="inlineStr">
        <is>
          <t>JOKKMOKK</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43780-2021</t>
        </is>
      </c>
      <c r="B100" s="1" t="n">
        <v>44433</v>
      </c>
      <c r="C100" s="1" t="n">
        <v>45922</v>
      </c>
      <c r="D100" t="inlineStr">
        <is>
          <t>NORRBOTTENS LÄN</t>
        </is>
      </c>
      <c r="E100" t="inlineStr">
        <is>
          <t>JOKKMOKK</t>
        </is>
      </c>
      <c r="G100" t="n">
        <v>2.7</v>
      </c>
      <c r="H100" t="n">
        <v>0</v>
      </c>
      <c r="I100" t="n">
        <v>0</v>
      </c>
      <c r="J100" t="n">
        <v>0</v>
      </c>
      <c r="K100" t="n">
        <v>0</v>
      </c>
      <c r="L100" t="n">
        <v>0</v>
      </c>
      <c r="M100" t="n">
        <v>0</v>
      </c>
      <c r="N100" t="n">
        <v>0</v>
      </c>
      <c r="O100" t="n">
        <v>0</v>
      </c>
      <c r="P100" t="n">
        <v>0</v>
      </c>
      <c r="Q100" t="n">
        <v>0</v>
      </c>
      <c r="R100" s="2" t="inlineStr"/>
    </row>
    <row r="101" ht="15" customHeight="1">
      <c r="A101" t="inlineStr">
        <is>
          <t>A 65343-2020</t>
        </is>
      </c>
      <c r="B101" s="1" t="n">
        <v>44173.38601851852</v>
      </c>
      <c r="C101" s="1" t="n">
        <v>45922</v>
      </c>
      <c r="D101" t="inlineStr">
        <is>
          <t>NORRBOTTENS LÄN</t>
        </is>
      </c>
      <c r="E101" t="inlineStr">
        <is>
          <t>JOKKMOKK</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45922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45922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45922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45922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45922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45922</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45922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45922</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45922</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45922</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45922</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65542-2020</t>
        </is>
      </c>
      <c r="B113" s="1" t="n">
        <v>44173</v>
      </c>
      <c r="C113" s="1" t="n">
        <v>45922</v>
      </c>
      <c r="D113" t="inlineStr">
        <is>
          <t>NORRBOTTENS LÄN</t>
        </is>
      </c>
      <c r="E113" t="inlineStr">
        <is>
          <t>JOKKMOKK</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45922</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45922</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45922</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45922</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62759-2020</t>
        </is>
      </c>
      <c r="B118" s="1" t="n">
        <v>44161</v>
      </c>
      <c r="C118" s="1" t="n">
        <v>45922</v>
      </c>
      <c r="D118" t="inlineStr">
        <is>
          <t>NORRBOTTENS LÄN</t>
        </is>
      </c>
      <c r="E118" t="inlineStr">
        <is>
          <t>JOKKMOKK</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27781-2022</t>
        </is>
      </c>
      <c r="B119" s="1" t="n">
        <v>44743</v>
      </c>
      <c r="C119" s="1" t="n">
        <v>45922</v>
      </c>
      <c r="D119" t="inlineStr">
        <is>
          <t>NORRBOTTENS LÄN</t>
        </is>
      </c>
      <c r="E119" t="inlineStr">
        <is>
          <t>JOKKMOKK</t>
        </is>
      </c>
      <c r="F119" t="inlineStr">
        <is>
          <t>Sveaskog</t>
        </is>
      </c>
      <c r="G119" t="n">
        <v>0.1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45922</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45922</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65652-2020</t>
        </is>
      </c>
      <c r="B122" s="1" t="n">
        <v>44172</v>
      </c>
      <c r="C122" s="1" t="n">
        <v>45922</v>
      </c>
      <c r="D122" t="inlineStr">
        <is>
          <t>NORRBOTTENS LÄN</t>
        </is>
      </c>
      <c r="E122" t="inlineStr">
        <is>
          <t>JOKKMOKK</t>
        </is>
      </c>
      <c r="G122" t="n">
        <v>6.2</v>
      </c>
      <c r="H122" t="n">
        <v>0</v>
      </c>
      <c r="I122" t="n">
        <v>0</v>
      </c>
      <c r="J122" t="n">
        <v>0</v>
      </c>
      <c r="K122" t="n">
        <v>0</v>
      </c>
      <c r="L122" t="n">
        <v>0</v>
      </c>
      <c r="M122" t="n">
        <v>0</v>
      </c>
      <c r="N122" t="n">
        <v>0</v>
      </c>
      <c r="O122" t="n">
        <v>0</v>
      </c>
      <c r="P122" t="n">
        <v>0</v>
      </c>
      <c r="Q122" t="n">
        <v>0</v>
      </c>
      <c r="R122" s="2" t="inlineStr"/>
    </row>
    <row r="123" ht="15" customHeight="1">
      <c r="A123" t="inlineStr">
        <is>
          <t>A 71370-2021</t>
        </is>
      </c>
      <c r="B123" s="1" t="n">
        <v>44539</v>
      </c>
      <c r="C123" s="1" t="n">
        <v>45922</v>
      </c>
      <c r="D123" t="inlineStr">
        <is>
          <t>NORRBOTTENS LÄN</t>
        </is>
      </c>
      <c r="E123" t="inlineStr">
        <is>
          <t>JOKKMOKK</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45922</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45922</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45922</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45922</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39784-2021</t>
        </is>
      </c>
      <c r="B128" s="1" t="n">
        <v>44417</v>
      </c>
      <c r="C128" s="1" t="n">
        <v>45922</v>
      </c>
      <c r="D128" t="inlineStr">
        <is>
          <t>NORRBOTTENS LÄN</t>
        </is>
      </c>
      <c r="E128" t="inlineStr">
        <is>
          <t>JOKKMOKK</t>
        </is>
      </c>
      <c r="F128" t="inlineStr">
        <is>
          <t>Naturvårdsverket</t>
        </is>
      </c>
      <c r="G128" t="n">
        <v>1.2</v>
      </c>
      <c r="H128" t="n">
        <v>0</v>
      </c>
      <c r="I128" t="n">
        <v>0</v>
      </c>
      <c r="J128" t="n">
        <v>0</v>
      </c>
      <c r="K128" t="n">
        <v>0</v>
      </c>
      <c r="L128" t="n">
        <v>0</v>
      </c>
      <c r="M128" t="n">
        <v>0</v>
      </c>
      <c r="N128" t="n">
        <v>0</v>
      </c>
      <c r="O128" t="n">
        <v>0</v>
      </c>
      <c r="P128" t="n">
        <v>0</v>
      </c>
      <c r="Q128" t="n">
        <v>0</v>
      </c>
      <c r="R128" s="2" t="inlineStr"/>
    </row>
    <row r="129" ht="15" customHeight="1">
      <c r="A129" t="inlineStr">
        <is>
          <t>A 62757-2020</t>
        </is>
      </c>
      <c r="B129" s="1" t="n">
        <v>44161</v>
      </c>
      <c r="C129" s="1" t="n">
        <v>45922</v>
      </c>
      <c r="D129" t="inlineStr">
        <is>
          <t>NORRBOTTENS LÄN</t>
        </is>
      </c>
      <c r="E129" t="inlineStr">
        <is>
          <t>JOKKMOKK</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31208-2023</t>
        </is>
      </c>
      <c r="B130" s="1" t="n">
        <v>45113.95083333334</v>
      </c>
      <c r="C130" s="1" t="n">
        <v>45922</v>
      </c>
      <c r="D130" t="inlineStr">
        <is>
          <t>NORRBOTTENS LÄN</t>
        </is>
      </c>
      <c r="E130" t="inlineStr">
        <is>
          <t>JOKKMOKK</t>
        </is>
      </c>
      <c r="F130" t="inlineStr">
        <is>
          <t>SCA</t>
        </is>
      </c>
      <c r="G130" t="n">
        <v>10.3</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45922</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65648-2020</t>
        </is>
      </c>
      <c r="B132" s="1" t="n">
        <v>44172</v>
      </c>
      <c r="C132" s="1" t="n">
        <v>45922</v>
      </c>
      <c r="D132" t="inlineStr">
        <is>
          <t>NORRBOTTENS LÄN</t>
        </is>
      </c>
      <c r="E132" t="inlineStr">
        <is>
          <t>JOKKMOKK</t>
        </is>
      </c>
      <c r="G132" t="n">
        <v>1.8</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45922</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44145-2024</t>
        </is>
      </c>
      <c r="B134" s="1" t="n">
        <v>45572.66908564815</v>
      </c>
      <c r="C134" s="1" t="n">
        <v>45922</v>
      </c>
      <c r="D134" t="inlineStr">
        <is>
          <t>NORRBOTTENS LÄN</t>
        </is>
      </c>
      <c r="E134" t="inlineStr">
        <is>
          <t>JOKKMOKK</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9874-2023</t>
        </is>
      </c>
      <c r="B135" s="1" t="n">
        <v>44984.94069444444</v>
      </c>
      <c r="C135" s="1" t="n">
        <v>45922</v>
      </c>
      <c r="D135" t="inlineStr">
        <is>
          <t>NORRBOTTENS LÄN</t>
        </is>
      </c>
      <c r="E135" t="inlineStr">
        <is>
          <t>JOKKMOKK</t>
        </is>
      </c>
      <c r="G135" t="n">
        <v>1.7</v>
      </c>
      <c r="H135" t="n">
        <v>0</v>
      </c>
      <c r="I135" t="n">
        <v>0</v>
      </c>
      <c r="J135" t="n">
        <v>0</v>
      </c>
      <c r="K135" t="n">
        <v>0</v>
      </c>
      <c r="L135" t="n">
        <v>0</v>
      </c>
      <c r="M135" t="n">
        <v>0</v>
      </c>
      <c r="N135" t="n">
        <v>0</v>
      </c>
      <c r="O135" t="n">
        <v>0</v>
      </c>
      <c r="P135" t="n">
        <v>0</v>
      </c>
      <c r="Q135" t="n">
        <v>0</v>
      </c>
      <c r="R135" s="2" t="inlineStr"/>
    </row>
    <row r="136" ht="15" customHeight="1">
      <c r="A136" t="inlineStr">
        <is>
          <t>A 9875-2023</t>
        </is>
      </c>
      <c r="B136" s="1" t="n">
        <v>44984.94076388889</v>
      </c>
      <c r="C136" s="1" t="n">
        <v>45922</v>
      </c>
      <c r="D136" t="inlineStr">
        <is>
          <t>NORRBOTTENS LÄN</t>
        </is>
      </c>
      <c r="E136" t="inlineStr">
        <is>
          <t>JOKKMOKK</t>
        </is>
      </c>
      <c r="G136" t="n">
        <v>0.6</v>
      </c>
      <c r="H136" t="n">
        <v>0</v>
      </c>
      <c r="I136" t="n">
        <v>0</v>
      </c>
      <c r="J136" t="n">
        <v>0</v>
      </c>
      <c r="K136" t="n">
        <v>0</v>
      </c>
      <c r="L136" t="n">
        <v>0</v>
      </c>
      <c r="M136" t="n">
        <v>0</v>
      </c>
      <c r="N136" t="n">
        <v>0</v>
      </c>
      <c r="O136" t="n">
        <v>0</v>
      </c>
      <c r="P136" t="n">
        <v>0</v>
      </c>
      <c r="Q136" t="n">
        <v>0</v>
      </c>
      <c r="R136" s="2" t="inlineStr"/>
    </row>
    <row r="137" ht="15" customHeight="1">
      <c r="A137" t="inlineStr">
        <is>
          <t>A 7845-2024</t>
        </is>
      </c>
      <c r="B137" s="1" t="n">
        <v>45349</v>
      </c>
      <c r="C137" s="1" t="n">
        <v>45922</v>
      </c>
      <c r="D137" t="inlineStr">
        <is>
          <t>NORRBOTTENS LÄN</t>
        </is>
      </c>
      <c r="E137" t="inlineStr">
        <is>
          <t>JOKKMOKK</t>
        </is>
      </c>
      <c r="G137" t="n">
        <v>3</v>
      </c>
      <c r="H137" t="n">
        <v>0</v>
      </c>
      <c r="I137" t="n">
        <v>0</v>
      </c>
      <c r="J137" t="n">
        <v>0</v>
      </c>
      <c r="K137" t="n">
        <v>0</v>
      </c>
      <c r="L137" t="n">
        <v>0</v>
      </c>
      <c r="M137" t="n">
        <v>0</v>
      </c>
      <c r="N137" t="n">
        <v>0</v>
      </c>
      <c r="O137" t="n">
        <v>0</v>
      </c>
      <c r="P137" t="n">
        <v>0</v>
      </c>
      <c r="Q137" t="n">
        <v>0</v>
      </c>
      <c r="R137" s="2" t="inlineStr"/>
    </row>
    <row r="138" ht="15" customHeight="1">
      <c r="A138" t="inlineStr">
        <is>
          <t>A 18493-2025</t>
        </is>
      </c>
      <c r="B138" s="1" t="n">
        <v>45763.34474537037</v>
      </c>
      <c r="C138" s="1" t="n">
        <v>45922</v>
      </c>
      <c r="D138" t="inlineStr">
        <is>
          <t>NORRBOTTENS LÄN</t>
        </is>
      </c>
      <c r="E138" t="inlineStr">
        <is>
          <t>JOKKMOKK</t>
        </is>
      </c>
      <c r="F138" t="inlineStr">
        <is>
          <t>SCA</t>
        </is>
      </c>
      <c r="G138" t="n">
        <v>0.8</v>
      </c>
      <c r="H138" t="n">
        <v>0</v>
      </c>
      <c r="I138" t="n">
        <v>0</v>
      </c>
      <c r="J138" t="n">
        <v>0</v>
      </c>
      <c r="K138" t="n">
        <v>0</v>
      </c>
      <c r="L138" t="n">
        <v>0</v>
      </c>
      <c r="M138" t="n">
        <v>0</v>
      </c>
      <c r="N138" t="n">
        <v>0</v>
      </c>
      <c r="O138" t="n">
        <v>0</v>
      </c>
      <c r="P138" t="n">
        <v>0</v>
      </c>
      <c r="Q138" t="n">
        <v>0</v>
      </c>
      <c r="R138" s="2" t="inlineStr"/>
    </row>
    <row r="139" ht="15" customHeight="1">
      <c r="A139" t="inlineStr">
        <is>
          <t>A 32900-2023</t>
        </is>
      </c>
      <c r="B139" s="1" t="n">
        <v>45124</v>
      </c>
      <c r="C139" s="1" t="n">
        <v>45922</v>
      </c>
      <c r="D139" t="inlineStr">
        <is>
          <t>NORRBOTTENS LÄN</t>
        </is>
      </c>
      <c r="E139" t="inlineStr">
        <is>
          <t>JOKKMOKK</t>
        </is>
      </c>
      <c r="F139" t="inlineStr">
        <is>
          <t>SCA</t>
        </is>
      </c>
      <c r="G139" t="n">
        <v>4.4</v>
      </c>
      <c r="H139" t="n">
        <v>0</v>
      </c>
      <c r="I139" t="n">
        <v>0</v>
      </c>
      <c r="J139" t="n">
        <v>0</v>
      </c>
      <c r="K139" t="n">
        <v>0</v>
      </c>
      <c r="L139" t="n">
        <v>0</v>
      </c>
      <c r="M139" t="n">
        <v>0</v>
      </c>
      <c r="N139" t="n">
        <v>0</v>
      </c>
      <c r="O139" t="n">
        <v>0</v>
      </c>
      <c r="P139" t="n">
        <v>0</v>
      </c>
      <c r="Q139" t="n">
        <v>0</v>
      </c>
      <c r="R139" s="2" t="inlineStr"/>
    </row>
    <row r="140" ht="15" customHeight="1">
      <c r="A140" t="inlineStr">
        <is>
          <t>A 18537-2023</t>
        </is>
      </c>
      <c r="B140" s="1" t="n">
        <v>45028</v>
      </c>
      <c r="C140" s="1" t="n">
        <v>45922</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37828-2024</t>
        </is>
      </c>
      <c r="B141" s="1" t="n">
        <v>45544</v>
      </c>
      <c r="C141" s="1" t="n">
        <v>45922</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60164-2023</t>
        </is>
      </c>
      <c r="B142" s="1" t="n">
        <v>45258</v>
      </c>
      <c r="C142" s="1" t="n">
        <v>45922</v>
      </c>
      <c r="D142" t="inlineStr">
        <is>
          <t>NORRBOTTENS LÄN</t>
        </is>
      </c>
      <c r="E142" t="inlineStr">
        <is>
          <t>JOKKMOKK</t>
        </is>
      </c>
      <c r="F142" t="inlineStr">
        <is>
          <t>Allmännings- och besparingsskogar</t>
        </is>
      </c>
      <c r="G142" t="n">
        <v>14.3</v>
      </c>
      <c r="H142" t="n">
        <v>0</v>
      </c>
      <c r="I142" t="n">
        <v>0</v>
      </c>
      <c r="J142" t="n">
        <v>0</v>
      </c>
      <c r="K142" t="n">
        <v>0</v>
      </c>
      <c r="L142" t="n">
        <v>0</v>
      </c>
      <c r="M142" t="n">
        <v>0</v>
      </c>
      <c r="N142" t="n">
        <v>0</v>
      </c>
      <c r="O142" t="n">
        <v>0</v>
      </c>
      <c r="P142" t="n">
        <v>0</v>
      </c>
      <c r="Q142" t="n">
        <v>0</v>
      </c>
      <c r="R142" s="2" t="inlineStr"/>
    </row>
    <row r="143" ht="15" customHeight="1">
      <c r="A143" t="inlineStr">
        <is>
          <t>A 60418-2023</t>
        </is>
      </c>
      <c r="B143" s="1" t="n">
        <v>45259.49666666667</v>
      </c>
      <c r="C143" s="1" t="n">
        <v>45922</v>
      </c>
      <c r="D143" t="inlineStr">
        <is>
          <t>NORRBOTTENS LÄN</t>
        </is>
      </c>
      <c r="E143" t="inlineStr">
        <is>
          <t>JOKKMOKK</t>
        </is>
      </c>
      <c r="F143" t="inlineStr">
        <is>
          <t>Allmännings- och besparingsskogar</t>
        </is>
      </c>
      <c r="G143" t="n">
        <v>12.7</v>
      </c>
      <c r="H143" t="n">
        <v>0</v>
      </c>
      <c r="I143" t="n">
        <v>0</v>
      </c>
      <c r="J143" t="n">
        <v>0</v>
      </c>
      <c r="K143" t="n">
        <v>0</v>
      </c>
      <c r="L143" t="n">
        <v>0</v>
      </c>
      <c r="M143" t="n">
        <v>0</v>
      </c>
      <c r="N143" t="n">
        <v>0</v>
      </c>
      <c r="O143" t="n">
        <v>0</v>
      </c>
      <c r="P143" t="n">
        <v>0</v>
      </c>
      <c r="Q143" t="n">
        <v>0</v>
      </c>
      <c r="R143" s="2" t="inlineStr"/>
    </row>
    <row r="144" ht="15" customHeight="1">
      <c r="A144" t="inlineStr">
        <is>
          <t>A 57183-2020</t>
        </is>
      </c>
      <c r="B144" s="1" t="n">
        <v>44138</v>
      </c>
      <c r="C144" s="1" t="n">
        <v>45922</v>
      </c>
      <c r="D144" t="inlineStr">
        <is>
          <t>NORRBOTTENS LÄN</t>
        </is>
      </c>
      <c r="E144" t="inlineStr">
        <is>
          <t>JOKKMOKK</t>
        </is>
      </c>
      <c r="F144" t="inlineStr">
        <is>
          <t>Övriga Aktiebolag</t>
        </is>
      </c>
      <c r="G144" t="n">
        <v>0.9</v>
      </c>
      <c r="H144" t="n">
        <v>0</v>
      </c>
      <c r="I144" t="n">
        <v>0</v>
      </c>
      <c r="J144" t="n">
        <v>0</v>
      </c>
      <c r="K144" t="n">
        <v>0</v>
      </c>
      <c r="L144" t="n">
        <v>0</v>
      </c>
      <c r="M144" t="n">
        <v>0</v>
      </c>
      <c r="N144" t="n">
        <v>0</v>
      </c>
      <c r="O144" t="n">
        <v>0</v>
      </c>
      <c r="P144" t="n">
        <v>0</v>
      </c>
      <c r="Q144" t="n">
        <v>0</v>
      </c>
      <c r="R144" s="2" t="inlineStr"/>
    </row>
    <row r="145" ht="15" customHeight="1">
      <c r="A145" t="inlineStr">
        <is>
          <t>A 52181-2023</t>
        </is>
      </c>
      <c r="B145" s="1" t="n">
        <v>45224</v>
      </c>
      <c r="C145" s="1" t="n">
        <v>45922</v>
      </c>
      <c r="D145" t="inlineStr">
        <is>
          <t>NORRBOTTENS LÄN</t>
        </is>
      </c>
      <c r="E145" t="inlineStr">
        <is>
          <t>JOKKMOKK</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55635-2024</t>
        </is>
      </c>
      <c r="B146" s="1" t="n">
        <v>45622</v>
      </c>
      <c r="C146" s="1" t="n">
        <v>45922</v>
      </c>
      <c r="D146" t="inlineStr">
        <is>
          <t>NORRBOTTENS LÄN</t>
        </is>
      </c>
      <c r="E146" t="inlineStr">
        <is>
          <t>JOKKMOKK</t>
        </is>
      </c>
      <c r="F146" t="inlineStr">
        <is>
          <t>Allmännings- och besparingsskogar</t>
        </is>
      </c>
      <c r="G146" t="n">
        <v>16</v>
      </c>
      <c r="H146" t="n">
        <v>0</v>
      </c>
      <c r="I146" t="n">
        <v>0</v>
      </c>
      <c r="J146" t="n">
        <v>0</v>
      </c>
      <c r="K146" t="n">
        <v>0</v>
      </c>
      <c r="L146" t="n">
        <v>0</v>
      </c>
      <c r="M146" t="n">
        <v>0</v>
      </c>
      <c r="N146" t="n">
        <v>0</v>
      </c>
      <c r="O146" t="n">
        <v>0</v>
      </c>
      <c r="P146" t="n">
        <v>0</v>
      </c>
      <c r="Q146" t="n">
        <v>0</v>
      </c>
      <c r="R146" s="2" t="inlineStr"/>
    </row>
    <row r="147" ht="15" customHeight="1">
      <c r="A147" t="inlineStr">
        <is>
          <t>A 52130-2024</t>
        </is>
      </c>
      <c r="B147" s="1" t="n">
        <v>45608</v>
      </c>
      <c r="C147" s="1" t="n">
        <v>45922</v>
      </c>
      <c r="D147" t="inlineStr">
        <is>
          <t>NORRBOTTENS LÄN</t>
        </is>
      </c>
      <c r="E147" t="inlineStr">
        <is>
          <t>JOKKMOKK</t>
        </is>
      </c>
      <c r="G147" t="n">
        <v>84</v>
      </c>
      <c r="H147" t="n">
        <v>0</v>
      </c>
      <c r="I147" t="n">
        <v>0</v>
      </c>
      <c r="J147" t="n">
        <v>0</v>
      </c>
      <c r="K147" t="n">
        <v>0</v>
      </c>
      <c r="L147" t="n">
        <v>0</v>
      </c>
      <c r="M147" t="n">
        <v>0</v>
      </c>
      <c r="N147" t="n">
        <v>0</v>
      </c>
      <c r="O147" t="n">
        <v>0</v>
      </c>
      <c r="P147" t="n">
        <v>0</v>
      </c>
      <c r="Q147" t="n">
        <v>0</v>
      </c>
      <c r="R147" s="2" t="inlineStr"/>
    </row>
    <row r="148" ht="15" customHeight="1">
      <c r="A148" t="inlineStr">
        <is>
          <t>A 49953-2024</t>
        </is>
      </c>
      <c r="B148" s="1" t="n">
        <v>45597</v>
      </c>
      <c r="C148" s="1" t="n">
        <v>45922</v>
      </c>
      <c r="D148" t="inlineStr">
        <is>
          <t>NORRBOTTENS LÄN</t>
        </is>
      </c>
      <c r="E148" t="inlineStr">
        <is>
          <t>JOKKMOKK</t>
        </is>
      </c>
      <c r="F148" t="inlineStr">
        <is>
          <t>Allmännings- och besparingsskogar</t>
        </is>
      </c>
      <c r="G148" t="n">
        <v>9.4</v>
      </c>
      <c r="H148" t="n">
        <v>0</v>
      </c>
      <c r="I148" t="n">
        <v>0</v>
      </c>
      <c r="J148" t="n">
        <v>0</v>
      </c>
      <c r="K148" t="n">
        <v>0</v>
      </c>
      <c r="L148" t="n">
        <v>0</v>
      </c>
      <c r="M148" t="n">
        <v>0</v>
      </c>
      <c r="N148" t="n">
        <v>0</v>
      </c>
      <c r="O148" t="n">
        <v>0</v>
      </c>
      <c r="P148" t="n">
        <v>0</v>
      </c>
      <c r="Q148" t="n">
        <v>0</v>
      </c>
      <c r="R148" s="2" t="inlineStr"/>
    </row>
    <row r="149" ht="15" customHeight="1">
      <c r="A149" t="inlineStr">
        <is>
          <t>A 18602-2024</t>
        </is>
      </c>
      <c r="B149" s="1" t="n">
        <v>45425</v>
      </c>
      <c r="C149" s="1" t="n">
        <v>45922</v>
      </c>
      <c r="D149" t="inlineStr">
        <is>
          <t>NORRBOTTENS LÄN</t>
        </is>
      </c>
      <c r="E149" t="inlineStr">
        <is>
          <t>JOKKMOKK</t>
        </is>
      </c>
      <c r="G149" t="n">
        <v>4.6</v>
      </c>
      <c r="H149" t="n">
        <v>0</v>
      </c>
      <c r="I149" t="n">
        <v>0</v>
      </c>
      <c r="J149" t="n">
        <v>0</v>
      </c>
      <c r="K149" t="n">
        <v>0</v>
      </c>
      <c r="L149" t="n">
        <v>0</v>
      </c>
      <c r="M149" t="n">
        <v>0</v>
      </c>
      <c r="N149" t="n">
        <v>0</v>
      </c>
      <c r="O149" t="n">
        <v>0</v>
      </c>
      <c r="P149" t="n">
        <v>0</v>
      </c>
      <c r="Q149" t="n">
        <v>0</v>
      </c>
      <c r="R149" s="2" t="inlineStr"/>
    </row>
    <row r="150" ht="15" customHeight="1">
      <c r="A150" t="inlineStr">
        <is>
          <t>A 27652-2024</t>
        </is>
      </c>
      <c r="B150" s="1" t="n">
        <v>45474.94982638889</v>
      </c>
      <c r="C150" s="1" t="n">
        <v>45922</v>
      </c>
      <c r="D150" t="inlineStr">
        <is>
          <t>NORRBOTTENS LÄN</t>
        </is>
      </c>
      <c r="E150" t="inlineStr">
        <is>
          <t>JOKKMOKK</t>
        </is>
      </c>
      <c r="F150" t="inlineStr">
        <is>
          <t>SCA</t>
        </is>
      </c>
      <c r="G150" t="n">
        <v>5.3</v>
      </c>
      <c r="H150" t="n">
        <v>0</v>
      </c>
      <c r="I150" t="n">
        <v>0</v>
      </c>
      <c r="J150" t="n">
        <v>0</v>
      </c>
      <c r="K150" t="n">
        <v>0</v>
      </c>
      <c r="L150" t="n">
        <v>0</v>
      </c>
      <c r="M150" t="n">
        <v>0</v>
      </c>
      <c r="N150" t="n">
        <v>0</v>
      </c>
      <c r="O150" t="n">
        <v>0</v>
      </c>
      <c r="P150" t="n">
        <v>0</v>
      </c>
      <c r="Q150" t="n">
        <v>0</v>
      </c>
      <c r="R150" s="2" t="inlineStr"/>
    </row>
    <row r="151" ht="15" customHeight="1">
      <c r="A151" t="inlineStr">
        <is>
          <t>A 49562-2024</t>
        </is>
      </c>
      <c r="B151" s="1" t="n">
        <v>45596</v>
      </c>
      <c r="C151" s="1" t="n">
        <v>45922</v>
      </c>
      <c r="D151" t="inlineStr">
        <is>
          <t>NORRBOTTENS LÄN</t>
        </is>
      </c>
      <c r="E151" t="inlineStr">
        <is>
          <t>JOKKMOKK</t>
        </is>
      </c>
      <c r="F151" t="inlineStr">
        <is>
          <t>Allmännings- och besparingsskogar</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6777-2023</t>
        </is>
      </c>
      <c r="B152" s="1" t="n">
        <v>44966</v>
      </c>
      <c r="C152" s="1" t="n">
        <v>45922</v>
      </c>
      <c r="D152" t="inlineStr">
        <is>
          <t>NORRBOTTENS LÄN</t>
        </is>
      </c>
      <c r="E152" t="inlineStr">
        <is>
          <t>JOKKMOKK</t>
        </is>
      </c>
      <c r="G152" t="n">
        <v>2.2</v>
      </c>
      <c r="H152" t="n">
        <v>0</v>
      </c>
      <c r="I152" t="n">
        <v>0</v>
      </c>
      <c r="J152" t="n">
        <v>0</v>
      </c>
      <c r="K152" t="n">
        <v>0</v>
      </c>
      <c r="L152" t="n">
        <v>0</v>
      </c>
      <c r="M152" t="n">
        <v>0</v>
      </c>
      <c r="N152" t="n">
        <v>0</v>
      </c>
      <c r="O152" t="n">
        <v>0</v>
      </c>
      <c r="P152" t="n">
        <v>0</v>
      </c>
      <c r="Q152" t="n">
        <v>0</v>
      </c>
      <c r="R152" s="2" t="inlineStr"/>
    </row>
    <row r="153" ht="15" customHeight="1">
      <c r="A153" t="inlineStr">
        <is>
          <t>A 31534-2024</t>
        </is>
      </c>
      <c r="B153" s="1" t="n">
        <v>45505</v>
      </c>
      <c r="C153" s="1" t="n">
        <v>45922</v>
      </c>
      <c r="D153" t="inlineStr">
        <is>
          <t>NORRBOTTENS LÄN</t>
        </is>
      </c>
      <c r="E153" t="inlineStr">
        <is>
          <t>JOKKMOKK</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45922</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61761-2024</t>
        </is>
      </c>
      <c r="B155" s="1" t="n">
        <v>45649</v>
      </c>
      <c r="C155" s="1" t="n">
        <v>45922</v>
      </c>
      <c r="D155" t="inlineStr">
        <is>
          <t>NORRBOTTENS LÄN</t>
        </is>
      </c>
      <c r="E155" t="inlineStr">
        <is>
          <t>JOKKMOKK</t>
        </is>
      </c>
      <c r="F155" t="inlineStr">
        <is>
          <t>Övriga statliga verk och myndigheter</t>
        </is>
      </c>
      <c r="G155" t="n">
        <v>3.7</v>
      </c>
      <c r="H155" t="n">
        <v>0</v>
      </c>
      <c r="I155" t="n">
        <v>0</v>
      </c>
      <c r="J155" t="n">
        <v>0</v>
      </c>
      <c r="K155" t="n">
        <v>0</v>
      </c>
      <c r="L155" t="n">
        <v>0</v>
      </c>
      <c r="M155" t="n">
        <v>0</v>
      </c>
      <c r="N155" t="n">
        <v>0</v>
      </c>
      <c r="O155" t="n">
        <v>0</v>
      </c>
      <c r="P155" t="n">
        <v>0</v>
      </c>
      <c r="Q155" t="n">
        <v>0</v>
      </c>
      <c r="R155" s="2" t="inlineStr"/>
    </row>
    <row r="156" ht="15" customHeight="1">
      <c r="A156" t="inlineStr">
        <is>
          <t>A 9854-2023</t>
        </is>
      </c>
      <c r="B156" s="1" t="n">
        <v>44984</v>
      </c>
      <c r="C156" s="1" t="n">
        <v>45922</v>
      </c>
      <c r="D156" t="inlineStr">
        <is>
          <t>NORRBOTTENS LÄN</t>
        </is>
      </c>
      <c r="E156" t="inlineStr">
        <is>
          <t>JOKKMOKK</t>
        </is>
      </c>
      <c r="F156" t="inlineStr">
        <is>
          <t>SCA</t>
        </is>
      </c>
      <c r="G156" t="n">
        <v>4.2</v>
      </c>
      <c r="H156" t="n">
        <v>0</v>
      </c>
      <c r="I156" t="n">
        <v>0</v>
      </c>
      <c r="J156" t="n">
        <v>0</v>
      </c>
      <c r="K156" t="n">
        <v>0</v>
      </c>
      <c r="L156" t="n">
        <v>0</v>
      </c>
      <c r="M156" t="n">
        <v>0</v>
      </c>
      <c r="N156" t="n">
        <v>0</v>
      </c>
      <c r="O156" t="n">
        <v>0</v>
      </c>
      <c r="P156" t="n">
        <v>0</v>
      </c>
      <c r="Q156" t="n">
        <v>0</v>
      </c>
      <c r="R156" s="2" t="inlineStr"/>
    </row>
    <row r="157" ht="15" customHeight="1">
      <c r="A157" t="inlineStr">
        <is>
          <t>A 9859-2023</t>
        </is>
      </c>
      <c r="B157" s="1" t="n">
        <v>44984.93940972222</v>
      </c>
      <c r="C157" s="1" t="n">
        <v>45922</v>
      </c>
      <c r="D157" t="inlineStr">
        <is>
          <t>NORRBOTTENS LÄN</t>
        </is>
      </c>
      <c r="E157" t="inlineStr">
        <is>
          <t>JOKKMOKK</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9864-2023</t>
        </is>
      </c>
      <c r="B158" s="1" t="n">
        <v>44984</v>
      </c>
      <c r="C158" s="1" t="n">
        <v>45922</v>
      </c>
      <c r="D158" t="inlineStr">
        <is>
          <t>NORRBOTTENS LÄN</t>
        </is>
      </c>
      <c r="E158" t="inlineStr">
        <is>
          <t>JOKKMOKK</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35675-2024</t>
        </is>
      </c>
      <c r="B159" s="1" t="n">
        <v>45532</v>
      </c>
      <c r="C159" s="1" t="n">
        <v>45922</v>
      </c>
      <c r="D159" t="inlineStr">
        <is>
          <t>NORRBOTTENS LÄN</t>
        </is>
      </c>
      <c r="E159" t="inlineStr">
        <is>
          <t>JOKKMOKK</t>
        </is>
      </c>
      <c r="G159" t="n">
        <v>1.4</v>
      </c>
      <c r="H159" t="n">
        <v>0</v>
      </c>
      <c r="I159" t="n">
        <v>0</v>
      </c>
      <c r="J159" t="n">
        <v>0</v>
      </c>
      <c r="K159" t="n">
        <v>0</v>
      </c>
      <c r="L159" t="n">
        <v>0</v>
      </c>
      <c r="M159" t="n">
        <v>0</v>
      </c>
      <c r="N159" t="n">
        <v>0</v>
      </c>
      <c r="O159" t="n">
        <v>0</v>
      </c>
      <c r="P159" t="n">
        <v>0</v>
      </c>
      <c r="Q159" t="n">
        <v>0</v>
      </c>
      <c r="R159" s="2" t="inlineStr"/>
    </row>
    <row r="160" ht="15" customHeight="1">
      <c r="A160" t="inlineStr">
        <is>
          <t>A 457-2025</t>
        </is>
      </c>
      <c r="B160" s="1" t="n">
        <v>45664</v>
      </c>
      <c r="C160" s="1" t="n">
        <v>45922</v>
      </c>
      <c r="D160" t="inlineStr">
        <is>
          <t>NORRBOTTENS LÄN</t>
        </is>
      </c>
      <c r="E160" t="inlineStr">
        <is>
          <t>JOKKMOKK</t>
        </is>
      </c>
      <c r="F160" t="inlineStr">
        <is>
          <t>Övriga statliga verk och myndigheter</t>
        </is>
      </c>
      <c r="G160" t="n">
        <v>8</v>
      </c>
      <c r="H160" t="n">
        <v>0</v>
      </c>
      <c r="I160" t="n">
        <v>0</v>
      </c>
      <c r="J160" t="n">
        <v>0</v>
      </c>
      <c r="K160" t="n">
        <v>0</v>
      </c>
      <c r="L160" t="n">
        <v>0</v>
      </c>
      <c r="M160" t="n">
        <v>0</v>
      </c>
      <c r="N160" t="n">
        <v>0</v>
      </c>
      <c r="O160" t="n">
        <v>0</v>
      </c>
      <c r="P160" t="n">
        <v>0</v>
      </c>
      <c r="Q160" t="n">
        <v>0</v>
      </c>
      <c r="R160" s="2" t="inlineStr"/>
    </row>
    <row r="161" ht="15" customHeight="1">
      <c r="A161" t="inlineStr">
        <is>
          <t>A 458-2025</t>
        </is>
      </c>
      <c r="B161" s="1" t="n">
        <v>45664</v>
      </c>
      <c r="C161" s="1" t="n">
        <v>45922</v>
      </c>
      <c r="D161" t="inlineStr">
        <is>
          <t>NORRBOTTENS LÄN</t>
        </is>
      </c>
      <c r="E161" t="inlineStr">
        <is>
          <t>JOKKMOKK</t>
        </is>
      </c>
      <c r="F161" t="inlineStr">
        <is>
          <t>Övriga statliga verk och myndigheter</t>
        </is>
      </c>
      <c r="G161" t="n">
        <v>10.3</v>
      </c>
      <c r="H161" t="n">
        <v>0</v>
      </c>
      <c r="I161" t="n">
        <v>0</v>
      </c>
      <c r="J161" t="n">
        <v>0</v>
      </c>
      <c r="K161" t="n">
        <v>0</v>
      </c>
      <c r="L161" t="n">
        <v>0</v>
      </c>
      <c r="M161" t="n">
        <v>0</v>
      </c>
      <c r="N161" t="n">
        <v>0</v>
      </c>
      <c r="O161" t="n">
        <v>0</v>
      </c>
      <c r="P161" t="n">
        <v>0</v>
      </c>
      <c r="Q161" t="n">
        <v>0</v>
      </c>
      <c r="R161" s="2" t="inlineStr"/>
    </row>
    <row r="162" ht="15" customHeight="1">
      <c r="A162" t="inlineStr">
        <is>
          <t>A 3206-2025</t>
        </is>
      </c>
      <c r="B162" s="1" t="n">
        <v>45679</v>
      </c>
      <c r="C162" s="1" t="n">
        <v>45922</v>
      </c>
      <c r="D162" t="inlineStr">
        <is>
          <t>NORRBOTTENS LÄN</t>
        </is>
      </c>
      <c r="E162" t="inlineStr">
        <is>
          <t>JOKKMOKK</t>
        </is>
      </c>
      <c r="F162" t="inlineStr">
        <is>
          <t>SCA</t>
        </is>
      </c>
      <c r="G162" t="n">
        <v>9.1</v>
      </c>
      <c r="H162" t="n">
        <v>0</v>
      </c>
      <c r="I162" t="n">
        <v>0</v>
      </c>
      <c r="J162" t="n">
        <v>0</v>
      </c>
      <c r="K162" t="n">
        <v>0</v>
      </c>
      <c r="L162" t="n">
        <v>0</v>
      </c>
      <c r="M162" t="n">
        <v>0</v>
      </c>
      <c r="N162" t="n">
        <v>0</v>
      </c>
      <c r="O162" t="n">
        <v>0</v>
      </c>
      <c r="P162" t="n">
        <v>0</v>
      </c>
      <c r="Q162" t="n">
        <v>0</v>
      </c>
      <c r="R162" s="2" t="inlineStr"/>
    </row>
    <row r="163" ht="15" customHeight="1">
      <c r="A163" t="inlineStr">
        <is>
          <t>A 53100-2022</t>
        </is>
      </c>
      <c r="B163" s="1" t="n">
        <v>44873</v>
      </c>
      <c r="C163" s="1" t="n">
        <v>45922</v>
      </c>
      <c r="D163" t="inlineStr">
        <is>
          <t>NORRBOTTENS LÄN</t>
        </is>
      </c>
      <c r="E163" t="inlineStr">
        <is>
          <t>JOKKMOKK</t>
        </is>
      </c>
      <c r="F163" t="inlineStr">
        <is>
          <t>Övriga statliga verk och myndigheter</t>
        </is>
      </c>
      <c r="G163" t="n">
        <v>37.1</v>
      </c>
      <c r="H163" t="n">
        <v>0</v>
      </c>
      <c r="I163" t="n">
        <v>0</v>
      </c>
      <c r="J163" t="n">
        <v>0</v>
      </c>
      <c r="K163" t="n">
        <v>0</v>
      </c>
      <c r="L163" t="n">
        <v>0</v>
      </c>
      <c r="M163" t="n">
        <v>0</v>
      </c>
      <c r="N163" t="n">
        <v>0</v>
      </c>
      <c r="O163" t="n">
        <v>0</v>
      </c>
      <c r="P163" t="n">
        <v>0</v>
      </c>
      <c r="Q163" t="n">
        <v>0</v>
      </c>
      <c r="R163" s="2" t="inlineStr"/>
    </row>
    <row r="164" ht="15" customHeight="1">
      <c r="A164" t="inlineStr">
        <is>
          <t>A 5670-2025</t>
        </is>
      </c>
      <c r="B164" s="1" t="n">
        <v>45693</v>
      </c>
      <c r="C164" s="1" t="n">
        <v>45922</v>
      </c>
      <c r="D164" t="inlineStr">
        <is>
          <t>NORRBOTTENS LÄN</t>
        </is>
      </c>
      <c r="E164" t="inlineStr">
        <is>
          <t>JOKKMOKK</t>
        </is>
      </c>
      <c r="G164" t="n">
        <v>2.1</v>
      </c>
      <c r="H164" t="n">
        <v>0</v>
      </c>
      <c r="I164" t="n">
        <v>0</v>
      </c>
      <c r="J164" t="n">
        <v>0</v>
      </c>
      <c r="K164" t="n">
        <v>0</v>
      </c>
      <c r="L164" t="n">
        <v>0</v>
      </c>
      <c r="M164" t="n">
        <v>0</v>
      </c>
      <c r="N164" t="n">
        <v>0</v>
      </c>
      <c r="O164" t="n">
        <v>0</v>
      </c>
      <c r="P164" t="n">
        <v>0</v>
      </c>
      <c r="Q164" t="n">
        <v>0</v>
      </c>
      <c r="R164" s="2" t="inlineStr"/>
    </row>
    <row r="165" ht="15" customHeight="1">
      <c r="A165" t="inlineStr">
        <is>
          <t>A 10630-2025</t>
        </is>
      </c>
      <c r="B165" s="1" t="n">
        <v>45721.63606481482</v>
      </c>
      <c r="C165" s="1" t="n">
        <v>45922</v>
      </c>
      <c r="D165" t="inlineStr">
        <is>
          <t>NORRBOTTENS LÄN</t>
        </is>
      </c>
      <c r="E165" t="inlineStr">
        <is>
          <t>JOKKMOKK</t>
        </is>
      </c>
      <c r="G165" t="n">
        <v>1.7</v>
      </c>
      <c r="H165" t="n">
        <v>0</v>
      </c>
      <c r="I165" t="n">
        <v>0</v>
      </c>
      <c r="J165" t="n">
        <v>0</v>
      </c>
      <c r="K165" t="n">
        <v>0</v>
      </c>
      <c r="L165" t="n">
        <v>0</v>
      </c>
      <c r="M165" t="n">
        <v>0</v>
      </c>
      <c r="N165" t="n">
        <v>0</v>
      </c>
      <c r="O165" t="n">
        <v>0</v>
      </c>
      <c r="P165" t="n">
        <v>0</v>
      </c>
      <c r="Q165" t="n">
        <v>0</v>
      </c>
      <c r="R165" s="2" t="inlineStr"/>
    </row>
    <row r="166" ht="15" customHeight="1">
      <c r="A166" t="inlineStr">
        <is>
          <t>A 50716-2022</t>
        </is>
      </c>
      <c r="B166" s="1" t="n">
        <v>44862</v>
      </c>
      <c r="C166" s="1" t="n">
        <v>45922</v>
      </c>
      <c r="D166" t="inlineStr">
        <is>
          <t>NORRBOTTENS LÄN</t>
        </is>
      </c>
      <c r="E166" t="inlineStr">
        <is>
          <t>JOKKMOKK</t>
        </is>
      </c>
      <c r="G166" t="n">
        <v>30.2</v>
      </c>
      <c r="H166" t="n">
        <v>0</v>
      </c>
      <c r="I166" t="n">
        <v>0</v>
      </c>
      <c r="J166" t="n">
        <v>0</v>
      </c>
      <c r="K166" t="n">
        <v>0</v>
      </c>
      <c r="L166" t="n">
        <v>0</v>
      </c>
      <c r="M166" t="n">
        <v>0</v>
      </c>
      <c r="N166" t="n">
        <v>0</v>
      </c>
      <c r="O166" t="n">
        <v>0</v>
      </c>
      <c r="P166" t="n">
        <v>0</v>
      </c>
      <c r="Q166" t="n">
        <v>0</v>
      </c>
      <c r="R166" s="2" t="inlineStr"/>
    </row>
    <row r="167" ht="15" customHeight="1">
      <c r="A167" t="inlineStr">
        <is>
          <t>A 59849-2023</t>
        </is>
      </c>
      <c r="B167" s="1" t="n">
        <v>45257</v>
      </c>
      <c r="C167" s="1" t="n">
        <v>45922</v>
      </c>
      <c r="D167" t="inlineStr">
        <is>
          <t>NORRBOTTENS LÄN</t>
        </is>
      </c>
      <c r="E167" t="inlineStr">
        <is>
          <t>JOKKMOKK</t>
        </is>
      </c>
      <c r="F167" t="inlineStr">
        <is>
          <t>Allmännings- och besparingsskogar</t>
        </is>
      </c>
      <c r="G167" t="n">
        <v>12.7</v>
      </c>
      <c r="H167" t="n">
        <v>0</v>
      </c>
      <c r="I167" t="n">
        <v>0</v>
      </c>
      <c r="J167" t="n">
        <v>0</v>
      </c>
      <c r="K167" t="n">
        <v>0</v>
      </c>
      <c r="L167" t="n">
        <v>0</v>
      </c>
      <c r="M167" t="n">
        <v>0</v>
      </c>
      <c r="N167" t="n">
        <v>0</v>
      </c>
      <c r="O167" t="n">
        <v>0</v>
      </c>
      <c r="P167" t="n">
        <v>0</v>
      </c>
      <c r="Q167" t="n">
        <v>0</v>
      </c>
      <c r="R167" s="2" t="inlineStr"/>
    </row>
    <row r="168" ht="15" customHeight="1">
      <c r="A168" t="inlineStr">
        <is>
          <t>A 30041-2024</t>
        </is>
      </c>
      <c r="B168" s="1" t="n">
        <v>45488</v>
      </c>
      <c r="C168" s="1" t="n">
        <v>45922</v>
      </c>
      <c r="D168" t="inlineStr">
        <is>
          <t>NORRBOTTENS LÄN</t>
        </is>
      </c>
      <c r="E168" t="inlineStr">
        <is>
          <t>JOKKMOKK</t>
        </is>
      </c>
      <c r="G168" t="n">
        <v>19.9</v>
      </c>
      <c r="H168" t="n">
        <v>0</v>
      </c>
      <c r="I168" t="n">
        <v>0</v>
      </c>
      <c r="J168" t="n">
        <v>0</v>
      </c>
      <c r="K168" t="n">
        <v>0</v>
      </c>
      <c r="L168" t="n">
        <v>0</v>
      </c>
      <c r="M168" t="n">
        <v>0</v>
      </c>
      <c r="N168" t="n">
        <v>0</v>
      </c>
      <c r="O168" t="n">
        <v>0</v>
      </c>
      <c r="P168" t="n">
        <v>0</v>
      </c>
      <c r="Q168" t="n">
        <v>0</v>
      </c>
      <c r="R168" s="2" t="inlineStr"/>
    </row>
    <row r="169" ht="15" customHeight="1">
      <c r="A169" t="inlineStr">
        <is>
          <t>A 4136-2024</t>
        </is>
      </c>
      <c r="B169" s="1" t="n">
        <v>45323</v>
      </c>
      <c r="C169" s="1" t="n">
        <v>45922</v>
      </c>
      <c r="D169" t="inlineStr">
        <is>
          <t>NORRBOTTENS LÄN</t>
        </is>
      </c>
      <c r="E169" t="inlineStr">
        <is>
          <t>JOKKMOKK</t>
        </is>
      </c>
      <c r="G169" t="n">
        <v>27.3</v>
      </c>
      <c r="H169" t="n">
        <v>0</v>
      </c>
      <c r="I169" t="n">
        <v>0</v>
      </c>
      <c r="J169" t="n">
        <v>0</v>
      </c>
      <c r="K169" t="n">
        <v>0</v>
      </c>
      <c r="L169" t="n">
        <v>0</v>
      </c>
      <c r="M169" t="n">
        <v>0</v>
      </c>
      <c r="N169" t="n">
        <v>0</v>
      </c>
      <c r="O169" t="n">
        <v>0</v>
      </c>
      <c r="P169" t="n">
        <v>0</v>
      </c>
      <c r="Q169" t="n">
        <v>0</v>
      </c>
      <c r="R169" s="2" t="inlineStr"/>
    </row>
    <row r="170" ht="15" customHeight="1">
      <c r="A170" t="inlineStr">
        <is>
          <t>A 52855-2024</t>
        </is>
      </c>
      <c r="B170" s="1" t="n">
        <v>45610</v>
      </c>
      <c r="C170" s="1" t="n">
        <v>45922</v>
      </c>
      <c r="D170" t="inlineStr">
        <is>
          <t>NORRBOTTENS LÄN</t>
        </is>
      </c>
      <c r="E170" t="inlineStr">
        <is>
          <t>JOKKMOKK</t>
        </is>
      </c>
      <c r="F170" t="inlineStr">
        <is>
          <t>Allmännings- och besparingsskogar</t>
        </is>
      </c>
      <c r="G170" t="n">
        <v>2.4</v>
      </c>
      <c r="H170" t="n">
        <v>0</v>
      </c>
      <c r="I170" t="n">
        <v>0</v>
      </c>
      <c r="J170" t="n">
        <v>0</v>
      </c>
      <c r="K170" t="n">
        <v>0</v>
      </c>
      <c r="L170" t="n">
        <v>0</v>
      </c>
      <c r="M170" t="n">
        <v>0</v>
      </c>
      <c r="N170" t="n">
        <v>0</v>
      </c>
      <c r="O170" t="n">
        <v>0</v>
      </c>
      <c r="P170" t="n">
        <v>0</v>
      </c>
      <c r="Q170" t="n">
        <v>0</v>
      </c>
      <c r="R170" s="2" t="inlineStr"/>
    </row>
    <row r="171" ht="15" customHeight="1">
      <c r="A171" t="inlineStr">
        <is>
          <t>A 32915-2023</t>
        </is>
      </c>
      <c r="B171" s="1" t="n">
        <v>45124.95214120371</v>
      </c>
      <c r="C171" s="1" t="n">
        <v>45922</v>
      </c>
      <c r="D171" t="inlineStr">
        <is>
          <t>NORRBOTTENS LÄN</t>
        </is>
      </c>
      <c r="E171" t="inlineStr">
        <is>
          <t>JOKKMOKK</t>
        </is>
      </c>
      <c r="F171" t="inlineStr">
        <is>
          <t>SCA</t>
        </is>
      </c>
      <c r="G171" t="n">
        <v>15.1</v>
      </c>
      <c r="H171" t="n">
        <v>0</v>
      </c>
      <c r="I171" t="n">
        <v>0</v>
      </c>
      <c r="J171" t="n">
        <v>0</v>
      </c>
      <c r="K171" t="n">
        <v>0</v>
      </c>
      <c r="L171" t="n">
        <v>0</v>
      </c>
      <c r="M171" t="n">
        <v>0</v>
      </c>
      <c r="N171" t="n">
        <v>0</v>
      </c>
      <c r="O171" t="n">
        <v>0</v>
      </c>
      <c r="P171" t="n">
        <v>0</v>
      </c>
      <c r="Q171" t="n">
        <v>0</v>
      </c>
      <c r="R171" s="2" t="inlineStr"/>
    </row>
    <row r="172" ht="15" customHeight="1">
      <c r="A172" t="inlineStr">
        <is>
          <t>A 31535-2024</t>
        </is>
      </c>
      <c r="B172" s="1" t="n">
        <v>45505</v>
      </c>
      <c r="C172" s="1" t="n">
        <v>45922</v>
      </c>
      <c r="D172" t="inlineStr">
        <is>
          <t>NORRBOTTENS LÄN</t>
        </is>
      </c>
      <c r="E172" t="inlineStr">
        <is>
          <t>JOKKMOKK</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53172-2024</t>
        </is>
      </c>
      <c r="B173" s="1" t="n">
        <v>45611.65689814815</v>
      </c>
      <c r="C173" s="1" t="n">
        <v>45922</v>
      </c>
      <c r="D173" t="inlineStr">
        <is>
          <t>NORRBOTTENS LÄN</t>
        </is>
      </c>
      <c r="E173" t="inlineStr">
        <is>
          <t>JOKKMOKK</t>
        </is>
      </c>
      <c r="F173" t="inlineStr">
        <is>
          <t>Allmännings- och besparingsskogar</t>
        </is>
      </c>
      <c r="G173" t="n">
        <v>6.5</v>
      </c>
      <c r="H173" t="n">
        <v>0</v>
      </c>
      <c r="I173" t="n">
        <v>0</v>
      </c>
      <c r="J173" t="n">
        <v>0</v>
      </c>
      <c r="K173" t="n">
        <v>0</v>
      </c>
      <c r="L173" t="n">
        <v>0</v>
      </c>
      <c r="M173" t="n">
        <v>0</v>
      </c>
      <c r="N173" t="n">
        <v>0</v>
      </c>
      <c r="O173" t="n">
        <v>0</v>
      </c>
      <c r="P173" t="n">
        <v>0</v>
      </c>
      <c r="Q173" t="n">
        <v>0</v>
      </c>
      <c r="R173" s="2" t="inlineStr"/>
    </row>
    <row r="174" ht="15" customHeight="1">
      <c r="A174" t="inlineStr">
        <is>
          <t>A 61640-2024</t>
        </is>
      </c>
      <c r="B174" s="1" t="n">
        <v>45646.68362268519</v>
      </c>
      <c r="C174" s="1" t="n">
        <v>45922</v>
      </c>
      <c r="D174" t="inlineStr">
        <is>
          <t>NORRBOTTENS LÄN</t>
        </is>
      </c>
      <c r="E174" t="inlineStr">
        <is>
          <t>JOKKMOKK</t>
        </is>
      </c>
      <c r="G174" t="n">
        <v>10.6</v>
      </c>
      <c r="H174" t="n">
        <v>0</v>
      </c>
      <c r="I174" t="n">
        <v>0</v>
      </c>
      <c r="J174" t="n">
        <v>0</v>
      </c>
      <c r="K174" t="n">
        <v>0</v>
      </c>
      <c r="L174" t="n">
        <v>0</v>
      </c>
      <c r="M174" t="n">
        <v>0</v>
      </c>
      <c r="N174" t="n">
        <v>0</v>
      </c>
      <c r="O174" t="n">
        <v>0</v>
      </c>
      <c r="P174" t="n">
        <v>0</v>
      </c>
      <c r="Q174" t="n">
        <v>0</v>
      </c>
      <c r="R174" s="2" t="inlineStr"/>
    </row>
    <row r="175" ht="15" customHeight="1">
      <c r="A175" t="inlineStr">
        <is>
          <t>A 61641-2024</t>
        </is>
      </c>
      <c r="B175" s="1" t="n">
        <v>45646</v>
      </c>
      <c r="C175" s="1" t="n">
        <v>45922</v>
      </c>
      <c r="D175" t="inlineStr">
        <is>
          <t>NORRBOTTENS LÄN</t>
        </is>
      </c>
      <c r="E175" t="inlineStr">
        <is>
          <t>JOKKMOKK</t>
        </is>
      </c>
      <c r="G175" t="n">
        <v>3.2</v>
      </c>
      <c r="H175" t="n">
        <v>0</v>
      </c>
      <c r="I175" t="n">
        <v>0</v>
      </c>
      <c r="J175" t="n">
        <v>0</v>
      </c>
      <c r="K175" t="n">
        <v>0</v>
      </c>
      <c r="L175" t="n">
        <v>0</v>
      </c>
      <c r="M175" t="n">
        <v>0</v>
      </c>
      <c r="N175" t="n">
        <v>0</v>
      </c>
      <c r="O175" t="n">
        <v>0</v>
      </c>
      <c r="P175" t="n">
        <v>0</v>
      </c>
      <c r="Q175" t="n">
        <v>0</v>
      </c>
      <c r="R175" s="2" t="inlineStr"/>
    </row>
    <row r="176" ht="15" customHeight="1">
      <c r="A176" t="inlineStr">
        <is>
          <t>A 18772-2023</t>
        </is>
      </c>
      <c r="B176" s="1" t="n">
        <v>45043</v>
      </c>
      <c r="C176" s="1" t="n">
        <v>45922</v>
      </c>
      <c r="D176" t="inlineStr">
        <is>
          <t>NORRBOTTENS LÄN</t>
        </is>
      </c>
      <c r="E176" t="inlineStr">
        <is>
          <t>JOKKMOKK</t>
        </is>
      </c>
      <c r="F176" t="inlineStr">
        <is>
          <t>SCA</t>
        </is>
      </c>
      <c r="G176" t="n">
        <v>11.9</v>
      </c>
      <c r="H176" t="n">
        <v>0</v>
      </c>
      <c r="I176" t="n">
        <v>0</v>
      </c>
      <c r="J176" t="n">
        <v>0</v>
      </c>
      <c r="K176" t="n">
        <v>0</v>
      </c>
      <c r="L176" t="n">
        <v>0</v>
      </c>
      <c r="M176" t="n">
        <v>0</v>
      </c>
      <c r="N176" t="n">
        <v>0</v>
      </c>
      <c r="O176" t="n">
        <v>0</v>
      </c>
      <c r="P176" t="n">
        <v>0</v>
      </c>
      <c r="Q176" t="n">
        <v>0</v>
      </c>
      <c r="R176" s="2" t="inlineStr"/>
    </row>
    <row r="177" ht="15" customHeight="1">
      <c r="A177" t="inlineStr">
        <is>
          <t>A 32915-2024</t>
        </is>
      </c>
      <c r="B177" s="1" t="n">
        <v>45516</v>
      </c>
      <c r="C177" s="1" t="n">
        <v>45922</v>
      </c>
      <c r="D177" t="inlineStr">
        <is>
          <t>NORRBOTTENS LÄN</t>
        </is>
      </c>
      <c r="E177" t="inlineStr">
        <is>
          <t>JOKKMOKK</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42481-2024</t>
        </is>
      </c>
      <c r="B178" s="1" t="n">
        <v>45565.49210648148</v>
      </c>
      <c r="C178" s="1" t="n">
        <v>45922</v>
      </c>
      <c r="D178" t="inlineStr">
        <is>
          <t>NORRBOTTENS LÄN</t>
        </is>
      </c>
      <c r="E178" t="inlineStr">
        <is>
          <t>JOKKMOKK</t>
        </is>
      </c>
      <c r="F178" t="inlineStr">
        <is>
          <t>SCA</t>
        </is>
      </c>
      <c r="G178" t="n">
        <v>25.2</v>
      </c>
      <c r="H178" t="n">
        <v>0</v>
      </c>
      <c r="I178" t="n">
        <v>0</v>
      </c>
      <c r="J178" t="n">
        <v>0</v>
      </c>
      <c r="K178" t="n">
        <v>0</v>
      </c>
      <c r="L178" t="n">
        <v>0</v>
      </c>
      <c r="M178" t="n">
        <v>0</v>
      </c>
      <c r="N178" t="n">
        <v>0</v>
      </c>
      <c r="O178" t="n">
        <v>0</v>
      </c>
      <c r="P178" t="n">
        <v>0</v>
      </c>
      <c r="Q178" t="n">
        <v>0</v>
      </c>
      <c r="R178" s="2" t="inlineStr"/>
    </row>
    <row r="179" ht="15" customHeight="1">
      <c r="A179" t="inlineStr">
        <is>
          <t>A 27685-2025</t>
        </is>
      </c>
      <c r="B179" s="1" t="n">
        <v>45813.65023148148</v>
      </c>
      <c r="C179" s="1" t="n">
        <v>45922</v>
      </c>
      <c r="D179" t="inlineStr">
        <is>
          <t>NORRBOTTENS LÄN</t>
        </is>
      </c>
      <c r="E179" t="inlineStr">
        <is>
          <t>JOKKMOKK</t>
        </is>
      </c>
      <c r="G179" t="n">
        <v>2</v>
      </c>
      <c r="H179" t="n">
        <v>0</v>
      </c>
      <c r="I179" t="n">
        <v>0</v>
      </c>
      <c r="J179" t="n">
        <v>0</v>
      </c>
      <c r="K179" t="n">
        <v>0</v>
      </c>
      <c r="L179" t="n">
        <v>0</v>
      </c>
      <c r="M179" t="n">
        <v>0</v>
      </c>
      <c r="N179" t="n">
        <v>0</v>
      </c>
      <c r="O179" t="n">
        <v>0</v>
      </c>
      <c r="P179" t="n">
        <v>0</v>
      </c>
      <c r="Q179" t="n">
        <v>0</v>
      </c>
      <c r="R179" s="2" t="inlineStr"/>
    </row>
    <row r="180" ht="15" customHeight="1">
      <c r="A180" t="inlineStr">
        <is>
          <t>A 32957-2024</t>
        </is>
      </c>
      <c r="B180" s="1" t="n">
        <v>45517.3762037037</v>
      </c>
      <c r="C180" s="1" t="n">
        <v>45922</v>
      </c>
      <c r="D180" t="inlineStr">
        <is>
          <t>NORRBOTTENS LÄN</t>
        </is>
      </c>
      <c r="E180" t="inlineStr">
        <is>
          <t>JOKKMOKK</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2037-2025</t>
        </is>
      </c>
      <c r="B181" s="1" t="n">
        <v>45671</v>
      </c>
      <c r="C181" s="1" t="n">
        <v>45922</v>
      </c>
      <c r="D181" t="inlineStr">
        <is>
          <t>NORRBOTTENS LÄN</t>
        </is>
      </c>
      <c r="E181" t="inlineStr">
        <is>
          <t>JOKKMOKK</t>
        </is>
      </c>
      <c r="G181" t="n">
        <v>5.4</v>
      </c>
      <c r="H181" t="n">
        <v>0</v>
      </c>
      <c r="I181" t="n">
        <v>0</v>
      </c>
      <c r="J181" t="n">
        <v>0</v>
      </c>
      <c r="K181" t="n">
        <v>0</v>
      </c>
      <c r="L181" t="n">
        <v>0</v>
      </c>
      <c r="M181" t="n">
        <v>0</v>
      </c>
      <c r="N181" t="n">
        <v>0</v>
      </c>
      <c r="O181" t="n">
        <v>0</v>
      </c>
      <c r="P181" t="n">
        <v>0</v>
      </c>
      <c r="Q181" t="n">
        <v>0</v>
      </c>
      <c r="R181" s="2" t="inlineStr"/>
    </row>
    <row r="182" ht="15" customHeight="1">
      <c r="A182" t="inlineStr">
        <is>
          <t>A 53232-2024</t>
        </is>
      </c>
      <c r="B182" s="1" t="n">
        <v>45613.67967592592</v>
      </c>
      <c r="C182" s="1" t="n">
        <v>45922</v>
      </c>
      <c r="D182" t="inlineStr">
        <is>
          <t>NORRBOTTENS LÄN</t>
        </is>
      </c>
      <c r="E182" t="inlineStr">
        <is>
          <t>JOKKMOKK</t>
        </is>
      </c>
      <c r="G182" t="n">
        <v>1.9</v>
      </c>
      <c r="H182" t="n">
        <v>0</v>
      </c>
      <c r="I182" t="n">
        <v>0</v>
      </c>
      <c r="J182" t="n">
        <v>0</v>
      </c>
      <c r="K182" t="n">
        <v>0</v>
      </c>
      <c r="L182" t="n">
        <v>0</v>
      </c>
      <c r="M182" t="n">
        <v>0</v>
      </c>
      <c r="N182" t="n">
        <v>0</v>
      </c>
      <c r="O182" t="n">
        <v>0</v>
      </c>
      <c r="P182" t="n">
        <v>0</v>
      </c>
      <c r="Q182" t="n">
        <v>0</v>
      </c>
      <c r="R182" s="2" t="inlineStr"/>
    </row>
    <row r="183" ht="15" customHeight="1">
      <c r="A183" t="inlineStr">
        <is>
          <t>A 33323-2024</t>
        </is>
      </c>
      <c r="B183" s="1" t="n">
        <v>45518.97305555556</v>
      </c>
      <c r="C183" s="1" t="n">
        <v>45922</v>
      </c>
      <c r="D183" t="inlineStr">
        <is>
          <t>NORRBOTTENS LÄN</t>
        </is>
      </c>
      <c r="E183" t="inlineStr">
        <is>
          <t>JOKKMOKK</t>
        </is>
      </c>
      <c r="F183" t="inlineStr">
        <is>
          <t>SCA</t>
        </is>
      </c>
      <c r="G183" t="n">
        <v>16.7</v>
      </c>
      <c r="H183" t="n">
        <v>0</v>
      </c>
      <c r="I183" t="n">
        <v>0</v>
      </c>
      <c r="J183" t="n">
        <v>0</v>
      </c>
      <c r="K183" t="n">
        <v>0</v>
      </c>
      <c r="L183" t="n">
        <v>0</v>
      </c>
      <c r="M183" t="n">
        <v>0</v>
      </c>
      <c r="N183" t="n">
        <v>0</v>
      </c>
      <c r="O183" t="n">
        <v>0</v>
      </c>
      <c r="P183" t="n">
        <v>0</v>
      </c>
      <c r="Q183" t="n">
        <v>0</v>
      </c>
      <c r="R183" s="2" t="inlineStr"/>
    </row>
    <row r="184" ht="15" customHeight="1">
      <c r="A184" t="inlineStr">
        <is>
          <t>A 32899-2023</t>
        </is>
      </c>
      <c r="B184" s="1" t="n">
        <v>45124</v>
      </c>
      <c r="C184" s="1" t="n">
        <v>45922</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33014-2023</t>
        </is>
      </c>
      <c r="B185" s="1" t="n">
        <v>45113</v>
      </c>
      <c r="C185" s="1" t="n">
        <v>45922</v>
      </c>
      <c r="D185" t="inlineStr">
        <is>
          <t>NORRBOTTENS LÄN</t>
        </is>
      </c>
      <c r="E185" t="inlineStr">
        <is>
          <t>JOKKMOKK</t>
        </is>
      </c>
      <c r="F185" t="inlineStr">
        <is>
          <t>Övriga statliga verk och myndigheter</t>
        </is>
      </c>
      <c r="G185" t="n">
        <v>7.2</v>
      </c>
      <c r="H185" t="n">
        <v>0</v>
      </c>
      <c r="I185" t="n">
        <v>0</v>
      </c>
      <c r="J185" t="n">
        <v>0</v>
      </c>
      <c r="K185" t="n">
        <v>0</v>
      </c>
      <c r="L185" t="n">
        <v>0</v>
      </c>
      <c r="M185" t="n">
        <v>0</v>
      </c>
      <c r="N185" t="n">
        <v>0</v>
      </c>
      <c r="O185" t="n">
        <v>0</v>
      </c>
      <c r="P185" t="n">
        <v>0</v>
      </c>
      <c r="Q185" t="n">
        <v>0</v>
      </c>
      <c r="R185" s="2" t="inlineStr"/>
    </row>
    <row r="186" ht="15" customHeight="1">
      <c r="A186" t="inlineStr">
        <is>
          <t>A 52901-2023</t>
        </is>
      </c>
      <c r="B186" s="1" t="n">
        <v>45222</v>
      </c>
      <c r="C186" s="1" t="n">
        <v>45922</v>
      </c>
      <c r="D186" t="inlineStr">
        <is>
          <t>NORRBOTTENS LÄN</t>
        </is>
      </c>
      <c r="E186" t="inlineStr">
        <is>
          <t>JOKKMOKK</t>
        </is>
      </c>
      <c r="G186" t="n">
        <v>16.6</v>
      </c>
      <c r="H186" t="n">
        <v>0</v>
      </c>
      <c r="I186" t="n">
        <v>0</v>
      </c>
      <c r="J186" t="n">
        <v>0</v>
      </c>
      <c r="K186" t="n">
        <v>0</v>
      </c>
      <c r="L186" t="n">
        <v>0</v>
      </c>
      <c r="M186" t="n">
        <v>0</v>
      </c>
      <c r="N186" t="n">
        <v>0</v>
      </c>
      <c r="O186" t="n">
        <v>0</v>
      </c>
      <c r="P186" t="n">
        <v>0</v>
      </c>
      <c r="Q186" t="n">
        <v>0</v>
      </c>
      <c r="R186" s="2" t="inlineStr"/>
    </row>
    <row r="187" ht="15" customHeight="1">
      <c r="A187" t="inlineStr">
        <is>
          <t>A 52280-2021</t>
        </is>
      </c>
      <c r="B187" s="1" t="n">
        <v>44462</v>
      </c>
      <c r="C187" s="1" t="n">
        <v>45922</v>
      </c>
      <c r="D187" t="inlineStr">
        <is>
          <t>NORRBOTTENS LÄN</t>
        </is>
      </c>
      <c r="E187" t="inlineStr">
        <is>
          <t>JOKKMOKK</t>
        </is>
      </c>
      <c r="F187" t="inlineStr">
        <is>
          <t>Övriga statliga verk och myndigheter</t>
        </is>
      </c>
      <c r="G187" t="n">
        <v>25.9</v>
      </c>
      <c r="H187" t="n">
        <v>0</v>
      </c>
      <c r="I187" t="n">
        <v>0</v>
      </c>
      <c r="J187" t="n">
        <v>0</v>
      </c>
      <c r="K187" t="n">
        <v>0</v>
      </c>
      <c r="L187" t="n">
        <v>0</v>
      </c>
      <c r="M187" t="n">
        <v>0</v>
      </c>
      <c r="N187" t="n">
        <v>0</v>
      </c>
      <c r="O187" t="n">
        <v>0</v>
      </c>
      <c r="P187" t="n">
        <v>0</v>
      </c>
      <c r="Q187" t="n">
        <v>0</v>
      </c>
      <c r="R187" s="2" t="inlineStr"/>
    </row>
    <row r="188" ht="15" customHeight="1">
      <c r="A188" t="inlineStr">
        <is>
          <t>A 56168-2022</t>
        </is>
      </c>
      <c r="B188" s="1" t="n">
        <v>44889</v>
      </c>
      <c r="C188" s="1" t="n">
        <v>45922</v>
      </c>
      <c r="D188" t="inlineStr">
        <is>
          <t>NORRBOTTENS LÄN</t>
        </is>
      </c>
      <c r="E188" t="inlineStr">
        <is>
          <t>JOKKMOKK</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2040-2025</t>
        </is>
      </c>
      <c r="B189" s="1" t="n">
        <v>45671</v>
      </c>
      <c r="C189" s="1" t="n">
        <v>45922</v>
      </c>
      <c r="D189" t="inlineStr">
        <is>
          <t>NORRBOTTENS LÄN</t>
        </is>
      </c>
      <c r="E189" t="inlineStr">
        <is>
          <t>JOKKMOKK</t>
        </is>
      </c>
      <c r="G189" t="n">
        <v>5.1</v>
      </c>
      <c r="H189" t="n">
        <v>0</v>
      </c>
      <c r="I189" t="n">
        <v>0</v>
      </c>
      <c r="J189" t="n">
        <v>0</v>
      </c>
      <c r="K189" t="n">
        <v>0</v>
      </c>
      <c r="L189" t="n">
        <v>0</v>
      </c>
      <c r="M189" t="n">
        <v>0</v>
      </c>
      <c r="N189" t="n">
        <v>0</v>
      </c>
      <c r="O189" t="n">
        <v>0</v>
      </c>
      <c r="P189" t="n">
        <v>0</v>
      </c>
      <c r="Q189" t="n">
        <v>0</v>
      </c>
      <c r="R189" s="2" t="inlineStr"/>
    </row>
    <row r="190" ht="15" customHeight="1">
      <c r="A190" t="inlineStr">
        <is>
          <t>A 40432-2024</t>
        </is>
      </c>
      <c r="B190" s="1" t="n">
        <v>45555.47401620371</v>
      </c>
      <c r="C190" s="1" t="n">
        <v>45922</v>
      </c>
      <c r="D190" t="inlineStr">
        <is>
          <t>NORRBOTTENS LÄN</t>
        </is>
      </c>
      <c r="E190" t="inlineStr">
        <is>
          <t>JOKKMOKK</t>
        </is>
      </c>
      <c r="G190" t="n">
        <v>0.5</v>
      </c>
      <c r="H190" t="n">
        <v>0</v>
      </c>
      <c r="I190" t="n">
        <v>0</v>
      </c>
      <c r="J190" t="n">
        <v>0</v>
      </c>
      <c r="K190" t="n">
        <v>0</v>
      </c>
      <c r="L190" t="n">
        <v>0</v>
      </c>
      <c r="M190" t="n">
        <v>0</v>
      </c>
      <c r="N190" t="n">
        <v>0</v>
      </c>
      <c r="O190" t="n">
        <v>0</v>
      </c>
      <c r="P190" t="n">
        <v>0</v>
      </c>
      <c r="Q190" t="n">
        <v>0</v>
      </c>
      <c r="R190" s="2" t="inlineStr"/>
    </row>
    <row r="191" ht="15" customHeight="1">
      <c r="A191" t="inlineStr">
        <is>
          <t>A 44151-2024</t>
        </is>
      </c>
      <c r="B191" s="1" t="n">
        <v>45572.67773148148</v>
      </c>
      <c r="C191" s="1" t="n">
        <v>45922</v>
      </c>
      <c r="D191" t="inlineStr">
        <is>
          <t>NORRBOTTENS LÄN</t>
        </is>
      </c>
      <c r="E191" t="inlineStr">
        <is>
          <t>JOKKMOKK</t>
        </is>
      </c>
      <c r="F191" t="inlineStr">
        <is>
          <t>Sveaskog</t>
        </is>
      </c>
      <c r="G191" t="n">
        <v>9.4</v>
      </c>
      <c r="H191" t="n">
        <v>0</v>
      </c>
      <c r="I191" t="n">
        <v>0</v>
      </c>
      <c r="J191" t="n">
        <v>0</v>
      </c>
      <c r="K191" t="n">
        <v>0</v>
      </c>
      <c r="L191" t="n">
        <v>0</v>
      </c>
      <c r="M191" t="n">
        <v>0</v>
      </c>
      <c r="N191" t="n">
        <v>0</v>
      </c>
      <c r="O191" t="n">
        <v>0</v>
      </c>
      <c r="P191" t="n">
        <v>0</v>
      </c>
      <c r="Q191" t="n">
        <v>0</v>
      </c>
      <c r="R191" s="2" t="inlineStr"/>
    </row>
    <row r="192" ht="15" customHeight="1">
      <c r="A192" t="inlineStr">
        <is>
          <t>A 49474-2024</t>
        </is>
      </c>
      <c r="B192" s="1" t="n">
        <v>45596.34523148148</v>
      </c>
      <c r="C192" s="1" t="n">
        <v>45922</v>
      </c>
      <c r="D192" t="inlineStr">
        <is>
          <t>NORRBOTTENS LÄN</t>
        </is>
      </c>
      <c r="E192" t="inlineStr">
        <is>
          <t>JOKKMOKK</t>
        </is>
      </c>
      <c r="F192" t="inlineStr">
        <is>
          <t>SCA</t>
        </is>
      </c>
      <c r="G192" t="n">
        <v>5.2</v>
      </c>
      <c r="H192" t="n">
        <v>0</v>
      </c>
      <c r="I192" t="n">
        <v>0</v>
      </c>
      <c r="J192" t="n">
        <v>0</v>
      </c>
      <c r="K192" t="n">
        <v>0</v>
      </c>
      <c r="L192" t="n">
        <v>0</v>
      </c>
      <c r="M192" t="n">
        <v>0</v>
      </c>
      <c r="N192" t="n">
        <v>0</v>
      </c>
      <c r="O192" t="n">
        <v>0</v>
      </c>
      <c r="P192" t="n">
        <v>0</v>
      </c>
      <c r="Q192" t="n">
        <v>0</v>
      </c>
      <c r="R192" s="2" t="inlineStr"/>
    </row>
    <row r="193" ht="15" customHeight="1">
      <c r="A193" t="inlineStr">
        <is>
          <t>A 45512-2022</t>
        </is>
      </c>
      <c r="B193" s="1" t="n">
        <v>44841</v>
      </c>
      <c r="C193" s="1" t="n">
        <v>45922</v>
      </c>
      <c r="D193" t="inlineStr">
        <is>
          <t>NORRBOTTENS LÄN</t>
        </is>
      </c>
      <c r="E193" t="inlineStr">
        <is>
          <t>JOKKMOKK</t>
        </is>
      </c>
      <c r="F193" t="inlineStr">
        <is>
          <t>Övriga Aktiebolag</t>
        </is>
      </c>
      <c r="G193" t="n">
        <v>0.6</v>
      </c>
      <c r="H193" t="n">
        <v>0</v>
      </c>
      <c r="I193" t="n">
        <v>0</v>
      </c>
      <c r="J193" t="n">
        <v>0</v>
      </c>
      <c r="K193" t="n">
        <v>0</v>
      </c>
      <c r="L193" t="n">
        <v>0</v>
      </c>
      <c r="M193" t="n">
        <v>0</v>
      </c>
      <c r="N193" t="n">
        <v>0</v>
      </c>
      <c r="O193" t="n">
        <v>0</v>
      </c>
      <c r="P193" t="n">
        <v>0</v>
      </c>
      <c r="Q193" t="n">
        <v>0</v>
      </c>
      <c r="R193" s="2" t="inlineStr"/>
    </row>
    <row r="194" ht="15" customHeight="1">
      <c r="A194" t="inlineStr">
        <is>
          <t>A 40771-2023</t>
        </is>
      </c>
      <c r="B194" s="1" t="n">
        <v>45170.95657407407</v>
      </c>
      <c r="C194" s="1" t="n">
        <v>45922</v>
      </c>
      <c r="D194" t="inlineStr">
        <is>
          <t>NORRBOTTENS LÄN</t>
        </is>
      </c>
      <c r="E194" t="inlineStr">
        <is>
          <t>JOKKMOKK</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6778-2023</t>
        </is>
      </c>
      <c r="B195" s="1" t="n">
        <v>44966</v>
      </c>
      <c r="C195" s="1" t="n">
        <v>45922</v>
      </c>
      <c r="D195" t="inlineStr">
        <is>
          <t>NORRBOTTENS LÄN</t>
        </is>
      </c>
      <c r="E195" t="inlineStr">
        <is>
          <t>JOKKMOKK</t>
        </is>
      </c>
      <c r="F195" t="inlineStr">
        <is>
          <t>SCA</t>
        </is>
      </c>
      <c r="G195" t="n">
        <v>5</v>
      </c>
      <c r="H195" t="n">
        <v>0</v>
      </c>
      <c r="I195" t="n">
        <v>0</v>
      </c>
      <c r="J195" t="n">
        <v>0</v>
      </c>
      <c r="K195" t="n">
        <v>0</v>
      </c>
      <c r="L195" t="n">
        <v>0</v>
      </c>
      <c r="M195" t="n">
        <v>0</v>
      </c>
      <c r="N195" t="n">
        <v>0</v>
      </c>
      <c r="O195" t="n">
        <v>0</v>
      </c>
      <c r="P195" t="n">
        <v>0</v>
      </c>
      <c r="Q195" t="n">
        <v>0</v>
      </c>
      <c r="R195" s="2" t="inlineStr"/>
    </row>
    <row r="196" ht="15" customHeight="1">
      <c r="A196" t="inlineStr">
        <is>
          <t>A 36607-2021</t>
        </is>
      </c>
      <c r="B196" s="1" t="n">
        <v>44391</v>
      </c>
      <c r="C196" s="1" t="n">
        <v>45922</v>
      </c>
      <c r="D196" t="inlineStr">
        <is>
          <t>NORRBOTTENS LÄN</t>
        </is>
      </c>
      <c r="E196" t="inlineStr">
        <is>
          <t>JOKKMOKK</t>
        </is>
      </c>
      <c r="F196" t="inlineStr">
        <is>
          <t>Allmännings- och besparingsskogar</t>
        </is>
      </c>
      <c r="G196" t="n">
        <v>9.5</v>
      </c>
      <c r="H196" t="n">
        <v>0</v>
      </c>
      <c r="I196" t="n">
        <v>0</v>
      </c>
      <c r="J196" t="n">
        <v>0</v>
      </c>
      <c r="K196" t="n">
        <v>0</v>
      </c>
      <c r="L196" t="n">
        <v>0</v>
      </c>
      <c r="M196" t="n">
        <v>0</v>
      </c>
      <c r="N196" t="n">
        <v>0</v>
      </c>
      <c r="O196" t="n">
        <v>0</v>
      </c>
      <c r="P196" t="n">
        <v>0</v>
      </c>
      <c r="Q196" t="n">
        <v>0</v>
      </c>
      <c r="R196" s="2" t="inlineStr"/>
    </row>
    <row r="197" ht="15" customHeight="1">
      <c r="A197" t="inlineStr">
        <is>
          <t>A 50820-2024</t>
        </is>
      </c>
      <c r="B197" s="1" t="n">
        <v>45602</v>
      </c>
      <c r="C197" s="1" t="n">
        <v>45922</v>
      </c>
      <c r="D197" t="inlineStr">
        <is>
          <t>NORRBOTTENS LÄN</t>
        </is>
      </c>
      <c r="E197" t="inlineStr">
        <is>
          <t>JOKKMOKK</t>
        </is>
      </c>
      <c r="F197" t="inlineStr">
        <is>
          <t>Allmännings- och besparingsskogar</t>
        </is>
      </c>
      <c r="G197" t="n">
        <v>4</v>
      </c>
      <c r="H197" t="n">
        <v>0</v>
      </c>
      <c r="I197" t="n">
        <v>0</v>
      </c>
      <c r="J197" t="n">
        <v>0</v>
      </c>
      <c r="K197" t="n">
        <v>0</v>
      </c>
      <c r="L197" t="n">
        <v>0</v>
      </c>
      <c r="M197" t="n">
        <v>0</v>
      </c>
      <c r="N197" t="n">
        <v>0</v>
      </c>
      <c r="O197" t="n">
        <v>0</v>
      </c>
      <c r="P197" t="n">
        <v>0</v>
      </c>
      <c r="Q197" t="n">
        <v>0</v>
      </c>
      <c r="R197" s="2" t="inlineStr"/>
    </row>
    <row r="198" ht="15" customHeight="1">
      <c r="A198" t="inlineStr">
        <is>
          <t>A 50568-2022</t>
        </is>
      </c>
      <c r="B198" s="1" t="n">
        <v>44866</v>
      </c>
      <c r="C198" s="1" t="n">
        <v>45922</v>
      </c>
      <c r="D198" t="inlineStr">
        <is>
          <t>NORRBOTTENS LÄN</t>
        </is>
      </c>
      <c r="E198" t="inlineStr">
        <is>
          <t>JOKKMOKK</t>
        </is>
      </c>
      <c r="F198" t="inlineStr">
        <is>
          <t>Sveaskog</t>
        </is>
      </c>
      <c r="G198" t="n">
        <v>6.2</v>
      </c>
      <c r="H198" t="n">
        <v>0</v>
      </c>
      <c r="I198" t="n">
        <v>0</v>
      </c>
      <c r="J198" t="n">
        <v>0</v>
      </c>
      <c r="K198" t="n">
        <v>0</v>
      </c>
      <c r="L198" t="n">
        <v>0</v>
      </c>
      <c r="M198" t="n">
        <v>0</v>
      </c>
      <c r="N198" t="n">
        <v>0</v>
      </c>
      <c r="O198" t="n">
        <v>0</v>
      </c>
      <c r="P198" t="n">
        <v>0</v>
      </c>
      <c r="Q198" t="n">
        <v>0</v>
      </c>
      <c r="R198" s="2" t="inlineStr"/>
    </row>
    <row r="199" ht="15" customHeight="1">
      <c r="A199" t="inlineStr">
        <is>
          <t>A 27653-2024</t>
        </is>
      </c>
      <c r="B199" s="1" t="n">
        <v>45474.95037037037</v>
      </c>
      <c r="C199" s="1" t="n">
        <v>45922</v>
      </c>
      <c r="D199" t="inlineStr">
        <is>
          <t>NORRBOTTENS LÄN</t>
        </is>
      </c>
      <c r="E199" t="inlineStr">
        <is>
          <t>JOKKMOKK</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27654-2024</t>
        </is>
      </c>
      <c r="B200" s="1" t="n">
        <v>45474</v>
      </c>
      <c r="C200" s="1" t="n">
        <v>45922</v>
      </c>
      <c r="D200" t="inlineStr">
        <is>
          <t>NORRBOTTENS LÄN</t>
        </is>
      </c>
      <c r="E200" t="inlineStr">
        <is>
          <t>JOKKMOKK</t>
        </is>
      </c>
      <c r="F200" t="inlineStr">
        <is>
          <t>SCA</t>
        </is>
      </c>
      <c r="G200" t="n">
        <v>2.7</v>
      </c>
      <c r="H200" t="n">
        <v>0</v>
      </c>
      <c r="I200" t="n">
        <v>0</v>
      </c>
      <c r="J200" t="n">
        <v>0</v>
      </c>
      <c r="K200" t="n">
        <v>0</v>
      </c>
      <c r="L200" t="n">
        <v>0</v>
      </c>
      <c r="M200" t="n">
        <v>0</v>
      </c>
      <c r="N200" t="n">
        <v>0</v>
      </c>
      <c r="O200" t="n">
        <v>0</v>
      </c>
      <c r="P200" t="n">
        <v>0</v>
      </c>
      <c r="Q200" t="n">
        <v>0</v>
      </c>
      <c r="R200" s="2" t="inlineStr"/>
    </row>
    <row r="201" ht="15" customHeight="1">
      <c r="A201" t="inlineStr">
        <is>
          <t>A 27656-2024</t>
        </is>
      </c>
      <c r="B201" s="1" t="n">
        <v>45474</v>
      </c>
      <c r="C201" s="1" t="n">
        <v>45922</v>
      </c>
      <c r="D201" t="inlineStr">
        <is>
          <t>NORRBOTTENS LÄN</t>
        </is>
      </c>
      <c r="E201" t="inlineStr">
        <is>
          <t>JOKKMOKK</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48210-2024</t>
        </is>
      </c>
      <c r="B202" s="1" t="n">
        <v>45590</v>
      </c>
      <c r="C202" s="1" t="n">
        <v>45922</v>
      </c>
      <c r="D202" t="inlineStr">
        <is>
          <t>NORRBOTTENS LÄN</t>
        </is>
      </c>
      <c r="E202" t="inlineStr">
        <is>
          <t>JOKKMOKK</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6437-2025</t>
        </is>
      </c>
      <c r="B203" s="1" t="n">
        <v>45699</v>
      </c>
      <c r="C203" s="1" t="n">
        <v>45922</v>
      </c>
      <c r="D203" t="inlineStr">
        <is>
          <t>NORRBOTTENS LÄN</t>
        </is>
      </c>
      <c r="E203" t="inlineStr">
        <is>
          <t>JOKKMOKK</t>
        </is>
      </c>
      <c r="G203" t="n">
        <v>3.4</v>
      </c>
      <c r="H203" t="n">
        <v>0</v>
      </c>
      <c r="I203" t="n">
        <v>0</v>
      </c>
      <c r="J203" t="n">
        <v>0</v>
      </c>
      <c r="K203" t="n">
        <v>0</v>
      </c>
      <c r="L203" t="n">
        <v>0</v>
      </c>
      <c r="M203" t="n">
        <v>0</v>
      </c>
      <c r="N203" t="n">
        <v>0</v>
      </c>
      <c r="O203" t="n">
        <v>0</v>
      </c>
      <c r="P203" t="n">
        <v>0</v>
      </c>
      <c r="Q203" t="n">
        <v>0</v>
      </c>
      <c r="R203" s="2" t="inlineStr"/>
    </row>
    <row r="204" ht="15" customHeight="1">
      <c r="A204" t="inlineStr">
        <is>
          <t>A 28591-2025</t>
        </is>
      </c>
      <c r="B204" s="1" t="n">
        <v>45819.59027777778</v>
      </c>
      <c r="C204" s="1" t="n">
        <v>45922</v>
      </c>
      <c r="D204" t="inlineStr">
        <is>
          <t>NORRBOTTENS LÄN</t>
        </is>
      </c>
      <c r="E204" t="inlineStr">
        <is>
          <t>JOKKMOKK</t>
        </is>
      </c>
      <c r="F204" t="inlineStr">
        <is>
          <t>Sveaskog</t>
        </is>
      </c>
      <c r="G204" t="n">
        <v>11.9</v>
      </c>
      <c r="H204" t="n">
        <v>0</v>
      </c>
      <c r="I204" t="n">
        <v>0</v>
      </c>
      <c r="J204" t="n">
        <v>0</v>
      </c>
      <c r="K204" t="n">
        <v>0</v>
      </c>
      <c r="L204" t="n">
        <v>0</v>
      </c>
      <c r="M204" t="n">
        <v>0</v>
      </c>
      <c r="N204" t="n">
        <v>0</v>
      </c>
      <c r="O204" t="n">
        <v>0</v>
      </c>
      <c r="P204" t="n">
        <v>0</v>
      </c>
      <c r="Q204" t="n">
        <v>0</v>
      </c>
      <c r="R204" s="2" t="inlineStr"/>
    </row>
    <row r="205" ht="15" customHeight="1">
      <c r="A205" t="inlineStr">
        <is>
          <t>A 48339-2024</t>
        </is>
      </c>
      <c r="B205" s="1" t="n">
        <v>45590</v>
      </c>
      <c r="C205" s="1" t="n">
        <v>45922</v>
      </c>
      <c r="D205" t="inlineStr">
        <is>
          <t>NORRBOTTENS LÄN</t>
        </is>
      </c>
      <c r="E205" t="inlineStr">
        <is>
          <t>JOKKMOKK</t>
        </is>
      </c>
      <c r="F205" t="inlineStr">
        <is>
          <t>Allmännings- och besparingsskogar</t>
        </is>
      </c>
      <c r="G205" t="n">
        <v>24.9</v>
      </c>
      <c r="H205" t="n">
        <v>0</v>
      </c>
      <c r="I205" t="n">
        <v>0</v>
      </c>
      <c r="J205" t="n">
        <v>0</v>
      </c>
      <c r="K205" t="n">
        <v>0</v>
      </c>
      <c r="L205" t="n">
        <v>0</v>
      </c>
      <c r="M205" t="n">
        <v>0</v>
      </c>
      <c r="N205" t="n">
        <v>0</v>
      </c>
      <c r="O205" t="n">
        <v>0</v>
      </c>
      <c r="P205" t="n">
        <v>0</v>
      </c>
      <c r="Q205" t="n">
        <v>0</v>
      </c>
      <c r="R205" s="2" t="inlineStr"/>
    </row>
    <row r="206" ht="15" customHeight="1">
      <c r="A206" t="inlineStr">
        <is>
          <t>A 52812-2024</t>
        </is>
      </c>
      <c r="B206" s="1" t="n">
        <v>45610.58070601852</v>
      </c>
      <c r="C206" s="1" t="n">
        <v>45922</v>
      </c>
      <c r="D206" t="inlineStr">
        <is>
          <t>NORRBOTTENS LÄN</t>
        </is>
      </c>
      <c r="E206" t="inlineStr">
        <is>
          <t>JOKKMOKK</t>
        </is>
      </c>
      <c r="G206" t="n">
        <v>84</v>
      </c>
      <c r="H206" t="n">
        <v>0</v>
      </c>
      <c r="I206" t="n">
        <v>0</v>
      </c>
      <c r="J206" t="n">
        <v>0</v>
      </c>
      <c r="K206" t="n">
        <v>0</v>
      </c>
      <c r="L206" t="n">
        <v>0</v>
      </c>
      <c r="M206" t="n">
        <v>0</v>
      </c>
      <c r="N206" t="n">
        <v>0</v>
      </c>
      <c r="O206" t="n">
        <v>0</v>
      </c>
      <c r="P206" t="n">
        <v>0</v>
      </c>
      <c r="Q206" t="n">
        <v>0</v>
      </c>
      <c r="R206" s="2" t="inlineStr"/>
    </row>
    <row r="207" ht="15" customHeight="1">
      <c r="A207" t="inlineStr">
        <is>
          <t>A 30399-2024</t>
        </is>
      </c>
      <c r="B207" s="1" t="n">
        <v>45491</v>
      </c>
      <c r="C207" s="1" t="n">
        <v>45922</v>
      </c>
      <c r="D207" t="inlineStr">
        <is>
          <t>NORRBOTTENS LÄN</t>
        </is>
      </c>
      <c r="E207" t="inlineStr">
        <is>
          <t>JOKKMOKK</t>
        </is>
      </c>
      <c r="G207" t="n">
        <v>4.6</v>
      </c>
      <c r="H207" t="n">
        <v>0</v>
      </c>
      <c r="I207" t="n">
        <v>0</v>
      </c>
      <c r="J207" t="n">
        <v>0</v>
      </c>
      <c r="K207" t="n">
        <v>0</v>
      </c>
      <c r="L207" t="n">
        <v>0</v>
      </c>
      <c r="M207" t="n">
        <v>0</v>
      </c>
      <c r="N207" t="n">
        <v>0</v>
      </c>
      <c r="O207" t="n">
        <v>0</v>
      </c>
      <c r="P207" t="n">
        <v>0</v>
      </c>
      <c r="Q207" t="n">
        <v>0</v>
      </c>
      <c r="R207" s="2" t="inlineStr"/>
    </row>
    <row r="208" ht="15" customHeight="1">
      <c r="A208" t="inlineStr">
        <is>
          <t>A 425-2025</t>
        </is>
      </c>
      <c r="B208" s="1" t="n">
        <v>45664.34549768519</v>
      </c>
      <c r="C208" s="1" t="n">
        <v>45922</v>
      </c>
      <c r="D208" t="inlineStr">
        <is>
          <t>NORRBOTTENS LÄN</t>
        </is>
      </c>
      <c r="E208" t="inlineStr">
        <is>
          <t>JOKKMOKK</t>
        </is>
      </c>
      <c r="F208" t="inlineStr">
        <is>
          <t>Övriga statliga verk och myndigheter</t>
        </is>
      </c>
      <c r="G208" t="n">
        <v>36.5</v>
      </c>
      <c r="H208" t="n">
        <v>0</v>
      </c>
      <c r="I208" t="n">
        <v>0</v>
      </c>
      <c r="J208" t="n">
        <v>0</v>
      </c>
      <c r="K208" t="n">
        <v>0</v>
      </c>
      <c r="L208" t="n">
        <v>0</v>
      </c>
      <c r="M208" t="n">
        <v>0</v>
      </c>
      <c r="N208" t="n">
        <v>0</v>
      </c>
      <c r="O208" t="n">
        <v>0</v>
      </c>
      <c r="P208" t="n">
        <v>0</v>
      </c>
      <c r="Q208" t="n">
        <v>0</v>
      </c>
      <c r="R208" s="2" t="inlineStr"/>
    </row>
    <row r="209" ht="15" customHeight="1">
      <c r="A209" t="inlineStr">
        <is>
          <t>A 45510-2022</t>
        </is>
      </c>
      <c r="B209" s="1" t="n">
        <v>44841</v>
      </c>
      <c r="C209" s="1" t="n">
        <v>45922</v>
      </c>
      <c r="D209" t="inlineStr">
        <is>
          <t>NORRBOTTENS LÄN</t>
        </is>
      </c>
      <c r="E209" t="inlineStr">
        <is>
          <t>JOKKMOKK</t>
        </is>
      </c>
      <c r="F209" t="inlineStr">
        <is>
          <t>Övriga Aktiebolag</t>
        </is>
      </c>
      <c r="G209" t="n">
        <v>2.1</v>
      </c>
      <c r="H209" t="n">
        <v>0</v>
      </c>
      <c r="I209" t="n">
        <v>0</v>
      </c>
      <c r="J209" t="n">
        <v>0</v>
      </c>
      <c r="K209" t="n">
        <v>0</v>
      </c>
      <c r="L209" t="n">
        <v>0</v>
      </c>
      <c r="M209" t="n">
        <v>0</v>
      </c>
      <c r="N209" t="n">
        <v>0</v>
      </c>
      <c r="O209" t="n">
        <v>0</v>
      </c>
      <c r="P209" t="n">
        <v>0</v>
      </c>
      <c r="Q209" t="n">
        <v>0</v>
      </c>
      <c r="R209" s="2" t="inlineStr"/>
    </row>
    <row r="210" ht="15" customHeight="1">
      <c r="A210" t="inlineStr">
        <is>
          <t>A 28090-2023</t>
        </is>
      </c>
      <c r="B210" s="1" t="n">
        <v>45099</v>
      </c>
      <c r="C210" s="1" t="n">
        <v>45922</v>
      </c>
      <c r="D210" t="inlineStr">
        <is>
          <t>NORRBOTTENS LÄN</t>
        </is>
      </c>
      <c r="E210" t="inlineStr">
        <is>
          <t>JOKKMOKK</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16972-2025</t>
        </is>
      </c>
      <c r="B211" s="1" t="n">
        <v>45755.46942129629</v>
      </c>
      <c r="C211" s="1" t="n">
        <v>45922</v>
      </c>
      <c r="D211" t="inlineStr">
        <is>
          <t>NORRBOTTENS LÄN</t>
        </is>
      </c>
      <c r="E211" t="inlineStr">
        <is>
          <t>JOKKMOKK</t>
        </is>
      </c>
      <c r="F211" t="inlineStr">
        <is>
          <t>SCA</t>
        </is>
      </c>
      <c r="G211" t="n">
        <v>4.5</v>
      </c>
      <c r="H211" t="n">
        <v>0</v>
      </c>
      <c r="I211" t="n">
        <v>0</v>
      </c>
      <c r="J211" t="n">
        <v>0</v>
      </c>
      <c r="K211" t="n">
        <v>0</v>
      </c>
      <c r="L211" t="n">
        <v>0</v>
      </c>
      <c r="M211" t="n">
        <v>0</v>
      </c>
      <c r="N211" t="n">
        <v>0</v>
      </c>
      <c r="O211" t="n">
        <v>0</v>
      </c>
      <c r="P211" t="n">
        <v>0</v>
      </c>
      <c r="Q211" t="n">
        <v>0</v>
      </c>
      <c r="R211" s="2" t="inlineStr"/>
    </row>
    <row r="212" ht="15" customHeight="1">
      <c r="A212" t="inlineStr">
        <is>
          <t>A 28639-2025</t>
        </is>
      </c>
      <c r="B212" s="1" t="n">
        <v>45819.63649305556</v>
      </c>
      <c r="C212" s="1" t="n">
        <v>45922</v>
      </c>
      <c r="D212" t="inlineStr">
        <is>
          <t>NORRBOTTENS LÄN</t>
        </is>
      </c>
      <c r="E212" t="inlineStr">
        <is>
          <t>JOKKMOKK</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28601-2025</t>
        </is>
      </c>
      <c r="B213" s="1" t="n">
        <v>45819.59802083333</v>
      </c>
      <c r="C213" s="1" t="n">
        <v>45922</v>
      </c>
      <c r="D213" t="inlineStr">
        <is>
          <t>NORRBOTTENS LÄN</t>
        </is>
      </c>
      <c r="E213" t="inlineStr">
        <is>
          <t>JOKKMOKK</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59849-2021</t>
        </is>
      </c>
      <c r="B214" s="1" t="n">
        <v>44493</v>
      </c>
      <c r="C214" s="1" t="n">
        <v>45922</v>
      </c>
      <c r="D214" t="inlineStr">
        <is>
          <t>NORRBOTTENS LÄN</t>
        </is>
      </c>
      <c r="E214" t="inlineStr">
        <is>
          <t>JOKKMOKK</t>
        </is>
      </c>
      <c r="F214" t="inlineStr">
        <is>
          <t>Övriga Aktiebolag</t>
        </is>
      </c>
      <c r="G214" t="n">
        <v>11.7</v>
      </c>
      <c r="H214" t="n">
        <v>0</v>
      </c>
      <c r="I214" t="n">
        <v>0</v>
      </c>
      <c r="J214" t="n">
        <v>0</v>
      </c>
      <c r="K214" t="n">
        <v>0</v>
      </c>
      <c r="L214" t="n">
        <v>0</v>
      </c>
      <c r="M214" t="n">
        <v>0</v>
      </c>
      <c r="N214" t="n">
        <v>0</v>
      </c>
      <c r="O214" t="n">
        <v>0</v>
      </c>
      <c r="P214" t="n">
        <v>0</v>
      </c>
      <c r="Q214" t="n">
        <v>0</v>
      </c>
      <c r="R214" s="2" t="inlineStr"/>
    </row>
    <row r="215" ht="15" customHeight="1">
      <c r="A215" t="inlineStr">
        <is>
          <t>A 7273-2021</t>
        </is>
      </c>
      <c r="B215" s="1" t="n">
        <v>44238</v>
      </c>
      <c r="C215" s="1" t="n">
        <v>45922</v>
      </c>
      <c r="D215" t="inlineStr">
        <is>
          <t>NORRBOTTENS LÄN</t>
        </is>
      </c>
      <c r="E215" t="inlineStr">
        <is>
          <t>JOKKMOKK</t>
        </is>
      </c>
      <c r="F215" t="inlineStr">
        <is>
          <t>Övriga statliga verk och myndigheter</t>
        </is>
      </c>
      <c r="G215" t="n">
        <v>19.8</v>
      </c>
      <c r="H215" t="n">
        <v>0</v>
      </c>
      <c r="I215" t="n">
        <v>0</v>
      </c>
      <c r="J215" t="n">
        <v>0</v>
      </c>
      <c r="K215" t="n">
        <v>0</v>
      </c>
      <c r="L215" t="n">
        <v>0</v>
      </c>
      <c r="M215" t="n">
        <v>0</v>
      </c>
      <c r="N215" t="n">
        <v>0</v>
      </c>
      <c r="O215" t="n">
        <v>0</v>
      </c>
      <c r="P215" t="n">
        <v>0</v>
      </c>
      <c r="Q215" t="n">
        <v>0</v>
      </c>
      <c r="R215" s="2" t="inlineStr"/>
    </row>
    <row r="216" ht="15" customHeight="1">
      <c r="A216" t="inlineStr">
        <is>
          <t>A 36361-2024</t>
        </is>
      </c>
      <c r="B216" s="1" t="n">
        <v>45534.64626157407</v>
      </c>
      <c r="C216" s="1" t="n">
        <v>45922</v>
      </c>
      <c r="D216" t="inlineStr">
        <is>
          <t>NORRBOTTENS LÄN</t>
        </is>
      </c>
      <c r="E216" t="inlineStr">
        <is>
          <t>JOKKMOKK</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71369-2021</t>
        </is>
      </c>
      <c r="B217" s="1" t="n">
        <v>44539.94476851852</v>
      </c>
      <c r="C217" s="1" t="n">
        <v>45922</v>
      </c>
      <c r="D217" t="inlineStr">
        <is>
          <t>NORRBOTTENS LÄN</t>
        </is>
      </c>
      <c r="E217" t="inlineStr">
        <is>
          <t>JOKKMOKK</t>
        </is>
      </c>
      <c r="F217" t="inlineStr">
        <is>
          <t>SCA</t>
        </is>
      </c>
      <c r="G217" t="n">
        <v>15.7</v>
      </c>
      <c r="H217" t="n">
        <v>0</v>
      </c>
      <c r="I217" t="n">
        <v>0</v>
      </c>
      <c r="J217" t="n">
        <v>0</v>
      </c>
      <c r="K217" t="n">
        <v>0</v>
      </c>
      <c r="L217" t="n">
        <v>0</v>
      </c>
      <c r="M217" t="n">
        <v>0</v>
      </c>
      <c r="N217" t="n">
        <v>0</v>
      </c>
      <c r="O217" t="n">
        <v>0</v>
      </c>
      <c r="P217" t="n">
        <v>0</v>
      </c>
      <c r="Q217" t="n">
        <v>0</v>
      </c>
      <c r="R217" s="2" t="inlineStr"/>
    </row>
    <row r="218" ht="15" customHeight="1">
      <c r="A218" t="inlineStr">
        <is>
          <t>A 34598-2024</t>
        </is>
      </c>
      <c r="B218" s="1" t="n">
        <v>45526.39714120371</v>
      </c>
      <c r="C218" s="1" t="n">
        <v>45922</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30291-2023</t>
        </is>
      </c>
      <c r="B219" s="1" t="n">
        <v>45110.92523148148</v>
      </c>
      <c r="C219" s="1" t="n">
        <v>45922</v>
      </c>
      <c r="D219" t="inlineStr">
        <is>
          <t>NORRBOTTENS LÄN</t>
        </is>
      </c>
      <c r="E219" t="inlineStr">
        <is>
          <t>JOKKMOKK</t>
        </is>
      </c>
      <c r="G219" t="n">
        <v>1.6</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45922</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50258-2023</t>
        </is>
      </c>
      <c r="B221" s="1" t="n">
        <v>45216</v>
      </c>
      <c r="C221" s="1" t="n">
        <v>45922</v>
      </c>
      <c r="D221" t="inlineStr">
        <is>
          <t>NORRBOTTENS LÄN</t>
        </is>
      </c>
      <c r="E221" t="inlineStr">
        <is>
          <t>JOKKMOKK</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16847-2023</t>
        </is>
      </c>
      <c r="B222" s="1" t="n">
        <v>45028</v>
      </c>
      <c r="C222" s="1" t="n">
        <v>45922</v>
      </c>
      <c r="D222" t="inlineStr">
        <is>
          <t>NORRBOTTENS LÄN</t>
        </is>
      </c>
      <c r="E222" t="inlineStr">
        <is>
          <t>JOKKMOKK</t>
        </is>
      </c>
      <c r="G222" t="n">
        <v>7.3</v>
      </c>
      <c r="H222" t="n">
        <v>0</v>
      </c>
      <c r="I222" t="n">
        <v>0</v>
      </c>
      <c r="J222" t="n">
        <v>0</v>
      </c>
      <c r="K222" t="n">
        <v>0</v>
      </c>
      <c r="L222" t="n">
        <v>0</v>
      </c>
      <c r="M222" t="n">
        <v>0</v>
      </c>
      <c r="N222" t="n">
        <v>0</v>
      </c>
      <c r="O222" t="n">
        <v>0</v>
      </c>
      <c r="P222" t="n">
        <v>0</v>
      </c>
      <c r="Q222" t="n">
        <v>0</v>
      </c>
      <c r="R222" s="2" t="inlineStr"/>
    </row>
    <row r="223" ht="15" customHeight="1">
      <c r="A223" t="inlineStr">
        <is>
          <t>A 68636-2020</t>
        </is>
      </c>
      <c r="B223" s="1" t="n">
        <v>44186</v>
      </c>
      <c r="C223" s="1" t="n">
        <v>45922</v>
      </c>
      <c r="D223" t="inlineStr">
        <is>
          <t>NORRBOTTENS LÄN</t>
        </is>
      </c>
      <c r="E223" t="inlineStr">
        <is>
          <t>JOKKMOKK</t>
        </is>
      </c>
      <c r="F223" t="inlineStr">
        <is>
          <t>SCA</t>
        </is>
      </c>
      <c r="G223" t="n">
        <v>42.3</v>
      </c>
      <c r="H223" t="n">
        <v>0</v>
      </c>
      <c r="I223" t="n">
        <v>0</v>
      </c>
      <c r="J223" t="n">
        <v>0</v>
      </c>
      <c r="K223" t="n">
        <v>0</v>
      </c>
      <c r="L223" t="n">
        <v>0</v>
      </c>
      <c r="M223" t="n">
        <v>0</v>
      </c>
      <c r="N223" t="n">
        <v>0</v>
      </c>
      <c r="O223" t="n">
        <v>0</v>
      </c>
      <c r="P223" t="n">
        <v>0</v>
      </c>
      <c r="Q223" t="n">
        <v>0</v>
      </c>
      <c r="R223" s="2" t="inlineStr"/>
    </row>
    <row r="224" ht="15" customHeight="1">
      <c r="A224" t="inlineStr">
        <is>
          <t>A 61762-2024</t>
        </is>
      </c>
      <c r="B224" s="1" t="n">
        <v>45649</v>
      </c>
      <c r="C224" s="1" t="n">
        <v>45922</v>
      </c>
      <c r="D224" t="inlineStr">
        <is>
          <t>NORRBOTTENS LÄN</t>
        </is>
      </c>
      <c r="E224" t="inlineStr">
        <is>
          <t>JOKKMOKK</t>
        </is>
      </c>
      <c r="F224" t="inlineStr">
        <is>
          <t>Övriga statliga verk och myndigheter</t>
        </is>
      </c>
      <c r="G224" t="n">
        <v>15.4</v>
      </c>
      <c r="H224" t="n">
        <v>0</v>
      </c>
      <c r="I224" t="n">
        <v>0</v>
      </c>
      <c r="J224" t="n">
        <v>0</v>
      </c>
      <c r="K224" t="n">
        <v>0</v>
      </c>
      <c r="L224" t="n">
        <v>0</v>
      </c>
      <c r="M224" t="n">
        <v>0</v>
      </c>
      <c r="N224" t="n">
        <v>0</v>
      </c>
      <c r="O224" t="n">
        <v>0</v>
      </c>
      <c r="P224" t="n">
        <v>0</v>
      </c>
      <c r="Q224" t="n">
        <v>0</v>
      </c>
      <c r="R224" s="2" t="inlineStr"/>
    </row>
    <row r="225" ht="15" customHeight="1">
      <c r="A225" t="inlineStr">
        <is>
          <t>A 34062-2021</t>
        </is>
      </c>
      <c r="B225" s="1" t="n">
        <v>44378</v>
      </c>
      <c r="C225" s="1" t="n">
        <v>45922</v>
      </c>
      <c r="D225" t="inlineStr">
        <is>
          <t>NORRBOTTENS LÄN</t>
        </is>
      </c>
      <c r="E225" t="inlineStr">
        <is>
          <t>JOKKMOKK</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29333-2025</t>
        </is>
      </c>
      <c r="B226" s="1" t="n">
        <v>45824</v>
      </c>
      <c r="C226" s="1" t="n">
        <v>45922</v>
      </c>
      <c r="D226" t="inlineStr">
        <is>
          <t>NORRBOTTENS LÄN</t>
        </is>
      </c>
      <c r="E226" t="inlineStr">
        <is>
          <t>JOKKMOKK</t>
        </is>
      </c>
      <c r="G226" t="n">
        <v>17.3</v>
      </c>
      <c r="H226" t="n">
        <v>0</v>
      </c>
      <c r="I226" t="n">
        <v>0</v>
      </c>
      <c r="J226" t="n">
        <v>0</v>
      </c>
      <c r="K226" t="n">
        <v>0</v>
      </c>
      <c r="L226" t="n">
        <v>0</v>
      </c>
      <c r="M226" t="n">
        <v>0</v>
      </c>
      <c r="N226" t="n">
        <v>0</v>
      </c>
      <c r="O226" t="n">
        <v>0</v>
      </c>
      <c r="P226" t="n">
        <v>0</v>
      </c>
      <c r="Q226" t="n">
        <v>0</v>
      </c>
      <c r="R226" s="2" t="inlineStr"/>
    </row>
    <row r="227" ht="15" customHeight="1">
      <c r="A227" t="inlineStr">
        <is>
          <t>A 44646-2021</t>
        </is>
      </c>
      <c r="B227" s="1" t="n">
        <v>44437</v>
      </c>
      <c r="C227" s="1" t="n">
        <v>45922</v>
      </c>
      <c r="D227" t="inlineStr">
        <is>
          <t>NORRBOTTENS LÄN</t>
        </is>
      </c>
      <c r="E227" t="inlineStr">
        <is>
          <t>JOKKMOKK</t>
        </is>
      </c>
      <c r="G227" t="n">
        <v>10</v>
      </c>
      <c r="H227" t="n">
        <v>0</v>
      </c>
      <c r="I227" t="n">
        <v>0</v>
      </c>
      <c r="J227" t="n">
        <v>0</v>
      </c>
      <c r="K227" t="n">
        <v>0</v>
      </c>
      <c r="L227" t="n">
        <v>0</v>
      </c>
      <c r="M227" t="n">
        <v>0</v>
      </c>
      <c r="N227" t="n">
        <v>0</v>
      </c>
      <c r="O227" t="n">
        <v>0</v>
      </c>
      <c r="P227" t="n">
        <v>0</v>
      </c>
      <c r="Q227" t="n">
        <v>0</v>
      </c>
      <c r="R227" s="2" t="inlineStr"/>
    </row>
    <row r="228" ht="15" customHeight="1">
      <c r="A228" t="inlineStr">
        <is>
          <t>A 9878-2023</t>
        </is>
      </c>
      <c r="B228" s="1" t="n">
        <v>44984</v>
      </c>
      <c r="C228" s="1" t="n">
        <v>45922</v>
      </c>
      <c r="D228" t="inlineStr">
        <is>
          <t>NORRBOTTENS LÄN</t>
        </is>
      </c>
      <c r="E228" t="inlineStr">
        <is>
          <t>JOKKMOKK</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1615-2024</t>
        </is>
      </c>
      <c r="B229" s="1" t="n">
        <v>45306</v>
      </c>
      <c r="C229" s="1" t="n">
        <v>45922</v>
      </c>
      <c r="D229" t="inlineStr">
        <is>
          <t>NORRBOTTENS LÄN</t>
        </is>
      </c>
      <c r="E229" t="inlineStr">
        <is>
          <t>JOKKMOKK</t>
        </is>
      </c>
      <c r="G229" t="n">
        <v>10.8</v>
      </c>
      <c r="H229" t="n">
        <v>0</v>
      </c>
      <c r="I229" t="n">
        <v>0</v>
      </c>
      <c r="J229" t="n">
        <v>0</v>
      </c>
      <c r="K229" t="n">
        <v>0</v>
      </c>
      <c r="L229" t="n">
        <v>0</v>
      </c>
      <c r="M229" t="n">
        <v>0</v>
      </c>
      <c r="N229" t="n">
        <v>0</v>
      </c>
      <c r="O229" t="n">
        <v>0</v>
      </c>
      <c r="P229" t="n">
        <v>0</v>
      </c>
      <c r="Q229" t="n">
        <v>0</v>
      </c>
      <c r="R229" s="2" t="inlineStr"/>
    </row>
    <row r="230" ht="15" customHeight="1">
      <c r="A230" t="inlineStr">
        <is>
          <t>A 29446-2025</t>
        </is>
      </c>
      <c r="B230" s="1" t="n">
        <v>45824</v>
      </c>
      <c r="C230" s="1" t="n">
        <v>45922</v>
      </c>
      <c r="D230" t="inlineStr">
        <is>
          <t>NORRBOTTENS LÄN</t>
        </is>
      </c>
      <c r="E230" t="inlineStr">
        <is>
          <t>JOKKMOKK</t>
        </is>
      </c>
      <c r="G230" t="n">
        <v>68.5</v>
      </c>
      <c r="H230" t="n">
        <v>0</v>
      </c>
      <c r="I230" t="n">
        <v>0</v>
      </c>
      <c r="J230" t="n">
        <v>0</v>
      </c>
      <c r="K230" t="n">
        <v>0</v>
      </c>
      <c r="L230" t="n">
        <v>0</v>
      </c>
      <c r="M230" t="n">
        <v>0</v>
      </c>
      <c r="N230" t="n">
        <v>0</v>
      </c>
      <c r="O230" t="n">
        <v>0</v>
      </c>
      <c r="P230" t="n">
        <v>0</v>
      </c>
      <c r="Q230" t="n">
        <v>0</v>
      </c>
      <c r="R230" s="2" t="inlineStr"/>
    </row>
    <row r="231" ht="15" customHeight="1">
      <c r="A231" t="inlineStr">
        <is>
          <t>A 29418-2025</t>
        </is>
      </c>
      <c r="B231" s="1" t="n">
        <v>45824.63607638889</v>
      </c>
      <c r="C231" s="1" t="n">
        <v>45922</v>
      </c>
      <c r="D231" t="inlineStr">
        <is>
          <t>NORRBOTTENS LÄN</t>
        </is>
      </c>
      <c r="E231" t="inlineStr">
        <is>
          <t>JOKKMOKK</t>
        </is>
      </c>
      <c r="G231" t="n">
        <v>17.8</v>
      </c>
      <c r="H231" t="n">
        <v>0</v>
      </c>
      <c r="I231" t="n">
        <v>0</v>
      </c>
      <c r="J231" t="n">
        <v>0</v>
      </c>
      <c r="K231" t="n">
        <v>0</v>
      </c>
      <c r="L231" t="n">
        <v>0</v>
      </c>
      <c r="M231" t="n">
        <v>0</v>
      </c>
      <c r="N231" t="n">
        <v>0</v>
      </c>
      <c r="O231" t="n">
        <v>0</v>
      </c>
      <c r="P231" t="n">
        <v>0</v>
      </c>
      <c r="Q231" t="n">
        <v>0</v>
      </c>
      <c r="R231" s="2" t="inlineStr"/>
    </row>
    <row r="232" ht="15" customHeight="1">
      <c r="A232" t="inlineStr">
        <is>
          <t>A 4661-2022</t>
        </is>
      </c>
      <c r="B232" s="1" t="n">
        <v>44589</v>
      </c>
      <c r="C232" s="1" t="n">
        <v>45922</v>
      </c>
      <c r="D232" t="inlineStr">
        <is>
          <t>NORRBOTTENS LÄN</t>
        </is>
      </c>
      <c r="E232" t="inlineStr">
        <is>
          <t>JOKKMOKK</t>
        </is>
      </c>
      <c r="G232" t="n">
        <v>39.5</v>
      </c>
      <c r="H232" t="n">
        <v>0</v>
      </c>
      <c r="I232" t="n">
        <v>0</v>
      </c>
      <c r="J232" t="n">
        <v>0</v>
      </c>
      <c r="K232" t="n">
        <v>0</v>
      </c>
      <c r="L232" t="n">
        <v>0</v>
      </c>
      <c r="M232" t="n">
        <v>0</v>
      </c>
      <c r="N232" t="n">
        <v>0</v>
      </c>
      <c r="O232" t="n">
        <v>0</v>
      </c>
      <c r="P232" t="n">
        <v>0</v>
      </c>
      <c r="Q232" t="n">
        <v>0</v>
      </c>
      <c r="R232" s="2" t="inlineStr"/>
    </row>
    <row r="233" ht="15" customHeight="1">
      <c r="A233" t="inlineStr">
        <is>
          <t>A 40106-2023</t>
        </is>
      </c>
      <c r="B233" s="1" t="n">
        <v>45168.93785879629</v>
      </c>
      <c r="C233" s="1" t="n">
        <v>45922</v>
      </c>
      <c r="D233" t="inlineStr">
        <is>
          <t>NORRBOTTENS LÄN</t>
        </is>
      </c>
      <c r="E233" t="inlineStr">
        <is>
          <t>JOKKMOKK</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30178-2025</t>
        </is>
      </c>
      <c r="B234" s="1" t="n">
        <v>45827.34571759259</v>
      </c>
      <c r="C234" s="1" t="n">
        <v>45922</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49477-2024</t>
        </is>
      </c>
      <c r="B235" s="1" t="n">
        <v>45596.34576388889</v>
      </c>
      <c r="C235" s="1" t="n">
        <v>45922</v>
      </c>
      <c r="D235" t="inlineStr">
        <is>
          <t>NORRBOTTENS LÄN</t>
        </is>
      </c>
      <c r="E235" t="inlineStr">
        <is>
          <t>JOKKMOKK</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49478-2024</t>
        </is>
      </c>
      <c r="B236" s="1" t="n">
        <v>45596.34599537037</v>
      </c>
      <c r="C236" s="1" t="n">
        <v>45922</v>
      </c>
      <c r="D236" t="inlineStr">
        <is>
          <t>NORRBOTTENS LÄN</t>
        </is>
      </c>
      <c r="E236" t="inlineStr">
        <is>
          <t>JOKKMOKK</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30401-2024</t>
        </is>
      </c>
      <c r="B237" s="1" t="n">
        <v>45491</v>
      </c>
      <c r="C237" s="1" t="n">
        <v>45922</v>
      </c>
      <c r="D237" t="inlineStr">
        <is>
          <t>NORRBOTTENS LÄN</t>
        </is>
      </c>
      <c r="E237" t="inlineStr">
        <is>
          <t>JOKKMOKK</t>
        </is>
      </c>
      <c r="G237" t="n">
        <v>1</v>
      </c>
      <c r="H237" t="n">
        <v>0</v>
      </c>
      <c r="I237" t="n">
        <v>0</v>
      </c>
      <c r="J237" t="n">
        <v>0</v>
      </c>
      <c r="K237" t="n">
        <v>0</v>
      </c>
      <c r="L237" t="n">
        <v>0</v>
      </c>
      <c r="M237" t="n">
        <v>0</v>
      </c>
      <c r="N237" t="n">
        <v>0</v>
      </c>
      <c r="O237" t="n">
        <v>0</v>
      </c>
      <c r="P237" t="n">
        <v>0</v>
      </c>
      <c r="Q237" t="n">
        <v>0</v>
      </c>
      <c r="R237" s="2" t="inlineStr"/>
    </row>
    <row r="238" ht="15" customHeight="1">
      <c r="A238" t="inlineStr">
        <is>
          <t>A 24052-2023</t>
        </is>
      </c>
      <c r="B238" s="1" t="n">
        <v>45078</v>
      </c>
      <c r="C238" s="1" t="n">
        <v>45922</v>
      </c>
      <c r="D238" t="inlineStr">
        <is>
          <t>NORRBOTTENS LÄN</t>
        </is>
      </c>
      <c r="E238" t="inlineStr">
        <is>
          <t>JOKKMOKK</t>
        </is>
      </c>
      <c r="F238" t="inlineStr">
        <is>
          <t>Naturvårdsverket</t>
        </is>
      </c>
      <c r="G238" t="n">
        <v>58.1</v>
      </c>
      <c r="H238" t="n">
        <v>0</v>
      </c>
      <c r="I238" t="n">
        <v>0</v>
      </c>
      <c r="J238" t="n">
        <v>0</v>
      </c>
      <c r="K238" t="n">
        <v>0</v>
      </c>
      <c r="L238" t="n">
        <v>0</v>
      </c>
      <c r="M238" t="n">
        <v>0</v>
      </c>
      <c r="N238" t="n">
        <v>0</v>
      </c>
      <c r="O238" t="n">
        <v>0</v>
      </c>
      <c r="P238" t="n">
        <v>0</v>
      </c>
      <c r="Q238" t="n">
        <v>0</v>
      </c>
      <c r="R238" s="2" t="inlineStr"/>
    </row>
    <row r="239" ht="15" customHeight="1">
      <c r="A239" t="inlineStr">
        <is>
          <t>A 30177-2025</t>
        </is>
      </c>
      <c r="B239" s="1" t="n">
        <v>45827.34537037037</v>
      </c>
      <c r="C239" s="1" t="n">
        <v>45922</v>
      </c>
      <c r="D239" t="inlineStr">
        <is>
          <t>NORRBOTTENS LÄN</t>
        </is>
      </c>
      <c r="E239" t="inlineStr">
        <is>
          <t>JOKKMOKK</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30185-2025</t>
        </is>
      </c>
      <c r="B240" s="1" t="n">
        <v>45827.34717592593</v>
      </c>
      <c r="C240" s="1" t="n">
        <v>45922</v>
      </c>
      <c r="D240" t="inlineStr">
        <is>
          <t>NORRBOTTENS LÄN</t>
        </is>
      </c>
      <c r="E240" t="inlineStr">
        <is>
          <t>JOKKMOKK</t>
        </is>
      </c>
      <c r="F240" t="inlineStr">
        <is>
          <t>SCA</t>
        </is>
      </c>
      <c r="G240" t="n">
        <v>4</v>
      </c>
      <c r="H240" t="n">
        <v>0</v>
      </c>
      <c r="I240" t="n">
        <v>0</v>
      </c>
      <c r="J240" t="n">
        <v>0</v>
      </c>
      <c r="K240" t="n">
        <v>0</v>
      </c>
      <c r="L240" t="n">
        <v>0</v>
      </c>
      <c r="M240" t="n">
        <v>0</v>
      </c>
      <c r="N240" t="n">
        <v>0</v>
      </c>
      <c r="O240" t="n">
        <v>0</v>
      </c>
      <c r="P240" t="n">
        <v>0</v>
      </c>
      <c r="Q240" t="n">
        <v>0</v>
      </c>
      <c r="R240" s="2" t="inlineStr"/>
    </row>
    <row r="241" ht="15" customHeight="1">
      <c r="A241" t="inlineStr">
        <is>
          <t>A 30181-2025</t>
        </is>
      </c>
      <c r="B241" s="1" t="n">
        <v>45827.34607638889</v>
      </c>
      <c r="C241" s="1" t="n">
        <v>45922</v>
      </c>
      <c r="D241" t="inlineStr">
        <is>
          <t>NORRBOTTENS LÄN</t>
        </is>
      </c>
      <c r="E241" t="inlineStr">
        <is>
          <t>JOKKMOKK</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30182-2025</t>
        </is>
      </c>
      <c r="B242" s="1" t="n">
        <v>45827.34640046296</v>
      </c>
      <c r="C242" s="1" t="n">
        <v>45922</v>
      </c>
      <c r="D242" t="inlineStr">
        <is>
          <t>NORRBOTTENS LÄN</t>
        </is>
      </c>
      <c r="E242" t="inlineStr">
        <is>
          <t>JOKKMOKK</t>
        </is>
      </c>
      <c r="F242" t="inlineStr">
        <is>
          <t>SCA</t>
        </is>
      </c>
      <c r="G242" t="n">
        <v>9.9</v>
      </c>
      <c r="H242" t="n">
        <v>0</v>
      </c>
      <c r="I242" t="n">
        <v>0</v>
      </c>
      <c r="J242" t="n">
        <v>0</v>
      </c>
      <c r="K242" t="n">
        <v>0</v>
      </c>
      <c r="L242" t="n">
        <v>0</v>
      </c>
      <c r="M242" t="n">
        <v>0</v>
      </c>
      <c r="N242" t="n">
        <v>0</v>
      </c>
      <c r="O242" t="n">
        <v>0</v>
      </c>
      <c r="P242" t="n">
        <v>0</v>
      </c>
      <c r="Q242" t="n">
        <v>0</v>
      </c>
      <c r="R242" s="2" t="inlineStr"/>
    </row>
    <row r="243" ht="15" customHeight="1">
      <c r="A243" t="inlineStr">
        <is>
          <t>A 40836-2022</t>
        </is>
      </c>
      <c r="B243" s="1" t="n">
        <v>44824</v>
      </c>
      <c r="C243" s="1" t="n">
        <v>45922</v>
      </c>
      <c r="D243" t="inlineStr">
        <is>
          <t>NORRBOTTENS LÄN</t>
        </is>
      </c>
      <c r="E243" t="inlineStr">
        <is>
          <t>JOKKMOKK</t>
        </is>
      </c>
      <c r="F243" t="inlineStr">
        <is>
          <t>SCA</t>
        </is>
      </c>
      <c r="G243" t="n">
        <v>229.8</v>
      </c>
      <c r="H243" t="n">
        <v>0</v>
      </c>
      <c r="I243" t="n">
        <v>0</v>
      </c>
      <c r="J243" t="n">
        <v>0</v>
      </c>
      <c r="K243" t="n">
        <v>0</v>
      </c>
      <c r="L243" t="n">
        <v>0</v>
      </c>
      <c r="M243" t="n">
        <v>0</v>
      </c>
      <c r="N243" t="n">
        <v>0</v>
      </c>
      <c r="O243" t="n">
        <v>0</v>
      </c>
      <c r="P243" t="n">
        <v>0</v>
      </c>
      <c r="Q243" t="n">
        <v>0</v>
      </c>
      <c r="R243" s="2" t="inlineStr"/>
    </row>
    <row r="244" ht="15" customHeight="1">
      <c r="A244" t="inlineStr">
        <is>
          <t>A 30184-2025</t>
        </is>
      </c>
      <c r="B244" s="1" t="n">
        <v>45827.34695601852</v>
      </c>
      <c r="C244" s="1" t="n">
        <v>45922</v>
      </c>
      <c r="D244" t="inlineStr">
        <is>
          <t>NORRBOTTENS LÄN</t>
        </is>
      </c>
      <c r="E244" t="inlineStr">
        <is>
          <t>JOKKMOKK</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45922</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29853-2025</t>
        </is>
      </c>
      <c r="B246" s="1" t="n">
        <v>45826.34438657408</v>
      </c>
      <c r="C246" s="1" t="n">
        <v>45922</v>
      </c>
      <c r="D246" t="inlineStr">
        <is>
          <t>NORRBOTTENS LÄN</t>
        </is>
      </c>
      <c r="E246" t="inlineStr">
        <is>
          <t>JOKKMOKK</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29857-2025</t>
        </is>
      </c>
      <c r="B247" s="1" t="n">
        <v>45826.3453125</v>
      </c>
      <c r="C247" s="1" t="n">
        <v>45922</v>
      </c>
      <c r="D247" t="inlineStr">
        <is>
          <t>NORRBOTTENS LÄN</t>
        </is>
      </c>
      <c r="E247" t="inlineStr">
        <is>
          <t>JOKKMOKK</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29856-2025</t>
        </is>
      </c>
      <c r="B248" s="1" t="n">
        <v>45826.345</v>
      </c>
      <c r="C248" s="1" t="n">
        <v>45922</v>
      </c>
      <c r="D248" t="inlineStr">
        <is>
          <t>NORRBOTTENS LÄN</t>
        </is>
      </c>
      <c r="E248" t="inlineStr">
        <is>
          <t>JOKKMOKK</t>
        </is>
      </c>
      <c r="F248" t="inlineStr">
        <is>
          <t>SCA</t>
        </is>
      </c>
      <c r="G248" t="n">
        <v>7.1</v>
      </c>
      <c r="H248" t="n">
        <v>0</v>
      </c>
      <c r="I248" t="n">
        <v>0</v>
      </c>
      <c r="J248" t="n">
        <v>0</v>
      </c>
      <c r="K248" t="n">
        <v>0</v>
      </c>
      <c r="L248" t="n">
        <v>0</v>
      </c>
      <c r="M248" t="n">
        <v>0</v>
      </c>
      <c r="N248" t="n">
        <v>0</v>
      </c>
      <c r="O248" t="n">
        <v>0</v>
      </c>
      <c r="P248" t="n">
        <v>0</v>
      </c>
      <c r="Q248" t="n">
        <v>0</v>
      </c>
      <c r="R248" s="2" t="inlineStr"/>
    </row>
    <row r="249" ht="15" customHeight="1">
      <c r="A249" t="inlineStr">
        <is>
          <t>A 29858-2025</t>
        </is>
      </c>
      <c r="B249" s="1" t="n">
        <v>45826.34565972222</v>
      </c>
      <c r="C249" s="1" t="n">
        <v>45922</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47157-2024</t>
        </is>
      </c>
      <c r="B250" s="1" t="n">
        <v>45586</v>
      </c>
      <c r="C250" s="1" t="n">
        <v>45922</v>
      </c>
      <c r="D250" t="inlineStr">
        <is>
          <t>NORRBOTTENS LÄN</t>
        </is>
      </c>
      <c r="E250" t="inlineStr">
        <is>
          <t>JOKKMOKK</t>
        </is>
      </c>
      <c r="G250" t="n">
        <v>0.6</v>
      </c>
      <c r="H250" t="n">
        <v>0</v>
      </c>
      <c r="I250" t="n">
        <v>0</v>
      </c>
      <c r="J250" t="n">
        <v>0</v>
      </c>
      <c r="K250" t="n">
        <v>0</v>
      </c>
      <c r="L250" t="n">
        <v>0</v>
      </c>
      <c r="M250" t="n">
        <v>0</v>
      </c>
      <c r="N250" t="n">
        <v>0</v>
      </c>
      <c r="O250" t="n">
        <v>0</v>
      </c>
      <c r="P250" t="n">
        <v>0</v>
      </c>
      <c r="Q250" t="n">
        <v>0</v>
      </c>
      <c r="R250" s="2" t="inlineStr"/>
    </row>
    <row r="251" ht="15" customHeight="1">
      <c r="A251" t="inlineStr">
        <is>
          <t>A 11657-2024</t>
        </is>
      </c>
      <c r="B251" s="1" t="n">
        <v>45373</v>
      </c>
      <c r="C251" s="1" t="n">
        <v>45922</v>
      </c>
      <c r="D251" t="inlineStr">
        <is>
          <t>NORRBOTTENS LÄN</t>
        </is>
      </c>
      <c r="E251" t="inlineStr">
        <is>
          <t>JOKKMOKK</t>
        </is>
      </c>
      <c r="G251" t="n">
        <v>14.3</v>
      </c>
      <c r="H251" t="n">
        <v>0</v>
      </c>
      <c r="I251" t="n">
        <v>0</v>
      </c>
      <c r="J251" t="n">
        <v>0</v>
      </c>
      <c r="K251" t="n">
        <v>0</v>
      </c>
      <c r="L251" t="n">
        <v>0</v>
      </c>
      <c r="M251" t="n">
        <v>0</v>
      </c>
      <c r="N251" t="n">
        <v>0</v>
      </c>
      <c r="O251" t="n">
        <v>0</v>
      </c>
      <c r="P251" t="n">
        <v>0</v>
      </c>
      <c r="Q251" t="n">
        <v>0</v>
      </c>
      <c r="R251" s="2" t="inlineStr"/>
    </row>
    <row r="252" ht="15" customHeight="1">
      <c r="A252" t="inlineStr">
        <is>
          <t>A 52289-2024</t>
        </is>
      </c>
      <c r="B252" s="1" t="n">
        <v>45608.69555555555</v>
      </c>
      <c r="C252" s="1" t="n">
        <v>45922</v>
      </c>
      <c r="D252" t="inlineStr">
        <is>
          <t>NORRBOTTENS LÄN</t>
        </is>
      </c>
      <c r="E252" t="inlineStr">
        <is>
          <t>JOKKMOKK</t>
        </is>
      </c>
      <c r="F252" t="inlineStr">
        <is>
          <t>Allmännings- och besparingsskogar</t>
        </is>
      </c>
      <c r="G252" t="n">
        <v>11.6</v>
      </c>
      <c r="H252" t="n">
        <v>0</v>
      </c>
      <c r="I252" t="n">
        <v>0</v>
      </c>
      <c r="J252" t="n">
        <v>0</v>
      </c>
      <c r="K252" t="n">
        <v>0</v>
      </c>
      <c r="L252" t="n">
        <v>0</v>
      </c>
      <c r="M252" t="n">
        <v>0</v>
      </c>
      <c r="N252" t="n">
        <v>0</v>
      </c>
      <c r="O252" t="n">
        <v>0</v>
      </c>
      <c r="P252" t="n">
        <v>0</v>
      </c>
      <c r="Q252" t="n">
        <v>0</v>
      </c>
      <c r="R252" s="2" t="inlineStr"/>
    </row>
    <row r="253" ht="15" customHeight="1">
      <c r="A253" t="inlineStr">
        <is>
          <t>A 30511-2023</t>
        </is>
      </c>
      <c r="B253" s="1" t="n">
        <v>45111</v>
      </c>
      <c r="C253" s="1" t="n">
        <v>45922</v>
      </c>
      <c r="D253" t="inlineStr">
        <is>
          <t>NORRBOTTENS LÄN</t>
        </is>
      </c>
      <c r="E253" t="inlineStr">
        <is>
          <t>JOKKMOKK</t>
        </is>
      </c>
      <c r="G253" t="n">
        <v>0.9</v>
      </c>
      <c r="H253" t="n">
        <v>0</v>
      </c>
      <c r="I253" t="n">
        <v>0</v>
      </c>
      <c r="J253" t="n">
        <v>0</v>
      </c>
      <c r="K253" t="n">
        <v>0</v>
      </c>
      <c r="L253" t="n">
        <v>0</v>
      </c>
      <c r="M253" t="n">
        <v>0</v>
      </c>
      <c r="N253" t="n">
        <v>0</v>
      </c>
      <c r="O253" t="n">
        <v>0</v>
      </c>
      <c r="P253" t="n">
        <v>0</v>
      </c>
      <c r="Q253" t="n">
        <v>0</v>
      </c>
      <c r="R253" s="2" t="inlineStr"/>
    </row>
    <row r="254" ht="15" customHeight="1">
      <c r="A254" t="inlineStr">
        <is>
          <t>A 32853-2024</t>
        </is>
      </c>
      <c r="B254" s="1" t="n">
        <v>45516.63964120371</v>
      </c>
      <c r="C254" s="1" t="n">
        <v>45922</v>
      </c>
      <c r="D254" t="inlineStr">
        <is>
          <t>NORRBOTTENS LÄN</t>
        </is>
      </c>
      <c r="E254" t="inlineStr">
        <is>
          <t>JOKKMOKK</t>
        </is>
      </c>
      <c r="F254" t="inlineStr">
        <is>
          <t>Sveaskog</t>
        </is>
      </c>
      <c r="G254" t="n">
        <v>40.4</v>
      </c>
      <c r="H254" t="n">
        <v>0</v>
      </c>
      <c r="I254" t="n">
        <v>0</v>
      </c>
      <c r="J254" t="n">
        <v>0</v>
      </c>
      <c r="K254" t="n">
        <v>0</v>
      </c>
      <c r="L254" t="n">
        <v>0</v>
      </c>
      <c r="M254" t="n">
        <v>0</v>
      </c>
      <c r="N254" t="n">
        <v>0</v>
      </c>
      <c r="O254" t="n">
        <v>0</v>
      </c>
      <c r="P254" t="n">
        <v>0</v>
      </c>
      <c r="Q254" t="n">
        <v>0</v>
      </c>
      <c r="R254" s="2" t="inlineStr"/>
    </row>
    <row r="255" ht="15" customHeight="1">
      <c r="A255" t="inlineStr">
        <is>
          <t>A 39684-2023</t>
        </is>
      </c>
      <c r="B255" s="1" t="n">
        <v>45166</v>
      </c>
      <c r="C255" s="1" t="n">
        <v>45922</v>
      </c>
      <c r="D255" t="inlineStr">
        <is>
          <t>NORRBOTTENS LÄN</t>
        </is>
      </c>
      <c r="E255" t="inlineStr">
        <is>
          <t>JOKKMOKK</t>
        </is>
      </c>
      <c r="G255" t="n">
        <v>6.8</v>
      </c>
      <c r="H255" t="n">
        <v>0</v>
      </c>
      <c r="I255" t="n">
        <v>0</v>
      </c>
      <c r="J255" t="n">
        <v>0</v>
      </c>
      <c r="K255" t="n">
        <v>0</v>
      </c>
      <c r="L255" t="n">
        <v>0</v>
      </c>
      <c r="M255" t="n">
        <v>0</v>
      </c>
      <c r="N255" t="n">
        <v>0</v>
      </c>
      <c r="O255" t="n">
        <v>0</v>
      </c>
      <c r="P255" t="n">
        <v>0</v>
      </c>
      <c r="Q255" t="n">
        <v>0</v>
      </c>
      <c r="R255" s="2" t="inlineStr"/>
    </row>
    <row r="256" ht="15" customHeight="1">
      <c r="A256" t="inlineStr">
        <is>
          <t>A 50651-2024</t>
        </is>
      </c>
      <c r="B256" s="1" t="n">
        <v>45601.70364583333</v>
      </c>
      <c r="C256" s="1" t="n">
        <v>45922</v>
      </c>
      <c r="D256" t="inlineStr">
        <is>
          <t>NORRBOTTENS LÄN</t>
        </is>
      </c>
      <c r="E256" t="inlineStr">
        <is>
          <t>JOKKMOKK</t>
        </is>
      </c>
      <c r="F256" t="inlineStr">
        <is>
          <t>Allmännings- och besparingsskogar</t>
        </is>
      </c>
      <c r="G256" t="n">
        <v>6.1</v>
      </c>
      <c r="H256" t="n">
        <v>0</v>
      </c>
      <c r="I256" t="n">
        <v>0</v>
      </c>
      <c r="J256" t="n">
        <v>0</v>
      </c>
      <c r="K256" t="n">
        <v>0</v>
      </c>
      <c r="L256" t="n">
        <v>0</v>
      </c>
      <c r="M256" t="n">
        <v>0</v>
      </c>
      <c r="N256" t="n">
        <v>0</v>
      </c>
      <c r="O256" t="n">
        <v>0</v>
      </c>
      <c r="P256" t="n">
        <v>0</v>
      </c>
      <c r="Q256" t="n">
        <v>0</v>
      </c>
      <c r="R256" s="2" t="inlineStr"/>
    </row>
    <row r="257" ht="15" customHeight="1">
      <c r="A257" t="inlineStr">
        <is>
          <t>A 60390-2023</t>
        </is>
      </c>
      <c r="B257" s="1" t="n">
        <v>45259.43483796297</v>
      </c>
      <c r="C257" s="1" t="n">
        <v>45922</v>
      </c>
      <c r="D257" t="inlineStr">
        <is>
          <t>NORRBOTTENS LÄN</t>
        </is>
      </c>
      <c r="E257" t="inlineStr">
        <is>
          <t>JOKKMOKK</t>
        </is>
      </c>
      <c r="F257" t="inlineStr">
        <is>
          <t>Sveaskog</t>
        </is>
      </c>
      <c r="G257" t="n">
        <v>10.9</v>
      </c>
      <c r="H257" t="n">
        <v>0</v>
      </c>
      <c r="I257" t="n">
        <v>0</v>
      </c>
      <c r="J257" t="n">
        <v>0</v>
      </c>
      <c r="K257" t="n">
        <v>0</v>
      </c>
      <c r="L257" t="n">
        <v>0</v>
      </c>
      <c r="M257" t="n">
        <v>0</v>
      </c>
      <c r="N257" t="n">
        <v>0</v>
      </c>
      <c r="O257" t="n">
        <v>0</v>
      </c>
      <c r="P257" t="n">
        <v>0</v>
      </c>
      <c r="Q257" t="n">
        <v>0</v>
      </c>
      <c r="R257" s="2" t="inlineStr"/>
    </row>
    <row r="258" ht="15" customHeight="1">
      <c r="A258" t="inlineStr">
        <is>
          <t>A 19493-2025</t>
        </is>
      </c>
      <c r="B258" s="1" t="n">
        <v>45770.38886574074</v>
      </c>
      <c r="C258" s="1" t="n">
        <v>45922</v>
      </c>
      <c r="D258" t="inlineStr">
        <is>
          <t>NORRBOTTENS LÄN</t>
        </is>
      </c>
      <c r="E258" t="inlineStr">
        <is>
          <t>JOKKMOKK</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25722-2024</t>
        </is>
      </c>
      <c r="B259" s="1" t="n">
        <v>45463</v>
      </c>
      <c r="C259" s="1" t="n">
        <v>45922</v>
      </c>
      <c r="D259" t="inlineStr">
        <is>
          <t>NORRBOTTENS LÄN</t>
        </is>
      </c>
      <c r="E259" t="inlineStr">
        <is>
          <t>JOKKMOKK</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60275-2023</t>
        </is>
      </c>
      <c r="B260" s="1" t="n">
        <v>45258.67847222222</v>
      </c>
      <c r="C260" s="1" t="n">
        <v>45922</v>
      </c>
      <c r="D260" t="inlineStr">
        <is>
          <t>NORRBOTTENS LÄN</t>
        </is>
      </c>
      <c r="E260" t="inlineStr">
        <is>
          <t>JOKKMOKK</t>
        </is>
      </c>
      <c r="G260" t="n">
        <v>3.2</v>
      </c>
      <c r="H260" t="n">
        <v>0</v>
      </c>
      <c r="I260" t="n">
        <v>0</v>
      </c>
      <c r="J260" t="n">
        <v>0</v>
      </c>
      <c r="K260" t="n">
        <v>0</v>
      </c>
      <c r="L260" t="n">
        <v>0</v>
      </c>
      <c r="M260" t="n">
        <v>0</v>
      </c>
      <c r="N260" t="n">
        <v>0</v>
      </c>
      <c r="O260" t="n">
        <v>0</v>
      </c>
      <c r="P260" t="n">
        <v>0</v>
      </c>
      <c r="Q260" t="n">
        <v>0</v>
      </c>
      <c r="R260" s="2" t="inlineStr"/>
    </row>
    <row r="261" ht="15" customHeight="1">
      <c r="A261" t="inlineStr">
        <is>
          <t>A 16864-2023</t>
        </is>
      </c>
      <c r="B261" s="1" t="n">
        <v>45028</v>
      </c>
      <c r="C261" s="1" t="n">
        <v>45922</v>
      </c>
      <c r="D261" t="inlineStr">
        <is>
          <t>NORRBOTTENS LÄN</t>
        </is>
      </c>
      <c r="E261" t="inlineStr">
        <is>
          <t>JOKKMOKK</t>
        </is>
      </c>
      <c r="G261" t="n">
        <v>4</v>
      </c>
      <c r="H261" t="n">
        <v>0</v>
      </c>
      <c r="I261" t="n">
        <v>0</v>
      </c>
      <c r="J261" t="n">
        <v>0</v>
      </c>
      <c r="K261" t="n">
        <v>0</v>
      </c>
      <c r="L261" t="n">
        <v>0</v>
      </c>
      <c r="M261" t="n">
        <v>0</v>
      </c>
      <c r="N261" t="n">
        <v>0</v>
      </c>
      <c r="O261" t="n">
        <v>0</v>
      </c>
      <c r="P261" t="n">
        <v>0</v>
      </c>
      <c r="Q261" t="n">
        <v>0</v>
      </c>
      <c r="R261" s="2" t="inlineStr"/>
    </row>
    <row r="262" ht="15" customHeight="1">
      <c r="A262" t="inlineStr">
        <is>
          <t>A 29213-2024</t>
        </is>
      </c>
      <c r="B262" s="1" t="n">
        <v>45482</v>
      </c>
      <c r="C262" s="1" t="n">
        <v>45922</v>
      </c>
      <c r="D262" t="inlineStr">
        <is>
          <t>NORRBOTTENS LÄN</t>
        </is>
      </c>
      <c r="E262" t="inlineStr">
        <is>
          <t>JOKKMOKK</t>
        </is>
      </c>
      <c r="G262" t="n">
        <v>55</v>
      </c>
      <c r="H262" t="n">
        <v>0</v>
      </c>
      <c r="I262" t="n">
        <v>0</v>
      </c>
      <c r="J262" t="n">
        <v>0</v>
      </c>
      <c r="K262" t="n">
        <v>0</v>
      </c>
      <c r="L262" t="n">
        <v>0</v>
      </c>
      <c r="M262" t="n">
        <v>0</v>
      </c>
      <c r="N262" t="n">
        <v>0</v>
      </c>
      <c r="O262" t="n">
        <v>0</v>
      </c>
      <c r="P262" t="n">
        <v>0</v>
      </c>
      <c r="Q262" t="n">
        <v>0</v>
      </c>
      <c r="R262" s="2" t="inlineStr"/>
    </row>
    <row r="263" ht="15" customHeight="1">
      <c r="A263" t="inlineStr">
        <is>
          <t>A 31918-2025</t>
        </is>
      </c>
      <c r="B263" s="1" t="n">
        <v>45834</v>
      </c>
      <c r="C263" s="1" t="n">
        <v>45922</v>
      </c>
      <c r="D263" t="inlineStr">
        <is>
          <t>NORRBOTTENS LÄN</t>
        </is>
      </c>
      <c r="E263" t="inlineStr">
        <is>
          <t>JOKKMOKK</t>
        </is>
      </c>
      <c r="G263" t="n">
        <v>15.2</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45922</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45922</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25715-2024</t>
        </is>
      </c>
      <c r="B266" s="1" t="n">
        <v>45463</v>
      </c>
      <c r="C266" s="1" t="n">
        <v>45922</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52882-2023</t>
        </is>
      </c>
      <c r="B267" s="1" t="n">
        <v>45222</v>
      </c>
      <c r="C267" s="1" t="n">
        <v>45922</v>
      </c>
      <c r="D267" t="inlineStr">
        <is>
          <t>NORRBOTTENS LÄN</t>
        </is>
      </c>
      <c r="E267" t="inlineStr">
        <is>
          <t>JOKKMOKK</t>
        </is>
      </c>
      <c r="G267" t="n">
        <v>56.1</v>
      </c>
      <c r="H267" t="n">
        <v>0</v>
      </c>
      <c r="I267" t="n">
        <v>0</v>
      </c>
      <c r="J267" t="n">
        <v>0</v>
      </c>
      <c r="K267" t="n">
        <v>0</v>
      </c>
      <c r="L267" t="n">
        <v>0</v>
      </c>
      <c r="M267" t="n">
        <v>0</v>
      </c>
      <c r="N267" t="n">
        <v>0</v>
      </c>
      <c r="O267" t="n">
        <v>0</v>
      </c>
      <c r="P267" t="n">
        <v>0</v>
      </c>
      <c r="Q267" t="n">
        <v>0</v>
      </c>
      <c r="R267" s="2" t="inlineStr"/>
    </row>
    <row r="268" ht="15" customHeight="1">
      <c r="A268" t="inlineStr">
        <is>
          <t>A 32670-2025</t>
        </is>
      </c>
      <c r="B268" s="1" t="n">
        <v>45838.70071759259</v>
      </c>
      <c r="C268" s="1" t="n">
        <v>45922</v>
      </c>
      <c r="D268" t="inlineStr">
        <is>
          <t>NORRBOTTENS LÄN</t>
        </is>
      </c>
      <c r="E268" t="inlineStr">
        <is>
          <t>JOKKMOKK</t>
        </is>
      </c>
      <c r="F268" t="inlineStr">
        <is>
          <t>Sveaskog</t>
        </is>
      </c>
      <c r="G268" t="n">
        <v>6.8</v>
      </c>
      <c r="H268" t="n">
        <v>0</v>
      </c>
      <c r="I268" t="n">
        <v>0</v>
      </c>
      <c r="J268" t="n">
        <v>0</v>
      </c>
      <c r="K268" t="n">
        <v>0</v>
      </c>
      <c r="L268" t="n">
        <v>0</v>
      </c>
      <c r="M268" t="n">
        <v>0</v>
      </c>
      <c r="N268" t="n">
        <v>0</v>
      </c>
      <c r="O268" t="n">
        <v>0</v>
      </c>
      <c r="P268" t="n">
        <v>0</v>
      </c>
      <c r="Q268" t="n">
        <v>0</v>
      </c>
      <c r="R268" s="2" t="inlineStr"/>
    </row>
    <row r="269" ht="15" customHeight="1">
      <c r="A269" t="inlineStr">
        <is>
          <t>A 2031-2025</t>
        </is>
      </c>
      <c r="B269" s="1" t="n">
        <v>45672</v>
      </c>
      <c r="C269" s="1" t="n">
        <v>45922</v>
      </c>
      <c r="D269" t="inlineStr">
        <is>
          <t>NORRBOTTENS LÄN</t>
        </is>
      </c>
      <c r="E269" t="inlineStr">
        <is>
          <t>JOKKMOKK</t>
        </is>
      </c>
      <c r="F269" t="inlineStr">
        <is>
          <t>Övriga statliga verk och myndigheter</t>
        </is>
      </c>
      <c r="G269" t="n">
        <v>7.5</v>
      </c>
      <c r="H269" t="n">
        <v>0</v>
      </c>
      <c r="I269" t="n">
        <v>0</v>
      </c>
      <c r="J269" t="n">
        <v>0</v>
      </c>
      <c r="K269" t="n">
        <v>0</v>
      </c>
      <c r="L269" t="n">
        <v>0</v>
      </c>
      <c r="M269" t="n">
        <v>0</v>
      </c>
      <c r="N269" t="n">
        <v>0</v>
      </c>
      <c r="O269" t="n">
        <v>0</v>
      </c>
      <c r="P269" t="n">
        <v>0</v>
      </c>
      <c r="Q269" t="n">
        <v>0</v>
      </c>
      <c r="R269" s="2" t="inlineStr"/>
    </row>
    <row r="270" ht="15" customHeight="1">
      <c r="A270" t="inlineStr">
        <is>
          <t>A 37694-2025</t>
        </is>
      </c>
      <c r="B270" s="1" t="n">
        <v>45880.57349537037</v>
      </c>
      <c r="C270" s="1" t="n">
        <v>45922</v>
      </c>
      <c r="D270" t="inlineStr">
        <is>
          <t>NORRBOTTENS LÄN</t>
        </is>
      </c>
      <c r="E270" t="inlineStr">
        <is>
          <t>JOKKMOKK</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40658-2024</t>
        </is>
      </c>
      <c r="B271" s="1" t="n">
        <v>45558</v>
      </c>
      <c r="C271" s="1" t="n">
        <v>45922</v>
      </c>
      <c r="D271" t="inlineStr">
        <is>
          <t>NORRBOTTENS LÄN</t>
        </is>
      </c>
      <c r="E271" t="inlineStr">
        <is>
          <t>JOKKMOKK</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26969-2024</t>
        </is>
      </c>
      <c r="B272" s="1" t="n">
        <v>45471.27252314815</v>
      </c>
      <c r="C272" s="1" t="n">
        <v>45922</v>
      </c>
      <c r="D272" t="inlineStr">
        <is>
          <t>NORRBOTTENS LÄN</t>
        </is>
      </c>
      <c r="E272" t="inlineStr">
        <is>
          <t>JOKKMOKK</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37917-2025</t>
        </is>
      </c>
      <c r="B273" s="1" t="n">
        <v>45881.57443287037</v>
      </c>
      <c r="C273" s="1" t="n">
        <v>45922</v>
      </c>
      <c r="D273" t="inlineStr">
        <is>
          <t>NORRBOTTENS LÄN</t>
        </is>
      </c>
      <c r="E273" t="inlineStr">
        <is>
          <t>JOKKMOKK</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28319-2021</t>
        </is>
      </c>
      <c r="B274" s="1" t="n">
        <v>44355</v>
      </c>
      <c r="C274" s="1" t="n">
        <v>45922</v>
      </c>
      <c r="D274" t="inlineStr">
        <is>
          <t>NORRBOTTENS LÄN</t>
        </is>
      </c>
      <c r="E274" t="inlineStr">
        <is>
          <t>JOKKMOKK</t>
        </is>
      </c>
      <c r="F274" t="inlineStr">
        <is>
          <t>Övriga statliga verk och myndigheter</t>
        </is>
      </c>
      <c r="G274" t="n">
        <v>40</v>
      </c>
      <c r="H274" t="n">
        <v>0</v>
      </c>
      <c r="I274" t="n">
        <v>0</v>
      </c>
      <c r="J274" t="n">
        <v>0</v>
      </c>
      <c r="K274" t="n">
        <v>0</v>
      </c>
      <c r="L274" t="n">
        <v>0</v>
      </c>
      <c r="M274" t="n">
        <v>0</v>
      </c>
      <c r="N274" t="n">
        <v>0</v>
      </c>
      <c r="O274" t="n">
        <v>0</v>
      </c>
      <c r="P274" t="n">
        <v>0</v>
      </c>
      <c r="Q274" t="n">
        <v>0</v>
      </c>
      <c r="R274" s="2" t="inlineStr"/>
    </row>
    <row r="275" ht="15" customHeight="1">
      <c r="A275" t="inlineStr">
        <is>
          <t>A 33551-2025</t>
        </is>
      </c>
      <c r="B275" s="1" t="n">
        <v>45841.57357638889</v>
      </c>
      <c r="C275" s="1" t="n">
        <v>45922</v>
      </c>
      <c r="D275" t="inlineStr">
        <is>
          <t>NORRBOTTENS LÄN</t>
        </is>
      </c>
      <c r="E275" t="inlineStr">
        <is>
          <t>JOKKMOKK</t>
        </is>
      </c>
      <c r="F275" t="inlineStr">
        <is>
          <t>SCA</t>
        </is>
      </c>
      <c r="G275" t="n">
        <v>7.9</v>
      </c>
      <c r="H275" t="n">
        <v>0</v>
      </c>
      <c r="I275" t="n">
        <v>0</v>
      </c>
      <c r="J275" t="n">
        <v>0</v>
      </c>
      <c r="K275" t="n">
        <v>0</v>
      </c>
      <c r="L275" t="n">
        <v>0</v>
      </c>
      <c r="M275" t="n">
        <v>0</v>
      </c>
      <c r="N275" t="n">
        <v>0</v>
      </c>
      <c r="O275" t="n">
        <v>0</v>
      </c>
      <c r="P275" t="n">
        <v>0</v>
      </c>
      <c r="Q275" t="n">
        <v>0</v>
      </c>
      <c r="R275" s="2" t="inlineStr"/>
    </row>
    <row r="276" ht="15" customHeight="1">
      <c r="A276" t="inlineStr">
        <is>
          <t>A 30292-2023</t>
        </is>
      </c>
      <c r="B276" s="1" t="n">
        <v>45110</v>
      </c>
      <c r="C276" s="1" t="n">
        <v>45922</v>
      </c>
      <c r="D276" t="inlineStr">
        <is>
          <t>NORRBOTTENS LÄN</t>
        </is>
      </c>
      <c r="E276" t="inlineStr">
        <is>
          <t>JOKKMOKK</t>
        </is>
      </c>
      <c r="G276" t="n">
        <v>1.4</v>
      </c>
      <c r="H276" t="n">
        <v>0</v>
      </c>
      <c r="I276" t="n">
        <v>0</v>
      </c>
      <c r="J276" t="n">
        <v>0</v>
      </c>
      <c r="K276" t="n">
        <v>0</v>
      </c>
      <c r="L276" t="n">
        <v>0</v>
      </c>
      <c r="M276" t="n">
        <v>0</v>
      </c>
      <c r="N276" t="n">
        <v>0</v>
      </c>
      <c r="O276" t="n">
        <v>0</v>
      </c>
      <c r="P276" t="n">
        <v>0</v>
      </c>
      <c r="Q276" t="n">
        <v>0</v>
      </c>
      <c r="R276" s="2" t="inlineStr"/>
    </row>
    <row r="277" ht="15" customHeight="1">
      <c r="A277" t="inlineStr">
        <is>
          <t>A 33515-2025</t>
        </is>
      </c>
      <c r="B277" s="1" t="n">
        <v>45841.53164351852</v>
      </c>
      <c r="C277" s="1" t="n">
        <v>45922</v>
      </c>
      <c r="D277" t="inlineStr">
        <is>
          <t>NORRBOTTENS LÄN</t>
        </is>
      </c>
      <c r="E277" t="inlineStr">
        <is>
          <t>JOKKMOKK</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9865-2023</t>
        </is>
      </c>
      <c r="B278" s="1" t="n">
        <v>44984</v>
      </c>
      <c r="C278" s="1" t="n">
        <v>45922</v>
      </c>
      <c r="D278" t="inlineStr">
        <is>
          <t>NORRBOTTENS LÄN</t>
        </is>
      </c>
      <c r="E278" t="inlineStr">
        <is>
          <t>JOKKMOKK</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33523-2025</t>
        </is>
      </c>
      <c r="B279" s="1" t="n">
        <v>45841.54601851852</v>
      </c>
      <c r="C279" s="1" t="n">
        <v>45922</v>
      </c>
      <c r="D279" t="inlineStr">
        <is>
          <t>NORRBOTTENS LÄN</t>
        </is>
      </c>
      <c r="E279" t="inlineStr">
        <is>
          <t>JOKKMOKK</t>
        </is>
      </c>
      <c r="F279" t="inlineStr">
        <is>
          <t>Sveaskog</t>
        </is>
      </c>
      <c r="G279" t="n">
        <v>5.5</v>
      </c>
      <c r="H279" t="n">
        <v>0</v>
      </c>
      <c r="I279" t="n">
        <v>0</v>
      </c>
      <c r="J279" t="n">
        <v>0</v>
      </c>
      <c r="K279" t="n">
        <v>0</v>
      </c>
      <c r="L279" t="n">
        <v>0</v>
      </c>
      <c r="M279" t="n">
        <v>0</v>
      </c>
      <c r="N279" t="n">
        <v>0</v>
      </c>
      <c r="O279" t="n">
        <v>0</v>
      </c>
      <c r="P279" t="n">
        <v>0</v>
      </c>
      <c r="Q279" t="n">
        <v>0</v>
      </c>
      <c r="R279" s="2" t="inlineStr"/>
    </row>
    <row r="280" ht="15" customHeight="1">
      <c r="A280" t="inlineStr">
        <is>
          <t>A 45469-2022</t>
        </is>
      </c>
      <c r="B280" s="1" t="n">
        <v>44841</v>
      </c>
      <c r="C280" s="1" t="n">
        <v>45922</v>
      </c>
      <c r="D280" t="inlineStr">
        <is>
          <t>NORRBOTTENS LÄN</t>
        </is>
      </c>
      <c r="E280" t="inlineStr">
        <is>
          <t>JOKKMOKK</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45505-2022</t>
        </is>
      </c>
      <c r="B281" s="1" t="n">
        <v>44841</v>
      </c>
      <c r="C281" s="1" t="n">
        <v>45922</v>
      </c>
      <c r="D281" t="inlineStr">
        <is>
          <t>NORRBOTTENS LÄN</t>
        </is>
      </c>
      <c r="E281" t="inlineStr">
        <is>
          <t>JOKKMOKK</t>
        </is>
      </c>
      <c r="F281" t="inlineStr">
        <is>
          <t>Övriga Aktiebolag</t>
        </is>
      </c>
      <c r="G281" t="n">
        <v>1</v>
      </c>
      <c r="H281" t="n">
        <v>0</v>
      </c>
      <c r="I281" t="n">
        <v>0</v>
      </c>
      <c r="J281" t="n">
        <v>0</v>
      </c>
      <c r="K281" t="n">
        <v>0</v>
      </c>
      <c r="L281" t="n">
        <v>0</v>
      </c>
      <c r="M281" t="n">
        <v>0</v>
      </c>
      <c r="N281" t="n">
        <v>0</v>
      </c>
      <c r="O281" t="n">
        <v>0</v>
      </c>
      <c r="P281" t="n">
        <v>0</v>
      </c>
      <c r="Q281" t="n">
        <v>0</v>
      </c>
      <c r="R281" s="2" t="inlineStr"/>
    </row>
    <row r="282" ht="15" customHeight="1">
      <c r="A282" t="inlineStr">
        <is>
          <t>A 49679-2024</t>
        </is>
      </c>
      <c r="B282" s="1" t="n">
        <v>45596.6649537037</v>
      </c>
      <c r="C282" s="1" t="n">
        <v>45922</v>
      </c>
      <c r="D282" t="inlineStr">
        <is>
          <t>NORRBOTTENS LÄN</t>
        </is>
      </c>
      <c r="E282" t="inlineStr">
        <is>
          <t>JOKKMOKK</t>
        </is>
      </c>
      <c r="F282" t="inlineStr">
        <is>
          <t>Allmännings- och besparingsskogar</t>
        </is>
      </c>
      <c r="G282" t="n">
        <v>14.1</v>
      </c>
      <c r="H282" t="n">
        <v>0</v>
      </c>
      <c r="I282" t="n">
        <v>0</v>
      </c>
      <c r="J282" t="n">
        <v>0</v>
      </c>
      <c r="K282" t="n">
        <v>0</v>
      </c>
      <c r="L282" t="n">
        <v>0</v>
      </c>
      <c r="M282" t="n">
        <v>0</v>
      </c>
      <c r="N282" t="n">
        <v>0</v>
      </c>
      <c r="O282" t="n">
        <v>0</v>
      </c>
      <c r="P282" t="n">
        <v>0</v>
      </c>
      <c r="Q282" t="n">
        <v>0</v>
      </c>
      <c r="R282" s="2" t="inlineStr"/>
    </row>
    <row r="283" ht="15" customHeight="1">
      <c r="A283" t="inlineStr">
        <is>
          <t>A 56199-2021</t>
        </is>
      </c>
      <c r="B283" s="1" t="n">
        <v>44477</v>
      </c>
      <c r="C283" s="1" t="n">
        <v>45922</v>
      </c>
      <c r="D283" t="inlineStr">
        <is>
          <t>NORRBOTTENS LÄN</t>
        </is>
      </c>
      <c r="E283" t="inlineStr">
        <is>
          <t>JOKKMOKK</t>
        </is>
      </c>
      <c r="G283" t="n">
        <v>1</v>
      </c>
      <c r="H283" t="n">
        <v>0</v>
      </c>
      <c r="I283" t="n">
        <v>0</v>
      </c>
      <c r="J283" t="n">
        <v>0</v>
      </c>
      <c r="K283" t="n">
        <v>0</v>
      </c>
      <c r="L283" t="n">
        <v>0</v>
      </c>
      <c r="M283" t="n">
        <v>0</v>
      </c>
      <c r="N283" t="n">
        <v>0</v>
      </c>
      <c r="O283" t="n">
        <v>0</v>
      </c>
      <c r="P283" t="n">
        <v>0</v>
      </c>
      <c r="Q283" t="n">
        <v>0</v>
      </c>
      <c r="R283" s="2" t="inlineStr"/>
    </row>
    <row r="284" ht="15" customHeight="1">
      <c r="A284" t="inlineStr">
        <is>
          <t>A 16018-2024</t>
        </is>
      </c>
      <c r="B284" s="1" t="n">
        <v>45405.67028935185</v>
      </c>
      <c r="C284" s="1" t="n">
        <v>45922</v>
      </c>
      <c r="D284" t="inlineStr">
        <is>
          <t>NORRBOTTENS LÄN</t>
        </is>
      </c>
      <c r="E284" t="inlineStr">
        <is>
          <t>JOKKMOKK</t>
        </is>
      </c>
      <c r="G284" t="n">
        <v>1.8</v>
      </c>
      <c r="H284" t="n">
        <v>0</v>
      </c>
      <c r="I284" t="n">
        <v>0</v>
      </c>
      <c r="J284" t="n">
        <v>0</v>
      </c>
      <c r="K284" t="n">
        <v>0</v>
      </c>
      <c r="L284" t="n">
        <v>0</v>
      </c>
      <c r="M284" t="n">
        <v>0</v>
      </c>
      <c r="N284" t="n">
        <v>0</v>
      </c>
      <c r="O284" t="n">
        <v>0</v>
      </c>
      <c r="P284" t="n">
        <v>0</v>
      </c>
      <c r="Q284" t="n">
        <v>0</v>
      </c>
      <c r="R284" s="2" t="inlineStr"/>
    </row>
    <row r="285" ht="15" customHeight="1">
      <c r="A285" t="inlineStr">
        <is>
          <t>A 9860-2023</t>
        </is>
      </c>
      <c r="B285" s="1" t="n">
        <v>44984</v>
      </c>
      <c r="C285" s="1" t="n">
        <v>45922</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9863-2023</t>
        </is>
      </c>
      <c r="B286" s="1" t="n">
        <v>44984</v>
      </c>
      <c r="C286" s="1" t="n">
        <v>45922</v>
      </c>
      <c r="D286" t="inlineStr">
        <is>
          <t>NORRBOTTENS LÄN</t>
        </is>
      </c>
      <c r="E286" t="inlineStr">
        <is>
          <t>JOKKMOKK</t>
        </is>
      </c>
      <c r="F286" t="inlineStr">
        <is>
          <t>SCA</t>
        </is>
      </c>
      <c r="G286" t="n">
        <v>14.4</v>
      </c>
      <c r="H286" t="n">
        <v>0</v>
      </c>
      <c r="I286" t="n">
        <v>0</v>
      </c>
      <c r="J286" t="n">
        <v>0</v>
      </c>
      <c r="K286" t="n">
        <v>0</v>
      </c>
      <c r="L286" t="n">
        <v>0</v>
      </c>
      <c r="M286" t="n">
        <v>0</v>
      </c>
      <c r="N286" t="n">
        <v>0</v>
      </c>
      <c r="O286" t="n">
        <v>0</v>
      </c>
      <c r="P286" t="n">
        <v>0</v>
      </c>
      <c r="Q286" t="n">
        <v>0</v>
      </c>
      <c r="R286" s="2" t="inlineStr"/>
    </row>
    <row r="287" ht="15" customHeight="1">
      <c r="A287" t="inlineStr">
        <is>
          <t>A 9872-2023</t>
        </is>
      </c>
      <c r="B287" s="1" t="n">
        <v>44984</v>
      </c>
      <c r="C287" s="1" t="n">
        <v>45922</v>
      </c>
      <c r="D287" t="inlineStr">
        <is>
          <t>NORRBOTTENS LÄN</t>
        </is>
      </c>
      <c r="E287" t="inlineStr">
        <is>
          <t>JOKKMOKK</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9873-2023</t>
        </is>
      </c>
      <c r="B288" s="1" t="n">
        <v>44984</v>
      </c>
      <c r="C288" s="1" t="n">
        <v>45922</v>
      </c>
      <c r="D288" t="inlineStr">
        <is>
          <t>NORRBOTTENS LÄN</t>
        </is>
      </c>
      <c r="E288" t="inlineStr">
        <is>
          <t>JOKKMOKK</t>
        </is>
      </c>
      <c r="G288" t="n">
        <v>1.6</v>
      </c>
      <c r="H288" t="n">
        <v>0</v>
      </c>
      <c r="I288" t="n">
        <v>0</v>
      </c>
      <c r="J288" t="n">
        <v>0</v>
      </c>
      <c r="K288" t="n">
        <v>0</v>
      </c>
      <c r="L288" t="n">
        <v>0</v>
      </c>
      <c r="M288" t="n">
        <v>0</v>
      </c>
      <c r="N288" t="n">
        <v>0</v>
      </c>
      <c r="O288" t="n">
        <v>0</v>
      </c>
      <c r="P288" t="n">
        <v>0</v>
      </c>
      <c r="Q288" t="n">
        <v>0</v>
      </c>
      <c r="R288" s="2" t="inlineStr"/>
    </row>
    <row r="289" ht="15" customHeight="1">
      <c r="A289" t="inlineStr">
        <is>
          <t>A 9877-2023</t>
        </is>
      </c>
      <c r="B289" s="1" t="n">
        <v>44984.94033564815</v>
      </c>
      <c r="C289" s="1" t="n">
        <v>45922</v>
      </c>
      <c r="D289" t="inlineStr">
        <is>
          <t>NORRBOTTENS LÄN</t>
        </is>
      </c>
      <c r="E289" t="inlineStr">
        <is>
          <t>JOKKMOKK</t>
        </is>
      </c>
      <c r="F289" t="inlineStr">
        <is>
          <t>SCA</t>
        </is>
      </c>
      <c r="G289" t="n">
        <v>5.4</v>
      </c>
      <c r="H289" t="n">
        <v>0</v>
      </c>
      <c r="I289" t="n">
        <v>0</v>
      </c>
      <c r="J289" t="n">
        <v>0</v>
      </c>
      <c r="K289" t="n">
        <v>0</v>
      </c>
      <c r="L289" t="n">
        <v>0</v>
      </c>
      <c r="M289" t="n">
        <v>0</v>
      </c>
      <c r="N289" t="n">
        <v>0</v>
      </c>
      <c r="O289" t="n">
        <v>0</v>
      </c>
      <c r="P289" t="n">
        <v>0</v>
      </c>
      <c r="Q289" t="n">
        <v>0</v>
      </c>
      <c r="R289" s="2" t="inlineStr"/>
    </row>
    <row r="290" ht="15" customHeight="1">
      <c r="A290" t="inlineStr">
        <is>
          <t>A 33554-2025</t>
        </is>
      </c>
      <c r="B290" s="1" t="n">
        <v>45841.57400462963</v>
      </c>
      <c r="C290" s="1" t="n">
        <v>45922</v>
      </c>
      <c r="D290" t="inlineStr">
        <is>
          <t>NORRBOTTENS LÄN</t>
        </is>
      </c>
      <c r="E290" t="inlineStr">
        <is>
          <t>JOKKMOKK</t>
        </is>
      </c>
      <c r="F290" t="inlineStr">
        <is>
          <t>SCA</t>
        </is>
      </c>
      <c r="G290" t="n">
        <v>11.4</v>
      </c>
      <c r="H290" t="n">
        <v>0</v>
      </c>
      <c r="I290" t="n">
        <v>0</v>
      </c>
      <c r="J290" t="n">
        <v>0</v>
      </c>
      <c r="K290" t="n">
        <v>0</v>
      </c>
      <c r="L290" t="n">
        <v>0</v>
      </c>
      <c r="M290" t="n">
        <v>0</v>
      </c>
      <c r="N290" t="n">
        <v>0</v>
      </c>
      <c r="O290" t="n">
        <v>0</v>
      </c>
      <c r="P290" t="n">
        <v>0</v>
      </c>
      <c r="Q290" t="n">
        <v>0</v>
      </c>
      <c r="R290" s="2" t="inlineStr"/>
    </row>
    <row r="291" ht="15" customHeight="1">
      <c r="A291" t="inlineStr">
        <is>
          <t>A 13863-2025</t>
        </is>
      </c>
      <c r="B291" s="1" t="n">
        <v>45737.57435185185</v>
      </c>
      <c r="C291" s="1" t="n">
        <v>45922</v>
      </c>
      <c r="D291" t="inlineStr">
        <is>
          <t>NORRBOTTENS LÄN</t>
        </is>
      </c>
      <c r="E291" t="inlineStr">
        <is>
          <t>JOKKMOKK</t>
        </is>
      </c>
      <c r="G291" t="n">
        <v>0.9</v>
      </c>
      <c r="H291" t="n">
        <v>0</v>
      </c>
      <c r="I291" t="n">
        <v>0</v>
      </c>
      <c r="J291" t="n">
        <v>0</v>
      </c>
      <c r="K291" t="n">
        <v>0</v>
      </c>
      <c r="L291" t="n">
        <v>0</v>
      </c>
      <c r="M291" t="n">
        <v>0</v>
      </c>
      <c r="N291" t="n">
        <v>0</v>
      </c>
      <c r="O291" t="n">
        <v>0</v>
      </c>
      <c r="P291" t="n">
        <v>0</v>
      </c>
      <c r="Q291" t="n">
        <v>0</v>
      </c>
      <c r="R291" s="2" t="inlineStr"/>
    </row>
    <row r="292" ht="15" customHeight="1">
      <c r="A292" t="inlineStr">
        <is>
          <t>A 13864-2025</t>
        </is>
      </c>
      <c r="B292" s="1" t="n">
        <v>45737.57438657407</v>
      </c>
      <c r="C292" s="1" t="n">
        <v>45922</v>
      </c>
      <c r="D292" t="inlineStr">
        <is>
          <t>NORRBOTTENS LÄN</t>
        </is>
      </c>
      <c r="E292" t="inlineStr">
        <is>
          <t>JOKKMOKK</t>
        </is>
      </c>
      <c r="G292" t="n">
        <v>1.7</v>
      </c>
      <c r="H292" t="n">
        <v>0</v>
      </c>
      <c r="I292" t="n">
        <v>0</v>
      </c>
      <c r="J292" t="n">
        <v>0</v>
      </c>
      <c r="K292" t="n">
        <v>0</v>
      </c>
      <c r="L292" t="n">
        <v>0</v>
      </c>
      <c r="M292" t="n">
        <v>0</v>
      </c>
      <c r="N292" t="n">
        <v>0</v>
      </c>
      <c r="O292" t="n">
        <v>0</v>
      </c>
      <c r="P292" t="n">
        <v>0</v>
      </c>
      <c r="Q292" t="n">
        <v>0</v>
      </c>
      <c r="R292" s="2" t="inlineStr"/>
    </row>
    <row r="293" ht="15" customHeight="1">
      <c r="A293" t="inlineStr">
        <is>
          <t>A 38226-2025</t>
        </is>
      </c>
      <c r="B293" s="1" t="n">
        <v>45883.34521990741</v>
      </c>
      <c r="C293" s="1" t="n">
        <v>45922</v>
      </c>
      <c r="D293" t="inlineStr">
        <is>
          <t>NORRBOTTENS LÄN</t>
        </is>
      </c>
      <c r="E293" t="inlineStr">
        <is>
          <t>JOKKMOKK</t>
        </is>
      </c>
      <c r="F293" t="inlineStr">
        <is>
          <t>SCA</t>
        </is>
      </c>
      <c r="G293" t="n">
        <v>14.5</v>
      </c>
      <c r="H293" t="n">
        <v>0</v>
      </c>
      <c r="I293" t="n">
        <v>0</v>
      </c>
      <c r="J293" t="n">
        <v>0</v>
      </c>
      <c r="K293" t="n">
        <v>0</v>
      </c>
      <c r="L293" t="n">
        <v>0</v>
      </c>
      <c r="M293" t="n">
        <v>0</v>
      </c>
      <c r="N293" t="n">
        <v>0</v>
      </c>
      <c r="O293" t="n">
        <v>0</v>
      </c>
      <c r="P293" t="n">
        <v>0</v>
      </c>
      <c r="Q293" t="n">
        <v>0</v>
      </c>
      <c r="R293" s="2" t="inlineStr"/>
    </row>
    <row r="294" ht="15" customHeight="1">
      <c r="A294" t="inlineStr">
        <is>
          <t>A 38228-2025</t>
        </is>
      </c>
      <c r="B294" s="1" t="n">
        <v>45883.34554398148</v>
      </c>
      <c r="C294" s="1" t="n">
        <v>45922</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30313-2024</t>
        </is>
      </c>
      <c r="B295" s="1" t="n">
        <v>45490</v>
      </c>
      <c r="C295" s="1" t="n">
        <v>45922</v>
      </c>
      <c r="D295" t="inlineStr">
        <is>
          <t>NORRBOTTENS LÄN</t>
        </is>
      </c>
      <c r="E295" t="inlineStr">
        <is>
          <t>JOKKMOKK</t>
        </is>
      </c>
      <c r="G295" t="n">
        <v>3.4</v>
      </c>
      <c r="H295" t="n">
        <v>0</v>
      </c>
      <c r="I295" t="n">
        <v>0</v>
      </c>
      <c r="J295" t="n">
        <v>0</v>
      </c>
      <c r="K295" t="n">
        <v>0</v>
      </c>
      <c r="L295" t="n">
        <v>0</v>
      </c>
      <c r="M295" t="n">
        <v>0</v>
      </c>
      <c r="N295" t="n">
        <v>0</v>
      </c>
      <c r="O295" t="n">
        <v>0</v>
      </c>
      <c r="P295" t="n">
        <v>0</v>
      </c>
      <c r="Q295" t="n">
        <v>0</v>
      </c>
      <c r="R295" s="2" t="inlineStr"/>
    </row>
    <row r="296" ht="15" customHeight="1">
      <c r="A296" t="inlineStr">
        <is>
          <t>A 18903-2025</t>
        </is>
      </c>
      <c r="B296" s="1" t="n">
        <v>45764.46019675926</v>
      </c>
      <c r="C296" s="1" t="n">
        <v>45922</v>
      </c>
      <c r="D296" t="inlineStr">
        <is>
          <t>NORRBOTTENS LÄN</t>
        </is>
      </c>
      <c r="E296" t="inlineStr">
        <is>
          <t>JOKKMOKK</t>
        </is>
      </c>
      <c r="G296" t="n">
        <v>9.1</v>
      </c>
      <c r="H296" t="n">
        <v>0</v>
      </c>
      <c r="I296" t="n">
        <v>0</v>
      </c>
      <c r="J296" t="n">
        <v>0</v>
      </c>
      <c r="K296" t="n">
        <v>0</v>
      </c>
      <c r="L296" t="n">
        <v>0</v>
      </c>
      <c r="M296" t="n">
        <v>0</v>
      </c>
      <c r="N296" t="n">
        <v>0</v>
      </c>
      <c r="O296" t="n">
        <v>0</v>
      </c>
      <c r="P296" t="n">
        <v>0</v>
      </c>
      <c r="Q296" t="n">
        <v>0</v>
      </c>
      <c r="R296" s="2" t="inlineStr"/>
    </row>
    <row r="297" ht="15" customHeight="1">
      <c r="A297" t="inlineStr">
        <is>
          <t>A 26131-2023</t>
        </is>
      </c>
      <c r="B297" s="1" t="n">
        <v>45086</v>
      </c>
      <c r="C297" s="1" t="n">
        <v>45922</v>
      </c>
      <c r="D297" t="inlineStr">
        <is>
          <t>NORRBOTTENS LÄN</t>
        </is>
      </c>
      <c r="E297" t="inlineStr">
        <is>
          <t>JOKKMOKK</t>
        </is>
      </c>
      <c r="G297" t="n">
        <v>35.6</v>
      </c>
      <c r="H297" t="n">
        <v>0</v>
      </c>
      <c r="I297" t="n">
        <v>0</v>
      </c>
      <c r="J297" t="n">
        <v>0</v>
      </c>
      <c r="K297" t="n">
        <v>0</v>
      </c>
      <c r="L297" t="n">
        <v>0</v>
      </c>
      <c r="M297" t="n">
        <v>0</v>
      </c>
      <c r="N297" t="n">
        <v>0</v>
      </c>
      <c r="O297" t="n">
        <v>0</v>
      </c>
      <c r="P297" t="n">
        <v>0</v>
      </c>
      <c r="Q297" t="n">
        <v>0</v>
      </c>
      <c r="R297" s="2" t="inlineStr"/>
    </row>
    <row r="298" ht="15" customHeight="1">
      <c r="A298" t="inlineStr">
        <is>
          <t>A 29212-2024</t>
        </is>
      </c>
      <c r="B298" s="1" t="n">
        <v>45482</v>
      </c>
      <c r="C298" s="1" t="n">
        <v>45922</v>
      </c>
      <c r="D298" t="inlineStr">
        <is>
          <t>NORRBOTTENS LÄN</t>
        </is>
      </c>
      <c r="E298" t="inlineStr">
        <is>
          <t>JOKKMOKK</t>
        </is>
      </c>
      <c r="G298" t="n">
        <v>8.5</v>
      </c>
      <c r="H298" t="n">
        <v>0</v>
      </c>
      <c r="I298" t="n">
        <v>0</v>
      </c>
      <c r="J298" t="n">
        <v>0</v>
      </c>
      <c r="K298" t="n">
        <v>0</v>
      </c>
      <c r="L298" t="n">
        <v>0</v>
      </c>
      <c r="M298" t="n">
        <v>0</v>
      </c>
      <c r="N298" t="n">
        <v>0</v>
      </c>
      <c r="O298" t="n">
        <v>0</v>
      </c>
      <c r="P298" t="n">
        <v>0</v>
      </c>
      <c r="Q298" t="n">
        <v>0</v>
      </c>
      <c r="R298" s="2" t="inlineStr"/>
    </row>
    <row r="299" ht="15" customHeight="1">
      <c r="A299" t="inlineStr">
        <is>
          <t>A 33349-2025</t>
        </is>
      </c>
      <c r="B299" s="1" t="n">
        <v>45841.3704050926</v>
      </c>
      <c r="C299" s="1" t="n">
        <v>45922</v>
      </c>
      <c r="D299" t="inlineStr">
        <is>
          <t>NORRBOTTENS LÄN</t>
        </is>
      </c>
      <c r="E299" t="inlineStr">
        <is>
          <t>JOKKMOKK</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50436-2024</t>
        </is>
      </c>
      <c r="B300" s="1" t="n">
        <v>45601.4096875</v>
      </c>
      <c r="C300" s="1" t="n">
        <v>45922</v>
      </c>
      <c r="D300" t="inlineStr">
        <is>
          <t>NORRBOTTENS LÄN</t>
        </is>
      </c>
      <c r="E300" t="inlineStr">
        <is>
          <t>JOKKMOKK</t>
        </is>
      </c>
      <c r="F300" t="inlineStr">
        <is>
          <t>Allmännings- och besparingsskogar</t>
        </is>
      </c>
      <c r="G300" t="n">
        <v>6.5</v>
      </c>
      <c r="H300" t="n">
        <v>0</v>
      </c>
      <c r="I300" t="n">
        <v>0</v>
      </c>
      <c r="J300" t="n">
        <v>0</v>
      </c>
      <c r="K300" t="n">
        <v>0</v>
      </c>
      <c r="L300" t="n">
        <v>0</v>
      </c>
      <c r="M300" t="n">
        <v>0</v>
      </c>
      <c r="N300" t="n">
        <v>0</v>
      </c>
      <c r="O300" t="n">
        <v>0</v>
      </c>
      <c r="P300" t="n">
        <v>0</v>
      </c>
      <c r="Q300" t="n">
        <v>0</v>
      </c>
      <c r="R300" s="2" t="inlineStr"/>
    </row>
    <row r="301" ht="15" customHeight="1">
      <c r="A301" t="inlineStr">
        <is>
          <t>A 453-2025</t>
        </is>
      </c>
      <c r="B301" s="1" t="n">
        <v>45664.4005787037</v>
      </c>
      <c r="C301" s="1" t="n">
        <v>45922</v>
      </c>
      <c r="D301" t="inlineStr">
        <is>
          <t>NORRBOTTENS LÄN</t>
        </is>
      </c>
      <c r="E301" t="inlineStr">
        <is>
          <t>JOKKMOKK</t>
        </is>
      </c>
      <c r="F301" t="inlineStr">
        <is>
          <t>Övriga statliga verk och myndigheter</t>
        </is>
      </c>
      <c r="G301" t="n">
        <v>5</v>
      </c>
      <c r="H301" t="n">
        <v>0</v>
      </c>
      <c r="I301" t="n">
        <v>0</v>
      </c>
      <c r="J301" t="n">
        <v>0</v>
      </c>
      <c r="K301" t="n">
        <v>0</v>
      </c>
      <c r="L301" t="n">
        <v>0</v>
      </c>
      <c r="M301" t="n">
        <v>0</v>
      </c>
      <c r="N301" t="n">
        <v>0</v>
      </c>
      <c r="O301" t="n">
        <v>0</v>
      </c>
      <c r="P301" t="n">
        <v>0</v>
      </c>
      <c r="Q301" t="n">
        <v>0</v>
      </c>
      <c r="R301" s="2" t="inlineStr"/>
    </row>
    <row r="302" ht="15" customHeight="1">
      <c r="A302" t="inlineStr">
        <is>
          <t>A 2826-2025</t>
        </is>
      </c>
      <c r="B302" s="1" t="n">
        <v>45677.61483796296</v>
      </c>
      <c r="C302" s="1" t="n">
        <v>45922</v>
      </c>
      <c r="D302" t="inlineStr">
        <is>
          <t>NORRBOTTENS LÄN</t>
        </is>
      </c>
      <c r="E302" t="inlineStr">
        <is>
          <t>JOKKMOKK</t>
        </is>
      </c>
      <c r="F302" t="inlineStr">
        <is>
          <t>Övriga statliga verk och myndigheter</t>
        </is>
      </c>
      <c r="G302" t="n">
        <v>10.5</v>
      </c>
      <c r="H302" t="n">
        <v>0</v>
      </c>
      <c r="I302" t="n">
        <v>0</v>
      </c>
      <c r="J302" t="n">
        <v>0</v>
      </c>
      <c r="K302" t="n">
        <v>0</v>
      </c>
      <c r="L302" t="n">
        <v>0</v>
      </c>
      <c r="M302" t="n">
        <v>0</v>
      </c>
      <c r="N302" t="n">
        <v>0</v>
      </c>
      <c r="O302" t="n">
        <v>0</v>
      </c>
      <c r="P302" t="n">
        <v>0</v>
      </c>
      <c r="Q302" t="n">
        <v>0</v>
      </c>
      <c r="R302" s="2" t="inlineStr"/>
    </row>
    <row r="303" ht="15" customHeight="1">
      <c r="A303" t="inlineStr">
        <is>
          <t>A 59793-2024</t>
        </is>
      </c>
      <c r="B303" s="1" t="n">
        <v>45639.58967592593</v>
      </c>
      <c r="C303" s="1" t="n">
        <v>45922</v>
      </c>
      <c r="D303" t="inlineStr">
        <is>
          <t>NORRBOTTENS LÄN</t>
        </is>
      </c>
      <c r="E303" t="inlineStr">
        <is>
          <t>JOKKMOKK</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45468-2022</t>
        </is>
      </c>
      <c r="B304" s="1" t="n">
        <v>44841</v>
      </c>
      <c r="C304" s="1" t="n">
        <v>45922</v>
      </c>
      <c r="D304" t="inlineStr">
        <is>
          <t>NORRBOTTENS LÄN</t>
        </is>
      </c>
      <c r="E304" t="inlineStr">
        <is>
          <t>JOKKMOKK</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38579-2025</t>
        </is>
      </c>
      <c r="B305" s="1" t="n">
        <v>45884.46925925926</v>
      </c>
      <c r="C305" s="1" t="n">
        <v>45922</v>
      </c>
      <c r="D305" t="inlineStr">
        <is>
          <t>NORRBOTTENS LÄN</t>
        </is>
      </c>
      <c r="E305" t="inlineStr">
        <is>
          <t>JOKKMOKK</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33740-2025</t>
        </is>
      </c>
      <c r="B306" s="1" t="n">
        <v>45842.34456018519</v>
      </c>
      <c r="C306" s="1" t="n">
        <v>45922</v>
      </c>
      <c r="D306" t="inlineStr">
        <is>
          <t>NORRBOTTENS LÄN</t>
        </is>
      </c>
      <c r="E306" t="inlineStr">
        <is>
          <t>JOKKMOKK</t>
        </is>
      </c>
      <c r="F306" t="inlineStr">
        <is>
          <t>SCA</t>
        </is>
      </c>
      <c r="G306" t="n">
        <v>23.3</v>
      </c>
      <c r="H306" t="n">
        <v>0</v>
      </c>
      <c r="I306" t="n">
        <v>0</v>
      </c>
      <c r="J306" t="n">
        <v>0</v>
      </c>
      <c r="K306" t="n">
        <v>0</v>
      </c>
      <c r="L306" t="n">
        <v>0</v>
      </c>
      <c r="M306" t="n">
        <v>0</v>
      </c>
      <c r="N306" t="n">
        <v>0</v>
      </c>
      <c r="O306" t="n">
        <v>0</v>
      </c>
      <c r="P306" t="n">
        <v>0</v>
      </c>
      <c r="Q306" t="n">
        <v>0</v>
      </c>
      <c r="R306" s="2" t="inlineStr"/>
    </row>
    <row r="307" ht="15" customHeight="1">
      <c r="A307" t="inlineStr">
        <is>
          <t>A 14869-2025</t>
        </is>
      </c>
      <c r="B307" s="1" t="n">
        <v>45743.44828703703</v>
      </c>
      <c r="C307" s="1" t="n">
        <v>45922</v>
      </c>
      <c r="D307" t="inlineStr">
        <is>
          <t>NORRBOTTENS LÄN</t>
        </is>
      </c>
      <c r="E307" t="inlineStr">
        <is>
          <t>JOKKMOKK</t>
        </is>
      </c>
      <c r="G307" t="n">
        <v>4.9</v>
      </c>
      <c r="H307" t="n">
        <v>0</v>
      </c>
      <c r="I307" t="n">
        <v>0</v>
      </c>
      <c r="J307" t="n">
        <v>0</v>
      </c>
      <c r="K307" t="n">
        <v>0</v>
      </c>
      <c r="L307" t="n">
        <v>0</v>
      </c>
      <c r="M307" t="n">
        <v>0</v>
      </c>
      <c r="N307" t="n">
        <v>0</v>
      </c>
      <c r="O307" t="n">
        <v>0</v>
      </c>
      <c r="P307" t="n">
        <v>0</v>
      </c>
      <c r="Q307" t="n">
        <v>0</v>
      </c>
      <c r="R307" s="2" t="inlineStr"/>
    </row>
    <row r="308" ht="15" customHeight="1">
      <c r="A308" t="inlineStr">
        <is>
          <t>A 43997-2024</t>
        </is>
      </c>
      <c r="B308" s="1" t="n">
        <v>45572.54165509259</v>
      </c>
      <c r="C308" s="1" t="n">
        <v>45922</v>
      </c>
      <c r="D308" t="inlineStr">
        <is>
          <t>NORRBOTTENS LÄN</t>
        </is>
      </c>
      <c r="E308" t="inlineStr">
        <is>
          <t>JOKKMOKK</t>
        </is>
      </c>
      <c r="F308" t="inlineStr">
        <is>
          <t>Sveaskog</t>
        </is>
      </c>
      <c r="G308" t="n">
        <v>17.4</v>
      </c>
      <c r="H308" t="n">
        <v>0</v>
      </c>
      <c r="I308" t="n">
        <v>0</v>
      </c>
      <c r="J308" t="n">
        <v>0</v>
      </c>
      <c r="K308" t="n">
        <v>0</v>
      </c>
      <c r="L308" t="n">
        <v>0</v>
      </c>
      <c r="M308" t="n">
        <v>0</v>
      </c>
      <c r="N308" t="n">
        <v>0</v>
      </c>
      <c r="O308" t="n">
        <v>0</v>
      </c>
      <c r="P308" t="n">
        <v>0</v>
      </c>
      <c r="Q308" t="n">
        <v>0</v>
      </c>
      <c r="R308" s="2" t="inlineStr"/>
    </row>
    <row r="309" ht="15" customHeight="1">
      <c r="A309" t="inlineStr">
        <is>
          <t>A 50496-2024</t>
        </is>
      </c>
      <c r="B309" s="1" t="n">
        <v>45601.51266203704</v>
      </c>
      <c r="C309" s="1" t="n">
        <v>45922</v>
      </c>
      <c r="D309" t="inlineStr">
        <is>
          <t>NORRBOTTENS LÄN</t>
        </is>
      </c>
      <c r="E309" t="inlineStr">
        <is>
          <t>JOKKMOKK</t>
        </is>
      </c>
      <c r="F309" t="inlineStr">
        <is>
          <t>Allmännings- och besparingsskogar</t>
        </is>
      </c>
      <c r="G309" t="n">
        <v>2.1</v>
      </c>
      <c r="H309" t="n">
        <v>0</v>
      </c>
      <c r="I309" t="n">
        <v>0</v>
      </c>
      <c r="J309" t="n">
        <v>0</v>
      </c>
      <c r="K309" t="n">
        <v>0</v>
      </c>
      <c r="L309" t="n">
        <v>0</v>
      </c>
      <c r="M309" t="n">
        <v>0</v>
      </c>
      <c r="N309" t="n">
        <v>0</v>
      </c>
      <c r="O309" t="n">
        <v>0</v>
      </c>
      <c r="P309" t="n">
        <v>0</v>
      </c>
      <c r="Q309" t="n">
        <v>0</v>
      </c>
      <c r="R309" s="2" t="inlineStr"/>
    </row>
    <row r="310" ht="15" customHeight="1">
      <c r="A310" t="inlineStr">
        <is>
          <t>A 16336-2023</t>
        </is>
      </c>
      <c r="B310" s="1" t="n">
        <v>45022</v>
      </c>
      <c r="C310" s="1" t="n">
        <v>45922</v>
      </c>
      <c r="D310" t="inlineStr">
        <is>
          <t>NORRBOTTENS LÄN</t>
        </is>
      </c>
      <c r="E310" t="inlineStr">
        <is>
          <t>JOKKMOKK</t>
        </is>
      </c>
      <c r="F310" t="inlineStr">
        <is>
          <t>Övriga statliga verk och myndigheter</t>
        </is>
      </c>
      <c r="G310" t="n">
        <v>130.2</v>
      </c>
      <c r="H310" t="n">
        <v>0</v>
      </c>
      <c r="I310" t="n">
        <v>0</v>
      </c>
      <c r="J310" t="n">
        <v>0</v>
      </c>
      <c r="K310" t="n">
        <v>0</v>
      </c>
      <c r="L310" t="n">
        <v>0</v>
      </c>
      <c r="M310" t="n">
        <v>0</v>
      </c>
      <c r="N310" t="n">
        <v>0</v>
      </c>
      <c r="O310" t="n">
        <v>0</v>
      </c>
      <c r="P310" t="n">
        <v>0</v>
      </c>
      <c r="Q310" t="n">
        <v>0</v>
      </c>
      <c r="R310" s="2" t="inlineStr"/>
    </row>
    <row r="311" ht="15" customHeight="1">
      <c r="A311" t="inlineStr">
        <is>
          <t>A 33741-2025</t>
        </is>
      </c>
      <c r="B311" s="1" t="n">
        <v>45842.3446875</v>
      </c>
      <c r="C311" s="1" t="n">
        <v>45922</v>
      </c>
      <c r="D311" t="inlineStr">
        <is>
          <t>NORRBOTTENS LÄN</t>
        </is>
      </c>
      <c r="E311" t="inlineStr">
        <is>
          <t>JOKKMOKK</t>
        </is>
      </c>
      <c r="F311" t="inlineStr">
        <is>
          <t>SCA</t>
        </is>
      </c>
      <c r="G311" t="n">
        <v>5.1</v>
      </c>
      <c r="H311" t="n">
        <v>0</v>
      </c>
      <c r="I311" t="n">
        <v>0</v>
      </c>
      <c r="J311" t="n">
        <v>0</v>
      </c>
      <c r="K311" t="n">
        <v>0</v>
      </c>
      <c r="L311" t="n">
        <v>0</v>
      </c>
      <c r="M311" t="n">
        <v>0</v>
      </c>
      <c r="N311" t="n">
        <v>0</v>
      </c>
      <c r="O311" t="n">
        <v>0</v>
      </c>
      <c r="P311" t="n">
        <v>0</v>
      </c>
      <c r="Q311" t="n">
        <v>0</v>
      </c>
      <c r="R311" s="2" t="inlineStr"/>
    </row>
    <row r="312" ht="15" customHeight="1">
      <c r="A312" t="inlineStr">
        <is>
          <t>A 38595-2025</t>
        </is>
      </c>
      <c r="B312" s="1" t="n">
        <v>45884.49027777778</v>
      </c>
      <c r="C312" s="1" t="n">
        <v>45922</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51261-2024</t>
        </is>
      </c>
      <c r="B313" s="1" t="n">
        <v>45603.69465277778</v>
      </c>
      <c r="C313" s="1" t="n">
        <v>45922</v>
      </c>
      <c r="D313" t="inlineStr">
        <is>
          <t>NORRBOTTENS LÄN</t>
        </is>
      </c>
      <c r="E313" t="inlineStr">
        <is>
          <t>JOKKMOKK</t>
        </is>
      </c>
      <c r="F313" t="inlineStr">
        <is>
          <t>Allmännings- och besparingsskogar</t>
        </is>
      </c>
      <c r="G313" t="n">
        <v>11</v>
      </c>
      <c r="H313" t="n">
        <v>0</v>
      </c>
      <c r="I313" t="n">
        <v>0</v>
      </c>
      <c r="J313" t="n">
        <v>0</v>
      </c>
      <c r="K313" t="n">
        <v>0</v>
      </c>
      <c r="L313" t="n">
        <v>0</v>
      </c>
      <c r="M313" t="n">
        <v>0</v>
      </c>
      <c r="N313" t="n">
        <v>0</v>
      </c>
      <c r="O313" t="n">
        <v>0</v>
      </c>
      <c r="P313" t="n">
        <v>0</v>
      </c>
      <c r="Q313" t="n">
        <v>0</v>
      </c>
      <c r="R313" s="2" t="inlineStr"/>
    </row>
    <row r="314" ht="15" customHeight="1">
      <c r="A314" t="inlineStr">
        <is>
          <t>A 45333-2024</t>
        </is>
      </c>
      <c r="B314" s="1" t="n">
        <v>45576</v>
      </c>
      <c r="C314" s="1" t="n">
        <v>45922</v>
      </c>
      <c r="D314" t="inlineStr">
        <is>
          <t>NORRBOTTENS LÄN</t>
        </is>
      </c>
      <c r="E314" t="inlineStr">
        <is>
          <t>JOKKMOKK</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38223-2025</t>
        </is>
      </c>
      <c r="B315" s="1" t="n">
        <v>45883</v>
      </c>
      <c r="C315" s="1" t="n">
        <v>45922</v>
      </c>
      <c r="D315" t="inlineStr">
        <is>
          <t>NORRBOTTENS LÄN</t>
        </is>
      </c>
      <c r="E315" t="inlineStr">
        <is>
          <t>JOKKMOKK</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23019-2023</t>
        </is>
      </c>
      <c r="B316" s="1" t="n">
        <v>45073</v>
      </c>
      <c r="C316" s="1" t="n">
        <v>45922</v>
      </c>
      <c r="D316" t="inlineStr">
        <is>
          <t>NORRBOTTENS LÄN</t>
        </is>
      </c>
      <c r="E316" t="inlineStr">
        <is>
          <t>JOKKMOKK</t>
        </is>
      </c>
      <c r="F316" t="inlineStr">
        <is>
          <t>SCA</t>
        </is>
      </c>
      <c r="G316" t="n">
        <v>6.3</v>
      </c>
      <c r="H316" t="n">
        <v>0</v>
      </c>
      <c r="I316" t="n">
        <v>0</v>
      </c>
      <c r="J316" t="n">
        <v>0</v>
      </c>
      <c r="K316" t="n">
        <v>0</v>
      </c>
      <c r="L316" t="n">
        <v>0</v>
      </c>
      <c r="M316" t="n">
        <v>0</v>
      </c>
      <c r="N316" t="n">
        <v>0</v>
      </c>
      <c r="O316" t="n">
        <v>0</v>
      </c>
      <c r="P316" t="n">
        <v>0</v>
      </c>
      <c r="Q316" t="n">
        <v>0</v>
      </c>
      <c r="R316" s="2" t="inlineStr"/>
    </row>
    <row r="317" ht="15" customHeight="1">
      <c r="A317" t="inlineStr">
        <is>
          <t>A 52564-2024</t>
        </is>
      </c>
      <c r="B317" s="1" t="n">
        <v>45609</v>
      </c>
      <c r="C317" s="1" t="n">
        <v>45922</v>
      </c>
      <c r="D317" t="inlineStr">
        <is>
          <t>NORRBOTTENS LÄN</t>
        </is>
      </c>
      <c r="E317" t="inlineStr">
        <is>
          <t>JOKKMOKK</t>
        </is>
      </c>
      <c r="F317" t="inlineStr">
        <is>
          <t>Allmännings- och besparingsskogar</t>
        </is>
      </c>
      <c r="G317" t="n">
        <v>16.5</v>
      </c>
      <c r="H317" t="n">
        <v>0</v>
      </c>
      <c r="I317" t="n">
        <v>0</v>
      </c>
      <c r="J317" t="n">
        <v>0</v>
      </c>
      <c r="K317" t="n">
        <v>0</v>
      </c>
      <c r="L317" t="n">
        <v>0</v>
      </c>
      <c r="M317" t="n">
        <v>0</v>
      </c>
      <c r="N317" t="n">
        <v>0</v>
      </c>
      <c r="O317" t="n">
        <v>0</v>
      </c>
      <c r="P317" t="n">
        <v>0</v>
      </c>
      <c r="Q317" t="n">
        <v>0</v>
      </c>
      <c r="R317" s="2" t="inlineStr"/>
    </row>
    <row r="318" ht="15" customHeight="1">
      <c r="A318" t="inlineStr">
        <is>
          <t>A 51269-2024</t>
        </is>
      </c>
      <c r="B318" s="1" t="n">
        <v>45603.71284722222</v>
      </c>
      <c r="C318" s="1" t="n">
        <v>45922</v>
      </c>
      <c r="D318" t="inlineStr">
        <is>
          <t>NORRBOTTENS LÄN</t>
        </is>
      </c>
      <c r="E318" t="inlineStr">
        <is>
          <t>JOKKMOKK</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31209-2023</t>
        </is>
      </c>
      <c r="B319" s="1" t="n">
        <v>45113.95096064815</v>
      </c>
      <c r="C319" s="1" t="n">
        <v>45922</v>
      </c>
      <c r="D319" t="inlineStr">
        <is>
          <t>NORRBOTTENS LÄN</t>
        </is>
      </c>
      <c r="E319" t="inlineStr">
        <is>
          <t>JOKKMOKK</t>
        </is>
      </c>
      <c r="F319" t="inlineStr">
        <is>
          <t>SCA</t>
        </is>
      </c>
      <c r="G319" t="n">
        <v>5.7</v>
      </c>
      <c r="H319" t="n">
        <v>0</v>
      </c>
      <c r="I319" t="n">
        <v>0</v>
      </c>
      <c r="J319" t="n">
        <v>0</v>
      </c>
      <c r="K319" t="n">
        <v>0</v>
      </c>
      <c r="L319" t="n">
        <v>0</v>
      </c>
      <c r="M319" t="n">
        <v>0</v>
      </c>
      <c r="N319" t="n">
        <v>0</v>
      </c>
      <c r="O319" t="n">
        <v>0</v>
      </c>
      <c r="P319" t="n">
        <v>0</v>
      </c>
      <c r="Q319" t="n">
        <v>0</v>
      </c>
      <c r="R319" s="2" t="inlineStr"/>
    </row>
    <row r="320" ht="15" customHeight="1">
      <c r="A320" t="inlineStr">
        <is>
          <t>A 39846-2025</t>
        </is>
      </c>
      <c r="B320" s="1" t="n">
        <v>45891.58376157407</v>
      </c>
      <c r="C320" s="1" t="n">
        <v>45922</v>
      </c>
      <c r="D320" t="inlineStr">
        <is>
          <t>NORRBOTTENS LÄN</t>
        </is>
      </c>
      <c r="E320" t="inlineStr">
        <is>
          <t>JOKKMOKK</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35040-2025</t>
        </is>
      </c>
      <c r="B321" s="1" t="n">
        <v>45852.34420138889</v>
      </c>
      <c r="C321" s="1" t="n">
        <v>45922</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40808-2025</t>
        </is>
      </c>
      <c r="B322" s="1" t="n">
        <v>45897.46922453704</v>
      </c>
      <c r="C322" s="1" t="n">
        <v>45922</v>
      </c>
      <c r="D322" t="inlineStr">
        <is>
          <t>NORRBOTTENS LÄN</t>
        </is>
      </c>
      <c r="E322" t="inlineStr">
        <is>
          <t>JOKKMOKK</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40756-2025</t>
        </is>
      </c>
      <c r="B323" s="1" t="n">
        <v>45897.38686342593</v>
      </c>
      <c r="C323" s="1" t="n">
        <v>45922</v>
      </c>
      <c r="D323" t="inlineStr">
        <is>
          <t>NORRBOTTENS LÄN</t>
        </is>
      </c>
      <c r="E323" t="inlineStr">
        <is>
          <t>JOKKMOKK</t>
        </is>
      </c>
      <c r="G323" t="n">
        <v>24.7</v>
      </c>
      <c r="H323" t="n">
        <v>0</v>
      </c>
      <c r="I323" t="n">
        <v>0</v>
      </c>
      <c r="J323" t="n">
        <v>0</v>
      </c>
      <c r="K323" t="n">
        <v>0</v>
      </c>
      <c r="L323" t="n">
        <v>0</v>
      </c>
      <c r="M323" t="n">
        <v>0</v>
      </c>
      <c r="N323" t="n">
        <v>0</v>
      </c>
      <c r="O323" t="n">
        <v>0</v>
      </c>
      <c r="P323" t="n">
        <v>0</v>
      </c>
      <c r="Q323" t="n">
        <v>0</v>
      </c>
      <c r="R323" s="2" t="inlineStr"/>
    </row>
    <row r="324" ht="15" customHeight="1">
      <c r="A324" t="inlineStr">
        <is>
          <t>A 31902-2021</t>
        </is>
      </c>
      <c r="B324" s="1" t="n">
        <v>44370</v>
      </c>
      <c r="C324" s="1" t="n">
        <v>45922</v>
      </c>
      <c r="D324" t="inlineStr">
        <is>
          <t>NORRBOTTENS LÄN</t>
        </is>
      </c>
      <c r="E324" t="inlineStr">
        <is>
          <t>JOKKMOKK</t>
        </is>
      </c>
      <c r="G324" t="n">
        <v>20</v>
      </c>
      <c r="H324" t="n">
        <v>0</v>
      </c>
      <c r="I324" t="n">
        <v>0</v>
      </c>
      <c r="J324" t="n">
        <v>0</v>
      </c>
      <c r="K324" t="n">
        <v>0</v>
      </c>
      <c r="L324" t="n">
        <v>0</v>
      </c>
      <c r="M324" t="n">
        <v>0</v>
      </c>
      <c r="N324" t="n">
        <v>0</v>
      </c>
      <c r="O324" t="n">
        <v>0</v>
      </c>
      <c r="P324" t="n">
        <v>0</v>
      </c>
      <c r="Q324" t="n">
        <v>0</v>
      </c>
      <c r="R324" s="2" t="inlineStr"/>
    </row>
    <row r="325" ht="15" customHeight="1">
      <c r="A325" t="inlineStr">
        <is>
          <t>A 50628-2024</t>
        </is>
      </c>
      <c r="B325" s="1" t="n">
        <v>45601.66423611111</v>
      </c>
      <c r="C325" s="1" t="n">
        <v>45922</v>
      </c>
      <c r="D325" t="inlineStr">
        <is>
          <t>NORRBOTTENS LÄN</t>
        </is>
      </c>
      <c r="E325" t="inlineStr">
        <is>
          <t>JOKKMOKK</t>
        </is>
      </c>
      <c r="F325" t="inlineStr">
        <is>
          <t>Allmännings- och besparingsskogar</t>
        </is>
      </c>
      <c r="G325" t="n">
        <v>2.4</v>
      </c>
      <c r="H325" t="n">
        <v>0</v>
      </c>
      <c r="I325" t="n">
        <v>0</v>
      </c>
      <c r="J325" t="n">
        <v>0</v>
      </c>
      <c r="K325" t="n">
        <v>0</v>
      </c>
      <c r="L325" t="n">
        <v>0</v>
      </c>
      <c r="M325" t="n">
        <v>0</v>
      </c>
      <c r="N325" t="n">
        <v>0</v>
      </c>
      <c r="O325" t="n">
        <v>0</v>
      </c>
      <c r="P325" t="n">
        <v>0</v>
      </c>
      <c r="Q325" t="n">
        <v>0</v>
      </c>
      <c r="R325" s="2" t="inlineStr"/>
    </row>
    <row r="326" ht="15" customHeight="1">
      <c r="A326" t="inlineStr">
        <is>
          <t>A 9349-2023</t>
        </is>
      </c>
      <c r="B326" s="1" t="n">
        <v>44980</v>
      </c>
      <c r="C326" s="1" t="n">
        <v>45922</v>
      </c>
      <c r="D326" t="inlineStr">
        <is>
          <t>NORRBOTTENS LÄN</t>
        </is>
      </c>
      <c r="E326" t="inlineStr">
        <is>
          <t>JOKKMOKK</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9351-2023</t>
        </is>
      </c>
      <c r="B327" s="1" t="n">
        <v>44980</v>
      </c>
      <c r="C327" s="1" t="n">
        <v>45922</v>
      </c>
      <c r="D327" t="inlineStr">
        <is>
          <t>NORRBOTTENS LÄN</t>
        </is>
      </c>
      <c r="E327" t="inlineStr">
        <is>
          <t>JOKKMOKK</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35511-2025</t>
        </is>
      </c>
      <c r="B328" s="1" t="n">
        <v>45856.36497685185</v>
      </c>
      <c r="C328" s="1" t="n">
        <v>45922</v>
      </c>
      <c r="D328" t="inlineStr">
        <is>
          <t>NORRBOTTENS LÄN</t>
        </is>
      </c>
      <c r="E328" t="inlineStr">
        <is>
          <t>JOKKMOKK</t>
        </is>
      </c>
      <c r="F328" t="inlineStr">
        <is>
          <t>SCA</t>
        </is>
      </c>
      <c r="G328" t="n">
        <v>7</v>
      </c>
      <c r="H328" t="n">
        <v>0</v>
      </c>
      <c r="I328" t="n">
        <v>0</v>
      </c>
      <c r="J328" t="n">
        <v>0</v>
      </c>
      <c r="K328" t="n">
        <v>0</v>
      </c>
      <c r="L328" t="n">
        <v>0</v>
      </c>
      <c r="M328" t="n">
        <v>0</v>
      </c>
      <c r="N328" t="n">
        <v>0</v>
      </c>
      <c r="O328" t="n">
        <v>0</v>
      </c>
      <c r="P328" t="n">
        <v>0</v>
      </c>
      <c r="Q328" t="n">
        <v>0</v>
      </c>
      <c r="R328" s="2" t="inlineStr"/>
    </row>
    <row r="329" ht="15" customHeight="1">
      <c r="A329" t="inlineStr">
        <is>
          <t>A 51336-2024</t>
        </is>
      </c>
      <c r="B329" s="1" t="n">
        <v>45604.34443287037</v>
      </c>
      <c r="C329" s="1" t="n">
        <v>45922</v>
      </c>
      <c r="D329" t="inlineStr">
        <is>
          <t>NORRBOTTENS LÄN</t>
        </is>
      </c>
      <c r="E329" t="inlineStr">
        <is>
          <t>JOKKMOKK</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40345-2024</t>
        </is>
      </c>
      <c r="B330" s="1" t="n">
        <v>45555.344375</v>
      </c>
      <c r="C330" s="1" t="n">
        <v>45922</v>
      </c>
      <c r="D330" t="inlineStr">
        <is>
          <t>NORRBOTTENS LÄN</t>
        </is>
      </c>
      <c r="E330" t="inlineStr">
        <is>
          <t>JOKKMOKK</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35805-2025</t>
        </is>
      </c>
      <c r="B331" s="1" t="n">
        <v>45861.4019212963</v>
      </c>
      <c r="C331" s="1" t="n">
        <v>45922</v>
      </c>
      <c r="D331" t="inlineStr">
        <is>
          <t>NORRBOTTENS LÄN</t>
        </is>
      </c>
      <c r="E331" t="inlineStr">
        <is>
          <t>JOKKMOKK</t>
        </is>
      </c>
      <c r="G331" t="n">
        <v>7</v>
      </c>
      <c r="H331" t="n">
        <v>0</v>
      </c>
      <c r="I331" t="n">
        <v>0</v>
      </c>
      <c r="J331" t="n">
        <v>0</v>
      </c>
      <c r="K331" t="n">
        <v>0</v>
      </c>
      <c r="L331" t="n">
        <v>0</v>
      </c>
      <c r="M331" t="n">
        <v>0</v>
      </c>
      <c r="N331" t="n">
        <v>0</v>
      </c>
      <c r="O331" t="n">
        <v>0</v>
      </c>
      <c r="P331" t="n">
        <v>0</v>
      </c>
      <c r="Q331" t="n">
        <v>0</v>
      </c>
      <c r="R331" s="2" t="inlineStr"/>
    </row>
    <row r="332" ht="15" customHeight="1">
      <c r="A332" t="inlineStr">
        <is>
          <t>A 35749-2025</t>
        </is>
      </c>
      <c r="B332" s="1" t="n">
        <v>45860</v>
      </c>
      <c r="C332" s="1" t="n">
        <v>45922</v>
      </c>
      <c r="D332" t="inlineStr">
        <is>
          <t>NORRBOTTENS LÄN</t>
        </is>
      </c>
      <c r="E332" t="inlineStr">
        <is>
          <t>JOKKMOKK</t>
        </is>
      </c>
      <c r="G332" t="n">
        <v>4.2</v>
      </c>
      <c r="H332" t="n">
        <v>0</v>
      </c>
      <c r="I332" t="n">
        <v>0</v>
      </c>
      <c r="J332" t="n">
        <v>0</v>
      </c>
      <c r="K332" t="n">
        <v>0</v>
      </c>
      <c r="L332" t="n">
        <v>0</v>
      </c>
      <c r="M332" t="n">
        <v>0</v>
      </c>
      <c r="N332" t="n">
        <v>0</v>
      </c>
      <c r="O332" t="n">
        <v>0</v>
      </c>
      <c r="P332" t="n">
        <v>0</v>
      </c>
      <c r="Q332" t="n">
        <v>0</v>
      </c>
      <c r="R332" s="2" t="inlineStr"/>
    </row>
    <row r="333" ht="15" customHeight="1">
      <c r="A333" t="inlineStr">
        <is>
          <t>A 42095-2025</t>
        </is>
      </c>
      <c r="B333" s="1" t="n">
        <v>45903.71916666667</v>
      </c>
      <c r="C333" s="1" t="n">
        <v>45922</v>
      </c>
      <c r="D333" t="inlineStr">
        <is>
          <t>NORRBOTTENS LÄN</t>
        </is>
      </c>
      <c r="E333" t="inlineStr">
        <is>
          <t>JOKKMOKK</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60215-2023</t>
        </is>
      </c>
      <c r="B334" s="1" t="n">
        <v>45258.60766203704</v>
      </c>
      <c r="C334" s="1" t="n">
        <v>45922</v>
      </c>
      <c r="D334" t="inlineStr">
        <is>
          <t>NORRBOTTENS LÄN</t>
        </is>
      </c>
      <c r="E334" t="inlineStr">
        <is>
          <t>JOKKMOKK</t>
        </is>
      </c>
      <c r="F334" t="inlineStr">
        <is>
          <t>Allmännings- och besparingsskogar</t>
        </is>
      </c>
      <c r="G334" t="n">
        <v>7.8</v>
      </c>
      <c r="H334" t="n">
        <v>0</v>
      </c>
      <c r="I334" t="n">
        <v>0</v>
      </c>
      <c r="J334" t="n">
        <v>0</v>
      </c>
      <c r="K334" t="n">
        <v>0</v>
      </c>
      <c r="L334" t="n">
        <v>0</v>
      </c>
      <c r="M334" t="n">
        <v>0</v>
      </c>
      <c r="N334" t="n">
        <v>0</v>
      </c>
      <c r="O334" t="n">
        <v>0</v>
      </c>
      <c r="P334" t="n">
        <v>0</v>
      </c>
      <c r="Q334" t="n">
        <v>0</v>
      </c>
      <c r="R334" s="2" t="inlineStr"/>
    </row>
    <row r="335" ht="15" customHeight="1">
      <c r="A335" t="inlineStr">
        <is>
          <t>A 42126-2025</t>
        </is>
      </c>
      <c r="B335" s="1" t="n">
        <v>45904.34486111111</v>
      </c>
      <c r="C335" s="1" t="n">
        <v>45922</v>
      </c>
      <c r="D335" t="inlineStr">
        <is>
          <t>NORRBOTTENS LÄN</t>
        </is>
      </c>
      <c r="E335" t="inlineStr">
        <is>
          <t>JOKKMOKK</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42575-2025</t>
        </is>
      </c>
      <c r="B336" s="1" t="n">
        <v>45905.61263888889</v>
      </c>
      <c r="C336" s="1" t="n">
        <v>45922</v>
      </c>
      <c r="D336" t="inlineStr">
        <is>
          <t>NORRBOTTENS LÄN</t>
        </is>
      </c>
      <c r="E336" t="inlineStr">
        <is>
          <t>JOKKMOKK</t>
        </is>
      </c>
      <c r="F336" t="inlineStr">
        <is>
          <t>Sveaskog</t>
        </is>
      </c>
      <c r="G336" t="n">
        <v>17.4</v>
      </c>
      <c r="H336" t="n">
        <v>0</v>
      </c>
      <c r="I336" t="n">
        <v>0</v>
      </c>
      <c r="J336" t="n">
        <v>0</v>
      </c>
      <c r="K336" t="n">
        <v>0</v>
      </c>
      <c r="L336" t="n">
        <v>0</v>
      </c>
      <c r="M336" t="n">
        <v>0</v>
      </c>
      <c r="N336" t="n">
        <v>0</v>
      </c>
      <c r="O336" t="n">
        <v>0</v>
      </c>
      <c r="P336" t="n">
        <v>0</v>
      </c>
      <c r="Q336" t="n">
        <v>0</v>
      </c>
      <c r="R336" s="2" t="inlineStr"/>
    </row>
    <row r="337" ht="15" customHeight="1">
      <c r="A337" t="inlineStr">
        <is>
          <t>A 27657-2024</t>
        </is>
      </c>
      <c r="B337" s="1" t="n">
        <v>45474.95196759259</v>
      </c>
      <c r="C337" s="1" t="n">
        <v>45922</v>
      </c>
      <c r="D337" t="inlineStr">
        <is>
          <t>NORRBOTTENS LÄN</t>
        </is>
      </c>
      <c r="E337" t="inlineStr">
        <is>
          <t>JOKKMOKK</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27658-2024</t>
        </is>
      </c>
      <c r="B338" s="1" t="n">
        <v>45474.95246527778</v>
      </c>
      <c r="C338" s="1" t="n">
        <v>45922</v>
      </c>
      <c r="D338" t="inlineStr">
        <is>
          <t>NORRBOTTENS LÄN</t>
        </is>
      </c>
      <c r="E338" t="inlineStr">
        <is>
          <t>JOKKMOKK</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17784-2025</t>
        </is>
      </c>
      <c r="B339" s="1" t="n">
        <v>45758</v>
      </c>
      <c r="C339" s="1" t="n">
        <v>45922</v>
      </c>
      <c r="D339" t="inlineStr">
        <is>
          <t>NORRBOTTENS LÄN</t>
        </is>
      </c>
      <c r="E339" t="inlineStr">
        <is>
          <t>JOKKMOKK</t>
        </is>
      </c>
      <c r="F339" t="inlineStr">
        <is>
          <t>SCA</t>
        </is>
      </c>
      <c r="G339" t="n">
        <v>11.2</v>
      </c>
      <c r="H339" t="n">
        <v>0</v>
      </c>
      <c r="I339" t="n">
        <v>0</v>
      </c>
      <c r="J339" t="n">
        <v>0</v>
      </c>
      <c r="K339" t="n">
        <v>0</v>
      </c>
      <c r="L339" t="n">
        <v>0</v>
      </c>
      <c r="M339" t="n">
        <v>0</v>
      </c>
      <c r="N339" t="n">
        <v>0</v>
      </c>
      <c r="O339" t="n">
        <v>0</v>
      </c>
      <c r="P339" t="n">
        <v>0</v>
      </c>
      <c r="Q339" t="n">
        <v>0</v>
      </c>
      <c r="R339" s="2" t="inlineStr"/>
    </row>
    <row r="340" ht="15" customHeight="1">
      <c r="A340" t="inlineStr">
        <is>
          <t>A 14815-2024</t>
        </is>
      </c>
      <c r="B340" s="1" t="n">
        <v>45397.95770833334</v>
      </c>
      <c r="C340" s="1" t="n">
        <v>45922</v>
      </c>
      <c r="D340" t="inlineStr">
        <is>
          <t>NORRBOTTENS LÄN</t>
        </is>
      </c>
      <c r="E340" t="inlineStr">
        <is>
          <t>JOKKMOKK</t>
        </is>
      </c>
      <c r="F340" t="inlineStr">
        <is>
          <t>SCA</t>
        </is>
      </c>
      <c r="G340" t="n">
        <v>54.1</v>
      </c>
      <c r="H340" t="n">
        <v>0</v>
      </c>
      <c r="I340" t="n">
        <v>0</v>
      </c>
      <c r="J340" t="n">
        <v>0</v>
      </c>
      <c r="K340" t="n">
        <v>0</v>
      </c>
      <c r="L340" t="n">
        <v>0</v>
      </c>
      <c r="M340" t="n">
        <v>0</v>
      </c>
      <c r="N340" t="n">
        <v>0</v>
      </c>
      <c r="O340" t="n">
        <v>0</v>
      </c>
      <c r="P340" t="n">
        <v>0</v>
      </c>
      <c r="Q340" t="n">
        <v>0</v>
      </c>
      <c r="R340" s="2" t="inlineStr"/>
    </row>
    <row r="341" ht="15" customHeight="1">
      <c r="A341" t="inlineStr">
        <is>
          <t>A 52733-2024</t>
        </is>
      </c>
      <c r="B341" s="1" t="n">
        <v>45610</v>
      </c>
      <c r="C341" s="1" t="n">
        <v>45922</v>
      </c>
      <c r="D341" t="inlineStr">
        <is>
          <t>NORRBOTTENS LÄN</t>
        </is>
      </c>
      <c r="E341" t="inlineStr">
        <is>
          <t>JOKKMOKK</t>
        </is>
      </c>
      <c r="F341" t="inlineStr">
        <is>
          <t>Allmännings- och besparingsskogar</t>
        </is>
      </c>
      <c r="G341" t="n">
        <v>6.1</v>
      </c>
      <c r="H341" t="n">
        <v>0</v>
      </c>
      <c r="I341" t="n">
        <v>0</v>
      </c>
      <c r="J341" t="n">
        <v>0</v>
      </c>
      <c r="K341" t="n">
        <v>0</v>
      </c>
      <c r="L341" t="n">
        <v>0</v>
      </c>
      <c r="M341" t="n">
        <v>0</v>
      </c>
      <c r="N341" t="n">
        <v>0</v>
      </c>
      <c r="O341" t="n">
        <v>0</v>
      </c>
      <c r="P341" t="n">
        <v>0</v>
      </c>
      <c r="Q341" t="n">
        <v>0</v>
      </c>
      <c r="R341" s="2" t="inlineStr"/>
    </row>
    <row r="342" ht="15" customHeight="1">
      <c r="A342" t="inlineStr">
        <is>
          <t>A 42322-2025</t>
        </is>
      </c>
      <c r="B342" s="1" t="n">
        <v>45904.67839120371</v>
      </c>
      <c r="C342" s="1" t="n">
        <v>45922</v>
      </c>
      <c r="D342" t="inlineStr">
        <is>
          <t>NORRBOTTENS LÄN</t>
        </is>
      </c>
      <c r="E342" t="inlineStr">
        <is>
          <t>JOKKMOKK</t>
        </is>
      </c>
      <c r="G342" t="n">
        <v>3.8</v>
      </c>
      <c r="H342" t="n">
        <v>0</v>
      </c>
      <c r="I342" t="n">
        <v>0</v>
      </c>
      <c r="J342" t="n">
        <v>0</v>
      </c>
      <c r="K342" t="n">
        <v>0</v>
      </c>
      <c r="L342" t="n">
        <v>0</v>
      </c>
      <c r="M342" t="n">
        <v>0</v>
      </c>
      <c r="N342" t="n">
        <v>0</v>
      </c>
      <c r="O342" t="n">
        <v>0</v>
      </c>
      <c r="P342" t="n">
        <v>0</v>
      </c>
      <c r="Q342" t="n">
        <v>0</v>
      </c>
      <c r="R342" s="2" t="inlineStr"/>
    </row>
    <row r="343" ht="15" customHeight="1">
      <c r="A343" t="inlineStr">
        <is>
          <t>A 61760-2024</t>
        </is>
      </c>
      <c r="B343" s="1" t="n">
        <v>45649</v>
      </c>
      <c r="C343" s="1" t="n">
        <v>45922</v>
      </c>
      <c r="D343" t="inlineStr">
        <is>
          <t>NORRBOTTENS LÄN</t>
        </is>
      </c>
      <c r="E343" t="inlineStr">
        <is>
          <t>JOKKMOKK</t>
        </is>
      </c>
      <c r="F343" t="inlineStr">
        <is>
          <t>Övriga statliga verk och myndigheter</t>
        </is>
      </c>
      <c r="G343" t="n">
        <v>19.3</v>
      </c>
      <c r="H343" t="n">
        <v>0</v>
      </c>
      <c r="I343" t="n">
        <v>0</v>
      </c>
      <c r="J343" t="n">
        <v>0</v>
      </c>
      <c r="K343" t="n">
        <v>0</v>
      </c>
      <c r="L343" t="n">
        <v>0</v>
      </c>
      <c r="M343" t="n">
        <v>0</v>
      </c>
      <c r="N343" t="n">
        <v>0</v>
      </c>
      <c r="O343" t="n">
        <v>0</v>
      </c>
      <c r="P343" t="n">
        <v>0</v>
      </c>
      <c r="Q343" t="n">
        <v>0</v>
      </c>
      <c r="R343" s="2" t="inlineStr"/>
    </row>
    <row r="344" ht="15" customHeight="1">
      <c r="A344" t="inlineStr">
        <is>
          <t>A 42664-2025</t>
        </is>
      </c>
      <c r="B344" s="1" t="n">
        <v>45907.85482638889</v>
      </c>
      <c r="C344" s="1" t="n">
        <v>45922</v>
      </c>
      <c r="D344" t="inlineStr">
        <is>
          <t>NORRBOTTENS LÄN</t>
        </is>
      </c>
      <c r="E344" t="inlineStr">
        <is>
          <t>JOKKMOKK</t>
        </is>
      </c>
      <c r="G344" t="n">
        <v>1.9</v>
      </c>
      <c r="H344" t="n">
        <v>0</v>
      </c>
      <c r="I344" t="n">
        <v>0</v>
      </c>
      <c r="J344" t="n">
        <v>0</v>
      </c>
      <c r="K344" t="n">
        <v>0</v>
      </c>
      <c r="L344" t="n">
        <v>0</v>
      </c>
      <c r="M344" t="n">
        <v>0</v>
      </c>
      <c r="N344" t="n">
        <v>0</v>
      </c>
      <c r="O344" t="n">
        <v>0</v>
      </c>
      <c r="P344" t="n">
        <v>0</v>
      </c>
      <c r="Q344" t="n">
        <v>0</v>
      </c>
      <c r="R344" s="2" t="inlineStr"/>
    </row>
    <row r="345" ht="15" customHeight="1">
      <c r="A345" t="inlineStr">
        <is>
          <t>A 36168-2025</t>
        </is>
      </c>
      <c r="B345" s="1" t="n">
        <v>45867.38582175926</v>
      </c>
      <c r="C345" s="1" t="n">
        <v>45922</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51304-2022</t>
        </is>
      </c>
      <c r="B346" s="1" t="n">
        <v>44868</v>
      </c>
      <c r="C346" s="1" t="n">
        <v>45922</v>
      </c>
      <c r="D346" t="inlineStr">
        <is>
          <t>NORRBOTTENS LÄN</t>
        </is>
      </c>
      <c r="E346" t="inlineStr">
        <is>
          <t>JOKKMOKK</t>
        </is>
      </c>
      <c r="G346" t="n">
        <v>1.5</v>
      </c>
      <c r="H346" t="n">
        <v>0</v>
      </c>
      <c r="I346" t="n">
        <v>0</v>
      </c>
      <c r="J346" t="n">
        <v>0</v>
      </c>
      <c r="K346" t="n">
        <v>0</v>
      </c>
      <c r="L346" t="n">
        <v>0</v>
      </c>
      <c r="M346" t="n">
        <v>0</v>
      </c>
      <c r="N346" t="n">
        <v>0</v>
      </c>
      <c r="O346" t="n">
        <v>0</v>
      </c>
      <c r="P346" t="n">
        <v>0</v>
      </c>
      <c r="Q346" t="n">
        <v>0</v>
      </c>
      <c r="R346" s="2" t="inlineStr"/>
    </row>
    <row r="347" ht="15" customHeight="1">
      <c r="A347" t="inlineStr">
        <is>
          <t>A 12664-2025</t>
        </is>
      </c>
      <c r="B347" s="1" t="n">
        <v>45733</v>
      </c>
      <c r="C347" s="1" t="n">
        <v>45922</v>
      </c>
      <c r="D347" t="inlineStr">
        <is>
          <t>NORRBOTTENS LÄN</t>
        </is>
      </c>
      <c r="E347" t="inlineStr">
        <is>
          <t>JOKKMOKK</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30305-2024</t>
        </is>
      </c>
      <c r="B348" s="1" t="n">
        <v>45490</v>
      </c>
      <c r="C348" s="1" t="n">
        <v>45922</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42944-2025</t>
        </is>
      </c>
      <c r="B349" s="1" t="n">
        <v>45909.34434027778</v>
      </c>
      <c r="C349" s="1" t="n">
        <v>45922</v>
      </c>
      <c r="D349" t="inlineStr">
        <is>
          <t>NORRBOTTENS LÄN</t>
        </is>
      </c>
      <c r="E349" t="inlineStr">
        <is>
          <t>JOKKMOKK</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30308-2024</t>
        </is>
      </c>
      <c r="B350" s="1" t="n">
        <v>45490</v>
      </c>
      <c r="C350" s="1" t="n">
        <v>45922</v>
      </c>
      <c r="D350" t="inlineStr">
        <is>
          <t>NORRBOTTENS LÄN</t>
        </is>
      </c>
      <c r="E350" t="inlineStr">
        <is>
          <t>JOKKMOKK</t>
        </is>
      </c>
      <c r="G350" t="n">
        <v>2.2</v>
      </c>
      <c r="H350" t="n">
        <v>0</v>
      </c>
      <c r="I350" t="n">
        <v>0</v>
      </c>
      <c r="J350" t="n">
        <v>0</v>
      </c>
      <c r="K350" t="n">
        <v>0</v>
      </c>
      <c r="L350" t="n">
        <v>0</v>
      </c>
      <c r="M350" t="n">
        <v>0</v>
      </c>
      <c r="N350" t="n">
        <v>0</v>
      </c>
      <c r="O350" t="n">
        <v>0</v>
      </c>
      <c r="P350" t="n">
        <v>0</v>
      </c>
      <c r="Q350" t="n">
        <v>0</v>
      </c>
      <c r="R350" s="2" t="inlineStr"/>
    </row>
    <row r="351" ht="15" customHeight="1">
      <c r="A351" t="inlineStr">
        <is>
          <t>A 30310-2024</t>
        </is>
      </c>
      <c r="B351" s="1" t="n">
        <v>45490</v>
      </c>
      <c r="C351" s="1" t="n">
        <v>45922</v>
      </c>
      <c r="D351" t="inlineStr">
        <is>
          <t>NORRBOTTENS LÄN</t>
        </is>
      </c>
      <c r="E351" t="inlineStr">
        <is>
          <t>JOKKMOKK</t>
        </is>
      </c>
      <c r="G351" t="n">
        <v>2.3</v>
      </c>
      <c r="H351" t="n">
        <v>0</v>
      </c>
      <c r="I351" t="n">
        <v>0</v>
      </c>
      <c r="J351" t="n">
        <v>0</v>
      </c>
      <c r="K351" t="n">
        <v>0</v>
      </c>
      <c r="L351" t="n">
        <v>0</v>
      </c>
      <c r="M351" t="n">
        <v>0</v>
      </c>
      <c r="N351" t="n">
        <v>0</v>
      </c>
      <c r="O351" t="n">
        <v>0</v>
      </c>
      <c r="P351" t="n">
        <v>0</v>
      </c>
      <c r="Q351" t="n">
        <v>0</v>
      </c>
      <c r="R351" s="2" t="inlineStr"/>
    </row>
    <row r="352" ht="15" customHeight="1">
      <c r="A352" t="inlineStr">
        <is>
          <t>A 30312-2024</t>
        </is>
      </c>
      <c r="B352" s="1" t="n">
        <v>45490</v>
      </c>
      <c r="C352" s="1" t="n">
        <v>45922</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36357-2025</t>
        </is>
      </c>
      <c r="B353" s="1" t="n">
        <v>45868.5107175926</v>
      </c>
      <c r="C353" s="1" t="n">
        <v>45922</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26552-2025</t>
        </is>
      </c>
      <c r="B354" s="1" t="n">
        <v>45807</v>
      </c>
      <c r="C354" s="1" t="n">
        <v>45922</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36325-2025</t>
        </is>
      </c>
      <c r="B355" s="1" t="n">
        <v>45868.40723379629</v>
      </c>
      <c r="C355" s="1" t="n">
        <v>45922</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43997-2025</t>
        </is>
      </c>
      <c r="B356" s="1" t="n">
        <v>45915.44868055556</v>
      </c>
      <c r="C356" s="1" t="n">
        <v>45922</v>
      </c>
      <c r="D356" t="inlineStr">
        <is>
          <t>NORRBOTTENS LÄN</t>
        </is>
      </c>
      <c r="E356" t="inlineStr">
        <is>
          <t>JOKKMOKK</t>
        </is>
      </c>
      <c r="G356" t="n">
        <v>4.5</v>
      </c>
      <c r="H356" t="n">
        <v>0</v>
      </c>
      <c r="I356" t="n">
        <v>0</v>
      </c>
      <c r="J356" t="n">
        <v>0</v>
      </c>
      <c r="K356" t="n">
        <v>0</v>
      </c>
      <c r="L356" t="n">
        <v>0</v>
      </c>
      <c r="M356" t="n">
        <v>0</v>
      </c>
      <c r="N356" t="n">
        <v>0</v>
      </c>
      <c r="O356" t="n">
        <v>0</v>
      </c>
      <c r="P356" t="n">
        <v>0</v>
      </c>
      <c r="Q356" t="n">
        <v>0</v>
      </c>
      <c r="R356" s="2" t="inlineStr"/>
    </row>
    <row r="357" ht="15" customHeight="1">
      <c r="A357" t="inlineStr">
        <is>
          <t>A 37827-2024</t>
        </is>
      </c>
      <c r="B357" s="1" t="n">
        <v>45544</v>
      </c>
      <c r="C357" s="1" t="n">
        <v>45922</v>
      </c>
      <c r="D357" t="inlineStr">
        <is>
          <t>NORRBOTTENS LÄN</t>
        </is>
      </c>
      <c r="E357" t="inlineStr">
        <is>
          <t>JOKKMOKK</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46442-2023</t>
        </is>
      </c>
      <c r="B358" s="1" t="n">
        <v>45197.59248842593</v>
      </c>
      <c r="C358" s="1" t="n">
        <v>45922</v>
      </c>
      <c r="D358" t="inlineStr">
        <is>
          <t>NORRBOTTENS LÄN</t>
        </is>
      </c>
      <c r="E358" t="inlineStr">
        <is>
          <t>JOKKMOKK</t>
        </is>
      </c>
      <c r="G358" t="n">
        <v>6.4</v>
      </c>
      <c r="H358" t="n">
        <v>0</v>
      </c>
      <c r="I358" t="n">
        <v>0</v>
      </c>
      <c r="J358" t="n">
        <v>0</v>
      </c>
      <c r="K358" t="n">
        <v>0</v>
      </c>
      <c r="L358" t="n">
        <v>0</v>
      </c>
      <c r="M358" t="n">
        <v>0</v>
      </c>
      <c r="N358" t="n">
        <v>0</v>
      </c>
      <c r="O358" t="n">
        <v>0</v>
      </c>
      <c r="P358" t="n">
        <v>0</v>
      </c>
      <c r="Q358" t="n">
        <v>0</v>
      </c>
      <c r="R358" s="2" t="inlineStr"/>
    </row>
    <row r="359" ht="15" customHeight="1">
      <c r="A359" t="inlineStr">
        <is>
          <t>A 43658-2025</t>
        </is>
      </c>
      <c r="B359" s="1" t="n">
        <v>45912.34276620371</v>
      </c>
      <c r="C359" s="1" t="n">
        <v>45922</v>
      </c>
      <c r="D359" t="inlineStr">
        <is>
          <t>NORRBOTTENS LÄN</t>
        </is>
      </c>
      <c r="E359" t="inlineStr">
        <is>
          <t>JOKKMOKK</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56523-2021</t>
        </is>
      </c>
      <c r="B360" s="1" t="n">
        <v>44477</v>
      </c>
      <c r="C360" s="1" t="n">
        <v>45922</v>
      </c>
      <c r="D360" t="inlineStr">
        <is>
          <t>NORRBOTTENS LÄN</t>
        </is>
      </c>
      <c r="E360" t="inlineStr">
        <is>
          <t>JOKKMOKK</t>
        </is>
      </c>
      <c r="G360" t="n">
        <v>6.6</v>
      </c>
      <c r="H360" t="n">
        <v>0</v>
      </c>
      <c r="I360" t="n">
        <v>0</v>
      </c>
      <c r="J360" t="n">
        <v>0</v>
      </c>
      <c r="K360" t="n">
        <v>0</v>
      </c>
      <c r="L360" t="n">
        <v>0</v>
      </c>
      <c r="M360" t="n">
        <v>0</v>
      </c>
      <c r="N360" t="n">
        <v>0</v>
      </c>
      <c r="O360" t="n">
        <v>0</v>
      </c>
      <c r="P360" t="n">
        <v>0</v>
      </c>
      <c r="Q360" t="n">
        <v>0</v>
      </c>
      <c r="R360" s="2" t="inlineStr"/>
    </row>
    <row r="361" ht="15" customHeight="1">
      <c r="A361" t="inlineStr">
        <is>
          <t>A 33827-2024</t>
        </is>
      </c>
      <c r="B361" s="1" t="n">
        <v>45520</v>
      </c>
      <c r="C361" s="1" t="n">
        <v>45922</v>
      </c>
      <c r="D361" t="inlineStr">
        <is>
          <t>NORRBOTTENS LÄN</t>
        </is>
      </c>
      <c r="E361" t="inlineStr">
        <is>
          <t>JOKKMOKK</t>
        </is>
      </c>
      <c r="F361" t="inlineStr">
        <is>
          <t>SCA</t>
        </is>
      </c>
      <c r="G361" t="n">
        <v>12.8</v>
      </c>
      <c r="H361" t="n">
        <v>0</v>
      </c>
      <c r="I361" t="n">
        <v>0</v>
      </c>
      <c r="J361" t="n">
        <v>0</v>
      </c>
      <c r="K361" t="n">
        <v>0</v>
      </c>
      <c r="L361" t="n">
        <v>0</v>
      </c>
      <c r="M361" t="n">
        <v>0</v>
      </c>
      <c r="N361" t="n">
        <v>0</v>
      </c>
      <c r="O361" t="n">
        <v>0</v>
      </c>
      <c r="P361" t="n">
        <v>0</v>
      </c>
      <c r="Q361" t="n">
        <v>0</v>
      </c>
      <c r="R361" s="2" t="inlineStr"/>
    </row>
    <row r="362" ht="15" customHeight="1">
      <c r="A362" t="inlineStr">
        <is>
          <t>A 10596-2025</t>
        </is>
      </c>
      <c r="B362" s="1" t="n">
        <v>45721</v>
      </c>
      <c r="C362" s="1" t="n">
        <v>45922</v>
      </c>
      <c r="D362" t="inlineStr">
        <is>
          <t>NORRBOTTENS LÄN</t>
        </is>
      </c>
      <c r="E362" t="inlineStr">
        <is>
          <t>JOKKMOKK</t>
        </is>
      </c>
      <c r="G362" t="n">
        <v>17.7</v>
      </c>
      <c r="H362" t="n">
        <v>0</v>
      </c>
      <c r="I362" t="n">
        <v>0</v>
      </c>
      <c r="J362" t="n">
        <v>0</v>
      </c>
      <c r="K362" t="n">
        <v>0</v>
      </c>
      <c r="L362" t="n">
        <v>0</v>
      </c>
      <c r="M362" t="n">
        <v>0</v>
      </c>
      <c r="N362" t="n">
        <v>0</v>
      </c>
      <c r="O362" t="n">
        <v>0</v>
      </c>
      <c r="P362" t="n">
        <v>0</v>
      </c>
      <c r="Q362" t="n">
        <v>0</v>
      </c>
      <c r="R362" s="2" t="inlineStr"/>
    </row>
    <row r="363" ht="15" customHeight="1">
      <c r="A363" t="inlineStr">
        <is>
          <t>A 20593-2023</t>
        </is>
      </c>
      <c r="B363" s="1" t="n">
        <v>45057</v>
      </c>
      <c r="C363" s="1" t="n">
        <v>45922</v>
      </c>
      <c r="D363" t="inlineStr">
        <is>
          <t>NORRBOTTENS LÄN</t>
        </is>
      </c>
      <c r="E363" t="inlineStr">
        <is>
          <t>JOKKMOKK</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45922</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55491-2024</t>
        </is>
      </c>
      <c r="B365" s="1" t="n">
        <v>45622</v>
      </c>
      <c r="C365" s="1" t="n">
        <v>45922</v>
      </c>
      <c r="D365" t="inlineStr">
        <is>
          <t>NORRBOTTENS LÄN</t>
        </is>
      </c>
      <c r="E365" t="inlineStr">
        <is>
          <t>JOKKMOKK</t>
        </is>
      </c>
      <c r="F365" t="inlineStr">
        <is>
          <t>Allmännings- och besparingsskogar</t>
        </is>
      </c>
      <c r="G365" t="n">
        <v>25.2</v>
      </c>
      <c r="H365" t="n">
        <v>0</v>
      </c>
      <c r="I365" t="n">
        <v>0</v>
      </c>
      <c r="J365" t="n">
        <v>0</v>
      </c>
      <c r="K365" t="n">
        <v>0</v>
      </c>
      <c r="L365" t="n">
        <v>0</v>
      </c>
      <c r="M365" t="n">
        <v>0</v>
      </c>
      <c r="N365" t="n">
        <v>0</v>
      </c>
      <c r="O365" t="n">
        <v>0</v>
      </c>
      <c r="P365" t="n">
        <v>0</v>
      </c>
      <c r="Q365" t="n">
        <v>0</v>
      </c>
      <c r="R365" s="2" t="inlineStr"/>
    </row>
    <row r="366" ht="15" customHeight="1">
      <c r="A366" t="inlineStr">
        <is>
          <t>A 44606-2025</t>
        </is>
      </c>
      <c r="B366" s="1" t="n">
        <v>45917.4485300926</v>
      </c>
      <c r="C366" s="1" t="n">
        <v>45922</v>
      </c>
      <c r="D366" t="inlineStr">
        <is>
          <t>NORRBOTTENS LÄN</t>
        </is>
      </c>
      <c r="E366" t="inlineStr">
        <is>
          <t>JOKKMOKK</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59788-2024</t>
        </is>
      </c>
      <c r="B367" s="1" t="n">
        <v>45639.58282407407</v>
      </c>
      <c r="C367" s="1" t="n">
        <v>45922</v>
      </c>
      <c r="D367" t="inlineStr">
        <is>
          <t>NORRBOTTENS LÄN</t>
        </is>
      </c>
      <c r="E367" t="inlineStr">
        <is>
          <t>JOKKMOKK</t>
        </is>
      </c>
      <c r="F367" t="inlineStr">
        <is>
          <t>Sveaskog</t>
        </is>
      </c>
      <c r="G367" t="n">
        <v>11.4</v>
      </c>
      <c r="H367" t="n">
        <v>0</v>
      </c>
      <c r="I367" t="n">
        <v>0</v>
      </c>
      <c r="J367" t="n">
        <v>0</v>
      </c>
      <c r="K367" t="n">
        <v>0</v>
      </c>
      <c r="L367" t="n">
        <v>0</v>
      </c>
      <c r="M367" t="n">
        <v>0</v>
      </c>
      <c r="N367" t="n">
        <v>0</v>
      </c>
      <c r="O367" t="n">
        <v>0</v>
      </c>
      <c r="P367" t="n">
        <v>0</v>
      </c>
      <c r="Q367" t="n">
        <v>0</v>
      </c>
      <c r="R367" s="2" t="inlineStr"/>
    </row>
    <row r="368" ht="15" customHeight="1">
      <c r="A368" t="inlineStr">
        <is>
          <t>A 37120-2025</t>
        </is>
      </c>
      <c r="B368" s="1" t="n">
        <v>45875.51827546296</v>
      </c>
      <c r="C368" s="1" t="n">
        <v>45922</v>
      </c>
      <c r="D368" t="inlineStr">
        <is>
          <t>NORRBOTTENS LÄN</t>
        </is>
      </c>
      <c r="E368" t="inlineStr">
        <is>
          <t>JOKKMOKK</t>
        </is>
      </c>
      <c r="G368" t="n">
        <v>17.6</v>
      </c>
      <c r="H368" t="n">
        <v>0</v>
      </c>
      <c r="I368" t="n">
        <v>0</v>
      </c>
      <c r="J368" t="n">
        <v>0</v>
      </c>
      <c r="K368" t="n">
        <v>0</v>
      </c>
      <c r="L368" t="n">
        <v>0</v>
      </c>
      <c r="M368" t="n">
        <v>0</v>
      </c>
      <c r="N368" t="n">
        <v>0</v>
      </c>
      <c r="O368" t="n">
        <v>0</v>
      </c>
      <c r="P368" t="n">
        <v>0</v>
      </c>
      <c r="Q368" t="n">
        <v>0</v>
      </c>
      <c r="R368" s="2" t="inlineStr"/>
    </row>
    <row r="369" ht="15" customHeight="1">
      <c r="A369" t="inlineStr">
        <is>
          <t>A 37206-2025</t>
        </is>
      </c>
      <c r="B369" s="1" t="n">
        <v>45875.69855324074</v>
      </c>
      <c r="C369" s="1" t="n">
        <v>45922</v>
      </c>
      <c r="D369" t="inlineStr">
        <is>
          <t>NORRBOTTENS LÄN</t>
        </is>
      </c>
      <c r="E369" t="inlineStr">
        <is>
          <t>JOKKMOKK</t>
        </is>
      </c>
      <c r="G369" t="n">
        <v>2.9</v>
      </c>
      <c r="H369" t="n">
        <v>0</v>
      </c>
      <c r="I369" t="n">
        <v>0</v>
      </c>
      <c r="J369" t="n">
        <v>0</v>
      </c>
      <c r="K369" t="n">
        <v>0</v>
      </c>
      <c r="L369" t="n">
        <v>0</v>
      </c>
      <c r="M369" t="n">
        <v>0</v>
      </c>
      <c r="N369" t="n">
        <v>0</v>
      </c>
      <c r="O369" t="n">
        <v>0</v>
      </c>
      <c r="P369" t="n">
        <v>0</v>
      </c>
      <c r="Q369" t="n">
        <v>0</v>
      </c>
      <c r="R369" s="2" t="inlineStr"/>
    </row>
    <row r="370" ht="15" customHeight="1">
      <c r="A370" t="inlineStr">
        <is>
          <t>A 42639-2024</t>
        </is>
      </c>
      <c r="B370" s="1" t="n">
        <v>45565.91135416667</v>
      </c>
      <c r="C370" s="1" t="n">
        <v>45922</v>
      </c>
      <c r="D370" t="inlineStr">
        <is>
          <t>NORRBOTTENS LÄN</t>
        </is>
      </c>
      <c r="E370" t="inlineStr">
        <is>
          <t>JOKKMOKK</t>
        </is>
      </c>
      <c r="G370" t="n">
        <v>34.5</v>
      </c>
      <c r="H370" t="n">
        <v>0</v>
      </c>
      <c r="I370" t="n">
        <v>0</v>
      </c>
      <c r="J370" t="n">
        <v>0</v>
      </c>
      <c r="K370" t="n">
        <v>0</v>
      </c>
      <c r="L370" t="n">
        <v>0</v>
      </c>
      <c r="M370" t="n">
        <v>0</v>
      </c>
      <c r="N370" t="n">
        <v>0</v>
      </c>
      <c r="O370" t="n">
        <v>0</v>
      </c>
      <c r="P370" t="n">
        <v>0</v>
      </c>
      <c r="Q370" t="n">
        <v>0</v>
      </c>
      <c r="R370" s="2" t="inlineStr"/>
    </row>
    <row r="371" ht="15" customHeight="1">
      <c r="A371" t="inlineStr">
        <is>
          <t>A 40779-2025</t>
        </is>
      </c>
      <c r="B371" s="1" t="n">
        <v>45897</v>
      </c>
      <c r="C371" s="1" t="n">
        <v>45922</v>
      </c>
      <c r="D371" t="inlineStr">
        <is>
          <t>NORRBOTTENS LÄN</t>
        </is>
      </c>
      <c r="E371" t="inlineStr">
        <is>
          <t>JOKKMOKK</t>
        </is>
      </c>
      <c r="F371" t="inlineStr">
        <is>
          <t>Sveaskog</t>
        </is>
      </c>
      <c r="G371" t="n">
        <v>53.8</v>
      </c>
      <c r="H371" t="n">
        <v>0</v>
      </c>
      <c r="I371" t="n">
        <v>0</v>
      </c>
      <c r="J371" t="n">
        <v>0</v>
      </c>
      <c r="K371" t="n">
        <v>0</v>
      </c>
      <c r="L371" t="n">
        <v>0</v>
      </c>
      <c r="M371" t="n">
        <v>0</v>
      </c>
      <c r="N371" t="n">
        <v>0</v>
      </c>
      <c r="O371" t="n">
        <v>0</v>
      </c>
      <c r="P371" t="n">
        <v>0</v>
      </c>
      <c r="Q371" t="n">
        <v>0</v>
      </c>
      <c r="R371" s="2" t="inlineStr"/>
    </row>
    <row r="372" ht="15" customHeight="1">
      <c r="A372" t="inlineStr">
        <is>
          <t>A 61500-2024</t>
        </is>
      </c>
      <c r="B372" s="1" t="n">
        <v>45645</v>
      </c>
      <c r="C372" s="1" t="n">
        <v>45922</v>
      </c>
      <c r="D372" t="inlineStr">
        <is>
          <t>NORRBOTTENS LÄN</t>
        </is>
      </c>
      <c r="E372" t="inlineStr">
        <is>
          <t>JOKKMOKK</t>
        </is>
      </c>
      <c r="G372" t="n">
        <v>39.8</v>
      </c>
      <c r="H372" t="n">
        <v>0</v>
      </c>
      <c r="I372" t="n">
        <v>0</v>
      </c>
      <c r="J372" t="n">
        <v>0</v>
      </c>
      <c r="K372" t="n">
        <v>0</v>
      </c>
      <c r="L372" t="n">
        <v>0</v>
      </c>
      <c r="M372" t="n">
        <v>0</v>
      </c>
      <c r="N372" t="n">
        <v>0</v>
      </c>
      <c r="O372" t="n">
        <v>0</v>
      </c>
      <c r="P372" t="n">
        <v>0</v>
      </c>
      <c r="Q372" t="n">
        <v>0</v>
      </c>
      <c r="R372" s="2" t="inlineStr"/>
    </row>
    <row r="373" ht="15" customHeight="1">
      <c r="A373" t="inlineStr">
        <is>
          <t>A 41923-2021</t>
        </is>
      </c>
      <c r="B373" s="1" t="n">
        <v>44425</v>
      </c>
      <c r="C373" s="1" t="n">
        <v>45922</v>
      </c>
      <c r="D373" t="inlineStr">
        <is>
          <t>NORRBOTTENS LÄN</t>
        </is>
      </c>
      <c r="E373" t="inlineStr">
        <is>
          <t>JOKKMOKK</t>
        </is>
      </c>
      <c r="F373" t="inlineStr">
        <is>
          <t>Övriga statliga verk och myndigheter</t>
        </is>
      </c>
      <c r="G373" t="n">
        <v>22</v>
      </c>
      <c r="H373" t="n">
        <v>0</v>
      </c>
      <c r="I373" t="n">
        <v>0</v>
      </c>
      <c r="J373" t="n">
        <v>0</v>
      </c>
      <c r="K373" t="n">
        <v>0</v>
      </c>
      <c r="L373" t="n">
        <v>0</v>
      </c>
      <c r="M373" t="n">
        <v>0</v>
      </c>
      <c r="N373" t="n">
        <v>0</v>
      </c>
      <c r="O373" t="n">
        <v>0</v>
      </c>
      <c r="P373" t="n">
        <v>0</v>
      </c>
      <c r="Q373" t="n">
        <v>0</v>
      </c>
      <c r="R373" s="2" t="inlineStr"/>
    </row>
    <row r="374" ht="15" customHeight="1">
      <c r="A374" t="inlineStr">
        <is>
          <t>A 44691-2025</t>
        </is>
      </c>
      <c r="B374" s="1" t="n">
        <v>45917.59425925926</v>
      </c>
      <c r="C374" s="1" t="n">
        <v>45922</v>
      </c>
      <c r="D374" t="inlineStr">
        <is>
          <t>NORRBOTTENS LÄN</t>
        </is>
      </c>
      <c r="E374" t="inlineStr">
        <is>
          <t>JOKKMOKK</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48586-2022</t>
        </is>
      </c>
      <c r="B375" s="1" t="n">
        <v>44854</v>
      </c>
      <c r="C375" s="1" t="n">
        <v>45922</v>
      </c>
      <c r="D375" t="inlineStr">
        <is>
          <t>NORRBOTTENS LÄN</t>
        </is>
      </c>
      <c r="E375" t="inlineStr">
        <is>
          <t>JOKKMOKK</t>
        </is>
      </c>
      <c r="F375" t="inlineStr">
        <is>
          <t>Övriga statliga verk och myndigheter</t>
        </is>
      </c>
      <c r="G375" t="n">
        <v>26.1</v>
      </c>
      <c r="H375" t="n">
        <v>0</v>
      </c>
      <c r="I375" t="n">
        <v>0</v>
      </c>
      <c r="J375" t="n">
        <v>0</v>
      </c>
      <c r="K375" t="n">
        <v>0</v>
      </c>
      <c r="L375" t="n">
        <v>0</v>
      </c>
      <c r="M375" t="n">
        <v>0</v>
      </c>
      <c r="N375" t="n">
        <v>0</v>
      </c>
      <c r="O375" t="n">
        <v>0</v>
      </c>
      <c r="P375" t="n">
        <v>0</v>
      </c>
      <c r="Q375" t="n">
        <v>0</v>
      </c>
      <c r="R375" s="2" t="inlineStr"/>
    </row>
    <row r="376" ht="15" customHeight="1">
      <c r="A376" t="inlineStr">
        <is>
          <t>A 34609-2024</t>
        </is>
      </c>
      <c r="B376" s="1" t="n">
        <v>45526</v>
      </c>
      <c r="C376" s="1" t="n">
        <v>45922</v>
      </c>
      <c r="D376" t="inlineStr">
        <is>
          <t>NORRBOTTENS LÄN</t>
        </is>
      </c>
      <c r="E376" t="inlineStr">
        <is>
          <t>JOKKMOKK</t>
        </is>
      </c>
      <c r="G376" t="n">
        <v>27</v>
      </c>
      <c r="H376" t="n">
        <v>0</v>
      </c>
      <c r="I376" t="n">
        <v>0</v>
      </c>
      <c r="J376" t="n">
        <v>0</v>
      </c>
      <c r="K376" t="n">
        <v>0</v>
      </c>
      <c r="L376" t="n">
        <v>0</v>
      </c>
      <c r="M376" t="n">
        <v>0</v>
      </c>
      <c r="N376" t="n">
        <v>0</v>
      </c>
      <c r="O376" t="n">
        <v>0</v>
      </c>
      <c r="P376" t="n">
        <v>0</v>
      </c>
      <c r="Q376" t="n">
        <v>0</v>
      </c>
      <c r="R376" s="2" t="inlineStr"/>
    </row>
    <row r="377" ht="15" customHeight="1">
      <c r="A377" t="inlineStr">
        <is>
          <t>A 45065-2025</t>
        </is>
      </c>
      <c r="B377" s="1" t="n">
        <v>45919.34540509259</v>
      </c>
      <c r="C377" s="1" t="n">
        <v>45922</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51617-2024</t>
        </is>
      </c>
      <c r="B378" s="1" t="n">
        <v>45604.71908564815</v>
      </c>
      <c r="C378" s="1" t="n">
        <v>45922</v>
      </c>
      <c r="D378" t="inlineStr">
        <is>
          <t>NORRBOTTENS LÄN</t>
        </is>
      </c>
      <c r="E378" t="inlineStr">
        <is>
          <t>JOKKMOKK</t>
        </is>
      </c>
      <c r="F378" t="inlineStr">
        <is>
          <t>SCA</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41403-2025</t>
        </is>
      </c>
      <c r="B379" s="1" t="n">
        <v>45901.344375</v>
      </c>
      <c r="C379" s="1" t="n">
        <v>45922</v>
      </c>
      <c r="D379" t="inlineStr">
        <is>
          <t>NORRBOTTENS LÄN</t>
        </is>
      </c>
      <c r="E379" t="inlineStr">
        <is>
          <t>JOKKMOKK</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20270-2025</t>
        </is>
      </c>
      <c r="B380" s="1" t="n">
        <v>45773.71444444444</v>
      </c>
      <c r="C380" s="1" t="n">
        <v>45922</v>
      </c>
      <c r="D380" t="inlineStr">
        <is>
          <t>NORRBOTTENS LÄN</t>
        </is>
      </c>
      <c r="E380" t="inlineStr">
        <is>
          <t>JOKKMOKK</t>
        </is>
      </c>
      <c r="G380" t="n">
        <v>90.09999999999999</v>
      </c>
      <c r="H380" t="n">
        <v>0</v>
      </c>
      <c r="I380" t="n">
        <v>0</v>
      </c>
      <c r="J380" t="n">
        <v>0</v>
      </c>
      <c r="K380" t="n">
        <v>0</v>
      </c>
      <c r="L380" t="n">
        <v>0</v>
      </c>
      <c r="M380" t="n">
        <v>0</v>
      </c>
      <c r="N380" t="n">
        <v>0</v>
      </c>
      <c r="O380" t="n">
        <v>0</v>
      </c>
      <c r="P380" t="n">
        <v>0</v>
      </c>
      <c r="Q380" t="n">
        <v>0</v>
      </c>
      <c r="R380" s="2" t="inlineStr"/>
    </row>
    <row r="381" ht="15" customHeight="1">
      <c r="A381" t="inlineStr">
        <is>
          <t>A 45201-2025</t>
        </is>
      </c>
      <c r="B381" s="1" t="n">
        <v>45919.56230324074</v>
      </c>
      <c r="C381" s="1" t="n">
        <v>45922</v>
      </c>
      <c r="D381" t="inlineStr">
        <is>
          <t>NORRBOTTENS LÄN</t>
        </is>
      </c>
      <c r="E381" t="inlineStr">
        <is>
          <t>JOKKMOKK</t>
        </is>
      </c>
      <c r="F381" t="inlineStr">
        <is>
          <t>Sveaskog</t>
        </is>
      </c>
      <c r="G381" t="n">
        <v>21.8</v>
      </c>
      <c r="H381" t="n">
        <v>0</v>
      </c>
      <c r="I381" t="n">
        <v>0</v>
      </c>
      <c r="J381" t="n">
        <v>0</v>
      </c>
      <c r="K381" t="n">
        <v>0</v>
      </c>
      <c r="L381" t="n">
        <v>0</v>
      </c>
      <c r="M381" t="n">
        <v>0</v>
      </c>
      <c r="N381" t="n">
        <v>0</v>
      </c>
      <c r="O381" t="n">
        <v>0</v>
      </c>
      <c r="P381" t="n">
        <v>0</v>
      </c>
      <c r="Q381" t="n">
        <v>0</v>
      </c>
      <c r="R381" s="2" t="inlineStr"/>
    </row>
    <row r="382" ht="15" customHeight="1">
      <c r="A382" t="inlineStr">
        <is>
          <t>A 43803-2025</t>
        </is>
      </c>
      <c r="B382" s="1" t="n">
        <v>45912</v>
      </c>
      <c r="C382" s="1" t="n">
        <v>45922</v>
      </c>
      <c r="D382" t="inlineStr">
        <is>
          <t>NORRBOTTENS LÄN</t>
        </is>
      </c>
      <c r="E382" t="inlineStr">
        <is>
          <t>JOKKMOKK</t>
        </is>
      </c>
      <c r="F382" t="inlineStr">
        <is>
          <t>SCA</t>
        </is>
      </c>
      <c r="G382" t="n">
        <v>6.2</v>
      </c>
      <c r="H382" t="n">
        <v>0</v>
      </c>
      <c r="I382" t="n">
        <v>0</v>
      </c>
      <c r="J382" t="n">
        <v>0</v>
      </c>
      <c r="K382" t="n">
        <v>0</v>
      </c>
      <c r="L382" t="n">
        <v>0</v>
      </c>
      <c r="M382" t="n">
        <v>0</v>
      </c>
      <c r="N382" t="n">
        <v>0</v>
      </c>
      <c r="O382" t="n">
        <v>0</v>
      </c>
      <c r="P382" t="n">
        <v>0</v>
      </c>
      <c r="Q382" t="n">
        <v>0</v>
      </c>
      <c r="R382" s="2" t="inlineStr"/>
    </row>
    <row r="383" ht="15" customHeight="1">
      <c r="A383" t="inlineStr">
        <is>
          <t>A 44842-2025</t>
        </is>
      </c>
      <c r="B383" s="1" t="n">
        <v>45918.42957175926</v>
      </c>
      <c r="C383" s="1" t="n">
        <v>45922</v>
      </c>
      <c r="D383" t="inlineStr">
        <is>
          <t>NORRBOTTENS LÄN</t>
        </is>
      </c>
      <c r="E383" t="inlineStr">
        <is>
          <t>JOKKMOKK</t>
        </is>
      </c>
      <c r="G383" t="n">
        <v>7.7</v>
      </c>
      <c r="H383" t="n">
        <v>0</v>
      </c>
      <c r="I383" t="n">
        <v>0</v>
      </c>
      <c r="J383" t="n">
        <v>0</v>
      </c>
      <c r="K383" t="n">
        <v>0</v>
      </c>
      <c r="L383" t="n">
        <v>0</v>
      </c>
      <c r="M383" t="n">
        <v>0</v>
      </c>
      <c r="N383" t="n">
        <v>0</v>
      </c>
      <c r="O383" t="n">
        <v>0</v>
      </c>
      <c r="P383" t="n">
        <v>0</v>
      </c>
      <c r="Q383" t="n">
        <v>0</v>
      </c>
      <c r="R383" s="2" t="inlineStr"/>
    </row>
    <row r="384" ht="15" customHeight="1">
      <c r="A384" t="inlineStr">
        <is>
          <t>A 46418-2023</t>
        </is>
      </c>
      <c r="B384" s="1" t="n">
        <v>45197</v>
      </c>
      <c r="C384" s="1" t="n">
        <v>45922</v>
      </c>
      <c r="D384" t="inlineStr">
        <is>
          <t>NORRBOTTENS LÄN</t>
        </is>
      </c>
      <c r="E384" t="inlineStr">
        <is>
          <t>JOKKMOKK</t>
        </is>
      </c>
      <c r="G384" t="n">
        <v>7.4</v>
      </c>
      <c r="H384" t="n">
        <v>0</v>
      </c>
      <c r="I384" t="n">
        <v>0</v>
      </c>
      <c r="J384" t="n">
        <v>0</v>
      </c>
      <c r="K384" t="n">
        <v>0</v>
      </c>
      <c r="L384" t="n">
        <v>0</v>
      </c>
      <c r="M384" t="n">
        <v>0</v>
      </c>
      <c r="N384" t="n">
        <v>0</v>
      </c>
      <c r="O384" t="n">
        <v>0</v>
      </c>
      <c r="P384" t="n">
        <v>0</v>
      </c>
      <c r="Q384" t="n">
        <v>0</v>
      </c>
      <c r="R384" s="2" t="inlineStr"/>
    </row>
    <row r="385" ht="15" customHeight="1">
      <c r="A385" t="inlineStr">
        <is>
          <t>A 45064-2025</t>
        </is>
      </c>
      <c r="B385" s="1" t="n">
        <v>45919.34533564815</v>
      </c>
      <c r="C385" s="1" t="n">
        <v>45922</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44958-2025</t>
        </is>
      </c>
      <c r="B386" s="1" t="n">
        <v>45918.61519675926</v>
      </c>
      <c r="C386" s="1" t="n">
        <v>45922</v>
      </c>
      <c r="D386" t="inlineStr">
        <is>
          <t>NORRBOTTENS LÄN</t>
        </is>
      </c>
      <c r="E386" t="inlineStr">
        <is>
          <t>JOKKMOKK</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56412-2021</t>
        </is>
      </c>
      <c r="B387" s="1" t="n">
        <v>44477</v>
      </c>
      <c r="C387" s="1" t="n">
        <v>45922</v>
      </c>
      <c r="D387" t="inlineStr">
        <is>
          <t>NORRBOTTENS LÄN</t>
        </is>
      </c>
      <c r="E387" t="inlineStr">
        <is>
          <t>JOKKMOKK</t>
        </is>
      </c>
      <c r="G387" t="n">
        <v>2.5</v>
      </c>
      <c r="H387" t="n">
        <v>0</v>
      </c>
      <c r="I387" t="n">
        <v>0</v>
      </c>
      <c r="J387" t="n">
        <v>0</v>
      </c>
      <c r="K387" t="n">
        <v>0</v>
      </c>
      <c r="L387" t="n">
        <v>0</v>
      </c>
      <c r="M387" t="n">
        <v>0</v>
      </c>
      <c r="N387" t="n">
        <v>0</v>
      </c>
      <c r="O387" t="n">
        <v>0</v>
      </c>
      <c r="P387" t="n">
        <v>0</v>
      </c>
      <c r="Q387" t="n">
        <v>0</v>
      </c>
      <c r="R387" s="2" t="inlineStr"/>
    </row>
    <row r="388" ht="15" customHeight="1">
      <c r="A388" t="inlineStr">
        <is>
          <t>A 3055-2025</t>
        </is>
      </c>
      <c r="B388" s="1" t="n">
        <v>45678.61530092593</v>
      </c>
      <c r="C388" s="1" t="n">
        <v>45922</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25720-2023</t>
        </is>
      </c>
      <c r="B389" s="1" t="n">
        <v>45090</v>
      </c>
      <c r="C389" s="1" t="n">
        <v>45922</v>
      </c>
      <c r="D389" t="inlineStr">
        <is>
          <t>NORRBOTTENS LÄN</t>
        </is>
      </c>
      <c r="E389" t="inlineStr">
        <is>
          <t>JOKKMOKK</t>
        </is>
      </c>
      <c r="G389" t="n">
        <v>2.1</v>
      </c>
      <c r="H389" t="n">
        <v>0</v>
      </c>
      <c r="I389" t="n">
        <v>0</v>
      </c>
      <c r="J389" t="n">
        <v>0</v>
      </c>
      <c r="K389" t="n">
        <v>0</v>
      </c>
      <c r="L389" t="n">
        <v>0</v>
      </c>
      <c r="M389" t="n">
        <v>0</v>
      </c>
      <c r="N389" t="n">
        <v>0</v>
      </c>
      <c r="O389" t="n">
        <v>0</v>
      </c>
      <c r="P389" t="n">
        <v>0</v>
      </c>
      <c r="Q389" t="n">
        <v>0</v>
      </c>
      <c r="R389" s="2" t="inlineStr"/>
    </row>
    <row r="390" ht="15" customHeight="1">
      <c r="A390" t="inlineStr">
        <is>
          <t>A 27650-2024</t>
        </is>
      </c>
      <c r="B390" s="1" t="n">
        <v>45474.94802083333</v>
      </c>
      <c r="C390" s="1" t="n">
        <v>45922</v>
      </c>
      <c r="D390" t="inlineStr">
        <is>
          <t>NORRBOTTENS LÄN</t>
        </is>
      </c>
      <c r="E390" t="inlineStr">
        <is>
          <t>JOKKMOKK</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27651-2024</t>
        </is>
      </c>
      <c r="B391" s="1" t="n">
        <v>45474</v>
      </c>
      <c r="C391" s="1" t="n">
        <v>45922</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34639-2024</t>
        </is>
      </c>
      <c r="B392" s="1" t="n">
        <v>45526.47293981481</v>
      </c>
      <c r="C392" s="1" t="n">
        <v>45922</v>
      </c>
      <c r="D392" t="inlineStr">
        <is>
          <t>NORRBOTTENS LÄN</t>
        </is>
      </c>
      <c r="E392" t="inlineStr">
        <is>
          <t>JOKKMOKK</t>
        </is>
      </c>
      <c r="G392" t="n">
        <v>7.7</v>
      </c>
      <c r="H392" t="n">
        <v>0</v>
      </c>
      <c r="I392" t="n">
        <v>0</v>
      </c>
      <c r="J392" t="n">
        <v>0</v>
      </c>
      <c r="K392" t="n">
        <v>0</v>
      </c>
      <c r="L392" t="n">
        <v>0</v>
      </c>
      <c r="M392" t="n">
        <v>0</v>
      </c>
      <c r="N392" t="n">
        <v>0</v>
      </c>
      <c r="O392" t="n">
        <v>0</v>
      </c>
      <c r="P392" t="n">
        <v>0</v>
      </c>
      <c r="Q392" t="n">
        <v>0</v>
      </c>
      <c r="R392" s="2" t="inlineStr"/>
    </row>
    <row r="393" ht="15" customHeight="1">
      <c r="A393" t="inlineStr">
        <is>
          <t>A 23204-2024</t>
        </is>
      </c>
      <c r="B393" s="1" t="n">
        <v>45451</v>
      </c>
      <c r="C393" s="1" t="n">
        <v>45922</v>
      </c>
      <c r="D393" t="inlineStr">
        <is>
          <t>NORRBOTTENS LÄN</t>
        </is>
      </c>
      <c r="E393" t="inlineStr">
        <is>
          <t>JOKKMOKK</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47397-2020</t>
        </is>
      </c>
      <c r="B394" s="1" t="n">
        <v>44095</v>
      </c>
      <c r="C394" s="1" t="n">
        <v>45922</v>
      </c>
      <c r="D394" t="inlineStr">
        <is>
          <t>NORRBOTTENS LÄN</t>
        </is>
      </c>
      <c r="E394" t="inlineStr">
        <is>
          <t>JOKKMOKK</t>
        </is>
      </c>
      <c r="F394" t="inlineStr">
        <is>
          <t>Allmännings- och besparingsskogar</t>
        </is>
      </c>
      <c r="G394" t="n">
        <v>3.5</v>
      </c>
      <c r="H394" t="n">
        <v>0</v>
      </c>
      <c r="I394" t="n">
        <v>0</v>
      </c>
      <c r="J394" t="n">
        <v>0</v>
      </c>
      <c r="K394" t="n">
        <v>0</v>
      </c>
      <c r="L394" t="n">
        <v>0</v>
      </c>
      <c r="M394" t="n">
        <v>0</v>
      </c>
      <c r="N394" t="n">
        <v>0</v>
      </c>
      <c r="O394" t="n">
        <v>0</v>
      </c>
      <c r="P394" t="n">
        <v>0</v>
      </c>
      <c r="Q394" t="n">
        <v>0</v>
      </c>
      <c r="R394" s="2" t="inlineStr"/>
    </row>
    <row r="395" ht="15" customHeight="1">
      <c r="A395" t="inlineStr">
        <is>
          <t>A 35876-2022</t>
        </is>
      </c>
      <c r="B395" s="1" t="n">
        <v>44802</v>
      </c>
      <c r="C395" s="1" t="n">
        <v>45922</v>
      </c>
      <c r="D395" t="inlineStr">
        <is>
          <t>NORRBOTTENS LÄN</t>
        </is>
      </c>
      <c r="E395" t="inlineStr">
        <is>
          <t>JOKKMOKK</t>
        </is>
      </c>
      <c r="G395" t="n">
        <v>9.5</v>
      </c>
      <c r="H395" t="n">
        <v>0</v>
      </c>
      <c r="I395" t="n">
        <v>0</v>
      </c>
      <c r="J395" t="n">
        <v>0</v>
      </c>
      <c r="K395" t="n">
        <v>0</v>
      </c>
      <c r="L395" t="n">
        <v>0</v>
      </c>
      <c r="M395" t="n">
        <v>0</v>
      </c>
      <c r="N395" t="n">
        <v>0</v>
      </c>
      <c r="O395" t="n">
        <v>0</v>
      </c>
      <c r="P395" t="n">
        <v>0</v>
      </c>
      <c r="Q395" t="n">
        <v>0</v>
      </c>
      <c r="R395" s="2" t="inlineStr"/>
    </row>
    <row r="396" ht="15" customHeight="1">
      <c r="A396" t="inlineStr">
        <is>
          <t>A 21710-2025</t>
        </is>
      </c>
      <c r="B396" s="1" t="n">
        <v>45783.53160879629</v>
      </c>
      <c r="C396" s="1" t="n">
        <v>45922</v>
      </c>
      <c r="D396" t="inlineStr">
        <is>
          <t>NORRBOTTENS LÄN</t>
        </is>
      </c>
      <c r="E396" t="inlineStr">
        <is>
          <t>JOKKMOKK</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47208-2022</t>
        </is>
      </c>
      <c r="B397" s="1" t="n">
        <v>44851</v>
      </c>
      <c r="C397" s="1" t="n">
        <v>45922</v>
      </c>
      <c r="D397" t="inlineStr">
        <is>
          <t>NORRBOTTENS LÄN</t>
        </is>
      </c>
      <c r="E397" t="inlineStr">
        <is>
          <t>JOKKMOKK</t>
        </is>
      </c>
      <c r="G397" t="n">
        <v>1.2</v>
      </c>
      <c r="H397" t="n">
        <v>0</v>
      </c>
      <c r="I397" t="n">
        <v>0</v>
      </c>
      <c r="J397" t="n">
        <v>0</v>
      </c>
      <c r="K397" t="n">
        <v>0</v>
      </c>
      <c r="L397" t="n">
        <v>0</v>
      </c>
      <c r="M397" t="n">
        <v>0</v>
      </c>
      <c r="N397" t="n">
        <v>0</v>
      </c>
      <c r="O397" t="n">
        <v>0</v>
      </c>
      <c r="P397" t="n">
        <v>0</v>
      </c>
      <c r="Q397" t="n">
        <v>0</v>
      </c>
      <c r="R397" s="2" t="inlineStr"/>
    </row>
    <row r="398" ht="15" customHeight="1">
      <c r="A398" t="inlineStr">
        <is>
          <t>A 36113-2024</t>
        </is>
      </c>
      <c r="B398" s="1" t="n">
        <v>45534.30302083334</v>
      </c>
      <c r="C398" s="1" t="n">
        <v>45922</v>
      </c>
      <c r="D398" t="inlineStr">
        <is>
          <t>NORRBOTTENS LÄN</t>
        </is>
      </c>
      <c r="E398" t="inlineStr">
        <is>
          <t>JOKKMOKK</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21829-2025</t>
        </is>
      </c>
      <c r="B399" s="1" t="n">
        <v>45783.96920138889</v>
      </c>
      <c r="C399" s="1" t="n">
        <v>45922</v>
      </c>
      <c r="D399" t="inlineStr">
        <is>
          <t>NORRBOTTENS LÄN</t>
        </is>
      </c>
      <c r="E399" t="inlineStr">
        <is>
          <t>JOKKMOKK</t>
        </is>
      </c>
      <c r="G399" t="n">
        <v>7.1</v>
      </c>
      <c r="H399" t="n">
        <v>0</v>
      </c>
      <c r="I399" t="n">
        <v>0</v>
      </c>
      <c r="J399" t="n">
        <v>0</v>
      </c>
      <c r="K399" t="n">
        <v>0</v>
      </c>
      <c r="L399" t="n">
        <v>0</v>
      </c>
      <c r="M399" t="n">
        <v>0</v>
      </c>
      <c r="N399" t="n">
        <v>0</v>
      </c>
      <c r="O399" t="n">
        <v>0</v>
      </c>
      <c r="P399" t="n">
        <v>0</v>
      </c>
      <c r="Q399" t="n">
        <v>0</v>
      </c>
      <c r="R399" s="2" t="inlineStr"/>
    </row>
    <row r="400" ht="15" customHeight="1">
      <c r="A400" t="inlineStr">
        <is>
          <t>A 23203-2024</t>
        </is>
      </c>
      <c r="B400" s="1" t="n">
        <v>45451</v>
      </c>
      <c r="C400" s="1" t="n">
        <v>45922</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56851-2020</t>
        </is>
      </c>
      <c r="B401" s="1" t="n">
        <v>44133</v>
      </c>
      <c r="C401" s="1" t="n">
        <v>45922</v>
      </c>
      <c r="D401" t="inlineStr">
        <is>
          <t>NORRBOTTENS LÄN</t>
        </is>
      </c>
      <c r="E401" t="inlineStr">
        <is>
          <t>JOKKMOKK</t>
        </is>
      </c>
      <c r="F401" t="inlineStr">
        <is>
          <t>Övriga Aktiebolag</t>
        </is>
      </c>
      <c r="G401" t="n">
        <v>10.7</v>
      </c>
      <c r="H401" t="n">
        <v>0</v>
      </c>
      <c r="I401" t="n">
        <v>0</v>
      </c>
      <c r="J401" t="n">
        <v>0</v>
      </c>
      <c r="K401" t="n">
        <v>0</v>
      </c>
      <c r="L401" t="n">
        <v>0</v>
      </c>
      <c r="M401" t="n">
        <v>0</v>
      </c>
      <c r="N401" t="n">
        <v>0</v>
      </c>
      <c r="O401" t="n">
        <v>0</v>
      </c>
      <c r="P401" t="n">
        <v>0</v>
      </c>
      <c r="Q401" t="n">
        <v>0</v>
      </c>
      <c r="R401" s="2" t="inlineStr"/>
    </row>
    <row r="402" ht="15" customHeight="1">
      <c r="A402" t="inlineStr">
        <is>
          <t>A 23317-2025</t>
        </is>
      </c>
      <c r="B402" s="1" t="n">
        <v>45791.61278935185</v>
      </c>
      <c r="C402" s="1" t="n">
        <v>45922</v>
      </c>
      <c r="D402" t="inlineStr">
        <is>
          <t>NORRBOTTENS LÄN</t>
        </is>
      </c>
      <c r="E402" t="inlineStr">
        <is>
          <t>JOKKMOKK</t>
        </is>
      </c>
      <c r="F402" t="inlineStr">
        <is>
          <t>Sveaskog</t>
        </is>
      </c>
      <c r="G402" t="n">
        <v>22.4</v>
      </c>
      <c r="H402" t="n">
        <v>0</v>
      </c>
      <c r="I402" t="n">
        <v>0</v>
      </c>
      <c r="J402" t="n">
        <v>0</v>
      </c>
      <c r="K402" t="n">
        <v>0</v>
      </c>
      <c r="L402" t="n">
        <v>0</v>
      </c>
      <c r="M402" t="n">
        <v>0</v>
      </c>
      <c r="N402" t="n">
        <v>0</v>
      </c>
      <c r="O402" t="n">
        <v>0</v>
      </c>
      <c r="P402" t="n">
        <v>0</v>
      </c>
      <c r="Q402" t="n">
        <v>0</v>
      </c>
      <c r="R402" s="2" t="inlineStr"/>
    </row>
    <row r="403" ht="15" customHeight="1">
      <c r="A403" t="inlineStr">
        <is>
          <t>A 51293-2024</t>
        </is>
      </c>
      <c r="B403" s="1" t="n">
        <v>45603.92878472222</v>
      </c>
      <c r="C403" s="1" t="n">
        <v>45922</v>
      </c>
      <c r="D403" t="inlineStr">
        <is>
          <t>NORRBOTTENS LÄN</t>
        </is>
      </c>
      <c r="E403" t="inlineStr">
        <is>
          <t>JOKKMOKK</t>
        </is>
      </c>
      <c r="G403" t="n">
        <v>2.5</v>
      </c>
      <c r="H403" t="n">
        <v>0</v>
      </c>
      <c r="I403" t="n">
        <v>0</v>
      </c>
      <c r="J403" t="n">
        <v>0</v>
      </c>
      <c r="K403" t="n">
        <v>0</v>
      </c>
      <c r="L403" t="n">
        <v>0</v>
      </c>
      <c r="M403" t="n">
        <v>0</v>
      </c>
      <c r="N403" t="n">
        <v>0</v>
      </c>
      <c r="O403" t="n">
        <v>0</v>
      </c>
      <c r="P403" t="n">
        <v>0</v>
      </c>
      <c r="Q403" t="n">
        <v>0</v>
      </c>
      <c r="R403" s="2" t="inlineStr"/>
    </row>
    <row r="404" ht="15" customHeight="1">
      <c r="A404" t="inlineStr">
        <is>
          <t>A 24740-2025</t>
        </is>
      </c>
      <c r="B404" s="1" t="n">
        <v>45799.34543981482</v>
      </c>
      <c r="C404" s="1" t="n">
        <v>45922</v>
      </c>
      <c r="D404" t="inlineStr">
        <is>
          <t>NORRBOTTENS LÄN</t>
        </is>
      </c>
      <c r="E404" t="inlineStr">
        <is>
          <t>JOKKMOKK</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24743-2025</t>
        </is>
      </c>
      <c r="B405" s="1" t="n">
        <v>45799.34598379629</v>
      </c>
      <c r="C405" s="1" t="n">
        <v>45922</v>
      </c>
      <c r="D405" t="inlineStr">
        <is>
          <t>NORRBOTTENS LÄN</t>
        </is>
      </c>
      <c r="E405" t="inlineStr">
        <is>
          <t>JOKKMOKK</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60193-2023</t>
        </is>
      </c>
      <c r="B406" s="1" t="n">
        <v>45258</v>
      </c>
      <c r="C406" s="1" t="n">
        <v>45922</v>
      </c>
      <c r="D406" t="inlineStr">
        <is>
          <t>NORRBOTTENS LÄN</t>
        </is>
      </c>
      <c r="E406" t="inlineStr">
        <is>
          <t>JOKKMOKK</t>
        </is>
      </c>
      <c r="F406" t="inlineStr">
        <is>
          <t>Allmännings- och besparingsskogar</t>
        </is>
      </c>
      <c r="G406" t="n">
        <v>11.1</v>
      </c>
      <c r="H406" t="n">
        <v>0</v>
      </c>
      <c r="I406" t="n">
        <v>0</v>
      </c>
      <c r="J406" t="n">
        <v>0</v>
      </c>
      <c r="K406" t="n">
        <v>0</v>
      </c>
      <c r="L406" t="n">
        <v>0</v>
      </c>
      <c r="M406" t="n">
        <v>0</v>
      </c>
      <c r="N406" t="n">
        <v>0</v>
      </c>
      <c r="O406" t="n">
        <v>0</v>
      </c>
      <c r="P406" t="n">
        <v>0</v>
      </c>
      <c r="Q406" t="n">
        <v>0</v>
      </c>
      <c r="R406" s="2" t="inlineStr"/>
    </row>
    <row r="407" ht="15" customHeight="1">
      <c r="A407" t="inlineStr">
        <is>
          <t>A 9852-2023</t>
        </is>
      </c>
      <c r="B407" s="1" t="n">
        <v>44984</v>
      </c>
      <c r="C407" s="1" t="n">
        <v>45922</v>
      </c>
      <c r="D407" t="inlineStr">
        <is>
          <t>NORRBOTTENS LÄN</t>
        </is>
      </c>
      <c r="E407" t="inlineStr">
        <is>
          <t>JOKKMOKK</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28036-2024</t>
        </is>
      </c>
      <c r="B408" s="1" t="n">
        <v>45476.49958333333</v>
      </c>
      <c r="C408" s="1" t="n">
        <v>45922</v>
      </c>
      <c r="D408" t="inlineStr">
        <is>
          <t>NORRBOTTENS LÄN</t>
        </is>
      </c>
      <c r="E408" t="inlineStr">
        <is>
          <t>JOKKMOKK</t>
        </is>
      </c>
      <c r="G408" t="n">
        <v>7.4</v>
      </c>
      <c r="H408" t="n">
        <v>0</v>
      </c>
      <c r="I408" t="n">
        <v>0</v>
      </c>
      <c r="J408" t="n">
        <v>0</v>
      </c>
      <c r="K408" t="n">
        <v>0</v>
      </c>
      <c r="L408" t="n">
        <v>0</v>
      </c>
      <c r="M408" t="n">
        <v>0</v>
      </c>
      <c r="N408" t="n">
        <v>0</v>
      </c>
      <c r="O408" t="n">
        <v>0</v>
      </c>
      <c r="P408" t="n">
        <v>0</v>
      </c>
      <c r="Q408" t="n">
        <v>0</v>
      </c>
      <c r="R408" s="2" t="inlineStr"/>
    </row>
    <row r="409">
      <c r="A409" t="inlineStr">
        <is>
          <t>A 24746-2025</t>
        </is>
      </c>
      <c r="B409" s="1" t="n">
        <v>45799.34662037037</v>
      </c>
      <c r="C409" s="1" t="n">
        <v>45922</v>
      </c>
      <c r="D409" t="inlineStr">
        <is>
          <t>NORRBOTTENS LÄN</t>
        </is>
      </c>
      <c r="E409" t="inlineStr">
        <is>
          <t>JOKKMOKK</t>
        </is>
      </c>
      <c r="F409" t="inlineStr">
        <is>
          <t>SCA</t>
        </is>
      </c>
      <c r="G409" t="n">
        <v>6.1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2025-09-22T20:22:41Z</dcterms:created>
  <dcterms:modified xmlns:dcterms="http://purl.org/dc/terms/" xmlns:xsi="http://www.w3.org/2001/XMLSchema-instance" xsi:type="dcterms:W3CDTF">2025-09-22T20:22:42Z</dcterms:modified>
</cp:coreProperties>
</file>