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46217</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46217</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46217</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46217</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46217</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46217</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46217</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Y8">
        <f>HYPERLINK("https://klasma.github.io/Logging_2510/klagomål/A 32322-2022 FSC-klagomål.docx", "A 32322-2022")</f>
        <v/>
      </c>
      <c r="Z8">
        <f>HYPERLINK("https://klasma.github.io/Logging_2510/klagomålsmail/A 32322-2022 FSC-klagomål mail.docx", "A 32322-2022")</f>
        <v/>
      </c>
      <c r="AA8">
        <f>HYPERLINK("https://klasma.github.io/Logging_2510/tillsyn/A 32322-2022 tillsynsbegäran.docx", "A 32322-2022")</f>
        <v/>
      </c>
      <c r="AB8">
        <f>HYPERLINK("https://klasma.github.io/Logging_2510/tillsynsmail/A 32322-2022 tillsynsbegäran mail.docx", "A 32322-2022")</f>
        <v/>
      </c>
      <c r="AC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46217</v>
      </c>
      <c r="F9" t="inlineStr">
        <is>
          <t>NORRBOTTENS LÄN</t>
        </is>
      </c>
      <c r="G9" t="inlineStr">
        <is>
          <t>JOKKMOKK</t>
        </is>
      </c>
      <c r="I9" t="n">
        <v>51.8</v>
      </c>
      <c r="J9" t="n">
        <v>6</v>
      </c>
      <c r="K9" t="n">
        <v>7</v>
      </c>
      <c r="L9" t="n">
        <v>9</v>
      </c>
      <c r="M9" t="n">
        <v>2</v>
      </c>
      <c r="N9" t="n">
        <v>0</v>
      </c>
      <c r="O9" t="n">
        <v>0</v>
      </c>
      <c r="P9" t="n">
        <v>0</v>
      </c>
      <c r="Q9" t="n">
        <v>11</v>
      </c>
      <c r="R9" t="n">
        <v>2</v>
      </c>
      <c r="S9" t="n">
        <v>19</v>
      </c>
      <c r="T9" t="n">
        <v>37</v>
      </c>
      <c r="U9" s="2" t="inlineStr">
        <is>
          <t>Doftticka
Garnlav
Gammelgransskål
Harticka
Lavskrika
Skrovellav
Talltita
Tretåig hackspett
Ullticka
Vedtrappmossa
Vitgrynig nållav
Blodticka
Luddlav
Skinnlav
Spindelblomster
Strutbräken
Stuplav
Ögonpyrola
Fläcknycklar</t>
        </is>
      </c>
      <c r="V9">
        <f>HYPERLINK("https://klasma.github.io/Logging_2510/artfynd/A 28063-2024 artfynd.xlsx", "A 28063-2024")</f>
        <v/>
      </c>
      <c r="W9">
        <f>HYPERLINK("https://klasma.github.io/Logging_2510/kartor/A 28063-2024 karta.png", "A 28063-2024")</f>
        <v/>
      </c>
      <c r="Y9">
        <f>HYPERLINK("https://klasma.github.io/Logging_2510/klagomål/A 28063-2024 FSC-klagomål.docx", "A 28063-2024")</f>
        <v/>
      </c>
      <c r="Z9">
        <f>HYPERLINK("https://klasma.github.io/Logging_2510/klagomålsmail/A 28063-2024 FSC-klagomål mail.docx", "A 28063-2024")</f>
        <v/>
      </c>
      <c r="AA9">
        <f>HYPERLINK("https://klasma.github.io/Logging_2510/tillsyn/A 28063-2024 tillsynsbegäran.docx", "A 28063-2024")</f>
        <v/>
      </c>
      <c r="AB9">
        <f>HYPERLINK("https://klasma.github.io/Logging_2510/tillsynsmail/A 28063-2024 tillsynsbegäran mail.docx", "A 28063-2024")</f>
        <v/>
      </c>
      <c r="AC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46217</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10">
        <f>HYPERLINK("https://klasma.github.io/Logging_2510/artfynd/A 26107-2025 artfynd.xlsx", "A 26107-2025")</f>
        <v/>
      </c>
      <c r="W10">
        <f>HYPERLINK("https://klasma.github.io/Logging_2510/kartor/A 26107-2025 karta.png", "A 26107-2025")</f>
        <v/>
      </c>
      <c r="Y10">
        <f>HYPERLINK("https://klasma.github.io/Logging_2510/klagomål/A 26107-2025 FSC-klagomål.docx", "A 26107-2025")</f>
        <v/>
      </c>
      <c r="Z10">
        <f>HYPERLINK("https://klasma.github.io/Logging_2510/klagomålsmail/A 26107-2025 FSC-klagomål mail.docx", "A 26107-2025")</f>
        <v/>
      </c>
      <c r="AA10">
        <f>HYPERLINK("https://klasma.github.io/Logging_2510/tillsyn/A 26107-2025 tillsynsbegäran.docx", "A 26107-2025")</f>
        <v/>
      </c>
      <c r="AB10">
        <f>HYPERLINK("https://klasma.github.io/Logging_2510/tillsynsmail/A 26107-2025 tillsynsbegäran mail.docx", "A 26107-2025")</f>
        <v/>
      </c>
      <c r="AC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46217</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55330-2023</t>
        </is>
      </c>
      <c r="B12" t="inlineStr">
        <is>
          <t>avverkningsanmälan</t>
        </is>
      </c>
      <c r="C12" t="inlineStr">
        <is>
          <t>Föryngringsavverkning</t>
        </is>
      </c>
      <c r="D12" s="1" t="n">
        <v>45237</v>
      </c>
      <c r="E12" s="1" t="n">
        <v>46217</v>
      </c>
      <c r="F12" t="inlineStr">
        <is>
          <t>NORRBOTTENS LÄN</t>
        </is>
      </c>
      <c r="G12" t="inlineStr">
        <is>
          <t>JOKKMOKK</t>
        </is>
      </c>
      <c r="H12" t="inlineStr">
        <is>
          <t>SCA</t>
        </is>
      </c>
      <c r="I12" t="n">
        <v>10.1</v>
      </c>
      <c r="J12" t="n">
        <v>6</v>
      </c>
      <c r="K12" t="n">
        <v>2</v>
      </c>
      <c r="L12" t="n">
        <v>9</v>
      </c>
      <c r="M12" t="n">
        <v>3</v>
      </c>
      <c r="N12" t="n">
        <v>0</v>
      </c>
      <c r="O12" t="n">
        <v>0</v>
      </c>
      <c r="P12" t="n">
        <v>0</v>
      </c>
      <c r="Q12" t="n">
        <v>13</v>
      </c>
      <c r="R12" t="n">
        <v>3</v>
      </c>
      <c r="S12" t="n">
        <v>18</v>
      </c>
      <c r="T12" t="n">
        <v>46</v>
      </c>
      <c r="U12" s="2" t="inlineStr">
        <is>
          <t>Garnlav
Grenlav
Skrovlig taggsvamp
Blå taggsvamp
Knottrig blåslav
Lappmes
Motaggsvamp
Orange taggsvamp
Skrovellav
Tallriska
Talltita
Tretåig hackspett
Späd brosklav
Bårdlav
Stuplav
Järpe
Spillkråka
Tjäder</t>
        </is>
      </c>
      <c r="V12">
        <f>HYPERLINK("https://klasma.github.io/Logging_2510/artfynd/A 55330-2023 artfynd.xlsx", "A 55330-2023")</f>
        <v/>
      </c>
      <c r="W12">
        <f>HYPERLINK("https://klasma.github.io/Logging_2510/kartor/A 55330-2023 karta.png", "A 55330-2023")</f>
        <v/>
      </c>
      <c r="Y12">
        <f>HYPERLINK("https://klasma.github.io/Logging_2510/klagomål/A 55330-2023 FSC-klagomål.docx", "A 55330-2023")</f>
        <v/>
      </c>
      <c r="Z12">
        <f>HYPERLINK("https://klasma.github.io/Logging_2510/klagomålsmail/A 55330-2023 FSC-klagomål mail.docx", "A 55330-2023")</f>
        <v/>
      </c>
      <c r="AA12">
        <f>HYPERLINK("https://klasma.github.io/Logging_2510/tillsyn/A 55330-2023 tillsynsbegäran.docx", "A 55330-2023")</f>
        <v/>
      </c>
      <c r="AB12">
        <f>HYPERLINK("https://klasma.github.io/Logging_2510/tillsynsmail/A 55330-2023 tillsynsbegäran mail.docx", "A 55330-2023")</f>
        <v/>
      </c>
      <c r="AC12">
        <f>HYPERLINK("https://klasma.github.io/Logging_2510/fåglar/A 55330-2023 prioriterade fågelarter.docx", "A 55330-2023")</f>
        <v/>
      </c>
    </row>
    <row r="13" ht="15" customHeight="1">
      <c r="A13" t="inlineStr">
        <is>
          <t>A 55525-2025</t>
        </is>
      </c>
      <c r="B13" t="inlineStr">
        <is>
          <t>avverkningsanmälan</t>
        </is>
      </c>
      <c r="C13" t="inlineStr">
        <is>
          <t>Föryngringsavverkning</t>
        </is>
      </c>
      <c r="D13" s="1" t="n">
        <v>45971</v>
      </c>
      <c r="E13" s="1" t="n">
        <v>46217</v>
      </c>
      <c r="F13" t="inlineStr">
        <is>
          <t>NORRBOTTENS LÄN</t>
        </is>
      </c>
      <c r="G13" t="inlineStr">
        <is>
          <t>JOKKMOKK</t>
        </is>
      </c>
      <c r="H13" t="inlineStr">
        <is>
          <t>Övriga statliga verk och myndigheter</t>
        </is>
      </c>
      <c r="I13" t="n">
        <v>20.3</v>
      </c>
      <c r="J13" t="n">
        <v>5</v>
      </c>
      <c r="K13" t="n">
        <v>3</v>
      </c>
      <c r="L13" t="n">
        <v>10</v>
      </c>
      <c r="M13" t="n">
        <v>2</v>
      </c>
      <c r="N13" t="n">
        <v>0</v>
      </c>
      <c r="O13" t="n">
        <v>0</v>
      </c>
      <c r="P13" t="n">
        <v>0</v>
      </c>
      <c r="Q13" t="n">
        <v>13</v>
      </c>
      <c r="R13" t="n">
        <v>2</v>
      </c>
      <c r="S13" t="n">
        <v>18</v>
      </c>
      <c r="T13" t="n">
        <v>94</v>
      </c>
      <c r="U13" s="2" t="inlineStr">
        <is>
          <t>Norna
Ringlav
Blå taggsvamp
Dropptaggsvamp
Dvärgbägarlav
Gammelgransskål
Knottrig blåslav
Kolflarnlav
Mörk kolflarnlav
Tretåig hackspett
Vedflamlav
Violmussling
Späd brosklav
Lappranunkel
Tibast
Ögonpyrola
Tjäder
Vanlig groda</t>
        </is>
      </c>
      <c r="V13">
        <f>HYPERLINK("https://klasma.github.io/Logging_2510/artfynd/A 55525-2025 artfynd.xlsx", "A 55525-2025")</f>
        <v/>
      </c>
      <c r="W13">
        <f>HYPERLINK("https://klasma.github.io/Logging_2510/kartor/A 55525-2025 karta.png", "A 55525-2025")</f>
        <v/>
      </c>
      <c r="Y13">
        <f>HYPERLINK("https://klasma.github.io/Logging_2510/klagomål/A 55525-2025 FSC-klagomål.docx", "A 55525-2025")</f>
        <v/>
      </c>
      <c r="Z13">
        <f>HYPERLINK("https://klasma.github.io/Logging_2510/klagomålsmail/A 55525-2025 FSC-klagomål mail.docx", "A 55525-2025")</f>
        <v/>
      </c>
      <c r="AA13">
        <f>HYPERLINK("https://klasma.github.io/Logging_2510/tillsyn/A 55525-2025 tillsynsbegäran.docx", "A 55525-2025")</f>
        <v/>
      </c>
      <c r="AB13">
        <f>HYPERLINK("https://klasma.github.io/Logging_2510/tillsynsmail/A 55525-2025 tillsynsbegäran mail.docx", "A 55525-2025")</f>
        <v/>
      </c>
      <c r="AC13">
        <f>HYPERLINK("https://klasma.github.io/Logging_2510/fåglar/A 55525-2025 prioriterade fågelarter.docx", "A 55525-2025")</f>
        <v/>
      </c>
    </row>
    <row r="14" ht="15" customHeight="1">
      <c r="A14" t="inlineStr">
        <is>
          <t>A 60025-2025</t>
        </is>
      </c>
      <c r="B14" t="inlineStr">
        <is>
          <t>avverkningsanmälan</t>
        </is>
      </c>
      <c r="C14" t="inlineStr">
        <is>
          <t>Föryngringsavverkning</t>
        </is>
      </c>
      <c r="D14" s="1" t="n">
        <v>45993</v>
      </c>
      <c r="E14" s="1" t="n">
        <v>46217</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46217</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s="2" t="inlineStr">
        <is>
          <t>Garnlav
Liten aspgelélav
Ringlav
Gammelgransskål
Knottrig blåslav
Lavskrika
Skrovellav
Granriska
Luddlav
Norrlandslav
Plattlummer
Skinnlav
Stuplav
Revlummer</t>
        </is>
      </c>
      <c r="V15">
        <f>HYPERLINK("https://klasma.github.io/Logging_2510/artfynd/A 29675-2024 artfynd.xlsx", "A 29675-2024")</f>
        <v/>
      </c>
      <c r="W15">
        <f>HYPERLINK("https://klasma.github.io/Logging_2510/kartor/A 29675-2024 karta.png", "A 29675-2024")</f>
        <v/>
      </c>
      <c r="Y15">
        <f>HYPERLINK("https://klasma.github.io/Logging_2510/klagomål/A 29675-2024 FSC-klagomål.docx", "A 29675-2024")</f>
        <v/>
      </c>
      <c r="Z15">
        <f>HYPERLINK("https://klasma.github.io/Logging_2510/klagomålsmail/A 29675-2024 FSC-klagomål mail.docx", "A 29675-2024")</f>
        <v/>
      </c>
      <c r="AA15">
        <f>HYPERLINK("https://klasma.github.io/Logging_2510/tillsyn/A 29675-2024 tillsynsbegäran.docx", "A 29675-2024")</f>
        <v/>
      </c>
      <c r="AB15">
        <f>HYPERLINK("https://klasma.github.io/Logging_2510/tillsynsmail/A 29675-2024 tillsynsbegäran mail.docx", "A 29675-2024")</f>
        <v/>
      </c>
      <c r="AC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46217</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s="2" t="inlineStr">
        <is>
          <t>Fläckporing
Gräddporing
Gränsticka
Blanksvart spiklav
Dropptaggsvamp
Dvärgbägarlav
Skarp dropptaggsvamp
Skrovellav
Tallticka
Vedskivlav
Vitplätt
Bårdlav
Luddlav
Stuplav</t>
        </is>
      </c>
      <c r="V16">
        <f>HYPERLINK("https://klasma.github.io/Logging_2510/artfynd/A 24072-2022 artfynd.xlsx", "A 24072-2022")</f>
        <v/>
      </c>
      <c r="W16">
        <f>HYPERLINK("https://klasma.github.io/Logging_2510/kartor/A 24072-2022 karta.png", "A 24072-2022")</f>
        <v/>
      </c>
      <c r="Y16">
        <f>HYPERLINK("https://klasma.github.io/Logging_2510/klagomål/A 24072-2022 FSC-klagomål.docx", "A 24072-2022")</f>
        <v/>
      </c>
      <c r="Z16">
        <f>HYPERLINK("https://klasma.github.io/Logging_2510/klagomålsmail/A 24072-2022 FSC-klagomål mail.docx", "A 24072-2022")</f>
        <v/>
      </c>
      <c r="AA16">
        <f>HYPERLINK("https://klasma.github.io/Logging_2510/tillsyn/A 24072-2022 tillsynsbegäran.docx", "A 24072-2022")</f>
        <v/>
      </c>
      <c r="AB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46217</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Y17">
        <f>HYPERLINK("https://klasma.github.io/Logging_2510/klagomål/A 41396-2023 FSC-klagomål.docx", "A 41396-2023")</f>
        <v/>
      </c>
      <c r="Z17">
        <f>HYPERLINK("https://klasma.github.io/Logging_2510/klagomålsmail/A 41396-2023 FSC-klagomål mail.docx", "A 41396-2023")</f>
        <v/>
      </c>
      <c r="AA17">
        <f>HYPERLINK("https://klasma.github.io/Logging_2510/tillsyn/A 41396-2023 tillsynsbegäran.docx", "A 41396-2023")</f>
        <v/>
      </c>
      <c r="AB17">
        <f>HYPERLINK("https://klasma.github.io/Logging_2510/tillsynsmail/A 41396-2023 tillsynsbegäran mail.docx", "A 41396-2023")</f>
        <v/>
      </c>
      <c r="AC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46217</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Y18">
        <f>HYPERLINK("https://klasma.github.io/Logging_2510/klagomål/A 2028-2025 FSC-klagomål.docx", "A 2028-2025")</f>
        <v/>
      </c>
      <c r="Z18">
        <f>HYPERLINK("https://klasma.github.io/Logging_2510/klagomålsmail/A 2028-2025 FSC-klagomål mail.docx", "A 2028-2025")</f>
        <v/>
      </c>
      <c r="AA18">
        <f>HYPERLINK("https://klasma.github.io/Logging_2510/tillsyn/A 2028-2025 tillsynsbegäran.docx", "A 2028-2025")</f>
        <v/>
      </c>
      <c r="AB18">
        <f>HYPERLINK("https://klasma.github.io/Logging_2510/tillsynsmail/A 2028-2025 tillsynsbegäran mail.docx", "A 2028-2025")</f>
        <v/>
      </c>
      <c r="AC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46217</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46217</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46217</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Y21">
        <f>HYPERLINK("https://klasma.github.io/Logging_2510/klagomål/A 58565-2025 FSC-klagomål.docx", "A 58565-2025")</f>
        <v/>
      </c>
      <c r="Z21">
        <f>HYPERLINK("https://klasma.github.io/Logging_2510/klagomålsmail/A 58565-2025 FSC-klagomål mail.docx", "A 58565-2025")</f>
        <v/>
      </c>
      <c r="AA21">
        <f>HYPERLINK("https://klasma.github.io/Logging_2510/tillsyn/A 58565-2025 tillsynsbegäran.docx", "A 58565-2025")</f>
        <v/>
      </c>
      <c r="AB21">
        <f>HYPERLINK("https://klasma.github.io/Logging_2510/tillsynsmail/A 58565-2025 tillsynsbegäran mail.docx", "A 58565-2025")</f>
        <v/>
      </c>
    </row>
    <row r="22" ht="15" customHeight="1">
      <c r="A22" t="inlineStr">
        <is>
          <t>A 49479-2024</t>
        </is>
      </c>
      <c r="B22" t="inlineStr">
        <is>
          <t>avverkningsanmälan</t>
        </is>
      </c>
      <c r="C22" t="inlineStr">
        <is>
          <t>Föryngringsavverkning</t>
        </is>
      </c>
      <c r="D22" s="1" t="n">
        <v>45596</v>
      </c>
      <c r="E22" s="1" t="n">
        <v>46217</v>
      </c>
      <c r="F22" t="inlineStr">
        <is>
          <t>NORRBOTTENS LÄN</t>
        </is>
      </c>
      <c r="G22" t="inlineStr">
        <is>
          <t>JOKKMOKK</t>
        </is>
      </c>
      <c r="H22" t="inlineStr">
        <is>
          <t>SCA</t>
        </is>
      </c>
      <c r="I22" t="n">
        <v>21.1</v>
      </c>
      <c r="J22" t="n">
        <v>6</v>
      </c>
      <c r="K22" t="n">
        <v>0</v>
      </c>
      <c r="L22" t="n">
        <v>7</v>
      </c>
      <c r="M22" t="n">
        <v>1</v>
      </c>
      <c r="N22" t="n">
        <v>0</v>
      </c>
      <c r="O22" t="n">
        <v>0</v>
      </c>
      <c r="P22" t="n">
        <v>0</v>
      </c>
      <c r="Q22" t="n">
        <v>8</v>
      </c>
      <c r="R22" t="n">
        <v>1</v>
      </c>
      <c r="S22" t="n">
        <v>10</v>
      </c>
      <c r="T22" t="n">
        <v>60</v>
      </c>
      <c r="U22" s="2" t="inlineStr">
        <is>
          <t>Garnlav
Gammelgransskål
Kolflarnlav
Lappmes
Lavskrika
Mörk kolflarnlav
Talltita
Tretåig hackspett
Spillkråka
Tjäder</t>
        </is>
      </c>
      <c r="V22">
        <f>HYPERLINK("https://klasma.github.io/Logging_2510/artfynd/A 49479-2024 artfynd.xlsx", "A 49479-2024")</f>
        <v/>
      </c>
      <c r="W22">
        <f>HYPERLINK("https://klasma.github.io/Logging_2510/kartor/A 49479-2024 karta.png", "A 49479-2024")</f>
        <v/>
      </c>
      <c r="Y22">
        <f>HYPERLINK("https://klasma.github.io/Logging_2510/klagomål/A 49479-2024 FSC-klagomål.docx", "A 49479-2024")</f>
        <v/>
      </c>
      <c r="Z22">
        <f>HYPERLINK("https://klasma.github.io/Logging_2510/klagomålsmail/A 49479-2024 FSC-klagomål mail.docx", "A 49479-2024")</f>
        <v/>
      </c>
      <c r="AA22">
        <f>HYPERLINK("https://klasma.github.io/Logging_2510/tillsyn/A 49479-2024 tillsynsbegäran.docx", "A 49479-2024")</f>
        <v/>
      </c>
      <c r="AB22">
        <f>HYPERLINK("https://klasma.github.io/Logging_2510/tillsynsmail/A 49479-2024 tillsynsbegäran mail.docx", "A 49479-2024")</f>
        <v/>
      </c>
      <c r="AC22">
        <f>HYPERLINK("https://klasma.github.io/Logging_2510/fåglar/A 49479-2024 prioriterade fågelarter.docx", "A 49479-2024")</f>
        <v/>
      </c>
    </row>
    <row r="23" ht="15" customHeight="1">
      <c r="A23" t="inlineStr">
        <is>
          <t>A 60161-2025</t>
        </is>
      </c>
      <c r="B23" t="inlineStr">
        <is>
          <t>avverkningsanmälan</t>
        </is>
      </c>
      <c r="C23" t="inlineStr">
        <is>
          <t>Föryngringsavverkning</t>
        </is>
      </c>
      <c r="D23" s="1" t="n">
        <v>45994</v>
      </c>
      <c r="E23" s="1" t="n">
        <v>46217</v>
      </c>
      <c r="F23" t="inlineStr">
        <is>
          <t>NORRBOTTENS LÄN</t>
        </is>
      </c>
      <c r="G23" t="inlineStr">
        <is>
          <t>JOKKMOKK</t>
        </is>
      </c>
      <c r="H23" t="inlineStr">
        <is>
          <t>Övriga statliga verk och myndigheter</t>
        </is>
      </c>
      <c r="I23" t="n">
        <v>4.1</v>
      </c>
      <c r="J23" t="n">
        <v>0</v>
      </c>
      <c r="K23" t="n">
        <v>3</v>
      </c>
      <c r="L23" t="n">
        <v>6</v>
      </c>
      <c r="M23" t="n">
        <v>1</v>
      </c>
      <c r="N23" t="n">
        <v>0</v>
      </c>
      <c r="O23" t="n">
        <v>0</v>
      </c>
      <c r="P23" t="n">
        <v>0</v>
      </c>
      <c r="Q23" t="n">
        <v>7</v>
      </c>
      <c r="R23" t="n">
        <v>1</v>
      </c>
      <c r="S23" t="n">
        <v>10</v>
      </c>
      <c r="T23" t="n">
        <v>14</v>
      </c>
      <c r="U23" s="2" t="inlineStr">
        <is>
          <t>Garnlav
Blanksvart spiklav
Blågrå svartspik
Gammelgransskål
Knottrig blåslav
Vedflamlav
Vedskivlav
Luddlav
Stuplav
Vågbandad barkbock</t>
        </is>
      </c>
      <c r="V23">
        <f>HYPERLINK("https://klasma.github.io/Logging_2510/artfynd/A 60161-2025 artfynd.xlsx", "A 60161-2025")</f>
        <v/>
      </c>
      <c r="W23">
        <f>HYPERLINK("https://klasma.github.io/Logging_2510/kartor/A 60161-2025 karta.png", "A 60161-2025")</f>
        <v/>
      </c>
      <c r="Y23">
        <f>HYPERLINK("https://klasma.github.io/Logging_2510/klagomål/A 60161-2025 FSC-klagomål.docx", "A 60161-2025")</f>
        <v/>
      </c>
      <c r="Z23">
        <f>HYPERLINK("https://klasma.github.io/Logging_2510/klagomålsmail/A 60161-2025 FSC-klagomål mail.docx", "A 60161-2025")</f>
        <v/>
      </c>
      <c r="AA23">
        <f>HYPERLINK("https://klasma.github.io/Logging_2510/tillsyn/A 60161-2025 tillsynsbegäran.docx", "A 60161-2025")</f>
        <v/>
      </c>
      <c r="AB23">
        <f>HYPERLINK("https://klasma.github.io/Logging_2510/tillsynsmail/A 60161-2025 tillsynsbegäran mail.docx", "A 60161-2025")</f>
        <v/>
      </c>
    </row>
    <row r="24" ht="15" customHeight="1">
      <c r="A24" t="inlineStr">
        <is>
          <t>A 28052-2024</t>
        </is>
      </c>
      <c r="B24" t="inlineStr">
        <is>
          <t>avverkningsanmälan</t>
        </is>
      </c>
      <c r="C24" t="inlineStr">
        <is>
          <t>Föryngringsavverkning</t>
        </is>
      </c>
      <c r="D24" s="1" t="n">
        <v>45476</v>
      </c>
      <c r="E24" s="1" t="n">
        <v>46217</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s="2" t="inlineStr">
        <is>
          <t>Garnlav
Blanksvart spiklav
Dropptaggsvamp
Gammelgransskål
Stjärntagging
Talltita
Tretåig hackspett
Vaddporing
Vedflamlav
Spindelblomster</t>
        </is>
      </c>
      <c r="V24">
        <f>HYPERLINK("https://klasma.github.io/Logging_2510/artfynd/A 28052-2024 artfynd.xlsx", "A 28052-2024")</f>
        <v/>
      </c>
      <c r="W24">
        <f>HYPERLINK("https://klasma.github.io/Logging_2510/kartor/A 28052-2024 karta.png", "A 28052-2024")</f>
        <v/>
      </c>
      <c r="Y24">
        <f>HYPERLINK("https://klasma.github.io/Logging_2510/klagomål/A 28052-2024 FSC-klagomål.docx", "A 28052-2024")</f>
        <v/>
      </c>
      <c r="Z24">
        <f>HYPERLINK("https://klasma.github.io/Logging_2510/klagomålsmail/A 28052-2024 FSC-klagomål mail.docx", "A 28052-2024")</f>
        <v/>
      </c>
      <c r="AA24">
        <f>HYPERLINK("https://klasma.github.io/Logging_2510/tillsyn/A 28052-2024 tillsynsbegäran.docx", "A 28052-2024")</f>
        <v/>
      </c>
      <c r="AB24">
        <f>HYPERLINK("https://klasma.github.io/Logging_2510/tillsynsmail/A 28052-2024 tillsynsbegäran mail.docx", "A 28052-2024")</f>
        <v/>
      </c>
      <c r="AC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46217</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46217</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46217</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46217</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46217</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46217</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24068-2022</t>
        </is>
      </c>
      <c r="B31" t="inlineStr">
        <is>
          <t>avverkningsanmälan</t>
        </is>
      </c>
      <c r="C31" t="inlineStr">
        <is>
          <t>Föryngringsavverkning</t>
        </is>
      </c>
      <c r="D31" s="1" t="n">
        <v>44722</v>
      </c>
      <c r="E31" s="1" t="n">
        <v>46217</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s="2" t="inlineStr">
        <is>
          <t>Blanksvart spiklav
Blå taggsvamp
Dropptaggsvamp
Skarp dropptaggsvamp
Talltaggsvamp
Stuplav</t>
        </is>
      </c>
      <c r="V31">
        <f>HYPERLINK("https://klasma.github.io/Logging_2510/artfynd/A 24068-2022 artfynd.xlsx", "A 24068-2022")</f>
        <v/>
      </c>
      <c r="W31">
        <f>HYPERLINK("https://klasma.github.io/Logging_2510/kartor/A 24068-2022 karta.png", "A 24068-2022")</f>
        <v/>
      </c>
      <c r="Y31">
        <f>HYPERLINK("https://klasma.github.io/Logging_2510/klagomål/A 24068-2022 FSC-klagomål.docx", "A 24068-2022")</f>
        <v/>
      </c>
      <c r="Z31">
        <f>HYPERLINK("https://klasma.github.io/Logging_2510/klagomålsmail/A 24068-2022 FSC-klagomål mail.docx", "A 24068-2022")</f>
        <v/>
      </c>
      <c r="AA31">
        <f>HYPERLINK("https://klasma.github.io/Logging_2510/tillsyn/A 24068-2022 tillsynsbegäran.docx", "A 24068-2022")</f>
        <v/>
      </c>
      <c r="AB31">
        <f>HYPERLINK("https://klasma.github.io/Logging_2510/tillsynsmail/A 24068-2022 tillsynsbegäran mail.docx", "A 24068-2022")</f>
        <v/>
      </c>
    </row>
    <row r="32" ht="15" customHeight="1">
      <c r="A32" t="inlineStr">
        <is>
          <t>A 54960-2021</t>
        </is>
      </c>
      <c r="B32" t="inlineStr">
        <is>
          <t>avverkningsanmälan</t>
        </is>
      </c>
      <c r="C32" t="inlineStr">
        <is>
          <t>Föryngringsavverkning</t>
        </is>
      </c>
      <c r="D32" s="1" t="n">
        <v>44474</v>
      </c>
      <c r="E32" s="1" t="n">
        <v>46217</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s="2" t="inlineStr">
        <is>
          <t>Norna
Duvhök
Lunglav
Stiftgelélav
Tretåig hackspett
Ullticka</t>
        </is>
      </c>
      <c r="V32">
        <f>HYPERLINK("https://klasma.github.io/Logging_2510/artfynd/A 54960-2021 artfynd.xlsx", "A 54960-2021")</f>
        <v/>
      </c>
      <c r="W32">
        <f>HYPERLINK("https://klasma.github.io/Logging_2510/kartor/A 54960-2021 karta.png", "A 54960-2021")</f>
        <v/>
      </c>
      <c r="Y32">
        <f>HYPERLINK("https://klasma.github.io/Logging_2510/klagomål/A 54960-2021 FSC-klagomål.docx", "A 54960-2021")</f>
        <v/>
      </c>
      <c r="Z32">
        <f>HYPERLINK("https://klasma.github.io/Logging_2510/klagomålsmail/A 54960-2021 FSC-klagomål mail.docx", "A 54960-2021")</f>
        <v/>
      </c>
      <c r="AA32">
        <f>HYPERLINK("https://klasma.github.io/Logging_2510/tillsyn/A 54960-2021 tillsynsbegäran.docx", "A 54960-2021")</f>
        <v/>
      </c>
      <c r="AB32">
        <f>HYPERLINK("https://klasma.github.io/Logging_2510/tillsynsmail/A 54960-2021 tillsynsbegäran mail.docx", "A 54960-2021")</f>
        <v/>
      </c>
      <c r="AC32">
        <f>HYPERLINK("https://klasma.github.io/Logging_2510/fåglar/A 54960-2021 prioriterade fågelarter.docx", "A 54960-2021")</f>
        <v/>
      </c>
    </row>
    <row r="33" ht="15" customHeight="1">
      <c r="A33" t="inlineStr">
        <is>
          <t>A 59451-2021</t>
        </is>
      </c>
      <c r="B33" t="inlineStr">
        <is>
          <t>avverkningsanmälan</t>
        </is>
      </c>
      <c r="C33" t="inlineStr">
        <is>
          <t>Föryngringsavverkning</t>
        </is>
      </c>
      <c r="D33" s="1" t="n">
        <v>44490</v>
      </c>
      <c r="E33" s="1" t="n">
        <v>46217</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52564-2024</t>
        </is>
      </c>
      <c r="B34" t="inlineStr">
        <is>
          <t>avverkningsanmälan</t>
        </is>
      </c>
      <c r="C34" t="inlineStr">
        <is>
          <t>Föryngringsavverkning</t>
        </is>
      </c>
      <c r="D34" s="1" t="n">
        <v>45609</v>
      </c>
      <c r="E34" s="1" t="n">
        <v>46217</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s="2" t="inlineStr">
        <is>
          <t>Knärot
Norna
Röd trolldruva
Strutbräken
Tibast</t>
        </is>
      </c>
      <c r="V34">
        <f>HYPERLINK("https://klasma.github.io/Logging_2510/artfynd/A 52564-2024 artfynd.xlsx", "A 52564-2024")</f>
        <v/>
      </c>
      <c r="W34">
        <f>HYPERLINK("https://klasma.github.io/Logging_2510/kartor/A 52564-2024 karta.png", "A 52564-2024")</f>
        <v/>
      </c>
      <c r="X34">
        <f>HYPERLINK("https://klasma.github.io/Logging_2510/knärot/A 52564-2024 karta knärot.png", "A 52564-2024")</f>
        <v/>
      </c>
      <c r="Y34">
        <f>HYPERLINK("https://klasma.github.io/Logging_2510/klagomål/A 52564-2024 FSC-klagomål.docx", "A 52564-2024")</f>
        <v/>
      </c>
      <c r="Z34">
        <f>HYPERLINK("https://klasma.github.io/Logging_2510/klagomålsmail/A 52564-2024 FSC-klagomål mail.docx", "A 52564-2024")</f>
        <v/>
      </c>
      <c r="AA34">
        <f>HYPERLINK("https://klasma.github.io/Logging_2510/tillsyn/A 52564-2024 tillsynsbegäran.docx", "A 52564-2024")</f>
        <v/>
      </c>
      <c r="AB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46217</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s="2" t="inlineStr">
        <is>
          <t>Dropptaggsvamp
Dvärgbägarlav
Kolflarnlav
Vedflamlav
Vedtrappmossa</t>
        </is>
      </c>
      <c r="V35">
        <f>HYPERLINK("https://klasma.github.io/Logging_2510/artfynd/A 26693-2026 artfynd.xlsx", "A 26693-2026")</f>
        <v/>
      </c>
      <c r="W35">
        <f>HYPERLINK("https://klasma.github.io/Logging_2510/kartor/A 26693-2026 karta.png", "A 26693-2026")</f>
        <v/>
      </c>
      <c r="Y35">
        <f>HYPERLINK("https://klasma.github.io/Logging_2510/klagomål/A 26693-2026 FSC-klagomål.docx", "A 26693-2026")</f>
        <v/>
      </c>
      <c r="Z35">
        <f>HYPERLINK("https://klasma.github.io/Logging_2510/klagomålsmail/A 26693-2026 FSC-klagomål mail.docx", "A 26693-2026")</f>
        <v/>
      </c>
      <c r="AA35">
        <f>HYPERLINK("https://klasma.github.io/Logging_2510/tillsyn/A 26693-2026 tillsynsbegäran.docx", "A 26693-2026")</f>
        <v/>
      </c>
      <c r="AB35">
        <f>HYPERLINK("https://klasma.github.io/Logging_2510/tillsynsmail/A 26693-2026 tillsynsbegäran mail.docx", "A 26693-2026")</f>
        <v/>
      </c>
    </row>
    <row r="36" ht="15" customHeight="1">
      <c r="A36" t="inlineStr">
        <is>
          <t>A 29679-2024</t>
        </is>
      </c>
      <c r="B36" t="inlineStr">
        <is>
          <t>avverkningsanmälan</t>
        </is>
      </c>
      <c r="C36" t="inlineStr">
        <is>
          <t>Föryngringsavverkning</t>
        </is>
      </c>
      <c r="D36" s="1" t="n">
        <v>45484</v>
      </c>
      <c r="E36" s="1" t="n">
        <v>46217</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s="2" t="inlineStr">
        <is>
          <t>Garnlav
Ringlav
Doftskinn
Kolflarnlav
Gytterlav</t>
        </is>
      </c>
      <c r="V36">
        <f>HYPERLINK("https://klasma.github.io/Logging_2510/artfynd/A 29679-2024 artfynd.xlsx", "A 29679-2024")</f>
        <v/>
      </c>
      <c r="W36">
        <f>HYPERLINK("https://klasma.github.io/Logging_2510/kartor/A 29679-2024 karta.png", "A 29679-2024")</f>
        <v/>
      </c>
      <c r="Y36">
        <f>HYPERLINK("https://klasma.github.io/Logging_2510/klagomål/A 29679-2024 FSC-klagomål.docx", "A 29679-2024")</f>
        <v/>
      </c>
      <c r="Z36">
        <f>HYPERLINK("https://klasma.github.io/Logging_2510/klagomålsmail/A 29679-2024 FSC-klagomål mail.docx", "A 29679-2024")</f>
        <v/>
      </c>
      <c r="AA36">
        <f>HYPERLINK("https://klasma.github.io/Logging_2510/tillsyn/A 29679-2024 tillsynsbegäran.docx", "A 29679-2024")</f>
        <v/>
      </c>
      <c r="AB36">
        <f>HYPERLINK("https://klasma.github.io/Logging_2510/tillsynsmail/A 29679-2024 tillsynsbegäran mail.docx", "A 29679-2024")</f>
        <v/>
      </c>
    </row>
    <row r="37" ht="15" customHeight="1">
      <c r="A37" t="inlineStr">
        <is>
          <t>A 40466-2023</t>
        </is>
      </c>
      <c r="B37" t="inlineStr">
        <is>
          <t>avverkningsanmälan</t>
        </is>
      </c>
      <c r="C37" t="inlineStr">
        <is>
          <t>Avverkning för annat ändamål</t>
        </is>
      </c>
      <c r="D37" s="1" t="n">
        <v>45170</v>
      </c>
      <c r="E37" s="1" t="n">
        <v>46217</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s="2" t="inlineStr">
        <is>
          <t>Kolflarnlav
Motaggsvamp
Orange taggsvamp
Skarp dropptaggsvamp</t>
        </is>
      </c>
      <c r="V37">
        <f>HYPERLINK("https://klasma.github.io/Logging_2510/artfynd/A 40466-2023 artfynd.xlsx", "A 40466-2023")</f>
        <v/>
      </c>
      <c r="W37">
        <f>HYPERLINK("https://klasma.github.io/Logging_2510/kartor/A 40466-2023 karta.png", "A 40466-2023")</f>
        <v/>
      </c>
      <c r="Y37">
        <f>HYPERLINK("https://klasma.github.io/Logging_2510/klagomål/A 40466-2023 FSC-klagomål.docx", "A 40466-2023")</f>
        <v/>
      </c>
      <c r="Z37">
        <f>HYPERLINK("https://klasma.github.io/Logging_2510/klagomålsmail/A 40466-2023 FSC-klagomål mail.docx", "A 40466-2023")</f>
        <v/>
      </c>
      <c r="AA37">
        <f>HYPERLINK("https://klasma.github.io/Logging_2510/tillsyn/A 40466-2023 tillsynsbegäran.docx", "A 40466-2023")</f>
        <v/>
      </c>
      <c r="AB37">
        <f>HYPERLINK("https://klasma.github.io/Logging_2510/tillsynsmail/A 40466-2023 tillsynsbegäran mail.docx", "A 40466-2023")</f>
        <v/>
      </c>
    </row>
    <row r="38" ht="15" customHeight="1">
      <c r="A38" t="inlineStr">
        <is>
          <t>A 26668-2026</t>
        </is>
      </c>
      <c r="B38" t="inlineStr">
        <is>
          <t>avverkningsanmälan</t>
        </is>
      </c>
      <c r="C38" t="inlineStr">
        <is>
          <t>Föryngringsavverkning</t>
        </is>
      </c>
      <c r="D38" s="1" t="n">
        <v>46184</v>
      </c>
      <c r="E38" s="1" t="n">
        <v>46217</v>
      </c>
      <c r="F38" t="inlineStr">
        <is>
          <t>NORRBOTTENS LÄN</t>
        </is>
      </c>
      <c r="G38" t="inlineStr">
        <is>
          <t>JOKKMOKK</t>
        </is>
      </c>
      <c r="H38" t="inlineStr">
        <is>
          <t>Sveaskog</t>
        </is>
      </c>
      <c r="I38" t="n">
        <v>10</v>
      </c>
      <c r="J38" t="n">
        <v>0</v>
      </c>
      <c r="K38" t="n">
        <v>0</v>
      </c>
      <c r="L38" t="n">
        <v>3</v>
      </c>
      <c r="M38" t="n">
        <v>1</v>
      </c>
      <c r="N38" t="n">
        <v>0</v>
      </c>
      <c r="O38" t="n">
        <v>0</v>
      </c>
      <c r="P38" t="n">
        <v>0</v>
      </c>
      <c r="Q38" t="n">
        <v>4</v>
      </c>
      <c r="R38" t="n">
        <v>1</v>
      </c>
      <c r="S38" t="n">
        <v>4</v>
      </c>
      <c r="T38" t="n">
        <v>5</v>
      </c>
      <c r="U38" s="2" t="inlineStr">
        <is>
          <t>Smultronkantarell
Blå taggsvamp
Dropptaggsvamp
Tallriska</t>
        </is>
      </c>
      <c r="V38">
        <f>HYPERLINK("https://klasma.github.io/Logging_2510/artfynd/A 26668-2026 artfynd.xlsx", "A 26668-2026")</f>
        <v/>
      </c>
      <c r="W38">
        <f>HYPERLINK("https://klasma.github.io/Logging_2510/kartor/A 26668-2026 karta.png", "A 26668-2026")</f>
        <v/>
      </c>
      <c r="Y38">
        <f>HYPERLINK("https://klasma.github.io/Logging_2510/klagomål/A 26668-2026 FSC-klagomål.docx", "A 26668-2026")</f>
        <v/>
      </c>
      <c r="Z38">
        <f>HYPERLINK("https://klasma.github.io/Logging_2510/klagomålsmail/A 26668-2026 FSC-klagomål mail.docx", "A 26668-2026")</f>
        <v/>
      </c>
      <c r="AA38">
        <f>HYPERLINK("https://klasma.github.io/Logging_2510/tillsyn/A 26668-2026 tillsynsbegäran.docx", "A 26668-2026")</f>
        <v/>
      </c>
      <c r="AB38">
        <f>HYPERLINK("https://klasma.github.io/Logging_2510/tillsynsmail/A 26668-2026 tillsynsbegäran mail.docx", "A 26668-2026")</f>
        <v/>
      </c>
    </row>
    <row r="39" ht="15" customHeight="1">
      <c r="A39" t="inlineStr">
        <is>
          <t>A 32913-2023</t>
        </is>
      </c>
      <c r="B39" t="inlineStr">
        <is>
          <t>avverkningsanmälan</t>
        </is>
      </c>
      <c r="C39" t="inlineStr">
        <is>
          <t>Föryngringsavverkning</t>
        </is>
      </c>
      <c r="D39" s="1" t="n">
        <v>45124</v>
      </c>
      <c r="E39" s="1" t="n">
        <v>46217</v>
      </c>
      <c r="F39" t="inlineStr">
        <is>
          <t>NORRBOTTENS LÄN</t>
        </is>
      </c>
      <c r="G39" t="inlineStr">
        <is>
          <t>JOKKMOKK</t>
        </is>
      </c>
      <c r="H39" t="inlineStr">
        <is>
          <t>SCA</t>
        </is>
      </c>
      <c r="I39" t="n">
        <v>3.2</v>
      </c>
      <c r="J39" t="n">
        <v>0</v>
      </c>
      <c r="K39" t="n">
        <v>0</v>
      </c>
      <c r="L39" t="n">
        <v>3</v>
      </c>
      <c r="M39" t="n">
        <v>1</v>
      </c>
      <c r="N39" t="n">
        <v>0</v>
      </c>
      <c r="O39" t="n">
        <v>0</v>
      </c>
      <c r="P39" t="n">
        <v>0</v>
      </c>
      <c r="Q39" t="n">
        <v>4</v>
      </c>
      <c r="R39" t="n">
        <v>1</v>
      </c>
      <c r="S39" t="n">
        <v>4</v>
      </c>
      <c r="T39" t="n">
        <v>7</v>
      </c>
      <c r="U39" s="2" t="inlineStr">
        <is>
          <t>Goliatmusseron
Blå taggsvamp
Dropptaggsvamp
Orange taggsvamp</t>
        </is>
      </c>
      <c r="V39">
        <f>HYPERLINK("https://klasma.github.io/Logging_2510/artfynd/A 32913-2023 artfynd.xlsx", "A 32913-2023")</f>
        <v/>
      </c>
      <c r="W39">
        <f>HYPERLINK("https://klasma.github.io/Logging_2510/kartor/A 32913-2023 karta.png", "A 32913-2023")</f>
        <v/>
      </c>
      <c r="Y39">
        <f>HYPERLINK("https://klasma.github.io/Logging_2510/klagomål/A 32913-2023 FSC-klagomål.docx", "A 32913-2023")</f>
        <v/>
      </c>
      <c r="Z39">
        <f>HYPERLINK("https://klasma.github.io/Logging_2510/klagomålsmail/A 32913-2023 FSC-klagomål mail.docx", "A 32913-2023")</f>
        <v/>
      </c>
      <c r="AA39">
        <f>HYPERLINK("https://klasma.github.io/Logging_2510/tillsyn/A 32913-2023 tillsynsbegäran.docx", "A 32913-2023")</f>
        <v/>
      </c>
      <c r="AB39">
        <f>HYPERLINK("https://klasma.github.io/Logging_2510/tillsynsmail/A 32913-2023 tillsynsbegäran mail.docx", "A 32913-2023")</f>
        <v/>
      </c>
    </row>
    <row r="40" ht="15" customHeight="1">
      <c r="A40" t="inlineStr">
        <is>
          <t>A 32990-2023</t>
        </is>
      </c>
      <c r="B40" t="inlineStr">
        <is>
          <t>avverkningsanmälan</t>
        </is>
      </c>
      <c r="C40" t="inlineStr">
        <is>
          <t>Föryngringsavverkning</t>
        </is>
      </c>
      <c r="D40" s="1" t="n">
        <v>45113</v>
      </c>
      <c r="E40" s="1" t="n">
        <v>46217</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s="2" t="inlineStr">
        <is>
          <t>Urskogsporing
Dvärgbägarlav
Vedflamlav
Vedskivlav</t>
        </is>
      </c>
      <c r="V40">
        <f>HYPERLINK("https://klasma.github.io/Logging_2510/artfynd/A 32990-2023 artfynd.xlsx", "A 32990-2023")</f>
        <v/>
      </c>
      <c r="W40">
        <f>HYPERLINK("https://klasma.github.io/Logging_2510/kartor/A 32990-2023 karta.png", "A 32990-2023")</f>
        <v/>
      </c>
      <c r="Y40">
        <f>HYPERLINK("https://klasma.github.io/Logging_2510/klagomål/A 32990-2023 FSC-klagomål.docx", "A 32990-2023")</f>
        <v/>
      </c>
      <c r="Z40">
        <f>HYPERLINK("https://klasma.github.io/Logging_2510/klagomålsmail/A 32990-2023 FSC-klagomål mail.docx", "A 32990-2023")</f>
        <v/>
      </c>
      <c r="AA40">
        <f>HYPERLINK("https://klasma.github.io/Logging_2510/tillsyn/A 32990-2023 tillsynsbegäran.docx", "A 32990-2023")</f>
        <v/>
      </c>
      <c r="AB40">
        <f>HYPERLINK("https://klasma.github.io/Logging_2510/tillsynsmail/A 32990-2023 tillsynsbegäran mail.docx", "A 32990-2023")</f>
        <v/>
      </c>
    </row>
    <row r="41" ht="15" customHeight="1">
      <c r="A41" t="inlineStr">
        <is>
          <t>A 33139-2023</t>
        </is>
      </c>
      <c r="B41" t="inlineStr">
        <is>
          <t>avverkningsanmälan</t>
        </is>
      </c>
      <c r="C41" t="inlineStr">
        <is>
          <t>Föryngringsavverkning</t>
        </is>
      </c>
      <c r="D41" s="1" t="n">
        <v>45114</v>
      </c>
      <c r="E41" s="1" t="n">
        <v>46217</v>
      </c>
      <c r="F41" t="inlineStr">
        <is>
          <t>NORRBOTTENS LÄN</t>
        </is>
      </c>
      <c r="G41" t="inlineStr">
        <is>
          <t>JOKKMOKK</t>
        </is>
      </c>
      <c r="H41" t="inlineStr">
        <is>
          <t>Övriga statliga verk och myndigheter</t>
        </is>
      </c>
      <c r="I41" t="n">
        <v>8.6</v>
      </c>
      <c r="J41" t="n">
        <v>0</v>
      </c>
      <c r="K41" t="n">
        <v>1</v>
      </c>
      <c r="L41" t="n">
        <v>3</v>
      </c>
      <c r="M41" t="n">
        <v>0</v>
      </c>
      <c r="N41" t="n">
        <v>0</v>
      </c>
      <c r="O41" t="n">
        <v>0</v>
      </c>
      <c r="P41" t="n">
        <v>0</v>
      </c>
      <c r="Q41" t="n">
        <v>3</v>
      </c>
      <c r="R41" t="n">
        <v>0</v>
      </c>
      <c r="S41" t="n">
        <v>4</v>
      </c>
      <c r="T41" t="n">
        <v>4</v>
      </c>
      <c r="U41" s="2" t="inlineStr">
        <is>
          <t>Kolflarnlav
Skrovellav
Tallriska
Stuplav</t>
        </is>
      </c>
      <c r="V41">
        <f>HYPERLINK("https://klasma.github.io/Logging_2510/artfynd/A 33139-2023 artfynd.xlsx", "A 33139-2023")</f>
        <v/>
      </c>
      <c r="W41">
        <f>HYPERLINK("https://klasma.github.io/Logging_2510/kartor/A 33139-2023 karta.png", "A 33139-2023")</f>
        <v/>
      </c>
      <c r="Y41">
        <f>HYPERLINK("https://klasma.github.io/Logging_2510/klagomål/A 33139-2023 FSC-klagomål.docx", "A 33139-2023")</f>
        <v/>
      </c>
      <c r="Z41">
        <f>HYPERLINK("https://klasma.github.io/Logging_2510/klagomålsmail/A 33139-2023 FSC-klagomål mail.docx", "A 33139-2023")</f>
        <v/>
      </c>
      <c r="AA41">
        <f>HYPERLINK("https://klasma.github.io/Logging_2510/tillsyn/A 33139-2023 tillsynsbegäran.docx", "A 33139-2023")</f>
        <v/>
      </c>
      <c r="AB41">
        <f>HYPERLINK("https://klasma.github.io/Logging_2510/tillsynsmail/A 33139-2023 tillsynsbegäran mail.docx", "A 33139-2023")</f>
        <v/>
      </c>
    </row>
    <row r="42" ht="15" customHeight="1">
      <c r="A42" t="inlineStr">
        <is>
          <t>A 16707-2026</t>
        </is>
      </c>
      <c r="B42" t="inlineStr">
        <is>
          <t>avverkningsanmälan</t>
        </is>
      </c>
      <c r="C42" t="inlineStr">
        <is>
          <t>Föryngringsavverkning</t>
        </is>
      </c>
      <c r="D42" s="1" t="n">
        <v>46113</v>
      </c>
      <c r="E42" s="1" t="n">
        <v>46217</v>
      </c>
      <c r="F42" t="inlineStr">
        <is>
          <t>NORRBOTTENS LÄN</t>
        </is>
      </c>
      <c r="G42" t="inlineStr">
        <is>
          <t>JOKKMOKK</t>
        </is>
      </c>
      <c r="H42" t="inlineStr">
        <is>
          <t>SCA</t>
        </is>
      </c>
      <c r="I42" t="n">
        <v>17.9</v>
      </c>
      <c r="J42" t="n">
        <v>0</v>
      </c>
      <c r="K42" t="n">
        <v>1</v>
      </c>
      <c r="L42" t="n">
        <v>1</v>
      </c>
      <c r="M42" t="n">
        <v>2</v>
      </c>
      <c r="N42" t="n">
        <v>0</v>
      </c>
      <c r="O42" t="n">
        <v>0</v>
      </c>
      <c r="P42" t="n">
        <v>0</v>
      </c>
      <c r="Q42" t="n">
        <v>3</v>
      </c>
      <c r="R42" t="n">
        <v>2</v>
      </c>
      <c r="S42" t="n">
        <v>4</v>
      </c>
      <c r="T42" t="n">
        <v>7</v>
      </c>
      <c r="U42" s="2" t="inlineStr">
        <is>
          <t>Garnlav
Ringlav
Gammelgransskål
Björksplintborre</t>
        </is>
      </c>
      <c r="V42">
        <f>HYPERLINK("https://klasma.github.io/Logging_2510/artfynd/A 16707-2026 artfynd.xlsx", "A 16707-2026")</f>
        <v/>
      </c>
      <c r="W42">
        <f>HYPERLINK("https://klasma.github.io/Logging_2510/kartor/A 16707-2026 karta.png", "A 16707-2026")</f>
        <v/>
      </c>
      <c r="Y42">
        <f>HYPERLINK("https://klasma.github.io/Logging_2510/klagomål/A 16707-2026 FSC-klagomål.docx", "A 16707-2026")</f>
        <v/>
      </c>
      <c r="Z42">
        <f>HYPERLINK("https://klasma.github.io/Logging_2510/klagomålsmail/A 16707-2026 FSC-klagomål mail.docx", "A 16707-2026")</f>
        <v/>
      </c>
      <c r="AA42">
        <f>HYPERLINK("https://klasma.github.io/Logging_2510/tillsyn/A 16707-2026 tillsynsbegäran.docx", "A 16707-2026")</f>
        <v/>
      </c>
      <c r="AB42">
        <f>HYPERLINK("https://klasma.github.io/Logging_2510/tillsynsmail/A 16707-2026 tillsynsbegäran mail.docx", "A 16707-2026")</f>
        <v/>
      </c>
    </row>
    <row r="43" ht="15" customHeight="1">
      <c r="A43" t="inlineStr">
        <is>
          <t>A 33994-2023</t>
        </is>
      </c>
      <c r="B43" t="inlineStr">
        <is>
          <t>avverkningsanmälan</t>
        </is>
      </c>
      <c r="C43" t="inlineStr">
        <is>
          <t>Föryngringsavverkning</t>
        </is>
      </c>
      <c r="D43" s="1" t="n">
        <v>45134</v>
      </c>
      <c r="E43" s="1" t="n">
        <v>46217</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s="2" t="inlineStr">
        <is>
          <t>Doftticka
Lunglav
Skinnlav</t>
        </is>
      </c>
      <c r="V43">
        <f>HYPERLINK("https://klasma.github.io/Logging_2510/artfynd/A 33994-2023 artfynd.xlsx", "A 33994-2023")</f>
        <v/>
      </c>
      <c r="W43">
        <f>HYPERLINK("https://klasma.github.io/Logging_2510/kartor/A 33994-2023 karta.png", "A 33994-2023")</f>
        <v/>
      </c>
      <c r="Y43">
        <f>HYPERLINK("https://klasma.github.io/Logging_2510/klagomål/A 33994-2023 FSC-klagomål.docx", "A 33994-2023")</f>
        <v/>
      </c>
      <c r="Z43">
        <f>HYPERLINK("https://klasma.github.io/Logging_2510/klagomålsmail/A 33994-2023 FSC-klagomål mail.docx", "A 33994-2023")</f>
        <v/>
      </c>
      <c r="AA43">
        <f>HYPERLINK("https://klasma.github.io/Logging_2510/tillsyn/A 33994-2023 tillsynsbegäran.docx", "A 33994-2023")</f>
        <v/>
      </c>
      <c r="AB43">
        <f>HYPERLINK("https://klasma.github.io/Logging_2510/tillsynsmail/A 33994-2023 tillsynsbegäran mail.docx", "A 33994-2023")</f>
        <v/>
      </c>
    </row>
    <row r="44" ht="15" customHeight="1">
      <c r="A44" t="inlineStr">
        <is>
          <t>A 72477-2021</t>
        </is>
      </c>
      <c r="B44" t="inlineStr">
        <is>
          <t>avverkningsanmälan</t>
        </is>
      </c>
      <c r="C44" t="inlineStr">
        <is>
          <t>Föryngringsavverkning</t>
        </is>
      </c>
      <c r="D44" s="1" t="n">
        <v>44545</v>
      </c>
      <c r="E44" s="1" t="n">
        <v>46217</v>
      </c>
      <c r="F44" t="inlineStr">
        <is>
          <t>NORRBOTTENS LÄN</t>
        </is>
      </c>
      <c r="G44" t="inlineStr">
        <is>
          <t>JOKKMOKK</t>
        </is>
      </c>
      <c r="I44" t="n">
        <v>18.1</v>
      </c>
      <c r="J44" t="n">
        <v>0</v>
      </c>
      <c r="K44" t="n">
        <v>0</v>
      </c>
      <c r="L44" t="n">
        <v>2</v>
      </c>
      <c r="M44" t="n">
        <v>1</v>
      </c>
      <c r="N44" t="n">
        <v>0</v>
      </c>
      <c r="O44" t="n">
        <v>0</v>
      </c>
      <c r="P44" t="n">
        <v>0</v>
      </c>
      <c r="Q44" t="n">
        <v>3</v>
      </c>
      <c r="R44" t="n">
        <v>1</v>
      </c>
      <c r="S44" t="n">
        <v>3</v>
      </c>
      <c r="T44" t="n">
        <v>3</v>
      </c>
      <c r="U44" s="2" t="inlineStr">
        <is>
          <t>Gräddporing
Blågrå svartspik
Ladlav</t>
        </is>
      </c>
      <c r="V44">
        <f>HYPERLINK("https://klasma.github.io/Logging_2510/artfynd/A 72477-2021 artfynd.xlsx", "A 72477-2021")</f>
        <v/>
      </c>
      <c r="W44">
        <f>HYPERLINK("https://klasma.github.io/Logging_2510/kartor/A 72477-2021 karta.png", "A 72477-2021")</f>
        <v/>
      </c>
      <c r="Y44">
        <f>HYPERLINK("https://klasma.github.io/Logging_2510/klagomål/A 72477-2021 FSC-klagomål.docx", "A 72477-2021")</f>
        <v/>
      </c>
      <c r="Z44">
        <f>HYPERLINK("https://klasma.github.io/Logging_2510/klagomålsmail/A 72477-2021 FSC-klagomål mail.docx", "A 72477-2021")</f>
        <v/>
      </c>
      <c r="AA44">
        <f>HYPERLINK("https://klasma.github.io/Logging_2510/tillsyn/A 72477-2021 tillsynsbegäran.docx", "A 72477-2021")</f>
        <v/>
      </c>
      <c r="AB44">
        <f>HYPERLINK("https://klasma.github.io/Logging_2510/tillsynsmail/A 72477-2021 tillsynsbegäran mail.docx", "A 72477-2021")</f>
        <v/>
      </c>
    </row>
    <row r="45" ht="15" customHeight="1">
      <c r="A45" t="inlineStr">
        <is>
          <t>A 63444-2025</t>
        </is>
      </c>
      <c r="B45" t="inlineStr">
        <is>
          <t>avverkningsanmälan</t>
        </is>
      </c>
      <c r="C45" t="inlineStr">
        <is>
          <t>Föryngringsavverkning</t>
        </is>
      </c>
      <c r="D45" s="1" t="n">
        <v>46013</v>
      </c>
      <c r="E45" s="1" t="n">
        <v>46217</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s="2" t="inlineStr">
        <is>
          <t>Doftticka
Reliktbock
Stuplav</t>
        </is>
      </c>
      <c r="V45">
        <f>HYPERLINK("https://klasma.github.io/Logging_2510/artfynd/A 63444-2025 artfynd.xlsx", "A 63444-2025")</f>
        <v/>
      </c>
      <c r="W45">
        <f>HYPERLINK("https://klasma.github.io/Logging_2510/kartor/A 63444-2025 karta.png", "A 63444-2025")</f>
        <v/>
      </c>
      <c r="Y45">
        <f>HYPERLINK("https://klasma.github.io/Logging_2510/klagomål/A 63444-2025 FSC-klagomål.docx", "A 63444-2025")</f>
        <v/>
      </c>
      <c r="Z45">
        <f>HYPERLINK("https://klasma.github.io/Logging_2510/klagomålsmail/A 63444-2025 FSC-klagomål mail.docx", "A 63444-2025")</f>
        <v/>
      </c>
      <c r="AA45">
        <f>HYPERLINK("https://klasma.github.io/Logging_2510/tillsyn/A 63444-2025 tillsynsbegäran.docx", "A 63444-2025")</f>
        <v/>
      </c>
      <c r="AB45">
        <f>HYPERLINK("https://klasma.github.io/Logging_2510/tillsynsmail/A 63444-2025 tillsynsbegäran mail.docx", "A 63444-2025")</f>
        <v/>
      </c>
    </row>
    <row r="46" ht="15" customHeight="1">
      <c r="A46" t="inlineStr">
        <is>
          <t>A 15827-2025</t>
        </is>
      </c>
      <c r="B46" t="inlineStr">
        <is>
          <t>avverkningsanmälan</t>
        </is>
      </c>
      <c r="C46" t="inlineStr">
        <is>
          <t>Föryngringsavverkning</t>
        </is>
      </c>
      <c r="D46" s="1" t="n">
        <v>45748</v>
      </c>
      <c r="E46" s="1" t="n">
        <v>46217</v>
      </c>
      <c r="F46" t="inlineStr">
        <is>
          <t>NORRBOTTENS LÄN</t>
        </is>
      </c>
      <c r="G46" t="inlineStr">
        <is>
          <t>JOKKMOKK</t>
        </is>
      </c>
      <c r="I46" t="n">
        <v>23</v>
      </c>
      <c r="J46" t="n">
        <v>0</v>
      </c>
      <c r="K46" t="n">
        <v>0</v>
      </c>
      <c r="L46" t="n">
        <v>3</v>
      </c>
      <c r="M46" t="n">
        <v>0</v>
      </c>
      <c r="N46" t="n">
        <v>0</v>
      </c>
      <c r="O46" t="n">
        <v>0</v>
      </c>
      <c r="P46" t="n">
        <v>0</v>
      </c>
      <c r="Q46" t="n">
        <v>3</v>
      </c>
      <c r="R46" t="n">
        <v>0</v>
      </c>
      <c r="S46" t="n">
        <v>3</v>
      </c>
      <c r="T46" t="n">
        <v>4</v>
      </c>
      <c r="U46" s="2" t="inlineStr">
        <is>
          <t>Dvärgbägarlav
Tallticka
Vaddporing</t>
        </is>
      </c>
      <c r="V46">
        <f>HYPERLINK("https://klasma.github.io/Logging_2510/artfynd/A 15827-2025 artfynd.xlsx", "A 15827-2025")</f>
        <v/>
      </c>
      <c r="W46">
        <f>HYPERLINK("https://klasma.github.io/Logging_2510/kartor/A 15827-2025 karta.png", "A 15827-2025")</f>
        <v/>
      </c>
      <c r="Y46">
        <f>HYPERLINK("https://klasma.github.io/Logging_2510/klagomål/A 15827-2025 FSC-klagomål.docx", "A 15827-2025")</f>
        <v/>
      </c>
      <c r="Z46">
        <f>HYPERLINK("https://klasma.github.io/Logging_2510/klagomålsmail/A 15827-2025 FSC-klagomål mail.docx", "A 15827-2025")</f>
        <v/>
      </c>
      <c r="AA46">
        <f>HYPERLINK("https://klasma.github.io/Logging_2510/tillsyn/A 15827-2025 tillsynsbegäran.docx", "A 15827-2025")</f>
        <v/>
      </c>
      <c r="AB46">
        <f>HYPERLINK("https://klasma.github.io/Logging_2510/tillsynsmail/A 15827-2025 tillsynsbegäran mail.docx", "A 15827-2025")</f>
        <v/>
      </c>
    </row>
    <row r="47" ht="15" customHeight="1">
      <c r="A47" t="inlineStr">
        <is>
          <t>S 1074-2023</t>
        </is>
      </c>
      <c r="B47" t="inlineStr">
        <is>
          <t>samrådsanmälan</t>
        </is>
      </c>
      <c r="C47" t="inlineStr">
        <is>
          <t>Skogsgödsling</t>
        </is>
      </c>
      <c r="D47" s="1" t="n">
        <v>45012</v>
      </c>
      <c r="E47" s="1" t="n">
        <v>46217</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46217</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46217</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46217</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36594-2021</t>
        </is>
      </c>
      <c r="B51" t="inlineStr">
        <is>
          <t>avverkningsanmälan</t>
        </is>
      </c>
      <c r="C51" t="inlineStr">
        <is>
          <t>Avverkning för annat ändamål</t>
        </is>
      </c>
      <c r="D51" s="1" t="n">
        <v>44391</v>
      </c>
      <c r="E51" s="1" t="n">
        <v>46217</v>
      </c>
      <c r="F51" t="inlineStr">
        <is>
          <t>NORRBOTTENS LÄN</t>
        </is>
      </c>
      <c r="G51" t="inlineStr">
        <is>
          <t>JOKKMOKK</t>
        </is>
      </c>
      <c r="H51" t="inlineStr">
        <is>
          <t>Sveaskog</t>
        </is>
      </c>
      <c r="I51" t="n">
        <v>5.8</v>
      </c>
      <c r="J51" t="n">
        <v>1</v>
      </c>
      <c r="K51" t="n">
        <v>0</v>
      </c>
      <c r="L51" t="n">
        <v>1</v>
      </c>
      <c r="M51" t="n">
        <v>1</v>
      </c>
      <c r="N51" t="n">
        <v>0</v>
      </c>
      <c r="O51" t="n">
        <v>0</v>
      </c>
      <c r="P51" t="n">
        <v>0</v>
      </c>
      <c r="Q51" t="n">
        <v>2</v>
      </c>
      <c r="R51" t="n">
        <v>1</v>
      </c>
      <c r="S51" t="n">
        <v>2</v>
      </c>
      <c r="T51" t="n">
        <v>3</v>
      </c>
      <c r="U51" s="2" t="inlineStr">
        <is>
          <t>Doftticka
Lunglav</t>
        </is>
      </c>
      <c r="V51">
        <f>HYPERLINK("https://klasma.github.io/Logging_2510/artfynd/A 36594-2021 artfynd.xlsx", "A 36594-2021")</f>
        <v/>
      </c>
      <c r="W51">
        <f>HYPERLINK("https://klasma.github.io/Logging_2510/kartor/A 36594-2021 karta.png", "A 36594-2021")</f>
        <v/>
      </c>
      <c r="Y51">
        <f>HYPERLINK("https://klasma.github.io/Logging_2510/klagomål/A 36594-2021 FSC-klagomål.docx", "A 36594-2021")</f>
        <v/>
      </c>
      <c r="Z51">
        <f>HYPERLINK("https://klasma.github.io/Logging_2510/klagomålsmail/A 36594-2021 FSC-klagomål mail.docx", "A 36594-2021")</f>
        <v/>
      </c>
      <c r="AA51">
        <f>HYPERLINK("https://klasma.github.io/Logging_2510/tillsyn/A 36594-2021 tillsynsbegäran.docx", "A 36594-2021")</f>
        <v/>
      </c>
      <c r="AB51">
        <f>HYPERLINK("https://klasma.github.io/Logging_2510/tillsynsmail/A 36594-2021 tillsynsbegäran mail.docx", "A 36594-2021")</f>
        <v/>
      </c>
    </row>
    <row r="52" ht="15" customHeight="1">
      <c r="A52" t="inlineStr">
        <is>
          <t>A 43785-2021</t>
        </is>
      </c>
      <c r="B52" t="inlineStr">
        <is>
          <t>avverkningsanmälan</t>
        </is>
      </c>
      <c r="C52" t="inlineStr">
        <is>
          <t>Föryngringsavverkning</t>
        </is>
      </c>
      <c r="D52" s="1" t="n">
        <v>44433</v>
      </c>
      <c r="E52" s="1" t="n">
        <v>46217</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s="2" t="inlineStr">
        <is>
          <t>Skogshare
Vitfläckig guldvinge</t>
        </is>
      </c>
      <c r="V52">
        <f>HYPERLINK("https://klasma.github.io/Logging_2510/artfynd/A 43785-2021 artfynd.xlsx", "A 43785-2021")</f>
        <v/>
      </c>
      <c r="W52">
        <f>HYPERLINK("https://klasma.github.io/Logging_2510/kartor/A 43785-2021 karta.png", "A 43785-2021")</f>
        <v/>
      </c>
      <c r="Y52">
        <f>HYPERLINK("https://klasma.github.io/Logging_2510/klagomål/A 43785-2021 FSC-klagomål.docx", "A 43785-2021")</f>
        <v/>
      </c>
      <c r="Z52">
        <f>HYPERLINK("https://klasma.github.io/Logging_2510/klagomålsmail/A 43785-2021 FSC-klagomål mail.docx", "A 43785-2021")</f>
        <v/>
      </c>
      <c r="AA52">
        <f>HYPERLINK("https://klasma.github.io/Logging_2510/tillsyn/A 43785-2021 tillsynsbegäran.docx", "A 43785-2021")</f>
        <v/>
      </c>
      <c r="AB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46217</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s="2" t="inlineStr">
        <is>
          <t>Garnlav
Gammelgransskål</t>
        </is>
      </c>
      <c r="V53">
        <f>HYPERLINK("https://klasma.github.io/Logging_2510/artfynd/A 40836-2022 artfynd.xlsx", "A 40836-2022")</f>
        <v/>
      </c>
      <c r="W53">
        <f>HYPERLINK("https://klasma.github.io/Logging_2510/kartor/A 40836-2022 karta.png", "A 40836-2022")</f>
        <v/>
      </c>
      <c r="Y53">
        <f>HYPERLINK("https://klasma.github.io/Logging_2510/klagomål/A 40836-2022 FSC-klagomål.docx", "A 40836-2022")</f>
        <v/>
      </c>
      <c r="Z53">
        <f>HYPERLINK("https://klasma.github.io/Logging_2510/klagomålsmail/A 40836-2022 FSC-klagomål mail.docx", "A 40836-2022")</f>
        <v/>
      </c>
      <c r="AA53">
        <f>HYPERLINK("https://klasma.github.io/Logging_2510/tillsyn/A 40836-2022 tillsynsbegäran.docx", "A 40836-2022")</f>
        <v/>
      </c>
      <c r="AB53">
        <f>HYPERLINK("https://klasma.github.io/Logging_2510/tillsynsmail/A 40836-2022 tillsynsbegäran mail.docx", "A 40836-2022")</f>
        <v/>
      </c>
    </row>
    <row r="54" ht="15" customHeight="1">
      <c r="A54" t="inlineStr">
        <is>
          <t>A 25670-2026</t>
        </is>
      </c>
      <c r="B54" t="inlineStr">
        <is>
          <t>avverkningsanmälan</t>
        </is>
      </c>
      <c r="C54" t="inlineStr">
        <is>
          <t>Föryngringsavverkning</t>
        </is>
      </c>
      <c r="D54" s="1" t="n">
        <v>46178</v>
      </c>
      <c r="E54" s="1" t="n">
        <v>46217</v>
      </c>
      <c r="F54" t="inlineStr">
        <is>
          <t>NORRBOTTENS LÄN</t>
        </is>
      </c>
      <c r="G54" t="inlineStr">
        <is>
          <t>JOKKMOKK</t>
        </is>
      </c>
      <c r="H54" t="inlineStr">
        <is>
          <t>Sveaskog</t>
        </is>
      </c>
      <c r="I54" t="n">
        <v>48.3</v>
      </c>
      <c r="J54" t="n">
        <v>1</v>
      </c>
      <c r="K54" t="n">
        <v>1</v>
      </c>
      <c r="L54" t="n">
        <v>1</v>
      </c>
      <c r="M54" t="n">
        <v>0</v>
      </c>
      <c r="N54" t="n">
        <v>0</v>
      </c>
      <c r="O54" t="n">
        <v>0</v>
      </c>
      <c r="P54" t="n">
        <v>0</v>
      </c>
      <c r="Q54" t="n">
        <v>1</v>
      </c>
      <c r="R54" t="n">
        <v>0</v>
      </c>
      <c r="S54" t="n">
        <v>2</v>
      </c>
      <c r="T54" t="n">
        <v>3</v>
      </c>
      <c r="U54" s="2" t="inlineStr">
        <is>
          <t>Lunglav
Plattlummer</t>
        </is>
      </c>
      <c r="V54">
        <f>HYPERLINK("https://klasma.github.io/Logging_2510/artfynd/A 25670-2026 artfynd.xlsx", "A 25670-2026")</f>
        <v/>
      </c>
      <c r="W54">
        <f>HYPERLINK("https://klasma.github.io/Logging_2510/kartor/A 25670-2026 karta.png", "A 25670-2026")</f>
        <v/>
      </c>
      <c r="Y54">
        <f>HYPERLINK("https://klasma.github.io/Logging_2510/klagomål/A 25670-2026 FSC-klagomål.docx", "A 25670-2026")</f>
        <v/>
      </c>
      <c r="Z54">
        <f>HYPERLINK("https://klasma.github.io/Logging_2510/klagomålsmail/A 25670-2026 FSC-klagomål mail.docx", "A 25670-2026")</f>
        <v/>
      </c>
      <c r="AA54">
        <f>HYPERLINK("https://klasma.github.io/Logging_2510/tillsyn/A 25670-2026 tillsynsbegäran.docx", "A 25670-2026")</f>
        <v/>
      </c>
      <c r="AB54">
        <f>HYPERLINK("https://klasma.github.io/Logging_2510/tillsynsmail/A 25670-2026 tillsynsbegäran mail.docx", "A 25670-2026")</f>
        <v/>
      </c>
    </row>
    <row r="55" ht="15" customHeight="1">
      <c r="A55" t="inlineStr">
        <is>
          <t>A 39846-2025</t>
        </is>
      </c>
      <c r="B55" t="inlineStr">
        <is>
          <t>avverkningsanmälan</t>
        </is>
      </c>
      <c r="C55" t="inlineStr">
        <is>
          <t>Föryngringsavverkning</t>
        </is>
      </c>
      <c r="D55" s="1" t="n">
        <v>45891</v>
      </c>
      <c r="E55" s="1" t="n">
        <v>46217</v>
      </c>
      <c r="F55" t="inlineStr">
        <is>
          <t>NORRBOTTENS LÄN</t>
        </is>
      </c>
      <c r="G55" t="inlineStr">
        <is>
          <t>JOKKMOKK</t>
        </is>
      </c>
      <c r="H55" t="inlineStr">
        <is>
          <t>Sveaskog</t>
        </is>
      </c>
      <c r="I55" t="n">
        <v>7.1</v>
      </c>
      <c r="J55" t="n">
        <v>0</v>
      </c>
      <c r="K55" t="n">
        <v>0</v>
      </c>
      <c r="L55" t="n">
        <v>2</v>
      </c>
      <c r="M55" t="n">
        <v>0</v>
      </c>
      <c r="N55" t="n">
        <v>0</v>
      </c>
      <c r="O55" t="n">
        <v>0</v>
      </c>
      <c r="P55" t="n">
        <v>0</v>
      </c>
      <c r="Q55" t="n">
        <v>2</v>
      </c>
      <c r="R55" t="n">
        <v>0</v>
      </c>
      <c r="S55" t="n">
        <v>2</v>
      </c>
      <c r="T55" t="n">
        <v>2</v>
      </c>
      <c r="U55" s="2" t="inlineStr">
        <is>
          <t>Blanksvart spiklav
Talltagel</t>
        </is>
      </c>
      <c r="V55">
        <f>HYPERLINK("https://klasma.github.io/Logging_2510/artfynd/A 39846-2025 artfynd.xlsx", "A 39846-2025")</f>
        <v/>
      </c>
      <c r="W55">
        <f>HYPERLINK("https://klasma.github.io/Logging_2510/kartor/A 39846-2025 karta.png", "A 39846-2025")</f>
        <v/>
      </c>
      <c r="Y55">
        <f>HYPERLINK("https://klasma.github.io/Logging_2510/klagomål/A 39846-2025 FSC-klagomål.docx", "A 39846-2025")</f>
        <v/>
      </c>
      <c r="Z55">
        <f>HYPERLINK("https://klasma.github.io/Logging_2510/klagomålsmail/A 39846-2025 FSC-klagomål mail.docx", "A 39846-2025")</f>
        <v/>
      </c>
      <c r="AA55">
        <f>HYPERLINK("https://klasma.github.io/Logging_2510/tillsyn/A 39846-2025 tillsynsbegäran.docx", "A 39846-2025")</f>
        <v/>
      </c>
      <c r="AB55">
        <f>HYPERLINK("https://klasma.github.io/Logging_2510/tillsynsmail/A 39846-2025 tillsynsbegäran mail.docx", "A 39846-2025")</f>
        <v/>
      </c>
    </row>
    <row r="56" ht="15" customHeight="1">
      <c r="A56" t="inlineStr">
        <is>
          <t>A 39850-2025</t>
        </is>
      </c>
      <c r="B56" t="inlineStr">
        <is>
          <t>avverkningsanmälan</t>
        </is>
      </c>
      <c r="C56" t="inlineStr">
        <is>
          <t>Föryngringsavverkning</t>
        </is>
      </c>
      <c r="D56" s="1" t="n">
        <v>45891</v>
      </c>
      <c r="E56" s="1" t="n">
        <v>46217</v>
      </c>
      <c r="F56" t="inlineStr">
        <is>
          <t>NORRBOTTENS LÄN</t>
        </is>
      </c>
      <c r="G56" t="inlineStr">
        <is>
          <t>JOKKMOKK</t>
        </is>
      </c>
      <c r="H56" t="inlineStr">
        <is>
          <t>Sveaskog</t>
        </is>
      </c>
      <c r="I56" t="n">
        <v>4.5</v>
      </c>
      <c r="J56" t="n">
        <v>0</v>
      </c>
      <c r="K56" t="n">
        <v>0</v>
      </c>
      <c r="L56" t="n">
        <v>2</v>
      </c>
      <c r="M56" t="n">
        <v>0</v>
      </c>
      <c r="N56" t="n">
        <v>0</v>
      </c>
      <c r="O56" t="n">
        <v>0</v>
      </c>
      <c r="P56" t="n">
        <v>0</v>
      </c>
      <c r="Q56" t="n">
        <v>2</v>
      </c>
      <c r="R56" t="n">
        <v>0</v>
      </c>
      <c r="S56" t="n">
        <v>2</v>
      </c>
      <c r="T56" t="n">
        <v>2</v>
      </c>
      <c r="U56" s="2" t="inlineStr">
        <is>
          <t>Blanksvart spiklav
Talltagel</t>
        </is>
      </c>
      <c r="V56">
        <f>HYPERLINK("https://klasma.github.io/Logging_2510/artfynd/A 39850-2025 artfynd.xlsx", "A 39850-2025")</f>
        <v/>
      </c>
      <c r="W56">
        <f>HYPERLINK("https://klasma.github.io/Logging_2510/kartor/A 39850-2025 karta.png", "A 39850-2025")</f>
        <v/>
      </c>
      <c r="X56">
        <f>HYPERLINK("https://klasma.github.io/Logging_2510/knärot/A 39850-2025 karta knärot.png", "A 39850-2025")</f>
        <v/>
      </c>
      <c r="Y56">
        <f>HYPERLINK("https://klasma.github.io/Logging_2510/klagomål/A 39850-2025 FSC-klagomål.docx", "A 39850-2025")</f>
        <v/>
      </c>
      <c r="Z56">
        <f>HYPERLINK("https://klasma.github.io/Logging_2510/klagomålsmail/A 39850-2025 FSC-klagomål mail.docx", "A 39850-2025")</f>
        <v/>
      </c>
      <c r="AA56">
        <f>HYPERLINK("https://klasma.github.io/Logging_2510/tillsyn/A 39850-2025 tillsynsbegäran.docx", "A 39850-2025")</f>
        <v/>
      </c>
      <c r="AB56">
        <f>HYPERLINK("https://klasma.github.io/Logging_2510/tillsynsmail/A 39850-2025 tillsynsbegäran mail.docx", "A 39850-2025")</f>
        <v/>
      </c>
    </row>
    <row r="57" ht="15" customHeight="1">
      <c r="A57" t="inlineStr">
        <is>
          <t>A 40779-2025</t>
        </is>
      </c>
      <c r="B57" t="inlineStr">
        <is>
          <t>avverkningsanmälan</t>
        </is>
      </c>
      <c r="C57" t="inlineStr">
        <is>
          <t>Föryngringsavverkning</t>
        </is>
      </c>
      <c r="D57" s="1" t="n">
        <v>45897</v>
      </c>
      <c r="E57" s="1" t="n">
        <v>46217</v>
      </c>
      <c r="F57" t="inlineStr">
        <is>
          <t>NORRBOTTENS LÄN</t>
        </is>
      </c>
      <c r="G57" t="inlineStr">
        <is>
          <t>JOKKMOKK</t>
        </is>
      </c>
      <c r="H57" t="inlineStr">
        <is>
          <t>Sveaskog</t>
        </is>
      </c>
      <c r="I57" t="n">
        <v>53.8</v>
      </c>
      <c r="J57" t="n">
        <v>1</v>
      </c>
      <c r="K57" t="n">
        <v>0</v>
      </c>
      <c r="L57" t="n">
        <v>1</v>
      </c>
      <c r="M57" t="n">
        <v>1</v>
      </c>
      <c r="N57" t="n">
        <v>0</v>
      </c>
      <c r="O57" t="n">
        <v>0</v>
      </c>
      <c r="P57" t="n">
        <v>0</v>
      </c>
      <c r="Q57" t="n">
        <v>2</v>
      </c>
      <c r="R57" t="n">
        <v>1</v>
      </c>
      <c r="S57" t="n">
        <v>2</v>
      </c>
      <c r="T57" t="n">
        <v>3</v>
      </c>
      <c r="U57" s="2" t="inlineStr">
        <is>
          <t>Doftticka
Lunglav</t>
        </is>
      </c>
      <c r="V57">
        <f>HYPERLINK("https://klasma.github.io/Logging_2510/artfynd/A 40779-2025 artfynd.xlsx", "A 40779-2025")</f>
        <v/>
      </c>
      <c r="W57">
        <f>HYPERLINK("https://klasma.github.io/Logging_2510/kartor/A 40779-2025 karta.png", "A 40779-2025")</f>
        <v/>
      </c>
      <c r="Y57">
        <f>HYPERLINK("https://klasma.github.io/Logging_2510/klagomål/A 40779-2025 FSC-klagomål.docx", "A 40779-2025")</f>
        <v/>
      </c>
      <c r="Z57">
        <f>HYPERLINK("https://klasma.github.io/Logging_2510/klagomålsmail/A 40779-2025 FSC-klagomål mail.docx", "A 40779-2025")</f>
        <v/>
      </c>
      <c r="AA57">
        <f>HYPERLINK("https://klasma.github.io/Logging_2510/tillsyn/A 40779-2025 tillsynsbegäran.docx", "A 40779-2025")</f>
        <v/>
      </c>
      <c r="AB57">
        <f>HYPERLINK("https://klasma.github.io/Logging_2510/tillsynsmail/A 40779-2025 tillsynsbegäran mail.docx", "A 40779-2025")</f>
        <v/>
      </c>
    </row>
    <row r="58" ht="15" customHeight="1">
      <c r="A58" t="inlineStr">
        <is>
          <t>A 51721-2025</t>
        </is>
      </c>
      <c r="B58" t="inlineStr">
        <is>
          <t>avverkningsanmälan</t>
        </is>
      </c>
      <c r="C58" t="inlineStr">
        <is>
          <t>Föryngringsavverkning</t>
        </is>
      </c>
      <c r="D58" s="1" t="n">
        <v>45951</v>
      </c>
      <c r="E58" s="1" t="n">
        <v>46217</v>
      </c>
      <c r="F58" t="inlineStr">
        <is>
          <t>NORRBOTTENS LÄN</t>
        </is>
      </c>
      <c r="G58" t="inlineStr">
        <is>
          <t>JOKKMOKK</t>
        </is>
      </c>
      <c r="H58" t="inlineStr">
        <is>
          <t>Övriga statliga verk och myndigheter</t>
        </is>
      </c>
      <c r="I58" t="n">
        <v>16.3</v>
      </c>
      <c r="J58" t="n">
        <v>0</v>
      </c>
      <c r="K58" t="n">
        <v>0</v>
      </c>
      <c r="L58" t="n">
        <v>2</v>
      </c>
      <c r="M58" t="n">
        <v>0</v>
      </c>
      <c r="N58" t="n">
        <v>0</v>
      </c>
      <c r="O58" t="n">
        <v>0</v>
      </c>
      <c r="P58" t="n">
        <v>0</v>
      </c>
      <c r="Q58" t="n">
        <v>2</v>
      </c>
      <c r="R58" t="n">
        <v>0</v>
      </c>
      <c r="S58" t="n">
        <v>2</v>
      </c>
      <c r="T58" t="n">
        <v>2</v>
      </c>
      <c r="U58" s="2" t="inlineStr">
        <is>
          <t>Tallticka
Violmussling</t>
        </is>
      </c>
      <c r="V58">
        <f>HYPERLINK("https://klasma.github.io/Logging_2510/artfynd/A 51721-2025 artfynd.xlsx", "A 51721-2025")</f>
        <v/>
      </c>
      <c r="W58">
        <f>HYPERLINK("https://klasma.github.io/Logging_2510/kartor/A 51721-2025 karta.png", "A 51721-2025")</f>
        <v/>
      </c>
      <c r="Y58">
        <f>HYPERLINK("https://klasma.github.io/Logging_2510/klagomål/A 51721-2025 FSC-klagomål.docx", "A 51721-2025")</f>
        <v/>
      </c>
      <c r="Z58">
        <f>HYPERLINK("https://klasma.github.io/Logging_2510/klagomålsmail/A 51721-2025 FSC-klagomål mail.docx", "A 51721-2025")</f>
        <v/>
      </c>
      <c r="AA58">
        <f>HYPERLINK("https://klasma.github.io/Logging_2510/tillsyn/A 51721-2025 tillsynsbegäran.docx", "A 51721-2025")</f>
        <v/>
      </c>
      <c r="AB58">
        <f>HYPERLINK("https://klasma.github.io/Logging_2510/tillsynsmail/A 51721-2025 tillsynsbegäran mail.docx", "A 51721-2025")</f>
        <v/>
      </c>
    </row>
    <row r="59" ht="15" customHeight="1">
      <c r="A59" t="inlineStr">
        <is>
          <t>A 26672-2026</t>
        </is>
      </c>
      <c r="B59" t="inlineStr">
        <is>
          <t>avverkningsanmälan</t>
        </is>
      </c>
      <c r="C59" t="inlineStr">
        <is>
          <t>Föryngringsavverkning</t>
        </is>
      </c>
      <c r="D59" s="1" t="n">
        <v>46184</v>
      </c>
      <c r="E59" s="1" t="n">
        <v>46217</v>
      </c>
      <c r="F59" t="inlineStr">
        <is>
          <t>NORRBOTTENS LÄN</t>
        </is>
      </c>
      <c r="G59" t="inlineStr">
        <is>
          <t>JOKKMOKK</t>
        </is>
      </c>
      <c r="H59" t="inlineStr">
        <is>
          <t>Sveaskog</t>
        </is>
      </c>
      <c r="I59" t="n">
        <v>3.2</v>
      </c>
      <c r="J59" t="n">
        <v>0</v>
      </c>
      <c r="K59" t="n">
        <v>1</v>
      </c>
      <c r="L59" t="n">
        <v>0</v>
      </c>
      <c r="M59" t="n">
        <v>1</v>
      </c>
      <c r="N59" t="n">
        <v>0</v>
      </c>
      <c r="O59" t="n">
        <v>0</v>
      </c>
      <c r="P59" t="n">
        <v>0</v>
      </c>
      <c r="Q59" t="n">
        <v>1</v>
      </c>
      <c r="R59" t="n">
        <v>1</v>
      </c>
      <c r="S59" t="n">
        <v>2</v>
      </c>
      <c r="T59" t="n">
        <v>2</v>
      </c>
      <c r="U59" s="2" t="inlineStr">
        <is>
          <t>Garnlav
Stuplav</t>
        </is>
      </c>
      <c r="V59">
        <f>HYPERLINK("https://klasma.github.io/Logging_2510/artfynd/A 26672-2026 artfynd.xlsx", "A 26672-2026")</f>
        <v/>
      </c>
      <c r="W59">
        <f>HYPERLINK("https://klasma.github.io/Logging_2510/kartor/A 26672-2026 karta.png", "A 26672-2026")</f>
        <v/>
      </c>
      <c r="Y59">
        <f>HYPERLINK("https://klasma.github.io/Logging_2510/klagomål/A 26672-2026 FSC-klagomål.docx", "A 26672-2026")</f>
        <v/>
      </c>
      <c r="Z59">
        <f>HYPERLINK("https://klasma.github.io/Logging_2510/klagomålsmail/A 26672-2026 FSC-klagomål mail.docx", "A 26672-2026")</f>
        <v/>
      </c>
      <c r="AA59">
        <f>HYPERLINK("https://klasma.github.io/Logging_2510/tillsyn/A 26672-2026 tillsynsbegäran.docx", "A 26672-2026")</f>
        <v/>
      </c>
      <c r="AB59">
        <f>HYPERLINK("https://klasma.github.io/Logging_2510/tillsynsmail/A 26672-2026 tillsynsbegäran mail.docx", "A 26672-2026")</f>
        <v/>
      </c>
    </row>
    <row r="60" ht="15" customHeight="1">
      <c r="A60" t="inlineStr">
        <is>
          <t>A 26639-2026</t>
        </is>
      </c>
      <c r="B60" t="inlineStr">
        <is>
          <t>avverkningsanmälan</t>
        </is>
      </c>
      <c r="C60" t="inlineStr">
        <is>
          <t>Föryngringsavverkning</t>
        </is>
      </c>
      <c r="D60" s="1" t="n">
        <v>46184</v>
      </c>
      <c r="E60" s="1" t="n">
        <v>46217</v>
      </c>
      <c r="F60" t="inlineStr">
        <is>
          <t>NORRBOTTENS LÄN</t>
        </is>
      </c>
      <c r="G60" t="inlineStr">
        <is>
          <t>JOKKMOKK</t>
        </is>
      </c>
      <c r="H60" t="inlineStr">
        <is>
          <t>Sveaskog</t>
        </is>
      </c>
      <c r="I60" t="n">
        <v>2.6</v>
      </c>
      <c r="J60" t="n">
        <v>0</v>
      </c>
      <c r="K60" t="n">
        <v>0</v>
      </c>
      <c r="L60" t="n">
        <v>2</v>
      </c>
      <c r="M60" t="n">
        <v>0</v>
      </c>
      <c r="N60" t="n">
        <v>0</v>
      </c>
      <c r="O60" t="n">
        <v>0</v>
      </c>
      <c r="P60" t="n">
        <v>0</v>
      </c>
      <c r="Q60" t="n">
        <v>2</v>
      </c>
      <c r="R60" t="n">
        <v>0</v>
      </c>
      <c r="S60" t="n">
        <v>2</v>
      </c>
      <c r="T60" t="n">
        <v>2</v>
      </c>
      <c r="U60" s="2" t="inlineStr">
        <is>
          <t>Dropptaggsvamp
Skarp dropptaggsvamp</t>
        </is>
      </c>
      <c r="V60">
        <f>HYPERLINK("https://klasma.github.io/Logging_2510/artfynd/A 26639-2026 artfynd.xlsx", "A 26639-2026")</f>
        <v/>
      </c>
      <c r="W60">
        <f>HYPERLINK("https://klasma.github.io/Logging_2510/kartor/A 26639-2026 karta.png", "A 26639-2026")</f>
        <v/>
      </c>
      <c r="Y60">
        <f>HYPERLINK("https://klasma.github.io/Logging_2510/klagomål/A 26639-2026 FSC-klagomål.docx", "A 26639-2026")</f>
        <v/>
      </c>
      <c r="Z60">
        <f>HYPERLINK("https://klasma.github.io/Logging_2510/klagomålsmail/A 26639-2026 FSC-klagomål mail.docx", "A 26639-2026")</f>
        <v/>
      </c>
      <c r="AA60">
        <f>HYPERLINK("https://klasma.github.io/Logging_2510/tillsyn/A 26639-2026 tillsynsbegäran.docx", "A 26639-2026")</f>
        <v/>
      </c>
      <c r="AB60">
        <f>HYPERLINK("https://klasma.github.io/Logging_2510/tillsynsmail/A 26639-2026 tillsynsbegäran mail.docx", "A 26639-2026")</f>
        <v/>
      </c>
    </row>
    <row r="61" ht="15" customHeight="1">
      <c r="A61" t="inlineStr">
        <is>
          <t>A 26679-2026</t>
        </is>
      </c>
      <c r="B61" t="inlineStr">
        <is>
          <t>avverkningsanmälan</t>
        </is>
      </c>
      <c r="C61" t="inlineStr">
        <is>
          <t>Föryngringsavverkning</t>
        </is>
      </c>
      <c r="D61" s="1" t="n">
        <v>46184</v>
      </c>
      <c r="E61" s="1" t="n">
        <v>46217</v>
      </c>
      <c r="F61" t="inlineStr">
        <is>
          <t>NORRBOTTENS LÄN</t>
        </is>
      </c>
      <c r="G61" t="inlineStr">
        <is>
          <t>JOKKMOKK</t>
        </is>
      </c>
      <c r="H61" t="inlineStr">
        <is>
          <t>Sveaskog</t>
        </is>
      </c>
      <c r="I61" t="n">
        <v>13.1</v>
      </c>
      <c r="J61" t="n">
        <v>0</v>
      </c>
      <c r="K61" t="n">
        <v>0</v>
      </c>
      <c r="L61" t="n">
        <v>2</v>
      </c>
      <c r="M61" t="n">
        <v>0</v>
      </c>
      <c r="N61" t="n">
        <v>0</v>
      </c>
      <c r="O61" t="n">
        <v>0</v>
      </c>
      <c r="P61" t="n">
        <v>0</v>
      </c>
      <c r="Q61" t="n">
        <v>2</v>
      </c>
      <c r="R61" t="n">
        <v>0</v>
      </c>
      <c r="S61" t="n">
        <v>2</v>
      </c>
      <c r="T61" t="n">
        <v>2</v>
      </c>
      <c r="U61" s="2" t="inlineStr">
        <is>
          <t>Knottrig blåslav
Kolflarnlav</t>
        </is>
      </c>
      <c r="V61">
        <f>HYPERLINK("https://klasma.github.io/Logging_2510/artfynd/A 26679-2026 artfynd.xlsx", "A 26679-2026")</f>
        <v/>
      </c>
      <c r="W61">
        <f>HYPERLINK("https://klasma.github.io/Logging_2510/kartor/A 26679-2026 karta.png", "A 26679-2026")</f>
        <v/>
      </c>
      <c r="Y61">
        <f>HYPERLINK("https://klasma.github.io/Logging_2510/klagomål/A 26679-2026 FSC-klagomål.docx", "A 26679-2026")</f>
        <v/>
      </c>
      <c r="Z61">
        <f>HYPERLINK("https://klasma.github.io/Logging_2510/klagomålsmail/A 26679-2026 FSC-klagomål mail.docx", "A 26679-2026")</f>
        <v/>
      </c>
      <c r="AA61">
        <f>HYPERLINK("https://klasma.github.io/Logging_2510/tillsyn/A 26679-2026 tillsynsbegäran.docx", "A 26679-2026")</f>
        <v/>
      </c>
      <c r="AB61">
        <f>HYPERLINK("https://klasma.github.io/Logging_2510/tillsynsmail/A 26679-2026 tillsynsbegäran mail.docx", "A 26679-2026")</f>
        <v/>
      </c>
    </row>
    <row r="62" ht="15" customHeight="1">
      <c r="A62" t="inlineStr">
        <is>
          <t>A 59787-2025</t>
        </is>
      </c>
      <c r="B62" t="inlineStr">
        <is>
          <t>avverkningsanmälan</t>
        </is>
      </c>
      <c r="C62" t="inlineStr">
        <is>
          <t>Föryngringsavverkning</t>
        </is>
      </c>
      <c r="D62" s="1" t="n">
        <v>45992</v>
      </c>
      <c r="E62" s="1" t="n">
        <v>46217</v>
      </c>
      <c r="F62" t="inlineStr">
        <is>
          <t>NORRBOTTENS LÄN</t>
        </is>
      </c>
      <c r="G62" t="inlineStr">
        <is>
          <t>JOKKMOKK</t>
        </is>
      </c>
      <c r="H62" t="inlineStr">
        <is>
          <t>Övriga statliga verk och myndigheter</t>
        </is>
      </c>
      <c r="I62" t="n">
        <v>26.4</v>
      </c>
      <c r="J62" t="n">
        <v>1</v>
      </c>
      <c r="K62" t="n">
        <v>1</v>
      </c>
      <c r="L62" t="n">
        <v>1</v>
      </c>
      <c r="M62" t="n">
        <v>0</v>
      </c>
      <c r="N62" t="n">
        <v>0</v>
      </c>
      <c r="O62" t="n">
        <v>0</v>
      </c>
      <c r="P62" t="n">
        <v>0</v>
      </c>
      <c r="Q62" t="n">
        <v>1</v>
      </c>
      <c r="R62" t="n">
        <v>0</v>
      </c>
      <c r="S62" t="n">
        <v>2</v>
      </c>
      <c r="T62" t="n">
        <v>2</v>
      </c>
      <c r="U62" s="2" t="inlineStr">
        <is>
          <t>Dvärgbägarlav
Lappranunkel</t>
        </is>
      </c>
      <c r="V62">
        <f>HYPERLINK("https://klasma.github.io/Logging_2510/artfynd/A 59787-2025 artfynd.xlsx", "A 59787-2025")</f>
        <v/>
      </c>
      <c r="W62">
        <f>HYPERLINK("https://klasma.github.io/Logging_2510/kartor/A 59787-2025 karta.png", "A 59787-2025")</f>
        <v/>
      </c>
      <c r="Y62">
        <f>HYPERLINK("https://klasma.github.io/Logging_2510/klagomål/A 59787-2025 FSC-klagomål.docx", "A 59787-2025")</f>
        <v/>
      </c>
      <c r="Z62">
        <f>HYPERLINK("https://klasma.github.io/Logging_2510/klagomålsmail/A 59787-2025 FSC-klagomål mail.docx", "A 59787-2025")</f>
        <v/>
      </c>
      <c r="AA62">
        <f>HYPERLINK("https://klasma.github.io/Logging_2510/tillsyn/A 59787-2025 tillsynsbegäran.docx", "A 59787-2025")</f>
        <v/>
      </c>
      <c r="AB62">
        <f>HYPERLINK("https://klasma.github.io/Logging_2510/tillsynsmail/A 59787-2025 tillsynsbegäran mail.docx", "A 59787-2025")</f>
        <v/>
      </c>
    </row>
    <row r="63" ht="15" customHeight="1">
      <c r="A63" t="inlineStr">
        <is>
          <t>A 32982-2023</t>
        </is>
      </c>
      <c r="B63" t="inlineStr">
        <is>
          <t>avverkningsanmälan</t>
        </is>
      </c>
      <c r="C63" t="inlineStr">
        <is>
          <t>Föryngringsavverkning</t>
        </is>
      </c>
      <c r="D63" s="1" t="n">
        <v>45113</v>
      </c>
      <c r="E63" s="1" t="n">
        <v>46217</v>
      </c>
      <c r="F63" t="inlineStr">
        <is>
          <t>NORRBOTTENS LÄN</t>
        </is>
      </c>
      <c r="G63" t="inlineStr">
        <is>
          <t>JOKKMOKK</t>
        </is>
      </c>
      <c r="H63" t="inlineStr">
        <is>
          <t>Övriga statliga verk och myndigheter</t>
        </is>
      </c>
      <c r="I63" t="n">
        <v>9.9</v>
      </c>
      <c r="J63" t="n">
        <v>0</v>
      </c>
      <c r="K63" t="n">
        <v>0</v>
      </c>
      <c r="L63" t="n">
        <v>2</v>
      </c>
      <c r="M63" t="n">
        <v>0</v>
      </c>
      <c r="N63" t="n">
        <v>0</v>
      </c>
      <c r="O63" t="n">
        <v>0</v>
      </c>
      <c r="P63" t="n">
        <v>0</v>
      </c>
      <c r="Q63" t="n">
        <v>2</v>
      </c>
      <c r="R63" t="n">
        <v>0</v>
      </c>
      <c r="S63" t="n">
        <v>2</v>
      </c>
      <c r="T63" t="n">
        <v>3</v>
      </c>
      <c r="U63" s="2" t="inlineStr">
        <is>
          <t>Fjällig taggsvamp s.str.
Vitplätt</t>
        </is>
      </c>
      <c r="V63">
        <f>HYPERLINK("https://klasma.github.io/Logging_2510/artfynd/A 32982-2023 artfynd.xlsx", "A 32982-2023")</f>
        <v/>
      </c>
      <c r="W63">
        <f>HYPERLINK("https://klasma.github.io/Logging_2510/kartor/A 32982-2023 karta.png", "A 32982-2023")</f>
        <v/>
      </c>
      <c r="Y63">
        <f>HYPERLINK("https://klasma.github.io/Logging_2510/klagomål/A 32982-2023 FSC-klagomål.docx", "A 32982-2023")</f>
        <v/>
      </c>
      <c r="Z63">
        <f>HYPERLINK("https://klasma.github.io/Logging_2510/klagomålsmail/A 32982-2023 FSC-klagomål mail.docx", "A 32982-2023")</f>
        <v/>
      </c>
      <c r="AA63">
        <f>HYPERLINK("https://klasma.github.io/Logging_2510/tillsyn/A 32982-2023 tillsynsbegäran.docx", "A 32982-2023")</f>
        <v/>
      </c>
      <c r="AB63">
        <f>HYPERLINK("https://klasma.github.io/Logging_2510/tillsynsmail/A 32982-2023 tillsynsbegäran mail.docx", "A 32982-2023")</f>
        <v/>
      </c>
    </row>
    <row r="64" ht="15" customHeight="1">
      <c r="A64" t="inlineStr">
        <is>
          <t>A 12866-2026</t>
        </is>
      </c>
      <c r="B64" t="inlineStr">
        <is>
          <t>avverkningsanmälan</t>
        </is>
      </c>
      <c r="C64" t="inlineStr">
        <is>
          <t>Föryngringsavverkning</t>
        </is>
      </c>
      <c r="D64" s="1" t="n">
        <v>46092</v>
      </c>
      <c r="E64" s="1" t="n">
        <v>46217</v>
      </c>
      <c r="F64" t="inlineStr">
        <is>
          <t>NORRBOTTENS LÄN</t>
        </is>
      </c>
      <c r="G64" t="inlineStr">
        <is>
          <t>JOKKMOKK</t>
        </is>
      </c>
      <c r="H64" t="inlineStr">
        <is>
          <t>SCA</t>
        </is>
      </c>
      <c r="I64" t="n">
        <v>4.8</v>
      </c>
      <c r="J64" t="n">
        <v>0</v>
      </c>
      <c r="K64" t="n">
        <v>0</v>
      </c>
      <c r="L64" t="n">
        <v>1</v>
      </c>
      <c r="M64" t="n">
        <v>1</v>
      </c>
      <c r="N64" t="n">
        <v>0</v>
      </c>
      <c r="O64" t="n">
        <v>0</v>
      </c>
      <c r="P64" t="n">
        <v>0</v>
      </c>
      <c r="Q64" t="n">
        <v>2</v>
      </c>
      <c r="R64" t="n">
        <v>1</v>
      </c>
      <c r="S64" t="n">
        <v>2</v>
      </c>
      <c r="T64" t="n">
        <v>2</v>
      </c>
      <c r="U64" s="2" t="inlineStr">
        <is>
          <t>Garnlav
Stiftgelélav</t>
        </is>
      </c>
      <c r="V64">
        <f>HYPERLINK("https://klasma.github.io/Logging_2510/artfynd/A 12866-2026 artfynd.xlsx", "A 12866-2026")</f>
        <v/>
      </c>
      <c r="W64">
        <f>HYPERLINK("https://klasma.github.io/Logging_2510/kartor/A 12866-2026 karta.png", "A 12866-2026")</f>
        <v/>
      </c>
      <c r="Y64">
        <f>HYPERLINK("https://klasma.github.io/Logging_2510/klagomål/A 12866-2026 FSC-klagomål.docx", "A 12866-2026")</f>
        <v/>
      </c>
      <c r="Z64">
        <f>HYPERLINK("https://klasma.github.io/Logging_2510/klagomålsmail/A 12866-2026 FSC-klagomål mail.docx", "A 12866-2026")</f>
        <v/>
      </c>
      <c r="AA64">
        <f>HYPERLINK("https://klasma.github.io/Logging_2510/tillsyn/A 12866-2026 tillsynsbegäran.docx", "A 12866-2026")</f>
        <v/>
      </c>
      <c r="AB64">
        <f>HYPERLINK("https://klasma.github.io/Logging_2510/tillsynsmail/A 12866-2026 tillsynsbegäran mail.docx", "A 12866-2026")</f>
        <v/>
      </c>
    </row>
    <row r="65" ht="15" customHeight="1">
      <c r="A65" t="inlineStr">
        <is>
          <t>S 1312-2023</t>
        </is>
      </c>
      <c r="B65" t="inlineStr">
        <is>
          <t>samrådsanmälan</t>
        </is>
      </c>
      <c r="C65" t="inlineStr">
        <is>
          <t>Skogsgödsling</t>
        </is>
      </c>
      <c r="D65" s="1" t="n">
        <v>45035</v>
      </c>
      <c r="E65" s="1" t="n">
        <v>46217</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s="2" t="inlineStr">
        <is>
          <t>Kolflarnlav
Lunglav</t>
        </is>
      </c>
      <c r="V65">
        <f>HYPERLINK("https://klasma.github.io/Logging_2510/artfynd/S 1312-2023 artfynd.xlsx", "S 1312-2023")</f>
        <v/>
      </c>
      <c r="W65">
        <f>HYPERLINK("https://klasma.github.io/Logging_2510/kartor/S 1312-2023 karta.png", "S 1312-2023")</f>
        <v/>
      </c>
      <c r="Y65">
        <f>HYPERLINK("https://klasma.github.io/Logging_2510/klagomål/S 1312-2023 FSC-klagomål.docx", "S 1312-2023")</f>
        <v/>
      </c>
      <c r="Z65">
        <f>HYPERLINK("https://klasma.github.io/Logging_2510/klagomålsmail/S 1312-2023 FSC-klagomål mail.docx", "S 1312-2023")</f>
        <v/>
      </c>
      <c r="AA65">
        <f>HYPERLINK("https://klasma.github.io/Logging_2510/tillsyn/S 1312-2023 tillsynsbegäran.docx", "S 1312-2023")</f>
        <v/>
      </c>
      <c r="AB65">
        <f>HYPERLINK("https://klasma.github.io/Logging_2510/tillsynsmail/S 1312-2023 tillsynsbegäran mail.docx", "S 1312-2023")</f>
        <v/>
      </c>
    </row>
    <row r="66" ht="15" customHeight="1">
      <c r="A66" t="inlineStr">
        <is>
          <t>A 52537-2023</t>
        </is>
      </c>
      <c r="B66" t="inlineStr">
        <is>
          <t>avverkningsanmälan</t>
        </is>
      </c>
      <c r="C66" t="inlineStr">
        <is>
          <t>Föryngringsavverkning</t>
        </is>
      </c>
      <c r="D66" s="1" t="n">
        <v>45225</v>
      </c>
      <c r="E66" s="1" t="n">
        <v>46217</v>
      </c>
      <c r="F66" t="inlineStr">
        <is>
          <t>NORRBOTTENS LÄN</t>
        </is>
      </c>
      <c r="G66" t="inlineStr">
        <is>
          <t>JOKKMOKK</t>
        </is>
      </c>
      <c r="H66" t="inlineStr">
        <is>
          <t>Övriga statliga verk och myndigheter</t>
        </is>
      </c>
      <c r="I66" t="n">
        <v>15.3</v>
      </c>
      <c r="J66" t="n">
        <v>0</v>
      </c>
      <c r="K66" t="n">
        <v>0</v>
      </c>
      <c r="L66" t="n">
        <v>1</v>
      </c>
      <c r="M66" t="n">
        <v>0</v>
      </c>
      <c r="N66" t="n">
        <v>0</v>
      </c>
      <c r="O66" t="n">
        <v>0</v>
      </c>
      <c r="P66" t="n">
        <v>0</v>
      </c>
      <c r="Q66" t="n">
        <v>1</v>
      </c>
      <c r="R66" t="n">
        <v>0</v>
      </c>
      <c r="S66" t="n">
        <v>1</v>
      </c>
      <c r="T66" t="n">
        <v>1</v>
      </c>
      <c r="U66" s="2" t="inlineStr">
        <is>
          <t>Reliktbock</t>
        </is>
      </c>
      <c r="V66">
        <f>HYPERLINK("https://klasma.github.io/Logging_2510/artfynd/A 52537-2023 artfynd.xlsx", "A 52537-2023")</f>
        <v/>
      </c>
      <c r="W66">
        <f>HYPERLINK("https://klasma.github.io/Logging_2510/kartor/A 52537-2023 karta.png", "A 52537-2023")</f>
        <v/>
      </c>
      <c r="Y66">
        <f>HYPERLINK("https://klasma.github.io/Logging_2510/klagomål/A 52537-2023 FSC-klagomål.docx", "A 52537-2023")</f>
        <v/>
      </c>
      <c r="Z66">
        <f>HYPERLINK("https://klasma.github.io/Logging_2510/klagomålsmail/A 52537-2023 FSC-klagomål mail.docx", "A 52537-2023")</f>
        <v/>
      </c>
      <c r="AA66">
        <f>HYPERLINK("https://klasma.github.io/Logging_2510/tillsyn/A 52537-2023 tillsynsbegäran.docx", "A 52537-2023")</f>
        <v/>
      </c>
      <c r="AB66">
        <f>HYPERLINK("https://klasma.github.io/Logging_2510/tillsynsmail/A 52537-2023 tillsynsbegäran mail.docx", "A 52537-2023")</f>
        <v/>
      </c>
    </row>
    <row r="67" ht="15" customHeight="1">
      <c r="A67" t="inlineStr">
        <is>
          <t>A 52901-2023</t>
        </is>
      </c>
      <c r="B67" t="inlineStr">
        <is>
          <t>avverkningsanmälan</t>
        </is>
      </c>
      <c r="C67" t="inlineStr">
        <is>
          <t>Föryngringsavverkning</t>
        </is>
      </c>
      <c r="D67" s="1" t="n">
        <v>45222</v>
      </c>
      <c r="E67" s="1" t="n">
        <v>46217</v>
      </c>
      <c r="F67" t="inlineStr">
        <is>
          <t>NORRBOTTENS LÄN</t>
        </is>
      </c>
      <c r="G67" t="inlineStr">
        <is>
          <t>JOKKMOKK</t>
        </is>
      </c>
      <c r="I67" t="n">
        <v>16.6</v>
      </c>
      <c r="J67" t="n">
        <v>0</v>
      </c>
      <c r="K67" t="n">
        <v>0</v>
      </c>
      <c r="L67" t="n">
        <v>1</v>
      </c>
      <c r="M67" t="n">
        <v>0</v>
      </c>
      <c r="N67" t="n">
        <v>0</v>
      </c>
      <c r="O67" t="n">
        <v>0</v>
      </c>
      <c r="P67" t="n">
        <v>0</v>
      </c>
      <c r="Q67" t="n">
        <v>1</v>
      </c>
      <c r="R67" t="n">
        <v>0</v>
      </c>
      <c r="S67" t="n">
        <v>1</v>
      </c>
      <c r="T67" t="n">
        <v>1</v>
      </c>
      <c r="U67" s="2" t="inlineStr">
        <is>
          <t>Skrovlig flatbagge</t>
        </is>
      </c>
      <c r="V67">
        <f>HYPERLINK("https://klasma.github.io/Logging_2510/artfynd/A 52901-2023 artfynd.xlsx", "A 52901-2023")</f>
        <v/>
      </c>
      <c r="W67">
        <f>HYPERLINK("https://klasma.github.io/Logging_2510/kartor/A 52901-2023 karta.png", "A 52901-2023")</f>
        <v/>
      </c>
      <c r="Y67">
        <f>HYPERLINK("https://klasma.github.io/Logging_2510/klagomål/A 52901-2023 FSC-klagomål.docx", "A 52901-2023")</f>
        <v/>
      </c>
      <c r="Z67">
        <f>HYPERLINK("https://klasma.github.io/Logging_2510/klagomålsmail/A 52901-2023 FSC-klagomål mail.docx", "A 52901-2023")</f>
        <v/>
      </c>
      <c r="AA67">
        <f>HYPERLINK("https://klasma.github.io/Logging_2510/tillsyn/A 52901-2023 tillsynsbegäran.docx", "A 52901-2023")</f>
        <v/>
      </c>
      <c r="AB67">
        <f>HYPERLINK("https://klasma.github.io/Logging_2510/tillsynsmail/A 52901-2023 tillsynsbegäran mail.docx", "A 52901-2023")</f>
        <v/>
      </c>
    </row>
    <row r="68" ht="15" customHeight="1">
      <c r="A68" t="inlineStr">
        <is>
          <t>A 37252-2025</t>
        </is>
      </c>
      <c r="B68" t="inlineStr">
        <is>
          <t>avverkningsanmälan</t>
        </is>
      </c>
      <c r="C68" t="inlineStr">
        <is>
          <t>Föryngringsavverkning</t>
        </is>
      </c>
      <c r="D68" s="1" t="n">
        <v>45876</v>
      </c>
      <c r="E68" s="1" t="n">
        <v>46217</v>
      </c>
      <c r="F68" t="inlineStr">
        <is>
          <t>NORRBOTTENS LÄN</t>
        </is>
      </c>
      <c r="G68" t="inlineStr">
        <is>
          <t>JOKKMOKK</t>
        </is>
      </c>
      <c r="H68" t="inlineStr">
        <is>
          <t>Sveaskog</t>
        </is>
      </c>
      <c r="I68" t="n">
        <v>4.5</v>
      </c>
      <c r="J68" t="n">
        <v>1</v>
      </c>
      <c r="K68" t="n">
        <v>1</v>
      </c>
      <c r="L68" t="n">
        <v>0</v>
      </c>
      <c r="M68" t="n">
        <v>0</v>
      </c>
      <c r="N68" t="n">
        <v>0</v>
      </c>
      <c r="O68" t="n">
        <v>0</v>
      </c>
      <c r="P68" t="n">
        <v>0</v>
      </c>
      <c r="Q68" t="n">
        <v>0</v>
      </c>
      <c r="R68" t="n">
        <v>0</v>
      </c>
      <c r="S68" t="n">
        <v>1</v>
      </c>
      <c r="T68" t="n">
        <v>1</v>
      </c>
      <c r="U68" s="2" t="inlineStr">
        <is>
          <t>Spindelblomster</t>
        </is>
      </c>
      <c r="V68">
        <f>HYPERLINK("https://klasma.github.io/Logging_2510/artfynd/A 37252-2025 artfynd.xlsx", "A 37252-2025")</f>
        <v/>
      </c>
      <c r="W68">
        <f>HYPERLINK("https://klasma.github.io/Logging_2510/kartor/A 37252-2025 karta.png", "A 37252-2025")</f>
        <v/>
      </c>
      <c r="Y68">
        <f>HYPERLINK("https://klasma.github.io/Logging_2510/klagomål/A 37252-2025 FSC-klagomål.docx", "A 37252-2025")</f>
        <v/>
      </c>
      <c r="Z68">
        <f>HYPERLINK("https://klasma.github.io/Logging_2510/klagomålsmail/A 37252-2025 FSC-klagomål mail.docx", "A 37252-2025")</f>
        <v/>
      </c>
      <c r="AA68">
        <f>HYPERLINK("https://klasma.github.io/Logging_2510/tillsyn/A 37252-2025 tillsynsbegäran.docx", "A 37252-2025")</f>
        <v/>
      </c>
      <c r="AB68">
        <f>HYPERLINK("https://klasma.github.io/Logging_2510/tillsynsmail/A 37252-2025 tillsynsbegäran mail.docx", "A 37252-2025")</f>
        <v/>
      </c>
    </row>
    <row r="69" ht="15" customHeight="1">
      <c r="A69" t="inlineStr">
        <is>
          <t>A 50121-2024</t>
        </is>
      </c>
      <c r="B69" t="inlineStr">
        <is>
          <t>avverkningsanmälan</t>
        </is>
      </c>
      <c r="C69" t="inlineStr">
        <is>
          <t>Föryngringsavverkning</t>
        </is>
      </c>
      <c r="D69" s="1" t="n">
        <v>45600</v>
      </c>
      <c r="E69" s="1" t="n">
        <v>46217</v>
      </c>
      <c r="F69" t="inlineStr">
        <is>
          <t>NORRBOTTENS LÄN</t>
        </is>
      </c>
      <c r="G69" t="inlineStr">
        <is>
          <t>JOKKMOKK</t>
        </is>
      </c>
      <c r="I69" t="n">
        <v>2.3</v>
      </c>
      <c r="J69" t="n">
        <v>1</v>
      </c>
      <c r="K69" t="n">
        <v>0</v>
      </c>
      <c r="L69" t="n">
        <v>0</v>
      </c>
      <c r="M69" t="n">
        <v>0</v>
      </c>
      <c r="N69" t="n">
        <v>0</v>
      </c>
      <c r="O69" t="n">
        <v>0</v>
      </c>
      <c r="P69" t="n">
        <v>0</v>
      </c>
      <c r="Q69" t="n">
        <v>0</v>
      </c>
      <c r="R69" t="n">
        <v>0</v>
      </c>
      <c r="S69" t="n">
        <v>1</v>
      </c>
      <c r="T69" t="n">
        <v>1</v>
      </c>
      <c r="U69" s="2" t="inlineStr">
        <is>
          <t>Buskskvätta</t>
        </is>
      </c>
      <c r="V69">
        <f>HYPERLINK("https://klasma.github.io/Logging_2510/artfynd/A 50121-2024 artfynd.xlsx", "A 50121-2024")</f>
        <v/>
      </c>
      <c r="W69">
        <f>HYPERLINK("https://klasma.github.io/Logging_2510/kartor/A 50121-2024 karta.png", "A 50121-2024")</f>
        <v/>
      </c>
      <c r="Y69">
        <f>HYPERLINK("https://klasma.github.io/Logging_2510/klagomål/A 50121-2024 FSC-klagomål.docx", "A 50121-2024")</f>
        <v/>
      </c>
      <c r="Z69">
        <f>HYPERLINK("https://klasma.github.io/Logging_2510/klagomålsmail/A 50121-2024 FSC-klagomål mail.docx", "A 50121-2024")</f>
        <v/>
      </c>
      <c r="AA69">
        <f>HYPERLINK("https://klasma.github.io/Logging_2510/tillsyn/A 50121-2024 tillsynsbegäran.docx", "A 50121-2024")</f>
        <v/>
      </c>
      <c r="AB69">
        <f>HYPERLINK("https://klasma.github.io/Logging_2510/tillsynsmail/A 50121-2024 tillsynsbegäran mail.docx", "A 50121-2024")</f>
        <v/>
      </c>
    </row>
    <row r="70" ht="15" customHeight="1">
      <c r="A70" t="inlineStr">
        <is>
          <t>A 72480-2021</t>
        </is>
      </c>
      <c r="B70" t="inlineStr">
        <is>
          <t>avverkningsanmälan</t>
        </is>
      </c>
      <c r="C70" t="inlineStr">
        <is>
          <t>Föryngringsavverkning</t>
        </is>
      </c>
      <c r="D70" s="1" t="n">
        <v>44545</v>
      </c>
      <c r="E70" s="1" t="n">
        <v>46217</v>
      </c>
      <c r="F70" t="inlineStr">
        <is>
          <t>NORRBOTTENS LÄN</t>
        </is>
      </c>
      <c r="G70" t="inlineStr">
        <is>
          <t>JOKKMOKK</t>
        </is>
      </c>
      <c r="I70" t="n">
        <v>8.800000000000001</v>
      </c>
      <c r="J70" t="n">
        <v>0</v>
      </c>
      <c r="K70" t="n">
        <v>0</v>
      </c>
      <c r="L70" t="n">
        <v>1</v>
      </c>
      <c r="M70" t="n">
        <v>0</v>
      </c>
      <c r="N70" t="n">
        <v>0</v>
      </c>
      <c r="O70" t="n">
        <v>0</v>
      </c>
      <c r="P70" t="n">
        <v>0</v>
      </c>
      <c r="Q70" t="n">
        <v>1</v>
      </c>
      <c r="R70" t="n">
        <v>0</v>
      </c>
      <c r="S70" t="n">
        <v>1</v>
      </c>
      <c r="T70" t="n">
        <v>1</v>
      </c>
      <c r="U70" s="2" t="inlineStr">
        <is>
          <t>Dvärgbägarlav</t>
        </is>
      </c>
      <c r="V70">
        <f>HYPERLINK("https://klasma.github.io/Logging_2510/artfynd/A 72480-2021 artfynd.xlsx", "A 72480-2021")</f>
        <v/>
      </c>
      <c r="W70">
        <f>HYPERLINK("https://klasma.github.io/Logging_2510/kartor/A 72480-2021 karta.png", "A 72480-2021")</f>
        <v/>
      </c>
      <c r="Y70">
        <f>HYPERLINK("https://klasma.github.io/Logging_2510/klagomål/A 72480-2021 FSC-klagomål.docx", "A 72480-2021")</f>
        <v/>
      </c>
      <c r="Z70">
        <f>HYPERLINK("https://klasma.github.io/Logging_2510/klagomålsmail/A 72480-2021 FSC-klagomål mail.docx", "A 72480-2021")</f>
        <v/>
      </c>
      <c r="AA70">
        <f>HYPERLINK("https://klasma.github.io/Logging_2510/tillsyn/A 72480-2021 tillsynsbegäran.docx", "A 72480-2021")</f>
        <v/>
      </c>
      <c r="AB70">
        <f>HYPERLINK("https://klasma.github.io/Logging_2510/tillsynsmail/A 72480-2021 tillsynsbegäran mail.docx", "A 72480-2021")</f>
        <v/>
      </c>
    </row>
    <row r="71" ht="15" customHeight="1">
      <c r="A71" t="inlineStr">
        <is>
          <t>A 44234-2025</t>
        </is>
      </c>
      <c r="B71" t="inlineStr">
        <is>
          <t>avverkningsanmälan</t>
        </is>
      </c>
      <c r="C71" t="inlineStr">
        <is>
          <t>Föryngringsavverkning</t>
        </is>
      </c>
      <c r="D71" s="1" t="n">
        <v>45915</v>
      </c>
      <c r="E71" s="1" t="n">
        <v>46217</v>
      </c>
      <c r="F71" t="inlineStr">
        <is>
          <t>NORRBOTTENS LÄN</t>
        </is>
      </c>
      <c r="G71" t="inlineStr">
        <is>
          <t>JOKKMOKK</t>
        </is>
      </c>
      <c r="H71" t="inlineStr">
        <is>
          <t>Sveaskog</t>
        </is>
      </c>
      <c r="I71" t="n">
        <v>1.6</v>
      </c>
      <c r="J71" t="n">
        <v>0</v>
      </c>
      <c r="K71" t="n">
        <v>0</v>
      </c>
      <c r="L71" t="n">
        <v>1</v>
      </c>
      <c r="M71" t="n">
        <v>0</v>
      </c>
      <c r="N71" t="n">
        <v>0</v>
      </c>
      <c r="O71" t="n">
        <v>0</v>
      </c>
      <c r="P71" t="n">
        <v>0</v>
      </c>
      <c r="Q71" t="n">
        <v>1</v>
      </c>
      <c r="R71" t="n">
        <v>0</v>
      </c>
      <c r="S71" t="n">
        <v>1</v>
      </c>
      <c r="T71" t="n">
        <v>1</v>
      </c>
      <c r="U71" s="2" t="inlineStr">
        <is>
          <t>Vedflamlav</t>
        </is>
      </c>
      <c r="V71">
        <f>HYPERLINK("https://klasma.github.io/Logging_2510/artfynd/A 44234-2025 artfynd.xlsx", "A 44234-2025")</f>
        <v/>
      </c>
      <c r="W71">
        <f>HYPERLINK("https://klasma.github.io/Logging_2510/kartor/A 44234-2025 karta.png", "A 44234-2025")</f>
        <v/>
      </c>
      <c r="Y71">
        <f>HYPERLINK("https://klasma.github.io/Logging_2510/klagomål/A 44234-2025 FSC-klagomål.docx", "A 44234-2025")</f>
        <v/>
      </c>
      <c r="Z71">
        <f>HYPERLINK("https://klasma.github.io/Logging_2510/klagomålsmail/A 44234-2025 FSC-klagomål mail.docx", "A 44234-2025")</f>
        <v/>
      </c>
      <c r="AA71">
        <f>HYPERLINK("https://klasma.github.io/Logging_2510/tillsyn/A 44234-2025 tillsynsbegäran.docx", "A 44234-2025")</f>
        <v/>
      </c>
      <c r="AB71">
        <f>HYPERLINK("https://klasma.github.io/Logging_2510/tillsynsmail/A 44234-2025 tillsynsbegäran mail.docx", "A 44234-2025")</f>
        <v/>
      </c>
    </row>
    <row r="72" ht="15" customHeight="1">
      <c r="A72" t="inlineStr">
        <is>
          <t>A 44842-2025</t>
        </is>
      </c>
      <c r="B72" t="inlineStr">
        <is>
          <t>avverkningsanmälan</t>
        </is>
      </c>
      <c r="C72" t="inlineStr">
        <is>
          <t>Föryngringsavverkning</t>
        </is>
      </c>
      <c r="D72" s="1" t="n">
        <v>45918</v>
      </c>
      <c r="E72" s="1" t="n">
        <v>46217</v>
      </c>
      <c r="F72" t="inlineStr">
        <is>
          <t>NORRBOTTENS LÄN</t>
        </is>
      </c>
      <c r="G72" t="inlineStr">
        <is>
          <t>JOKKMOKK</t>
        </is>
      </c>
      <c r="I72" t="n">
        <v>7.7</v>
      </c>
      <c r="J72" t="n">
        <v>0</v>
      </c>
      <c r="K72" t="n">
        <v>0</v>
      </c>
      <c r="L72" t="n">
        <v>0</v>
      </c>
      <c r="M72" t="n">
        <v>1</v>
      </c>
      <c r="N72" t="n">
        <v>0</v>
      </c>
      <c r="O72" t="n">
        <v>0</v>
      </c>
      <c r="P72" t="n">
        <v>0</v>
      </c>
      <c r="Q72" t="n">
        <v>1</v>
      </c>
      <c r="R72" t="n">
        <v>1</v>
      </c>
      <c r="S72" t="n">
        <v>1</v>
      </c>
      <c r="T72" t="n">
        <v>1</v>
      </c>
      <c r="U72" s="2" t="inlineStr">
        <is>
          <t>Goliatmusseron</t>
        </is>
      </c>
      <c r="V72">
        <f>HYPERLINK("https://klasma.github.io/Logging_2510/artfynd/A 44842-2025 artfynd.xlsx", "A 44842-2025")</f>
        <v/>
      </c>
      <c r="W72">
        <f>HYPERLINK("https://klasma.github.io/Logging_2510/kartor/A 44842-2025 karta.png", "A 44842-2025")</f>
        <v/>
      </c>
      <c r="Y72">
        <f>HYPERLINK("https://klasma.github.io/Logging_2510/klagomål/A 44842-2025 FSC-klagomål.docx", "A 44842-2025")</f>
        <v/>
      </c>
      <c r="Z72">
        <f>HYPERLINK("https://klasma.github.io/Logging_2510/klagomålsmail/A 44842-2025 FSC-klagomål mail.docx", "A 44842-2025")</f>
        <v/>
      </c>
      <c r="AA72">
        <f>HYPERLINK("https://klasma.github.io/Logging_2510/tillsyn/A 44842-2025 tillsynsbegäran.docx", "A 44842-2025")</f>
        <v/>
      </c>
      <c r="AB72">
        <f>HYPERLINK("https://klasma.github.io/Logging_2510/tillsynsmail/A 44842-2025 tillsynsbegäran mail.docx", "A 44842-2025")</f>
        <v/>
      </c>
    </row>
    <row r="73" ht="15" customHeight="1">
      <c r="A73" t="inlineStr">
        <is>
          <t>A 45201-2025</t>
        </is>
      </c>
      <c r="B73" t="inlineStr">
        <is>
          <t>avverkningsanmälan</t>
        </is>
      </c>
      <c r="C73" t="inlineStr">
        <is>
          <t>Föryngringsavverkning</t>
        </is>
      </c>
      <c r="D73" s="1" t="n">
        <v>45919</v>
      </c>
      <c r="E73" s="1" t="n">
        <v>46217</v>
      </c>
      <c r="F73" t="inlineStr">
        <is>
          <t>NORRBOTTENS LÄN</t>
        </is>
      </c>
      <c r="G73" t="inlineStr">
        <is>
          <t>JOKKMOKK</t>
        </is>
      </c>
      <c r="H73" t="inlineStr">
        <is>
          <t>Sveaskog</t>
        </is>
      </c>
      <c r="I73" t="n">
        <v>21.8</v>
      </c>
      <c r="J73" t="n">
        <v>0</v>
      </c>
      <c r="K73" t="n">
        <v>0</v>
      </c>
      <c r="L73" t="n">
        <v>1</v>
      </c>
      <c r="M73" t="n">
        <v>0</v>
      </c>
      <c r="N73" t="n">
        <v>0</v>
      </c>
      <c r="O73" t="n">
        <v>0</v>
      </c>
      <c r="P73" t="n">
        <v>0</v>
      </c>
      <c r="Q73" t="n">
        <v>1</v>
      </c>
      <c r="R73" t="n">
        <v>0</v>
      </c>
      <c r="S73" t="n">
        <v>1</v>
      </c>
      <c r="T73" t="n">
        <v>1</v>
      </c>
      <c r="U73" s="2" t="inlineStr">
        <is>
          <t>Skarp dropptaggsvamp</t>
        </is>
      </c>
      <c r="V73">
        <f>HYPERLINK("https://klasma.github.io/Logging_2510/artfynd/A 45201-2025 artfynd.xlsx", "A 45201-2025")</f>
        <v/>
      </c>
      <c r="W73">
        <f>HYPERLINK("https://klasma.github.io/Logging_2510/kartor/A 45201-2025 karta.png", "A 45201-2025")</f>
        <v/>
      </c>
      <c r="Y73">
        <f>HYPERLINK("https://klasma.github.io/Logging_2510/klagomål/A 45201-2025 FSC-klagomål.docx", "A 45201-2025")</f>
        <v/>
      </c>
      <c r="Z73">
        <f>HYPERLINK("https://klasma.github.io/Logging_2510/klagomålsmail/A 45201-2025 FSC-klagomål mail.docx", "A 45201-2025")</f>
        <v/>
      </c>
      <c r="AA73">
        <f>HYPERLINK("https://klasma.github.io/Logging_2510/tillsyn/A 45201-2025 tillsynsbegäran.docx", "A 45201-2025")</f>
        <v/>
      </c>
      <c r="AB73">
        <f>HYPERLINK("https://klasma.github.io/Logging_2510/tillsynsmail/A 45201-2025 tillsynsbegäran mail.docx", "A 45201-2025")</f>
        <v/>
      </c>
    </row>
    <row r="74" ht="15" customHeight="1">
      <c r="A74" t="inlineStr">
        <is>
          <t>A 20141-2026</t>
        </is>
      </c>
      <c r="B74" t="inlineStr">
        <is>
          <t>avverkningsanmälan</t>
        </is>
      </c>
      <c r="C74" t="inlineStr">
        <is>
          <t>Föryngringsavverkning</t>
        </is>
      </c>
      <c r="D74" s="1" t="n">
        <v>46137</v>
      </c>
      <c r="E74" s="1" t="n">
        <v>46217</v>
      </c>
      <c r="F74" t="inlineStr">
        <is>
          <t>NORRBOTTENS LÄN</t>
        </is>
      </c>
      <c r="G74" t="inlineStr">
        <is>
          <t>JOKKMOKK</t>
        </is>
      </c>
      <c r="H74" t="inlineStr">
        <is>
          <t>SCA</t>
        </is>
      </c>
      <c r="I74" t="n">
        <v>17.4</v>
      </c>
      <c r="J74" t="n">
        <v>1</v>
      </c>
      <c r="K74" t="n">
        <v>0</v>
      </c>
      <c r="L74" t="n">
        <v>1</v>
      </c>
      <c r="M74" t="n">
        <v>0</v>
      </c>
      <c r="N74" t="n">
        <v>0</v>
      </c>
      <c r="O74" t="n">
        <v>0</v>
      </c>
      <c r="P74" t="n">
        <v>0</v>
      </c>
      <c r="Q74" t="n">
        <v>1</v>
      </c>
      <c r="R74" t="n">
        <v>0</v>
      </c>
      <c r="S74" t="n">
        <v>1</v>
      </c>
      <c r="T74" t="n">
        <v>1</v>
      </c>
      <c r="U74" s="2" t="inlineStr">
        <is>
          <t>Nordfladdermus</t>
        </is>
      </c>
      <c r="V74">
        <f>HYPERLINK("https://klasma.github.io/Logging_2510/artfynd/A 20141-2026 artfynd.xlsx", "A 20141-2026")</f>
        <v/>
      </c>
      <c r="W74">
        <f>HYPERLINK("https://klasma.github.io/Logging_2510/kartor/A 20141-2026 karta.png", "A 20141-2026")</f>
        <v/>
      </c>
      <c r="Y74">
        <f>HYPERLINK("https://klasma.github.io/Logging_2510/klagomål/A 20141-2026 FSC-klagomål.docx", "A 20141-2026")</f>
        <v/>
      </c>
      <c r="Z74">
        <f>HYPERLINK("https://klasma.github.io/Logging_2510/klagomålsmail/A 20141-2026 FSC-klagomål mail.docx", "A 20141-2026")</f>
        <v/>
      </c>
      <c r="AA74">
        <f>HYPERLINK("https://klasma.github.io/Logging_2510/tillsyn/A 20141-2026 tillsynsbegäran.docx", "A 20141-2026")</f>
        <v/>
      </c>
      <c r="AB74">
        <f>HYPERLINK("https://klasma.github.io/Logging_2510/tillsynsmail/A 20141-2026 tillsynsbegäran mail.docx", "A 20141-2026")</f>
        <v/>
      </c>
    </row>
    <row r="75" ht="15" customHeight="1">
      <c r="A75" t="inlineStr">
        <is>
          <t>A 50391-2025</t>
        </is>
      </c>
      <c r="B75" t="inlineStr">
        <is>
          <t>avverkningsanmälan</t>
        </is>
      </c>
      <c r="C75" t="inlineStr">
        <is>
          <t>Föryngringsavverkning</t>
        </is>
      </c>
      <c r="D75" s="1" t="n">
        <v>45944</v>
      </c>
      <c r="E75" s="1" t="n">
        <v>46217</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s="2" t="inlineStr">
        <is>
          <t>Plattlummer</t>
        </is>
      </c>
      <c r="V75">
        <f>HYPERLINK("https://klasma.github.io/Logging_2510/artfynd/A 50391-2025 artfynd.xlsx", "A 50391-2025")</f>
        <v/>
      </c>
      <c r="W75">
        <f>HYPERLINK("https://klasma.github.io/Logging_2510/kartor/A 50391-2025 karta.png", "A 50391-2025")</f>
        <v/>
      </c>
      <c r="Y75">
        <f>HYPERLINK("https://klasma.github.io/Logging_2510/klagomål/A 50391-2025 FSC-klagomål.docx", "A 50391-2025")</f>
        <v/>
      </c>
      <c r="Z75">
        <f>HYPERLINK("https://klasma.github.io/Logging_2510/klagomålsmail/A 50391-2025 FSC-klagomål mail.docx", "A 50391-2025")</f>
        <v/>
      </c>
      <c r="AA75">
        <f>HYPERLINK("https://klasma.github.io/Logging_2510/tillsyn/A 50391-2025 tillsynsbegäran.docx", "A 50391-2025")</f>
        <v/>
      </c>
      <c r="AB75">
        <f>HYPERLINK("https://klasma.github.io/Logging_2510/tillsynsmail/A 50391-2025 tillsynsbegäran mail.docx", "A 50391-2025")</f>
        <v/>
      </c>
    </row>
    <row r="76" ht="15" customHeight="1">
      <c r="A76" t="inlineStr">
        <is>
          <t>A 2031-2025</t>
        </is>
      </c>
      <c r="B76" t="inlineStr">
        <is>
          <t>avverkningsanmälan</t>
        </is>
      </c>
      <c r="C76" t="inlineStr">
        <is>
          <t>Föryngringsavverkning</t>
        </is>
      </c>
      <c r="D76" s="1" t="n">
        <v>45672</v>
      </c>
      <c r="E76" s="1" t="n">
        <v>46217</v>
      </c>
      <c r="F76" t="inlineStr">
        <is>
          <t>NORRBOTTENS LÄN</t>
        </is>
      </c>
      <c r="G76" t="inlineStr">
        <is>
          <t>JOKKMOKK</t>
        </is>
      </c>
      <c r="H76" t="inlineStr">
        <is>
          <t>Övriga statliga verk och myndigheter</t>
        </is>
      </c>
      <c r="I76" t="n">
        <v>7.5</v>
      </c>
      <c r="J76" t="n">
        <v>0</v>
      </c>
      <c r="K76" t="n">
        <v>0</v>
      </c>
      <c r="L76" t="n">
        <v>1</v>
      </c>
      <c r="M76" t="n">
        <v>0</v>
      </c>
      <c r="N76" t="n">
        <v>0</v>
      </c>
      <c r="O76" t="n">
        <v>0</v>
      </c>
      <c r="P76" t="n">
        <v>0</v>
      </c>
      <c r="Q76" t="n">
        <v>1</v>
      </c>
      <c r="R76" t="n">
        <v>0</v>
      </c>
      <c r="S76" t="n">
        <v>1</v>
      </c>
      <c r="T76" t="n">
        <v>1</v>
      </c>
      <c r="U76" s="2" t="inlineStr">
        <is>
          <t>Vitplätt</t>
        </is>
      </c>
      <c r="V76">
        <f>HYPERLINK("https://klasma.github.io/Logging_2510/artfynd/A 2031-2025 artfynd.xlsx", "A 2031-2025")</f>
        <v/>
      </c>
      <c r="W76">
        <f>HYPERLINK("https://klasma.github.io/Logging_2510/kartor/A 2031-2025 karta.png", "A 2031-2025")</f>
        <v/>
      </c>
      <c r="Y76">
        <f>HYPERLINK("https://klasma.github.io/Logging_2510/klagomål/A 2031-2025 FSC-klagomål.docx", "A 2031-2025")</f>
        <v/>
      </c>
      <c r="Z76">
        <f>HYPERLINK("https://klasma.github.io/Logging_2510/klagomålsmail/A 2031-2025 FSC-klagomål mail.docx", "A 2031-2025")</f>
        <v/>
      </c>
      <c r="AA76">
        <f>HYPERLINK("https://klasma.github.io/Logging_2510/tillsyn/A 2031-2025 tillsynsbegäran.docx", "A 2031-2025")</f>
        <v/>
      </c>
      <c r="AB76">
        <f>HYPERLINK("https://klasma.github.io/Logging_2510/tillsynsmail/A 2031-2025 tillsynsbegäran mail.docx", "A 2031-2025")</f>
        <v/>
      </c>
    </row>
    <row r="77" ht="15" customHeight="1">
      <c r="A77" t="inlineStr">
        <is>
          <t>A 50237-2022</t>
        </is>
      </c>
      <c r="B77" t="inlineStr">
        <is>
          <t>avverkningsanmälan</t>
        </is>
      </c>
      <c r="C77" t="inlineStr">
        <is>
          <t>Föryngringsavverkning</t>
        </is>
      </c>
      <c r="D77" s="1" t="n">
        <v>44865</v>
      </c>
      <c r="E77" s="1" t="n">
        <v>46217</v>
      </c>
      <c r="F77" t="inlineStr">
        <is>
          <t>NORRBOTTENS LÄN</t>
        </is>
      </c>
      <c r="G77" t="inlineStr">
        <is>
          <t>JOKKMOKK</t>
        </is>
      </c>
      <c r="H77" t="inlineStr">
        <is>
          <t>Sveaskog</t>
        </is>
      </c>
      <c r="I77" t="n">
        <v>13.4</v>
      </c>
      <c r="J77" t="n">
        <v>1</v>
      </c>
      <c r="K77" t="n">
        <v>0</v>
      </c>
      <c r="L77" t="n">
        <v>1</v>
      </c>
      <c r="M77" t="n">
        <v>0</v>
      </c>
      <c r="N77" t="n">
        <v>0</v>
      </c>
      <c r="O77" t="n">
        <v>0</v>
      </c>
      <c r="P77" t="n">
        <v>0</v>
      </c>
      <c r="Q77" t="n">
        <v>1</v>
      </c>
      <c r="R77" t="n">
        <v>0</v>
      </c>
      <c r="S77" t="n">
        <v>1</v>
      </c>
      <c r="T77" t="n">
        <v>1</v>
      </c>
      <c r="U77" s="2" t="inlineStr">
        <is>
          <t>Lavskrika</t>
        </is>
      </c>
      <c r="V77">
        <f>HYPERLINK("https://klasma.github.io/Logging_2510/artfynd/A 50237-2022 artfynd.xlsx", "A 50237-2022")</f>
        <v/>
      </c>
      <c r="W77">
        <f>HYPERLINK("https://klasma.github.io/Logging_2510/kartor/A 50237-2022 karta.png", "A 50237-2022")</f>
        <v/>
      </c>
      <c r="Y77">
        <f>HYPERLINK("https://klasma.github.io/Logging_2510/klagomål/A 50237-2022 FSC-klagomål.docx", "A 50237-2022")</f>
        <v/>
      </c>
      <c r="Z77">
        <f>HYPERLINK("https://klasma.github.io/Logging_2510/klagomålsmail/A 50237-2022 FSC-klagomål mail.docx", "A 50237-2022")</f>
        <v/>
      </c>
      <c r="AA77">
        <f>HYPERLINK("https://klasma.github.io/Logging_2510/tillsyn/A 50237-2022 tillsynsbegäran.docx", "A 50237-2022")</f>
        <v/>
      </c>
      <c r="AB77">
        <f>HYPERLINK("https://klasma.github.io/Logging_2510/tillsynsmail/A 50237-2022 tillsynsbegäran mail.docx", "A 50237-2022")</f>
        <v/>
      </c>
      <c r="AC77">
        <f>HYPERLINK("https://klasma.github.io/Logging_2510/fåglar/A 50237-2022 prioriterade fågelarter.docx", "A 50237-2022")</f>
        <v/>
      </c>
    </row>
    <row r="78" ht="15" customHeight="1">
      <c r="A78" t="inlineStr">
        <is>
          <t>A 51718-2025</t>
        </is>
      </c>
      <c r="B78" t="inlineStr">
        <is>
          <t>avverkningsanmälan</t>
        </is>
      </c>
      <c r="C78" t="inlineStr">
        <is>
          <t>Föryngringsavverkning</t>
        </is>
      </c>
      <c r="D78" s="1" t="n">
        <v>45951</v>
      </c>
      <c r="E78" s="1" t="n">
        <v>46217</v>
      </c>
      <c r="F78" t="inlineStr">
        <is>
          <t>NORRBOTTENS LÄN</t>
        </is>
      </c>
      <c r="G78" t="inlineStr">
        <is>
          <t>JOKKMOKK</t>
        </is>
      </c>
      <c r="H78" t="inlineStr">
        <is>
          <t>Övriga statliga verk och myndigheter</t>
        </is>
      </c>
      <c r="I78" t="n">
        <v>31.9</v>
      </c>
      <c r="J78" t="n">
        <v>0</v>
      </c>
      <c r="K78" t="n">
        <v>0</v>
      </c>
      <c r="L78" t="n">
        <v>1</v>
      </c>
      <c r="M78" t="n">
        <v>0</v>
      </c>
      <c r="N78" t="n">
        <v>0</v>
      </c>
      <c r="O78" t="n">
        <v>0</v>
      </c>
      <c r="P78" t="n">
        <v>0</v>
      </c>
      <c r="Q78" t="n">
        <v>1</v>
      </c>
      <c r="R78" t="n">
        <v>0</v>
      </c>
      <c r="S78" t="n">
        <v>1</v>
      </c>
      <c r="T78" t="n">
        <v>1</v>
      </c>
      <c r="U78" s="2" t="inlineStr">
        <is>
          <t>Violmussling</t>
        </is>
      </c>
      <c r="V78">
        <f>HYPERLINK("https://klasma.github.io/Logging_2510/artfynd/A 51718-2025 artfynd.xlsx", "A 51718-2025")</f>
        <v/>
      </c>
      <c r="W78">
        <f>HYPERLINK("https://klasma.github.io/Logging_2510/kartor/A 51718-2025 karta.png", "A 51718-2025")</f>
        <v/>
      </c>
      <c r="Y78">
        <f>HYPERLINK("https://klasma.github.io/Logging_2510/klagomål/A 51718-2025 FSC-klagomål.docx", "A 51718-2025")</f>
        <v/>
      </c>
      <c r="Z78">
        <f>HYPERLINK("https://klasma.github.io/Logging_2510/klagomålsmail/A 51718-2025 FSC-klagomål mail.docx", "A 51718-2025")</f>
        <v/>
      </c>
      <c r="AA78">
        <f>HYPERLINK("https://klasma.github.io/Logging_2510/tillsyn/A 51718-2025 tillsynsbegäran.docx", "A 51718-2025")</f>
        <v/>
      </c>
      <c r="AB78">
        <f>HYPERLINK("https://klasma.github.io/Logging_2510/tillsynsmail/A 51718-2025 tillsynsbegäran mail.docx", "A 51718-2025")</f>
        <v/>
      </c>
    </row>
    <row r="79" ht="15" customHeight="1">
      <c r="A79" t="inlineStr">
        <is>
          <t>A 53035-2025</t>
        </is>
      </c>
      <c r="B79" t="inlineStr">
        <is>
          <t>avverkningsanmälan</t>
        </is>
      </c>
      <c r="C79" t="inlineStr">
        <is>
          <t>Föryngringsavverkning</t>
        </is>
      </c>
      <c r="D79" s="1" t="n">
        <v>45958</v>
      </c>
      <c r="E79" s="1" t="n">
        <v>46217</v>
      </c>
      <c r="F79" t="inlineStr">
        <is>
          <t>NORRBOTTENS LÄN</t>
        </is>
      </c>
      <c r="G79" t="inlineStr">
        <is>
          <t>JOKKMOKK</t>
        </is>
      </c>
      <c r="H79" t="inlineStr">
        <is>
          <t>Sveaskog</t>
        </is>
      </c>
      <c r="I79" t="n">
        <v>15.2</v>
      </c>
      <c r="J79" t="n">
        <v>1</v>
      </c>
      <c r="K79" t="n">
        <v>1</v>
      </c>
      <c r="L79" t="n">
        <v>0</v>
      </c>
      <c r="M79" t="n">
        <v>0</v>
      </c>
      <c r="N79" t="n">
        <v>0</v>
      </c>
      <c r="O79" t="n">
        <v>0</v>
      </c>
      <c r="P79" t="n">
        <v>0</v>
      </c>
      <c r="Q79" t="n">
        <v>0</v>
      </c>
      <c r="R79" t="n">
        <v>0</v>
      </c>
      <c r="S79" t="n">
        <v>1</v>
      </c>
      <c r="T79" t="n">
        <v>1</v>
      </c>
      <c r="U79" s="2" t="inlineStr">
        <is>
          <t>Plattlummer</t>
        </is>
      </c>
      <c r="V79">
        <f>HYPERLINK("https://klasma.github.io/Logging_2510/artfynd/A 53035-2025 artfynd.xlsx", "A 53035-2025")</f>
        <v/>
      </c>
      <c r="W79">
        <f>HYPERLINK("https://klasma.github.io/Logging_2510/kartor/A 53035-2025 karta.png", "A 53035-2025")</f>
        <v/>
      </c>
      <c r="Y79">
        <f>HYPERLINK("https://klasma.github.io/Logging_2510/klagomål/A 53035-2025 FSC-klagomål.docx", "A 53035-2025")</f>
        <v/>
      </c>
      <c r="Z79">
        <f>HYPERLINK("https://klasma.github.io/Logging_2510/klagomålsmail/A 53035-2025 FSC-klagomål mail.docx", "A 53035-2025")</f>
        <v/>
      </c>
      <c r="AA79">
        <f>HYPERLINK("https://klasma.github.io/Logging_2510/tillsyn/A 53035-2025 tillsynsbegäran.docx", "A 53035-2025")</f>
        <v/>
      </c>
      <c r="AB79">
        <f>HYPERLINK("https://klasma.github.io/Logging_2510/tillsynsmail/A 53035-2025 tillsynsbegäran mail.docx", "A 53035-2025")</f>
        <v/>
      </c>
    </row>
    <row r="80" ht="15" customHeight="1">
      <c r="A80" t="inlineStr">
        <is>
          <t>A 56324-2025</t>
        </is>
      </c>
      <c r="B80" t="inlineStr">
        <is>
          <t>avverkningsanmälan</t>
        </is>
      </c>
      <c r="C80" t="inlineStr">
        <is>
          <t>Föryngringsavverkning</t>
        </is>
      </c>
      <c r="D80" s="1" t="n">
        <v>45974</v>
      </c>
      <c r="E80" s="1" t="n">
        <v>46217</v>
      </c>
      <c r="F80" t="inlineStr">
        <is>
          <t>NORRBOTTENS LÄN</t>
        </is>
      </c>
      <c r="G80" t="inlineStr">
        <is>
          <t>JOKKMOKK</t>
        </is>
      </c>
      <c r="H80" t="inlineStr">
        <is>
          <t>Övriga statliga verk och myndigheter</t>
        </is>
      </c>
      <c r="I80" t="n">
        <v>14.2</v>
      </c>
      <c r="J80" t="n">
        <v>0</v>
      </c>
      <c r="K80" t="n">
        <v>1</v>
      </c>
      <c r="L80" t="n">
        <v>0</v>
      </c>
      <c r="M80" t="n">
        <v>0</v>
      </c>
      <c r="N80" t="n">
        <v>0</v>
      </c>
      <c r="O80" t="n">
        <v>0</v>
      </c>
      <c r="P80" t="n">
        <v>0</v>
      </c>
      <c r="Q80" t="n">
        <v>0</v>
      </c>
      <c r="R80" t="n">
        <v>0</v>
      </c>
      <c r="S80" t="n">
        <v>1</v>
      </c>
      <c r="T80" t="n">
        <v>1</v>
      </c>
      <c r="U80" s="2" t="inlineStr">
        <is>
          <t>Skinnlav</t>
        </is>
      </c>
      <c r="V80">
        <f>HYPERLINK("https://klasma.github.io/Logging_2510/artfynd/A 56324-2025 artfynd.xlsx", "A 56324-2025")</f>
        <v/>
      </c>
      <c r="W80">
        <f>HYPERLINK("https://klasma.github.io/Logging_2510/kartor/A 56324-2025 karta.png", "A 56324-2025")</f>
        <v/>
      </c>
      <c r="Y80">
        <f>HYPERLINK("https://klasma.github.io/Logging_2510/klagomål/A 56324-2025 FSC-klagomål.docx", "A 56324-2025")</f>
        <v/>
      </c>
      <c r="Z80">
        <f>HYPERLINK("https://klasma.github.io/Logging_2510/klagomålsmail/A 56324-2025 FSC-klagomål mail.docx", "A 56324-2025")</f>
        <v/>
      </c>
      <c r="AA80">
        <f>HYPERLINK("https://klasma.github.io/Logging_2510/tillsyn/A 56324-2025 tillsynsbegäran.docx", "A 56324-2025")</f>
        <v/>
      </c>
      <c r="AB80">
        <f>HYPERLINK("https://klasma.github.io/Logging_2510/tillsynsmail/A 56324-2025 tillsynsbegäran mail.docx", "A 56324-2025")</f>
        <v/>
      </c>
    </row>
    <row r="81" ht="15" customHeight="1">
      <c r="A81" t="inlineStr">
        <is>
          <t>A 56343-2025</t>
        </is>
      </c>
      <c r="B81" t="inlineStr">
        <is>
          <t>avverkningsanmälan</t>
        </is>
      </c>
      <c r="C81" t="inlineStr">
        <is>
          <t>Föryngringsavverkning</t>
        </is>
      </c>
      <c r="D81" s="1" t="n">
        <v>45974</v>
      </c>
      <c r="E81" s="1" t="n">
        <v>46217</v>
      </c>
      <c r="F81" t="inlineStr">
        <is>
          <t>NORRBOTTENS LÄN</t>
        </is>
      </c>
      <c r="G81" t="inlineStr">
        <is>
          <t>JOKKMOKK</t>
        </is>
      </c>
      <c r="H81" t="inlineStr">
        <is>
          <t>Övriga statliga verk och myndigheter</t>
        </is>
      </c>
      <c r="I81" t="n">
        <v>14.8</v>
      </c>
      <c r="J81" t="n">
        <v>0</v>
      </c>
      <c r="K81" t="n">
        <v>0</v>
      </c>
      <c r="L81" t="n">
        <v>1</v>
      </c>
      <c r="M81" t="n">
        <v>0</v>
      </c>
      <c r="N81" t="n">
        <v>0</v>
      </c>
      <c r="O81" t="n">
        <v>0</v>
      </c>
      <c r="P81" t="n">
        <v>0</v>
      </c>
      <c r="Q81" t="n">
        <v>1</v>
      </c>
      <c r="R81" t="n">
        <v>0</v>
      </c>
      <c r="S81" t="n">
        <v>1</v>
      </c>
      <c r="T81" t="n">
        <v>1</v>
      </c>
      <c r="U81" s="2" t="inlineStr">
        <is>
          <t>Reliktbock</t>
        </is>
      </c>
      <c r="V81">
        <f>HYPERLINK("https://klasma.github.io/Logging_2510/artfynd/A 56343-2025 artfynd.xlsx", "A 56343-2025")</f>
        <v/>
      </c>
      <c r="W81">
        <f>HYPERLINK("https://klasma.github.io/Logging_2510/kartor/A 56343-2025 karta.png", "A 56343-2025")</f>
        <v/>
      </c>
      <c r="Y81">
        <f>HYPERLINK("https://klasma.github.io/Logging_2510/klagomål/A 56343-2025 FSC-klagomål.docx", "A 56343-2025")</f>
        <v/>
      </c>
      <c r="Z81">
        <f>HYPERLINK("https://klasma.github.io/Logging_2510/klagomålsmail/A 56343-2025 FSC-klagomål mail.docx", "A 56343-2025")</f>
        <v/>
      </c>
      <c r="AA81">
        <f>HYPERLINK("https://klasma.github.io/Logging_2510/tillsyn/A 56343-2025 tillsynsbegäran.docx", "A 56343-2025")</f>
        <v/>
      </c>
      <c r="AB81">
        <f>HYPERLINK("https://klasma.github.io/Logging_2510/tillsynsmail/A 56343-2025 tillsynsbegäran mail.docx", "A 56343-2025")</f>
        <v/>
      </c>
    </row>
    <row r="82" ht="15" customHeight="1">
      <c r="A82" t="inlineStr">
        <is>
          <t>A 58133-2025</t>
        </is>
      </c>
      <c r="B82" t="inlineStr">
        <is>
          <t>avverkningsanmälan</t>
        </is>
      </c>
      <c r="C82" t="inlineStr">
        <is>
          <t>Föryngringsavverkning</t>
        </is>
      </c>
      <c r="D82" s="1" t="n">
        <v>45982</v>
      </c>
      <c r="E82" s="1" t="n">
        <v>46217</v>
      </c>
      <c r="F82" t="inlineStr">
        <is>
          <t>NORRBOTTENS LÄN</t>
        </is>
      </c>
      <c r="G82" t="inlineStr">
        <is>
          <t>JOKKMOKK</t>
        </is>
      </c>
      <c r="H82" t="inlineStr">
        <is>
          <t>Sveaskog</t>
        </is>
      </c>
      <c r="I82" t="n">
        <v>1.2</v>
      </c>
      <c r="J82" t="n">
        <v>1</v>
      </c>
      <c r="K82" t="n">
        <v>0</v>
      </c>
      <c r="L82" t="n">
        <v>1</v>
      </c>
      <c r="M82" t="n">
        <v>0</v>
      </c>
      <c r="N82" t="n">
        <v>0</v>
      </c>
      <c r="O82" t="n">
        <v>0</v>
      </c>
      <c r="P82" t="n">
        <v>0</v>
      </c>
      <c r="Q82" t="n">
        <v>1</v>
      </c>
      <c r="R82" t="n">
        <v>0</v>
      </c>
      <c r="S82" t="n">
        <v>1</v>
      </c>
      <c r="T82" t="n">
        <v>1</v>
      </c>
      <c r="U82" s="2" t="inlineStr">
        <is>
          <t>Lavskrika</t>
        </is>
      </c>
      <c r="V82">
        <f>HYPERLINK("https://klasma.github.io/Logging_2510/artfynd/A 58133-2025 artfynd.xlsx", "A 58133-2025")</f>
        <v/>
      </c>
      <c r="W82">
        <f>HYPERLINK("https://klasma.github.io/Logging_2510/kartor/A 58133-2025 karta.png", "A 58133-2025")</f>
        <v/>
      </c>
      <c r="Y82">
        <f>HYPERLINK("https://klasma.github.io/Logging_2510/klagomål/A 58133-2025 FSC-klagomål.docx", "A 58133-2025")</f>
        <v/>
      </c>
      <c r="Z82">
        <f>HYPERLINK("https://klasma.github.io/Logging_2510/klagomålsmail/A 58133-2025 FSC-klagomål mail.docx", "A 58133-2025")</f>
        <v/>
      </c>
      <c r="AA82">
        <f>HYPERLINK("https://klasma.github.io/Logging_2510/tillsyn/A 58133-2025 tillsynsbegäran.docx", "A 58133-2025")</f>
        <v/>
      </c>
      <c r="AB82">
        <f>HYPERLINK("https://klasma.github.io/Logging_2510/tillsynsmail/A 58133-2025 tillsynsbegäran mail.docx", "A 58133-2025")</f>
        <v/>
      </c>
      <c r="AC82">
        <f>HYPERLINK("https://klasma.github.io/Logging_2510/fåglar/A 58133-2025 prioriterade fågelarter.docx", "A 58133-2025")</f>
        <v/>
      </c>
    </row>
    <row r="83" ht="15" customHeight="1">
      <c r="A83" t="inlineStr">
        <is>
          <t>A 58418-2025</t>
        </is>
      </c>
      <c r="B83" t="inlineStr">
        <is>
          <t>avverkningsanmälan</t>
        </is>
      </c>
      <c r="C83" t="inlineStr">
        <is>
          <t>Föryngringsavverkning</t>
        </is>
      </c>
      <c r="D83" s="1" t="n">
        <v>45985</v>
      </c>
      <c r="E83" s="1" t="n">
        <v>46217</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s="2" t="inlineStr">
        <is>
          <t>Lappranunkel</t>
        </is>
      </c>
      <c r="V83">
        <f>HYPERLINK("https://klasma.github.io/Logging_2510/artfynd/A 58418-2025 artfynd.xlsx", "A 58418-2025")</f>
        <v/>
      </c>
      <c r="W83">
        <f>HYPERLINK("https://klasma.github.io/Logging_2510/kartor/A 58418-2025 karta.png", "A 58418-2025")</f>
        <v/>
      </c>
      <c r="Y83">
        <f>HYPERLINK("https://klasma.github.io/Logging_2510/klagomål/A 58418-2025 FSC-klagomål.docx", "A 58418-2025")</f>
        <v/>
      </c>
      <c r="Z83">
        <f>HYPERLINK("https://klasma.github.io/Logging_2510/klagomålsmail/A 58418-2025 FSC-klagomål mail.docx", "A 58418-2025")</f>
        <v/>
      </c>
      <c r="AA83">
        <f>HYPERLINK("https://klasma.github.io/Logging_2510/tillsyn/A 58418-2025 tillsynsbegäran.docx", "A 58418-2025")</f>
        <v/>
      </c>
      <c r="AB83">
        <f>HYPERLINK("https://klasma.github.io/Logging_2510/tillsynsmail/A 58418-2025 tillsynsbegäran mail.docx", "A 58418-2025")</f>
        <v/>
      </c>
    </row>
    <row r="84" ht="15" customHeight="1">
      <c r="A84" t="inlineStr">
        <is>
          <t>A 28544-2026</t>
        </is>
      </c>
      <c r="B84" t="inlineStr">
        <is>
          <t>avverkningsanmälan</t>
        </is>
      </c>
      <c r="C84" t="inlineStr">
        <is>
          <t>Föryngringsavverkning</t>
        </is>
      </c>
      <c r="D84" s="1" t="n">
        <v>46197</v>
      </c>
      <c r="E84" s="1" t="n">
        <v>46217</v>
      </c>
      <c r="F84" t="inlineStr">
        <is>
          <t>NORRBOTTENS LÄN</t>
        </is>
      </c>
      <c r="G84" t="inlineStr">
        <is>
          <t>JOKKMOKK</t>
        </is>
      </c>
      <c r="H84" t="inlineStr">
        <is>
          <t>Sveaskog</t>
        </is>
      </c>
      <c r="I84" t="n">
        <v>1.2</v>
      </c>
      <c r="J84" t="n">
        <v>0</v>
      </c>
      <c r="K84" t="n">
        <v>1</v>
      </c>
      <c r="L84" t="n">
        <v>0</v>
      </c>
      <c r="M84" t="n">
        <v>0</v>
      </c>
      <c r="N84" t="n">
        <v>0</v>
      </c>
      <c r="O84" t="n">
        <v>0</v>
      </c>
      <c r="P84" t="n">
        <v>0</v>
      </c>
      <c r="Q84" t="n">
        <v>0</v>
      </c>
      <c r="R84" t="n">
        <v>0</v>
      </c>
      <c r="S84" t="n">
        <v>1</v>
      </c>
      <c r="T84" t="n">
        <v>1</v>
      </c>
      <c r="U84" s="2" t="inlineStr">
        <is>
          <t>Tibast</t>
        </is>
      </c>
      <c r="V84">
        <f>HYPERLINK("https://klasma.github.io/Logging_2510/artfynd/A 28544-2026 artfynd.xlsx", "A 28544-2026")</f>
        <v/>
      </c>
      <c r="W84">
        <f>HYPERLINK("https://klasma.github.io/Logging_2510/kartor/A 28544-2026 karta.png", "A 28544-2026")</f>
        <v/>
      </c>
      <c r="Y84">
        <f>HYPERLINK("https://klasma.github.io/Logging_2510/klagomål/A 28544-2026 FSC-klagomål.docx", "A 28544-2026")</f>
        <v/>
      </c>
      <c r="Z84">
        <f>HYPERLINK("https://klasma.github.io/Logging_2510/klagomålsmail/A 28544-2026 FSC-klagomål mail.docx", "A 28544-2026")</f>
        <v/>
      </c>
      <c r="AA84">
        <f>HYPERLINK("https://klasma.github.io/Logging_2510/tillsyn/A 28544-2026 tillsynsbegäran.docx", "A 28544-2026")</f>
        <v/>
      </c>
      <c r="AB84">
        <f>HYPERLINK("https://klasma.github.io/Logging_2510/tillsynsmail/A 28544-2026 tillsynsbegäran mail.docx", "A 28544-2026")</f>
        <v/>
      </c>
    </row>
    <row r="85" ht="15" customHeight="1">
      <c r="A85" t="inlineStr">
        <is>
          <t>A 388-2026</t>
        </is>
      </c>
      <c r="B85" t="inlineStr">
        <is>
          <t>avverkningsanmälan</t>
        </is>
      </c>
      <c r="C85" t="inlineStr">
        <is>
          <t>Föryngringsavverkning</t>
        </is>
      </c>
      <c r="D85" s="1" t="n">
        <v>46027</v>
      </c>
      <c r="E85" s="1" t="n">
        <v>46217</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s="2" t="inlineStr">
        <is>
          <t>Norna</t>
        </is>
      </c>
      <c r="V85">
        <f>HYPERLINK("https://klasma.github.io/Logging_2510/artfynd/A 388-2026 artfynd.xlsx", "A 388-2026")</f>
        <v/>
      </c>
      <c r="W85">
        <f>HYPERLINK("https://klasma.github.io/Logging_2510/kartor/A 388-2026 karta.png", "A 388-2026")</f>
        <v/>
      </c>
      <c r="Y85">
        <f>HYPERLINK("https://klasma.github.io/Logging_2510/klagomål/A 388-2026 FSC-klagomål.docx", "A 388-2026")</f>
        <v/>
      </c>
      <c r="Z85">
        <f>HYPERLINK("https://klasma.github.io/Logging_2510/klagomålsmail/A 388-2026 FSC-klagomål mail.docx", "A 388-2026")</f>
        <v/>
      </c>
      <c r="AA85">
        <f>HYPERLINK("https://klasma.github.io/Logging_2510/tillsyn/A 388-2026 tillsynsbegäran.docx", "A 388-2026")</f>
        <v/>
      </c>
      <c r="AB85">
        <f>HYPERLINK("https://klasma.github.io/Logging_2510/tillsynsmail/A 388-2026 tillsynsbegäran mail.docx", "A 388-2026")</f>
        <v/>
      </c>
    </row>
    <row r="86" ht="15" customHeight="1">
      <c r="A86" t="inlineStr">
        <is>
          <t>A 28562-2026</t>
        </is>
      </c>
      <c r="B86" t="inlineStr">
        <is>
          <t>avverkningsanmälan</t>
        </is>
      </c>
      <c r="C86" t="inlineStr">
        <is>
          <t>Föryngringsavverkning</t>
        </is>
      </c>
      <c r="D86" s="1" t="n">
        <v>46197</v>
      </c>
      <c r="E86" s="1" t="n">
        <v>46217</v>
      </c>
      <c r="F86" t="inlineStr">
        <is>
          <t>NORRBOTTENS LÄN</t>
        </is>
      </c>
      <c r="G86" t="inlineStr">
        <is>
          <t>JOKKMOKK</t>
        </is>
      </c>
      <c r="H86" t="inlineStr">
        <is>
          <t>Sveaskog</t>
        </is>
      </c>
      <c r="I86" t="n">
        <v>1.2</v>
      </c>
      <c r="J86" t="n">
        <v>0</v>
      </c>
      <c r="K86" t="n">
        <v>1</v>
      </c>
      <c r="L86" t="n">
        <v>0</v>
      </c>
      <c r="M86" t="n">
        <v>0</v>
      </c>
      <c r="N86" t="n">
        <v>0</v>
      </c>
      <c r="O86" t="n">
        <v>0</v>
      </c>
      <c r="P86" t="n">
        <v>0</v>
      </c>
      <c r="Q86" t="n">
        <v>0</v>
      </c>
      <c r="R86" t="n">
        <v>0</v>
      </c>
      <c r="S86" t="n">
        <v>1</v>
      </c>
      <c r="T86" t="n">
        <v>1</v>
      </c>
      <c r="U86" s="2" t="inlineStr">
        <is>
          <t>Tibast</t>
        </is>
      </c>
      <c r="V86">
        <f>HYPERLINK("https://klasma.github.io/Logging_2510/artfynd/A 28562-2026 artfynd.xlsx", "A 28562-2026")</f>
        <v/>
      </c>
      <c r="W86">
        <f>HYPERLINK("https://klasma.github.io/Logging_2510/kartor/A 28562-2026 karta.png", "A 28562-2026")</f>
        <v/>
      </c>
      <c r="Y86">
        <f>HYPERLINK("https://klasma.github.io/Logging_2510/klagomål/A 28562-2026 FSC-klagomål.docx", "A 28562-2026")</f>
        <v/>
      </c>
      <c r="Z86">
        <f>HYPERLINK("https://klasma.github.io/Logging_2510/klagomålsmail/A 28562-2026 FSC-klagomål mail.docx", "A 28562-2026")</f>
        <v/>
      </c>
      <c r="AA86">
        <f>HYPERLINK("https://klasma.github.io/Logging_2510/tillsyn/A 28562-2026 tillsynsbegäran.docx", "A 28562-2026")</f>
        <v/>
      </c>
      <c r="AB86">
        <f>HYPERLINK("https://klasma.github.io/Logging_2510/tillsynsmail/A 28562-2026 tillsynsbegäran mail.docx", "A 28562-2026")</f>
        <v/>
      </c>
    </row>
    <row r="87" ht="15" customHeight="1">
      <c r="A87" t="inlineStr">
        <is>
          <t>A 28987-2026</t>
        </is>
      </c>
      <c r="B87" t="inlineStr">
        <is>
          <t>avverkningsanmälan</t>
        </is>
      </c>
      <c r="C87" t="inlineStr">
        <is>
          <t>Föryngringsavverkning</t>
        </is>
      </c>
      <c r="D87" s="1" t="n">
        <v>46199</v>
      </c>
      <c r="E87" s="1" t="n">
        <v>46217</v>
      </c>
      <c r="F87" t="inlineStr">
        <is>
          <t>NORRBOTTENS LÄN</t>
        </is>
      </c>
      <c r="G87" t="inlineStr">
        <is>
          <t>JOKKMOKK</t>
        </is>
      </c>
      <c r="H87" t="inlineStr">
        <is>
          <t>SCA</t>
        </is>
      </c>
      <c r="I87" t="n">
        <v>3.2</v>
      </c>
      <c r="J87" t="n">
        <v>1</v>
      </c>
      <c r="K87" t="n">
        <v>0</v>
      </c>
      <c r="L87" t="n">
        <v>1</v>
      </c>
      <c r="M87" t="n">
        <v>0</v>
      </c>
      <c r="N87" t="n">
        <v>0</v>
      </c>
      <c r="O87" t="n">
        <v>0</v>
      </c>
      <c r="P87" t="n">
        <v>0</v>
      </c>
      <c r="Q87" t="n">
        <v>1</v>
      </c>
      <c r="R87" t="n">
        <v>0</v>
      </c>
      <c r="S87" t="n">
        <v>1</v>
      </c>
      <c r="T87" t="n">
        <v>1</v>
      </c>
      <c r="U87" s="2" t="inlineStr">
        <is>
          <t>Nordfladdermus</t>
        </is>
      </c>
      <c r="V87">
        <f>HYPERLINK("https://klasma.github.io/Logging_2510/artfynd/A 28987-2026 artfynd.xlsx", "A 28987-2026")</f>
        <v/>
      </c>
      <c r="W87">
        <f>HYPERLINK("https://klasma.github.io/Logging_2510/kartor/A 28987-2026 karta.png", "A 28987-2026")</f>
        <v/>
      </c>
      <c r="Y87">
        <f>HYPERLINK("https://klasma.github.io/Logging_2510/klagomål/A 28987-2026 FSC-klagomål.docx", "A 28987-2026")</f>
        <v/>
      </c>
      <c r="Z87">
        <f>HYPERLINK("https://klasma.github.io/Logging_2510/klagomålsmail/A 28987-2026 FSC-klagomål mail.docx", "A 28987-2026")</f>
        <v/>
      </c>
      <c r="AA87">
        <f>HYPERLINK("https://klasma.github.io/Logging_2510/tillsyn/A 28987-2026 tillsynsbegäran.docx", "A 28987-2026")</f>
        <v/>
      </c>
      <c r="AB87">
        <f>HYPERLINK("https://klasma.github.io/Logging_2510/tillsynsmail/A 28987-2026 tillsynsbegäran mail.docx", "A 28987-2026")</f>
        <v/>
      </c>
    </row>
    <row r="88" ht="15" customHeight="1">
      <c r="A88" t="inlineStr">
        <is>
          <t>A 44147-2024</t>
        </is>
      </c>
      <c r="B88" t="inlineStr">
        <is>
          <t>avverkningsanmälan</t>
        </is>
      </c>
      <c r="C88" t="inlineStr">
        <is>
          <t>Föryngringsavverkning</t>
        </is>
      </c>
      <c r="D88" s="1" t="n">
        <v>45572</v>
      </c>
      <c r="E88" s="1" t="n">
        <v>46217</v>
      </c>
      <c r="F88" t="inlineStr">
        <is>
          <t>NORRBOTTENS LÄN</t>
        </is>
      </c>
      <c r="G88" t="inlineStr">
        <is>
          <t>JOKKMOKK</t>
        </is>
      </c>
      <c r="H88" t="inlineStr">
        <is>
          <t>Sveaskog</t>
        </is>
      </c>
      <c r="I88" t="n">
        <v>6.2</v>
      </c>
      <c r="J88" t="n">
        <v>1</v>
      </c>
      <c r="K88" t="n">
        <v>1</v>
      </c>
      <c r="L88" t="n">
        <v>0</v>
      </c>
      <c r="M88" t="n">
        <v>0</v>
      </c>
      <c r="N88" t="n">
        <v>0</v>
      </c>
      <c r="O88" t="n">
        <v>0</v>
      </c>
      <c r="P88" t="n">
        <v>0</v>
      </c>
      <c r="Q88" t="n">
        <v>0</v>
      </c>
      <c r="R88" t="n">
        <v>0</v>
      </c>
      <c r="S88" t="n">
        <v>1</v>
      </c>
      <c r="T88" t="n">
        <v>1</v>
      </c>
      <c r="U88" s="2" t="inlineStr">
        <is>
          <t>Plattlummer</t>
        </is>
      </c>
      <c r="V88">
        <f>HYPERLINK("https://klasma.github.io/Logging_2510/artfynd/A 44147-2024 artfynd.xlsx", "A 44147-2024")</f>
        <v/>
      </c>
      <c r="W88">
        <f>HYPERLINK("https://klasma.github.io/Logging_2510/kartor/A 44147-2024 karta.png", "A 44147-2024")</f>
        <v/>
      </c>
      <c r="Y88">
        <f>HYPERLINK("https://klasma.github.io/Logging_2510/klagomål/A 44147-2024 FSC-klagomål.docx", "A 44147-2024")</f>
        <v/>
      </c>
      <c r="Z88">
        <f>HYPERLINK("https://klasma.github.io/Logging_2510/klagomålsmail/A 44147-2024 FSC-klagomål mail.docx", "A 44147-2024")</f>
        <v/>
      </c>
      <c r="AA88">
        <f>HYPERLINK("https://klasma.github.io/Logging_2510/tillsyn/A 44147-2024 tillsynsbegäran.docx", "A 44147-2024")</f>
        <v/>
      </c>
      <c r="AB88">
        <f>HYPERLINK("https://klasma.github.io/Logging_2510/tillsynsmail/A 44147-2024 tillsynsbegäran mail.docx", "A 44147-2024")</f>
        <v/>
      </c>
    </row>
    <row r="89" ht="15" customHeight="1">
      <c r="A89" t="inlineStr">
        <is>
          <t>A 52260-2024</t>
        </is>
      </c>
      <c r="B89" t="inlineStr">
        <is>
          <t>avverkningsanmälan</t>
        </is>
      </c>
      <c r="C89" t="inlineStr">
        <is>
          <t>Föryngringsavverkning</t>
        </is>
      </c>
      <c r="D89" s="1" t="n">
        <v>45608</v>
      </c>
      <c r="E89" s="1" t="n">
        <v>46217</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s="2" t="inlineStr">
        <is>
          <t>Tallticka</t>
        </is>
      </c>
      <c r="V89">
        <f>HYPERLINK("https://klasma.github.io/Logging_2510/artfynd/A 52260-2024 artfynd.xlsx", "A 52260-2024")</f>
        <v/>
      </c>
      <c r="W89">
        <f>HYPERLINK("https://klasma.github.io/Logging_2510/kartor/A 52260-2024 karta.png", "A 52260-2024")</f>
        <v/>
      </c>
      <c r="Y89">
        <f>HYPERLINK("https://klasma.github.io/Logging_2510/klagomål/A 52260-2024 FSC-klagomål.docx", "A 52260-2024")</f>
        <v/>
      </c>
      <c r="Z89">
        <f>HYPERLINK("https://klasma.github.io/Logging_2510/klagomålsmail/A 52260-2024 FSC-klagomål mail.docx", "A 52260-2024")</f>
        <v/>
      </c>
      <c r="AA89">
        <f>HYPERLINK("https://klasma.github.io/Logging_2510/tillsyn/A 52260-2024 tillsynsbegäran.docx", "A 52260-2024")</f>
        <v/>
      </c>
      <c r="AB89">
        <f>HYPERLINK("https://klasma.github.io/Logging_2510/tillsynsmail/A 52260-2024 tillsynsbegäran mail.docx", "A 52260-2024")</f>
        <v/>
      </c>
    </row>
    <row r="90" ht="15" customHeight="1">
      <c r="A90" t="inlineStr">
        <is>
          <t>A 24746-2025</t>
        </is>
      </c>
      <c r="B90" t="inlineStr">
        <is>
          <t>avverkningsanmälan</t>
        </is>
      </c>
      <c r="C90" t="inlineStr">
        <is>
          <t>Föryngringsavverkning</t>
        </is>
      </c>
      <c r="D90" s="1" t="n">
        <v>45799</v>
      </c>
      <c r="E90" s="1" t="n">
        <v>46217</v>
      </c>
      <c r="F90" t="inlineStr">
        <is>
          <t>NORRBOTTENS LÄN</t>
        </is>
      </c>
      <c r="G90" t="inlineStr">
        <is>
          <t>JOKKMOKK</t>
        </is>
      </c>
      <c r="H90" t="inlineStr">
        <is>
          <t>SCA</t>
        </is>
      </c>
      <c r="I90" t="n">
        <v>6.1</v>
      </c>
      <c r="J90" t="n">
        <v>1</v>
      </c>
      <c r="K90" t="n">
        <v>0</v>
      </c>
      <c r="L90" t="n">
        <v>1</v>
      </c>
      <c r="M90" t="n">
        <v>0</v>
      </c>
      <c r="N90" t="n">
        <v>0</v>
      </c>
      <c r="O90" t="n">
        <v>0</v>
      </c>
      <c r="P90" t="n">
        <v>0</v>
      </c>
      <c r="Q90" t="n">
        <v>1</v>
      </c>
      <c r="R90" t="n">
        <v>0</v>
      </c>
      <c r="S90" t="n">
        <v>1</v>
      </c>
      <c r="T90" t="n">
        <v>1</v>
      </c>
      <c r="U90" s="2" t="inlineStr">
        <is>
          <t>Tretåig hackspett</t>
        </is>
      </c>
      <c r="V90">
        <f>HYPERLINK("https://klasma.github.io/Logging_2510/artfynd/A 24746-2025 artfynd.xlsx", "A 24746-2025")</f>
        <v/>
      </c>
      <c r="W90">
        <f>HYPERLINK("https://klasma.github.io/Logging_2510/kartor/A 24746-2025 karta.png", "A 24746-2025")</f>
        <v/>
      </c>
      <c r="Y90">
        <f>HYPERLINK("https://klasma.github.io/Logging_2510/klagomål/A 24746-2025 FSC-klagomål.docx", "A 24746-2025")</f>
        <v/>
      </c>
      <c r="Z90">
        <f>HYPERLINK("https://klasma.github.io/Logging_2510/klagomålsmail/A 24746-2025 FSC-klagomål mail.docx", "A 24746-2025")</f>
        <v/>
      </c>
      <c r="AA90">
        <f>HYPERLINK("https://klasma.github.io/Logging_2510/tillsyn/A 24746-2025 tillsynsbegäran.docx", "A 24746-2025")</f>
        <v/>
      </c>
      <c r="AB90">
        <f>HYPERLINK("https://klasma.github.io/Logging_2510/tillsynsmail/A 24746-2025 tillsynsbegäran mail.docx", "A 24746-2025")</f>
        <v/>
      </c>
      <c r="AC90">
        <f>HYPERLINK("https://klasma.github.io/Logging_2510/fåglar/A 24746-2025 prioriterade fågelarter.docx", "A 24746-2025")</f>
        <v/>
      </c>
    </row>
    <row r="91" ht="15" customHeight="1">
      <c r="A91" t="inlineStr">
        <is>
          <t>A 28591-2025</t>
        </is>
      </c>
      <c r="B91" t="inlineStr">
        <is>
          <t>avverkningsanmälan</t>
        </is>
      </c>
      <c r="C91" t="inlineStr">
        <is>
          <t>Föryngringsavverkning</t>
        </is>
      </c>
      <c r="D91" s="1" t="n">
        <v>45819</v>
      </c>
      <c r="E91" s="1" t="n">
        <v>46217</v>
      </c>
      <c r="F91" t="inlineStr">
        <is>
          <t>NORRBOTTENS LÄN</t>
        </is>
      </c>
      <c r="G91" t="inlineStr">
        <is>
          <t>JOKKMOKK</t>
        </is>
      </c>
      <c r="H91" t="inlineStr">
        <is>
          <t>Sveaskog</t>
        </is>
      </c>
      <c r="I91" t="n">
        <v>11.9</v>
      </c>
      <c r="J91" t="n">
        <v>0</v>
      </c>
      <c r="K91" t="n">
        <v>0</v>
      </c>
      <c r="L91" t="n">
        <v>1</v>
      </c>
      <c r="M91" t="n">
        <v>0</v>
      </c>
      <c r="N91" t="n">
        <v>0</v>
      </c>
      <c r="O91" t="n">
        <v>0</v>
      </c>
      <c r="P91" t="n">
        <v>0</v>
      </c>
      <c r="Q91" t="n">
        <v>1</v>
      </c>
      <c r="R91" t="n">
        <v>0</v>
      </c>
      <c r="S91" t="n">
        <v>1</v>
      </c>
      <c r="T91" t="n">
        <v>1</v>
      </c>
      <c r="U91" s="2" t="inlineStr">
        <is>
          <t>Dropptaggsvamp</t>
        </is>
      </c>
      <c r="V91">
        <f>HYPERLINK("https://klasma.github.io/Logging_2510/artfynd/A 28591-2025 artfynd.xlsx", "A 28591-2025")</f>
        <v/>
      </c>
      <c r="W91">
        <f>HYPERLINK("https://klasma.github.io/Logging_2510/kartor/A 28591-2025 karta.png", "A 28591-2025")</f>
        <v/>
      </c>
      <c r="Y91">
        <f>HYPERLINK("https://klasma.github.io/Logging_2510/klagomål/A 28591-2025 FSC-klagomål.docx", "A 28591-2025")</f>
        <v/>
      </c>
      <c r="Z91">
        <f>HYPERLINK("https://klasma.github.io/Logging_2510/klagomålsmail/A 28591-2025 FSC-klagomål mail.docx", "A 28591-2025")</f>
        <v/>
      </c>
      <c r="AA91">
        <f>HYPERLINK("https://klasma.github.io/Logging_2510/tillsyn/A 28591-2025 tillsynsbegäran.docx", "A 28591-2025")</f>
        <v/>
      </c>
      <c r="AB91">
        <f>HYPERLINK("https://klasma.github.io/Logging_2510/tillsynsmail/A 28591-2025 tillsynsbegäran mail.docx", "A 28591-2025")</f>
        <v/>
      </c>
    </row>
    <row r="92" ht="15" customHeight="1">
      <c r="A92" t="inlineStr">
        <is>
          <t>A 29859-2025</t>
        </is>
      </c>
      <c r="B92" t="inlineStr">
        <is>
          <t>avverkningsanmälan</t>
        </is>
      </c>
      <c r="C92" t="inlineStr">
        <is>
          <t>Föryngringsavverkning</t>
        </is>
      </c>
      <c r="D92" s="1" t="n">
        <v>45826</v>
      </c>
      <c r="E92" s="1" t="n">
        <v>46217</v>
      </c>
      <c r="F92" t="inlineStr">
        <is>
          <t>NORRBOTTENS LÄN</t>
        </is>
      </c>
      <c r="G92" t="inlineStr">
        <is>
          <t>JOKKMOKK</t>
        </is>
      </c>
      <c r="H92" t="inlineStr">
        <is>
          <t>SCA</t>
        </is>
      </c>
      <c r="I92" t="n">
        <v>2.9</v>
      </c>
      <c r="J92" t="n">
        <v>0</v>
      </c>
      <c r="K92" t="n">
        <v>0</v>
      </c>
      <c r="L92" t="n">
        <v>0</v>
      </c>
      <c r="M92" t="n">
        <v>1</v>
      </c>
      <c r="N92" t="n">
        <v>0</v>
      </c>
      <c r="O92" t="n">
        <v>0</v>
      </c>
      <c r="P92" t="n">
        <v>0</v>
      </c>
      <c r="Q92" t="n">
        <v>1</v>
      </c>
      <c r="R92" t="n">
        <v>1</v>
      </c>
      <c r="S92" t="n">
        <v>1</v>
      </c>
      <c r="T92" t="n">
        <v>1</v>
      </c>
      <c r="U92" s="2" t="inlineStr">
        <is>
          <t>Tallgråticka</t>
        </is>
      </c>
      <c r="V92">
        <f>HYPERLINK("https://klasma.github.io/Logging_2510/artfynd/A 29859-2025 artfynd.xlsx", "A 29859-2025")</f>
        <v/>
      </c>
      <c r="W92">
        <f>HYPERLINK("https://klasma.github.io/Logging_2510/kartor/A 29859-2025 karta.png", "A 29859-2025")</f>
        <v/>
      </c>
      <c r="Y92">
        <f>HYPERLINK("https://klasma.github.io/Logging_2510/klagomål/A 29859-2025 FSC-klagomål.docx", "A 29859-2025")</f>
        <v/>
      </c>
      <c r="Z92">
        <f>HYPERLINK("https://klasma.github.io/Logging_2510/klagomålsmail/A 29859-2025 FSC-klagomål mail.docx", "A 29859-2025")</f>
        <v/>
      </c>
      <c r="AA92">
        <f>HYPERLINK("https://klasma.github.io/Logging_2510/tillsyn/A 29859-2025 tillsynsbegäran.docx", "A 29859-2025")</f>
        <v/>
      </c>
      <c r="AB92">
        <f>HYPERLINK("https://klasma.github.io/Logging_2510/tillsynsmail/A 29859-2025 tillsynsbegäran mail.docx", "A 29859-2025")</f>
        <v/>
      </c>
    </row>
    <row r="93" ht="15" customHeight="1">
      <c r="A93" t="inlineStr">
        <is>
          <t>A 32669-2025</t>
        </is>
      </c>
      <c r="B93" t="inlineStr">
        <is>
          <t>avverkningsanmälan</t>
        </is>
      </c>
      <c r="C93" t="inlineStr">
        <is>
          <t>Föryngringsavverkning</t>
        </is>
      </c>
      <c r="D93" s="1" t="n">
        <v>45838</v>
      </c>
      <c r="E93" s="1" t="n">
        <v>46217</v>
      </c>
      <c r="F93" t="inlineStr">
        <is>
          <t>NORRBOTTENS LÄN</t>
        </is>
      </c>
      <c r="G93" t="inlineStr">
        <is>
          <t>JOKKMOKK</t>
        </is>
      </c>
      <c r="H93" t="inlineStr">
        <is>
          <t>Sveaskog</t>
        </is>
      </c>
      <c r="I93" t="n">
        <v>14.6</v>
      </c>
      <c r="J93" t="n">
        <v>1</v>
      </c>
      <c r="K93" t="n">
        <v>1</v>
      </c>
      <c r="L93" t="n">
        <v>0</v>
      </c>
      <c r="M93" t="n">
        <v>0</v>
      </c>
      <c r="N93" t="n">
        <v>0</v>
      </c>
      <c r="O93" t="n">
        <v>0</v>
      </c>
      <c r="P93" t="n">
        <v>0</v>
      </c>
      <c r="Q93" t="n">
        <v>0</v>
      </c>
      <c r="R93" t="n">
        <v>0</v>
      </c>
      <c r="S93" t="n">
        <v>1</v>
      </c>
      <c r="T93" t="n">
        <v>1</v>
      </c>
      <c r="U93" s="2" t="inlineStr">
        <is>
          <t>Plattlummer</t>
        </is>
      </c>
      <c r="V93">
        <f>HYPERLINK("https://klasma.github.io/Logging_2510/artfynd/A 32669-2025 artfynd.xlsx", "A 32669-2025")</f>
        <v/>
      </c>
      <c r="W93">
        <f>HYPERLINK("https://klasma.github.io/Logging_2510/kartor/A 32669-2025 karta.png", "A 32669-2025")</f>
        <v/>
      </c>
      <c r="Y93">
        <f>HYPERLINK("https://klasma.github.io/Logging_2510/klagomål/A 32669-2025 FSC-klagomål.docx", "A 32669-2025")</f>
        <v/>
      </c>
      <c r="Z93">
        <f>HYPERLINK("https://klasma.github.io/Logging_2510/klagomålsmail/A 32669-2025 FSC-klagomål mail.docx", "A 32669-2025")</f>
        <v/>
      </c>
      <c r="AA93">
        <f>HYPERLINK("https://klasma.github.io/Logging_2510/tillsyn/A 32669-2025 tillsynsbegäran.docx", "A 32669-2025")</f>
        <v/>
      </c>
      <c r="AB93">
        <f>HYPERLINK("https://klasma.github.io/Logging_2510/tillsynsmail/A 32669-2025 tillsynsbegäran mail.docx", "A 32669-2025")</f>
        <v/>
      </c>
    </row>
    <row r="94" ht="15" customHeight="1">
      <c r="A94" t="inlineStr">
        <is>
          <t>S 530-2023</t>
        </is>
      </c>
      <c r="B94" t="inlineStr">
        <is>
          <t>samrådsanmälan</t>
        </is>
      </c>
      <c r="C94" t="inlineStr">
        <is>
          <t>Skogsgödsling</t>
        </is>
      </c>
      <c r="D94" s="1" t="n">
        <v>44967</v>
      </c>
      <c r="E94" s="1" t="n">
        <v>46217</v>
      </c>
      <c r="F94" t="inlineStr">
        <is>
          <t>NORRBOTTENS LÄN</t>
        </is>
      </c>
      <c r="G94" t="inlineStr">
        <is>
          <t>JOKKMOKK</t>
        </is>
      </c>
      <c r="H94" t="inlineStr">
        <is>
          <t>SCA</t>
        </is>
      </c>
      <c r="I94" t="n">
        <v>142.9</v>
      </c>
      <c r="J94" t="n">
        <v>1</v>
      </c>
      <c r="K94" t="n">
        <v>0</v>
      </c>
      <c r="L94" t="n">
        <v>0</v>
      </c>
      <c r="M94" t="n">
        <v>0</v>
      </c>
      <c r="N94" t="n">
        <v>0</v>
      </c>
      <c r="O94" t="n">
        <v>0</v>
      </c>
      <c r="P94" t="n">
        <v>0</v>
      </c>
      <c r="Q94" t="n">
        <v>0</v>
      </c>
      <c r="R94" t="n">
        <v>0</v>
      </c>
      <c r="S94" t="n">
        <v>1</v>
      </c>
      <c r="T94" t="n">
        <v>1</v>
      </c>
      <c r="U94" s="2" t="inlineStr">
        <is>
          <t>Revlummer</t>
        </is>
      </c>
      <c r="V94">
        <f>HYPERLINK("https://klasma.github.io/Logging_2510/artfynd/S 530-2023 artfynd.xlsx", "S 530-2023")</f>
        <v/>
      </c>
      <c r="W94">
        <f>HYPERLINK("https://klasma.github.io/Logging_2510/kartor/S 530-2023 karta.png", "S 530-2023")</f>
        <v/>
      </c>
      <c r="Y94">
        <f>HYPERLINK("https://klasma.github.io/Logging_2510/klagomål/S 530-2023 FSC-klagomål.docx", "S 530-2023")</f>
        <v/>
      </c>
      <c r="Z94">
        <f>HYPERLINK("https://klasma.github.io/Logging_2510/klagomålsmail/S 530-2023 FSC-klagomål mail.docx", "S 530-2023")</f>
        <v/>
      </c>
      <c r="AA94">
        <f>HYPERLINK("https://klasma.github.io/Logging_2510/tillsyn/S 530-2023 tillsynsbegäran.docx", "S 530-2023")</f>
        <v/>
      </c>
      <c r="AB94">
        <f>HYPERLINK("https://klasma.github.io/Logging_2510/tillsynsmail/S 530-2023 tillsynsbegäran mail.docx", "S 530-2023")</f>
        <v/>
      </c>
    </row>
    <row r="95" ht="15" customHeight="1">
      <c r="A95" t="inlineStr">
        <is>
          <t>S 683-2024</t>
        </is>
      </c>
      <c r="B95" t="inlineStr">
        <is>
          <t>samrådsanmälan</t>
        </is>
      </c>
      <c r="C95" t="inlineStr">
        <is>
          <t>Skogsgödsling</t>
        </is>
      </c>
      <c r="D95" s="1" t="n">
        <v>45358</v>
      </c>
      <c r="E95" s="1" t="n">
        <v>46217</v>
      </c>
      <c r="F95" t="inlineStr">
        <is>
          <t>NORRBOTTENS LÄN</t>
        </is>
      </c>
      <c r="G95" t="inlineStr">
        <is>
          <t>JOKKMOKK</t>
        </is>
      </c>
      <c r="I95" t="n">
        <v>26.9</v>
      </c>
      <c r="J95" t="n">
        <v>0</v>
      </c>
      <c r="K95" t="n">
        <v>0</v>
      </c>
      <c r="L95" t="n">
        <v>1</v>
      </c>
      <c r="M95" t="n">
        <v>0</v>
      </c>
      <c r="N95" t="n">
        <v>0</v>
      </c>
      <c r="O95" t="n">
        <v>0</v>
      </c>
      <c r="P95" t="n">
        <v>0</v>
      </c>
      <c r="Q95" t="n">
        <v>1</v>
      </c>
      <c r="R95" t="n">
        <v>0</v>
      </c>
      <c r="S95" t="n">
        <v>1</v>
      </c>
      <c r="T95" t="n">
        <v>1</v>
      </c>
      <c r="U95" s="2" t="inlineStr">
        <is>
          <t>Knottrig blåslav</t>
        </is>
      </c>
      <c r="V95">
        <f>HYPERLINK("https://klasma.github.io/Logging_2510/artfynd/S 683-2024 artfynd.xlsx", "S 683-2024")</f>
        <v/>
      </c>
      <c r="W95">
        <f>HYPERLINK("https://klasma.github.io/Logging_2510/kartor/S 683-2024 karta.png", "S 683-2024")</f>
        <v/>
      </c>
      <c r="Y95">
        <f>HYPERLINK("https://klasma.github.io/Logging_2510/klagomål/S 683-2024 FSC-klagomål.docx", "S 683-2024")</f>
        <v/>
      </c>
      <c r="Z95">
        <f>HYPERLINK("https://klasma.github.io/Logging_2510/klagomålsmail/S 683-2024 FSC-klagomål mail.docx", "S 683-2024")</f>
        <v/>
      </c>
      <c r="AA95">
        <f>HYPERLINK("https://klasma.github.io/Logging_2510/tillsyn/S 683-2024 tillsynsbegäran.docx", "S 683-2024")</f>
        <v/>
      </c>
      <c r="AB95">
        <f>HYPERLINK("https://klasma.github.io/Logging_2510/tillsynsmail/S 683-2024 tillsynsbegäran mail.docx", "S 683-2024")</f>
        <v/>
      </c>
    </row>
    <row r="96" ht="15" customHeight="1">
      <c r="A96" t="inlineStr">
        <is>
          <t>A 38039-2021</t>
        </is>
      </c>
      <c r="B96" t="inlineStr">
        <is>
          <t>avverkningsanmälan</t>
        </is>
      </c>
      <c r="C96" t="inlineStr">
        <is>
          <t>Föryngringsavverkning</t>
        </is>
      </c>
      <c r="D96" s="1" t="n">
        <v>44404</v>
      </c>
      <c r="E96" s="1" t="n">
        <v>46217</v>
      </c>
      <c r="F96" t="inlineStr">
        <is>
          <t>NORRBOTTENS LÄN</t>
        </is>
      </c>
      <c r="G96" t="inlineStr">
        <is>
          <t>JOKKMOKK</t>
        </is>
      </c>
      <c r="H96" t="inlineStr">
        <is>
          <t>Sveaskog</t>
        </is>
      </c>
      <c r="I96" t="n">
        <v>1.2</v>
      </c>
      <c r="J96" t="n">
        <v>0</v>
      </c>
      <c r="K96" t="n">
        <v>0</v>
      </c>
      <c r="L96" t="n">
        <v>0</v>
      </c>
      <c r="M96" t="n">
        <v>0</v>
      </c>
      <c r="N96" t="n">
        <v>0</v>
      </c>
      <c r="O96" t="n">
        <v>0</v>
      </c>
      <c r="P96" t="n">
        <v>0</v>
      </c>
      <c r="Q96" t="n">
        <v>0</v>
      </c>
      <c r="R96" t="n">
        <v>0</v>
      </c>
      <c r="S96" t="n">
        <v>0</v>
      </c>
      <c r="T96" t="n">
        <v>0</v>
      </c>
      <c r="U96" s="2" t="inlineStr"/>
    </row>
    <row r="97" ht="15" customHeight="1">
      <c r="A97" t="inlineStr">
        <is>
          <t>A 17000-2022</t>
        </is>
      </c>
      <c r="B97" t="inlineStr">
        <is>
          <t>avverkningsanmälan</t>
        </is>
      </c>
      <c r="C97" t="inlineStr">
        <is>
          <t>Föryngringsavverkning</t>
        </is>
      </c>
      <c r="D97" s="1" t="n">
        <v>44676</v>
      </c>
      <c r="E97" s="1" t="n">
        <v>46217</v>
      </c>
      <c r="F97" t="inlineStr">
        <is>
          <t>NORRBOTTENS LÄN</t>
        </is>
      </c>
      <c r="G97" t="inlineStr">
        <is>
          <t>JOKKMOKK</t>
        </is>
      </c>
      <c r="I97" t="n">
        <v>36.6</v>
      </c>
      <c r="J97" t="n">
        <v>0</v>
      </c>
      <c r="K97" t="n">
        <v>0</v>
      </c>
      <c r="L97" t="n">
        <v>0</v>
      </c>
      <c r="M97" t="n">
        <v>0</v>
      </c>
      <c r="N97" t="n">
        <v>0</v>
      </c>
      <c r="O97" t="n">
        <v>0</v>
      </c>
      <c r="P97" t="n">
        <v>0</v>
      </c>
      <c r="Q97" t="n">
        <v>0</v>
      </c>
      <c r="R97" t="n">
        <v>0</v>
      </c>
      <c r="S97" t="n">
        <v>0</v>
      </c>
      <c r="T97" t="n">
        <v>0</v>
      </c>
      <c r="U97" s="2" t="inlineStr"/>
    </row>
    <row r="98" ht="15" customHeight="1">
      <c r="A98" t="inlineStr">
        <is>
          <t>A 40248-2022</t>
        </is>
      </c>
      <c r="B98" t="inlineStr">
        <is>
          <t>avverkningsanmälan</t>
        </is>
      </c>
      <c r="C98" t="inlineStr">
        <is>
          <t>Föryngringsavverkning</t>
        </is>
      </c>
      <c r="D98" s="1" t="n">
        <v>44820</v>
      </c>
      <c r="E98" s="1" t="n">
        <v>46217</v>
      </c>
      <c r="F98" t="inlineStr">
        <is>
          <t>NORRBOTTENS LÄN</t>
        </is>
      </c>
      <c r="G98" t="inlineStr">
        <is>
          <t>JOKKMOKK</t>
        </is>
      </c>
      <c r="H98" t="inlineStr">
        <is>
          <t>Sveaskog</t>
        </is>
      </c>
      <c r="I98" t="n">
        <v>0.8</v>
      </c>
      <c r="J98" t="n">
        <v>0</v>
      </c>
      <c r="K98" t="n">
        <v>0</v>
      </c>
      <c r="L98" t="n">
        <v>0</v>
      </c>
      <c r="M98" t="n">
        <v>0</v>
      </c>
      <c r="N98" t="n">
        <v>0</v>
      </c>
      <c r="O98" t="n">
        <v>0</v>
      </c>
      <c r="P98" t="n">
        <v>0</v>
      </c>
      <c r="Q98" t="n">
        <v>0</v>
      </c>
      <c r="R98" t="n">
        <v>0</v>
      </c>
      <c r="S98" t="n">
        <v>0</v>
      </c>
      <c r="T98" t="n">
        <v>0</v>
      </c>
      <c r="U98" s="2" t="inlineStr"/>
    </row>
    <row r="99" ht="15" customHeight="1">
      <c r="A99" t="inlineStr">
        <is>
          <t>A 37114-2021</t>
        </is>
      </c>
      <c r="B99" t="inlineStr">
        <is>
          <t>avverkningsanmälan</t>
        </is>
      </c>
      <c r="C99" t="inlineStr">
        <is>
          <t>Föryngringsavverkning</t>
        </is>
      </c>
      <c r="D99" s="1" t="n">
        <v>44393</v>
      </c>
      <c r="E99" s="1" t="n">
        <v>46217</v>
      </c>
      <c r="F99" t="inlineStr">
        <is>
          <t>NORRBOTTENS LÄN</t>
        </is>
      </c>
      <c r="G99" t="inlineStr">
        <is>
          <t>JOKKMOKK</t>
        </is>
      </c>
      <c r="H99" t="inlineStr">
        <is>
          <t>Övriga statliga verk och myndigheter</t>
        </is>
      </c>
      <c r="I99" t="n">
        <v>30</v>
      </c>
      <c r="J99" t="n">
        <v>0</v>
      </c>
      <c r="K99" t="n">
        <v>0</v>
      </c>
      <c r="L99" t="n">
        <v>0</v>
      </c>
      <c r="M99" t="n">
        <v>0</v>
      </c>
      <c r="N99" t="n">
        <v>0</v>
      </c>
      <c r="O99" t="n">
        <v>0</v>
      </c>
      <c r="P99" t="n">
        <v>0</v>
      </c>
      <c r="Q99" t="n">
        <v>0</v>
      </c>
      <c r="R99" t="n">
        <v>0</v>
      </c>
      <c r="S99" t="n">
        <v>0</v>
      </c>
      <c r="T99" t="n">
        <v>0</v>
      </c>
      <c r="U99" s="2" t="inlineStr"/>
    </row>
    <row r="100" ht="15" customHeight="1">
      <c r="A100" t="inlineStr">
        <is>
          <t>A 43781-2021</t>
        </is>
      </c>
      <c r="B100" t="inlineStr">
        <is>
          <t>avverkningsanmälan</t>
        </is>
      </c>
      <c r="C100" t="inlineStr">
        <is>
          <t>Föryngringsavverkning</t>
        </is>
      </c>
      <c r="D100" s="1" t="n">
        <v>44433</v>
      </c>
      <c r="E100" s="1" t="n">
        <v>46217</v>
      </c>
      <c r="F100" t="inlineStr">
        <is>
          <t>NORRBOTTENS LÄN</t>
        </is>
      </c>
      <c r="G100" t="inlineStr">
        <is>
          <t>JOKKMOKK</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71950-2021</t>
        </is>
      </c>
      <c r="B101" t="inlineStr">
        <is>
          <t>avverkningsanmälan</t>
        </is>
      </c>
      <c r="C101" t="inlineStr">
        <is>
          <t>Föryngringsavverkning</t>
        </is>
      </c>
      <c r="D101" s="1" t="n">
        <v>44543</v>
      </c>
      <c r="E101" s="1" t="n">
        <v>46217</v>
      </c>
      <c r="F101" t="inlineStr">
        <is>
          <t>NORRBOTTENS LÄN</t>
        </is>
      </c>
      <c r="G101" t="inlineStr">
        <is>
          <t>JOKKMOKK</t>
        </is>
      </c>
      <c r="H101" t="inlineStr">
        <is>
          <t>Naturvårdsverket</t>
        </is>
      </c>
      <c r="I101" t="n">
        <v>13.3</v>
      </c>
      <c r="J101" t="n">
        <v>0</v>
      </c>
      <c r="K101" t="n">
        <v>0</v>
      </c>
      <c r="L101" t="n">
        <v>0</v>
      </c>
      <c r="M101" t="n">
        <v>0</v>
      </c>
      <c r="N101" t="n">
        <v>0</v>
      </c>
      <c r="O101" t="n">
        <v>0</v>
      </c>
      <c r="P101" t="n">
        <v>0</v>
      </c>
      <c r="Q101" t="n">
        <v>0</v>
      </c>
      <c r="R101" t="n">
        <v>0</v>
      </c>
      <c r="S101" t="n">
        <v>0</v>
      </c>
      <c r="T101" t="n">
        <v>0</v>
      </c>
      <c r="U101" s="2" t="inlineStr"/>
    </row>
    <row r="102" ht="15" customHeight="1">
      <c r="A102" t="inlineStr">
        <is>
          <t>A 71921-2021</t>
        </is>
      </c>
      <c r="B102" t="inlineStr">
        <is>
          <t>avverkningsanmälan</t>
        </is>
      </c>
      <c r="C102" t="inlineStr">
        <is>
          <t>Föryngringsavverkning</t>
        </is>
      </c>
      <c r="D102" s="1" t="n">
        <v>44543</v>
      </c>
      <c r="E102" s="1" t="n">
        <v>46217</v>
      </c>
      <c r="F102" t="inlineStr">
        <is>
          <t>NORRBOTTENS LÄN</t>
        </is>
      </c>
      <c r="G102" t="inlineStr">
        <is>
          <t>JOKKMOKK</t>
        </is>
      </c>
      <c r="H102" t="inlineStr">
        <is>
          <t>SCA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71944-2021</t>
        </is>
      </c>
      <c r="B103" t="inlineStr">
        <is>
          <t>avverkningsanmälan</t>
        </is>
      </c>
      <c r="C103" t="inlineStr">
        <is>
          <t>Föryngringsavverkning</t>
        </is>
      </c>
      <c r="D103" s="1" t="n">
        <v>44543</v>
      </c>
      <c r="E103" s="1" t="n">
        <v>46217</v>
      </c>
      <c r="F103" t="inlineStr">
        <is>
          <t>NORRBOTTENS LÄN</t>
        </is>
      </c>
      <c r="G103" t="inlineStr">
        <is>
          <t>JOKKMOKK</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3772-2022</t>
        </is>
      </c>
      <c r="B104" t="inlineStr">
        <is>
          <t>avverkningsanmälan</t>
        </is>
      </c>
      <c r="C104" t="inlineStr">
        <is>
          <t>Föryngringsavverkning</t>
        </is>
      </c>
      <c r="D104" s="1" t="n">
        <v>44586</v>
      </c>
      <c r="E104" s="1" t="n">
        <v>46217</v>
      </c>
      <c r="F104" t="inlineStr">
        <is>
          <t>NORRBOTTENS LÄN</t>
        </is>
      </c>
      <c r="G104" t="inlineStr">
        <is>
          <t>JOKKMOKK</t>
        </is>
      </c>
      <c r="H104" t="inlineStr">
        <is>
          <t>SCA</t>
        </is>
      </c>
      <c r="I104" t="n">
        <v>2.4</v>
      </c>
      <c r="J104" t="n">
        <v>0</v>
      </c>
      <c r="K104" t="n">
        <v>0</v>
      </c>
      <c r="L104" t="n">
        <v>0</v>
      </c>
      <c r="M104" t="n">
        <v>0</v>
      </c>
      <c r="N104" t="n">
        <v>0</v>
      </c>
      <c r="O104" t="n">
        <v>0</v>
      </c>
      <c r="P104" t="n">
        <v>0</v>
      </c>
      <c r="Q104" t="n">
        <v>0</v>
      </c>
      <c r="R104" t="n">
        <v>0</v>
      </c>
      <c r="S104" t="n">
        <v>0</v>
      </c>
      <c r="T104" t="n">
        <v>0</v>
      </c>
      <c r="U104" s="2" t="inlineStr"/>
    </row>
    <row r="105" ht="15" customHeight="1">
      <c r="A105" t="inlineStr">
        <is>
          <t>A 3776-2022</t>
        </is>
      </c>
      <c r="B105" t="inlineStr">
        <is>
          <t>avverkningsanmälan</t>
        </is>
      </c>
      <c r="C105" t="inlineStr">
        <is>
          <t>Föryngringsavverkning</t>
        </is>
      </c>
      <c r="D105" s="1" t="n">
        <v>44586</v>
      </c>
      <c r="E105" s="1" t="n">
        <v>46217</v>
      </c>
      <c r="F105" t="inlineStr">
        <is>
          <t>NORRBOTTENS LÄN</t>
        </is>
      </c>
      <c r="G105" t="inlineStr">
        <is>
          <t>JOKKMOKK</t>
        </is>
      </c>
      <c r="H105" t="inlineStr">
        <is>
          <t>SCA</t>
        </is>
      </c>
      <c r="I105" t="n">
        <v>8</v>
      </c>
      <c r="J105" t="n">
        <v>0</v>
      </c>
      <c r="K105" t="n">
        <v>0</v>
      </c>
      <c r="L105" t="n">
        <v>0</v>
      </c>
      <c r="M105" t="n">
        <v>0</v>
      </c>
      <c r="N105" t="n">
        <v>0</v>
      </c>
      <c r="O105" t="n">
        <v>0</v>
      </c>
      <c r="P105" t="n">
        <v>0</v>
      </c>
      <c r="Q105" t="n">
        <v>0</v>
      </c>
      <c r="R105" t="n">
        <v>0</v>
      </c>
      <c r="S105" t="n">
        <v>0</v>
      </c>
      <c r="T105" t="n">
        <v>0</v>
      </c>
      <c r="U105" s="2" t="inlineStr"/>
    </row>
    <row r="106" ht="15" customHeight="1">
      <c r="A106" t="inlineStr">
        <is>
          <t>A 15714-2022</t>
        </is>
      </c>
      <c r="B106" t="inlineStr">
        <is>
          <t>avverkningsanmälan</t>
        </is>
      </c>
      <c r="C106" t="inlineStr">
        <is>
          <t>Föryngringsavverkning</t>
        </is>
      </c>
      <c r="D106" s="1" t="n">
        <v>44663</v>
      </c>
      <c r="E106" s="1" t="n">
        <v>46217</v>
      </c>
      <c r="F106" t="inlineStr">
        <is>
          <t>NORRBOTTENS LÄN</t>
        </is>
      </c>
      <c r="G106" t="inlineStr">
        <is>
          <t>JOKKMOKK</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18248-2022</t>
        </is>
      </c>
      <c r="B107" t="inlineStr">
        <is>
          <t>avverkningsanmälan</t>
        </is>
      </c>
      <c r="C107" t="inlineStr">
        <is>
          <t>Avverkning för annat ändamål</t>
        </is>
      </c>
      <c r="D107" s="1" t="n">
        <v>44685</v>
      </c>
      <c r="E107" s="1" t="n">
        <v>46217</v>
      </c>
      <c r="F107" t="inlineStr">
        <is>
          <t>NORRBOTTENS LÄN</t>
        </is>
      </c>
      <c r="G107" t="inlineStr">
        <is>
          <t>JOKKMOKK</t>
        </is>
      </c>
      <c r="H107" t="inlineStr">
        <is>
          <t>Övriga statliga verk och myndigheter</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43780-2021</t>
        </is>
      </c>
      <c r="B108" t="inlineStr">
        <is>
          <t>avverkningsanmälan</t>
        </is>
      </c>
      <c r="C108" t="inlineStr">
        <is>
          <t>Föryngringsavverkning</t>
        </is>
      </c>
      <c r="D108" s="1" t="n">
        <v>44433</v>
      </c>
      <c r="E108" s="1" t="n">
        <v>46217</v>
      </c>
      <c r="F108" t="inlineStr">
        <is>
          <t>NORRBOTTENS LÄN</t>
        </is>
      </c>
      <c r="G108" t="inlineStr">
        <is>
          <t>JOKKMOKK</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71368-2021</t>
        </is>
      </c>
      <c r="B109" t="inlineStr">
        <is>
          <t>avverkningsanmälan</t>
        </is>
      </c>
      <c r="C109" t="inlineStr">
        <is>
          <t>Föryngringsavverkning</t>
        </is>
      </c>
      <c r="D109" s="1" t="n">
        <v>44539</v>
      </c>
      <c r="E109" s="1" t="n">
        <v>46217</v>
      </c>
      <c r="F109" t="inlineStr">
        <is>
          <t>NORRBOTTENS LÄN</t>
        </is>
      </c>
      <c r="G109" t="inlineStr">
        <is>
          <t>JOKKMOKK</t>
        </is>
      </c>
      <c r="H109" t="inlineStr">
        <is>
          <t>SCA</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71947-2021</t>
        </is>
      </c>
      <c r="B110" t="inlineStr">
        <is>
          <t>avverkningsanmälan</t>
        </is>
      </c>
      <c r="C110" t="inlineStr">
        <is>
          <t>Föryngringsavverkning</t>
        </is>
      </c>
      <c r="D110" s="1" t="n">
        <v>44543</v>
      </c>
      <c r="E110" s="1" t="n">
        <v>46217</v>
      </c>
      <c r="F110" t="inlineStr">
        <is>
          <t>NORRBOTTENS LÄN</t>
        </is>
      </c>
      <c r="G110" t="inlineStr">
        <is>
          <t>JOKKMOKK</t>
        </is>
      </c>
      <c r="H110" t="inlineStr">
        <is>
          <t>SCA</t>
        </is>
      </c>
      <c r="I110" t="n">
        <v>3.4</v>
      </c>
      <c r="J110" t="n">
        <v>0</v>
      </c>
      <c r="K110" t="n">
        <v>0</v>
      </c>
      <c r="L110" t="n">
        <v>0</v>
      </c>
      <c r="M110" t="n">
        <v>0</v>
      </c>
      <c r="N110" t="n">
        <v>0</v>
      </c>
      <c r="O110" t="n">
        <v>0</v>
      </c>
      <c r="P110" t="n">
        <v>0</v>
      </c>
      <c r="Q110" t="n">
        <v>0</v>
      </c>
      <c r="R110" t="n">
        <v>0</v>
      </c>
      <c r="S110" t="n">
        <v>0</v>
      </c>
      <c r="T110" t="n">
        <v>0</v>
      </c>
      <c r="U110" s="2" t="inlineStr"/>
    </row>
    <row r="111" ht="15" customHeight="1">
      <c r="A111" t="inlineStr">
        <is>
          <t>A 71922-2021</t>
        </is>
      </c>
      <c r="B111" t="inlineStr">
        <is>
          <t>avverkningsanmälan</t>
        </is>
      </c>
      <c r="C111" t="inlineStr">
        <is>
          <t>Föryngringsavverkning</t>
        </is>
      </c>
      <c r="D111" s="1" t="n">
        <v>44543</v>
      </c>
      <c r="E111" s="1" t="n">
        <v>46217</v>
      </c>
      <c r="F111" t="inlineStr">
        <is>
          <t>NORRBOTTENS LÄN</t>
        </is>
      </c>
      <c r="G111" t="inlineStr">
        <is>
          <t>JOKKMOKK</t>
        </is>
      </c>
      <c r="H111" t="inlineStr">
        <is>
          <t>SCA</t>
        </is>
      </c>
      <c r="I111" t="n">
        <v>6.8</v>
      </c>
      <c r="J111" t="n">
        <v>0</v>
      </c>
      <c r="K111" t="n">
        <v>0</v>
      </c>
      <c r="L111" t="n">
        <v>0</v>
      </c>
      <c r="M111" t="n">
        <v>0</v>
      </c>
      <c r="N111" t="n">
        <v>0</v>
      </c>
      <c r="O111" t="n">
        <v>0</v>
      </c>
      <c r="P111" t="n">
        <v>0</v>
      </c>
      <c r="Q111" t="n">
        <v>0</v>
      </c>
      <c r="R111" t="n">
        <v>0</v>
      </c>
      <c r="S111" t="n">
        <v>0</v>
      </c>
      <c r="T111" t="n">
        <v>0</v>
      </c>
      <c r="U111" s="2" t="inlineStr"/>
    </row>
    <row r="112" ht="15" customHeight="1">
      <c r="A112" t="inlineStr">
        <is>
          <t>A 12576-2022</t>
        </is>
      </c>
      <c r="B112" t="inlineStr">
        <is>
          <t>avverkningsanmälan</t>
        </is>
      </c>
      <c r="C112" t="inlineStr">
        <is>
          <t>Föryngringsavverkning</t>
        </is>
      </c>
      <c r="D112" s="1" t="n">
        <v>44638</v>
      </c>
      <c r="E112" s="1" t="n">
        <v>46217</v>
      </c>
      <c r="F112" t="inlineStr">
        <is>
          <t>NORRBOTTENS LÄN</t>
        </is>
      </c>
      <c r="G112" t="inlineStr">
        <is>
          <t>JOKKMOKK</t>
        </is>
      </c>
      <c r="H112" t="inlineStr">
        <is>
          <t>SCA</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43783-2021</t>
        </is>
      </c>
      <c r="B113" t="inlineStr">
        <is>
          <t>avverkningsanmälan</t>
        </is>
      </c>
      <c r="C113" t="inlineStr">
        <is>
          <t>Föryngringsavverkning</t>
        </is>
      </c>
      <c r="D113" s="1" t="n">
        <v>44433</v>
      </c>
      <c r="E113" s="1" t="n">
        <v>46217</v>
      </c>
      <c r="F113" t="inlineStr">
        <is>
          <t>NORRBOTTENS LÄN</t>
        </is>
      </c>
      <c r="G113" t="inlineStr">
        <is>
          <t>JOKKMOKK</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27781-2022</t>
        </is>
      </c>
      <c r="B114" t="inlineStr">
        <is>
          <t>avverkningsanmälan</t>
        </is>
      </c>
      <c r="C114" t="inlineStr">
        <is>
          <t>Avverkning för annat ändamål</t>
        </is>
      </c>
      <c r="D114" s="1" t="n">
        <v>44743</v>
      </c>
      <c r="E114" s="1" t="n">
        <v>46217</v>
      </c>
      <c r="F114" t="inlineStr">
        <is>
          <t>NORRBOTTENS LÄN</t>
        </is>
      </c>
      <c r="G114" t="inlineStr">
        <is>
          <t>JOKKMOKK</t>
        </is>
      </c>
      <c r="H114" t="inlineStr">
        <is>
          <t>Sveaskog</t>
        </is>
      </c>
      <c r="I114" t="n">
        <v>0.1</v>
      </c>
      <c r="J114" t="n">
        <v>0</v>
      </c>
      <c r="K114" t="n">
        <v>0</v>
      </c>
      <c r="L114" t="n">
        <v>0</v>
      </c>
      <c r="M114" t="n">
        <v>0</v>
      </c>
      <c r="N114" t="n">
        <v>0</v>
      </c>
      <c r="O114" t="n">
        <v>0</v>
      </c>
      <c r="P114" t="n">
        <v>0</v>
      </c>
      <c r="Q114" t="n">
        <v>0</v>
      </c>
      <c r="R114" t="n">
        <v>0</v>
      </c>
      <c r="S114" t="n">
        <v>0</v>
      </c>
      <c r="T114" t="n">
        <v>0</v>
      </c>
      <c r="U114" s="2" t="inlineStr"/>
    </row>
    <row r="115" ht="15" customHeight="1">
      <c r="A115" t="inlineStr">
        <is>
          <t>A 71927-2021</t>
        </is>
      </c>
      <c r="B115" t="inlineStr">
        <is>
          <t>avverkningsanmälan</t>
        </is>
      </c>
      <c r="C115" t="inlineStr">
        <is>
          <t>Föryngringsavverkning</t>
        </is>
      </c>
      <c r="D115" s="1" t="n">
        <v>44543</v>
      </c>
      <c r="E115" s="1" t="n">
        <v>46217</v>
      </c>
      <c r="F115" t="inlineStr">
        <is>
          <t>NORRBOTTENS LÄN</t>
        </is>
      </c>
      <c r="G115" t="inlineStr">
        <is>
          <t>JOKKMOKK</t>
        </is>
      </c>
      <c r="H115" t="inlineStr">
        <is>
          <t>SCA</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71937-2021</t>
        </is>
      </c>
      <c r="B116" t="inlineStr">
        <is>
          <t>avverkningsanmälan</t>
        </is>
      </c>
      <c r="C116" t="inlineStr">
        <is>
          <t>Föryngringsavverkning</t>
        </is>
      </c>
      <c r="D116" s="1" t="n">
        <v>44543</v>
      </c>
      <c r="E116" s="1" t="n">
        <v>46217</v>
      </c>
      <c r="F116" t="inlineStr">
        <is>
          <t>NORRBOTTENS LÄN</t>
        </is>
      </c>
      <c r="G116" t="inlineStr">
        <is>
          <t>JOKKMOKK</t>
        </is>
      </c>
      <c r="H116" t="inlineStr">
        <is>
          <t>Naturvårdsverket</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3771-2022</t>
        </is>
      </c>
      <c r="B117" t="inlineStr">
        <is>
          <t>avverkningsanmälan</t>
        </is>
      </c>
      <c r="C117" t="inlineStr">
        <is>
          <t>Föryngringsavverkning</t>
        </is>
      </c>
      <c r="D117" s="1" t="n">
        <v>44586</v>
      </c>
      <c r="E117" s="1" t="n">
        <v>46217</v>
      </c>
      <c r="F117" t="inlineStr">
        <is>
          <t>NORRBOTTENS LÄN</t>
        </is>
      </c>
      <c r="G117" t="inlineStr">
        <is>
          <t>JOKKMOKK</t>
        </is>
      </c>
      <c r="H117" t="inlineStr">
        <is>
          <t>SCA</t>
        </is>
      </c>
      <c r="I117" t="n">
        <v>10</v>
      </c>
      <c r="J117" t="n">
        <v>0</v>
      </c>
      <c r="K117" t="n">
        <v>0</v>
      </c>
      <c r="L117" t="n">
        <v>0</v>
      </c>
      <c r="M117" t="n">
        <v>0</v>
      </c>
      <c r="N117" t="n">
        <v>0</v>
      </c>
      <c r="O117" t="n">
        <v>0</v>
      </c>
      <c r="P117" t="n">
        <v>0</v>
      </c>
      <c r="Q117" t="n">
        <v>0</v>
      </c>
      <c r="R117" t="n">
        <v>0</v>
      </c>
      <c r="S117" t="n">
        <v>0</v>
      </c>
      <c r="T117" t="n">
        <v>0</v>
      </c>
      <c r="U117" s="2" t="inlineStr"/>
    </row>
    <row r="118" ht="15" customHeight="1">
      <c r="A118" t="inlineStr">
        <is>
          <t>A 1631-2022</t>
        </is>
      </c>
      <c r="B118" t="inlineStr">
        <is>
          <t>avverkningsanmälan</t>
        </is>
      </c>
      <c r="C118" t="inlineStr">
        <is>
          <t>Föryngringsavverkning</t>
        </is>
      </c>
      <c r="D118" s="1" t="n">
        <v>44573</v>
      </c>
      <c r="E118" s="1" t="n">
        <v>46217</v>
      </c>
      <c r="F118" t="inlineStr">
        <is>
          <t>NORRBOTTENS LÄN</t>
        </is>
      </c>
      <c r="G118" t="inlineStr">
        <is>
          <t>JOKKMOKK</t>
        </is>
      </c>
      <c r="H118" t="inlineStr">
        <is>
          <t>SCA</t>
        </is>
      </c>
      <c r="I118" t="n">
        <v>7.1</v>
      </c>
      <c r="J118" t="n">
        <v>0</v>
      </c>
      <c r="K118" t="n">
        <v>0</v>
      </c>
      <c r="L118" t="n">
        <v>0</v>
      </c>
      <c r="M118" t="n">
        <v>0</v>
      </c>
      <c r="N118" t="n">
        <v>0</v>
      </c>
      <c r="O118" t="n">
        <v>0</v>
      </c>
      <c r="P118" t="n">
        <v>0</v>
      </c>
      <c r="Q118" t="n">
        <v>0</v>
      </c>
      <c r="R118" t="n">
        <v>0</v>
      </c>
      <c r="S118" t="n">
        <v>0</v>
      </c>
      <c r="T118" t="n">
        <v>0</v>
      </c>
      <c r="U118" s="2" t="inlineStr"/>
    </row>
    <row r="119" ht="15" customHeight="1">
      <c r="A119" t="inlineStr">
        <is>
          <t>A 40129-2022</t>
        </is>
      </c>
      <c r="B119" t="inlineStr">
        <is>
          <t>avverkningsanmälan</t>
        </is>
      </c>
      <c r="C119" t="inlineStr">
        <is>
          <t>Avverkning för att bevara och utveckla /försöksver</t>
        </is>
      </c>
      <c r="D119" s="1" t="n">
        <v>44820</v>
      </c>
      <c r="E119" s="1" t="n">
        <v>46217</v>
      </c>
      <c r="F119" t="inlineStr">
        <is>
          <t>NORRBOTTENS LÄN</t>
        </is>
      </c>
      <c r="G119" t="inlineStr">
        <is>
          <t>JOKKMOKK</t>
        </is>
      </c>
      <c r="H119" t="inlineStr">
        <is>
          <t>Sveaskog</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40834-2022</t>
        </is>
      </c>
      <c r="B120" t="inlineStr">
        <is>
          <t>avverkningsanmälan</t>
        </is>
      </c>
      <c r="C120" t="inlineStr">
        <is>
          <t>Föryngringsavverkning</t>
        </is>
      </c>
      <c r="D120" s="1" t="n">
        <v>44824</v>
      </c>
      <c r="E120" s="1" t="n">
        <v>46217</v>
      </c>
      <c r="F120" t="inlineStr">
        <is>
          <t>NORRBOTTENS LÄN</t>
        </is>
      </c>
      <c r="G120" t="inlineStr">
        <is>
          <t>JOKKMOKK</t>
        </is>
      </c>
      <c r="H120" t="inlineStr">
        <is>
          <t>SCA</t>
        </is>
      </c>
      <c r="I120" t="n">
        <v>106.1</v>
      </c>
      <c r="J120" t="n">
        <v>0</v>
      </c>
      <c r="K120" t="n">
        <v>0</v>
      </c>
      <c r="L120" t="n">
        <v>0</v>
      </c>
      <c r="M120" t="n">
        <v>0</v>
      </c>
      <c r="N120" t="n">
        <v>0</v>
      </c>
      <c r="O120" t="n">
        <v>0</v>
      </c>
      <c r="P120" t="n">
        <v>0</v>
      </c>
      <c r="Q120" t="n">
        <v>0</v>
      </c>
      <c r="R120" t="n">
        <v>0</v>
      </c>
      <c r="S120" t="n">
        <v>0</v>
      </c>
      <c r="T120" t="n">
        <v>0</v>
      </c>
      <c r="U120" s="2" t="inlineStr"/>
    </row>
    <row r="121" ht="15" customHeight="1">
      <c r="A121" t="inlineStr">
        <is>
          <t>A 69883-2021</t>
        </is>
      </c>
      <c r="B121" t="inlineStr">
        <is>
          <t>avverkningsanmälan</t>
        </is>
      </c>
      <c r="C121" t="inlineStr">
        <is>
          <t>Föryngringsavverkning</t>
        </is>
      </c>
      <c r="D121" s="1" t="n">
        <v>44532</v>
      </c>
      <c r="E121" s="1" t="n">
        <v>46217</v>
      </c>
      <c r="F121" t="inlineStr">
        <is>
          <t>NORRBOTTENS LÄN</t>
        </is>
      </c>
      <c r="G121" t="inlineStr">
        <is>
          <t>JOKKMOKK</t>
        </is>
      </c>
      <c r="I121" t="n">
        <v>12.5</v>
      </c>
      <c r="J121" t="n">
        <v>0</v>
      </c>
      <c r="K121" t="n">
        <v>0</v>
      </c>
      <c r="L121" t="n">
        <v>0</v>
      </c>
      <c r="M121" t="n">
        <v>0</v>
      </c>
      <c r="N121" t="n">
        <v>0</v>
      </c>
      <c r="O121" t="n">
        <v>0</v>
      </c>
      <c r="P121" t="n">
        <v>0</v>
      </c>
      <c r="Q121" t="n">
        <v>0</v>
      </c>
      <c r="R121" t="n">
        <v>0</v>
      </c>
      <c r="S121" t="n">
        <v>0</v>
      </c>
      <c r="T121" t="n">
        <v>0</v>
      </c>
      <c r="U121" s="2" t="inlineStr"/>
    </row>
    <row r="122" ht="15" customHeight="1">
      <c r="A122" t="inlineStr">
        <is>
          <t>A 51220-2022</t>
        </is>
      </c>
      <c r="B122" t="inlineStr">
        <is>
          <t>avverkningsanmälan</t>
        </is>
      </c>
      <c r="C122" t="inlineStr">
        <is>
          <t>Avverkning för annat ändamål</t>
        </is>
      </c>
      <c r="D122" s="1" t="n">
        <v>44868</v>
      </c>
      <c r="E122" s="1" t="n">
        <v>46217</v>
      </c>
      <c r="F122" t="inlineStr">
        <is>
          <t>NORRBOTTENS LÄN</t>
        </is>
      </c>
      <c r="G122" t="inlineStr">
        <is>
          <t>JOKKMOKK</t>
        </is>
      </c>
      <c r="H122" t="inlineStr">
        <is>
          <t>Sveaskog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48586-2022</t>
        </is>
      </c>
      <c r="B123" t="inlineStr">
        <is>
          <t>avverkningsanmälan</t>
        </is>
      </c>
      <c r="C123" t="inlineStr">
        <is>
          <t>Föryngringsavverkning</t>
        </is>
      </c>
      <c r="D123" s="1" t="n">
        <v>44854</v>
      </c>
      <c r="E123" s="1" t="n">
        <v>46217</v>
      </c>
      <c r="F123" t="inlineStr">
        <is>
          <t>NORRBOTTENS LÄN</t>
        </is>
      </c>
      <c r="G123" t="inlineStr">
        <is>
          <t>JOKKMOKK</t>
        </is>
      </c>
      <c r="H123" t="inlineStr">
        <is>
          <t>Övriga statliga verk och myndigheter</t>
        </is>
      </c>
      <c r="I123" t="n">
        <v>26.1</v>
      </c>
      <c r="J123" t="n">
        <v>0</v>
      </c>
      <c r="K123" t="n">
        <v>0</v>
      </c>
      <c r="L123" t="n">
        <v>0</v>
      </c>
      <c r="M123" t="n">
        <v>0</v>
      </c>
      <c r="N123" t="n">
        <v>0</v>
      </c>
      <c r="O123" t="n">
        <v>0</v>
      </c>
      <c r="P123" t="n">
        <v>0</v>
      </c>
      <c r="Q123" t="n">
        <v>0</v>
      </c>
      <c r="R123" t="n">
        <v>0</v>
      </c>
      <c r="S123" t="n">
        <v>0</v>
      </c>
      <c r="T123" t="n">
        <v>0</v>
      </c>
      <c r="U123" s="2" t="inlineStr"/>
    </row>
    <row r="124" ht="15" customHeight="1">
      <c r="A124" t="inlineStr">
        <is>
          <t>A 26131-2023</t>
        </is>
      </c>
      <c r="B124" t="inlineStr">
        <is>
          <t>avverkningsanmälan</t>
        </is>
      </c>
      <c r="C124" t="inlineStr">
        <is>
          <t>Föryngringsavverkning</t>
        </is>
      </c>
      <c r="D124" s="1" t="n">
        <v>45086</v>
      </c>
      <c r="E124" s="1" t="n">
        <v>46217</v>
      </c>
      <c r="F124" t="inlineStr">
        <is>
          <t>NORRBOTTENS LÄN</t>
        </is>
      </c>
      <c r="G124" t="inlineStr">
        <is>
          <t>JOKKMOKK</t>
        </is>
      </c>
      <c r="I124" t="n">
        <v>35.6</v>
      </c>
      <c r="J124" t="n">
        <v>0</v>
      </c>
      <c r="K124" t="n">
        <v>0</v>
      </c>
      <c r="L124" t="n">
        <v>0</v>
      </c>
      <c r="M124" t="n">
        <v>0</v>
      </c>
      <c r="N124" t="n">
        <v>0</v>
      </c>
      <c r="O124" t="n">
        <v>0</v>
      </c>
      <c r="P124" t="n">
        <v>0</v>
      </c>
      <c r="Q124" t="n">
        <v>0</v>
      </c>
      <c r="R124" t="n">
        <v>0</v>
      </c>
      <c r="S124" t="n">
        <v>0</v>
      </c>
      <c r="T124" t="n">
        <v>0</v>
      </c>
      <c r="U124" s="2" t="inlineStr"/>
    </row>
    <row r="125" ht="15" customHeight="1">
      <c r="A125" t="inlineStr">
        <is>
          <t>A 50716-2022</t>
        </is>
      </c>
      <c r="B125" t="inlineStr">
        <is>
          <t>avverkningsanmälan</t>
        </is>
      </c>
      <c r="C125" t="inlineStr">
        <is>
          <t>Föryngringsavverkning</t>
        </is>
      </c>
      <c r="D125" s="1" t="n">
        <v>44862</v>
      </c>
      <c r="E125" s="1" t="n">
        <v>46217</v>
      </c>
      <c r="F125" t="inlineStr">
        <is>
          <t>NORRBOTTENS LÄN</t>
        </is>
      </c>
      <c r="G125" t="inlineStr">
        <is>
          <t>JOKKMOKK</t>
        </is>
      </c>
      <c r="I125" t="n">
        <v>30.2</v>
      </c>
      <c r="J125" t="n">
        <v>0</v>
      </c>
      <c r="K125" t="n">
        <v>0</v>
      </c>
      <c r="L125" t="n">
        <v>0</v>
      </c>
      <c r="M125" t="n">
        <v>0</v>
      </c>
      <c r="N125" t="n">
        <v>0</v>
      </c>
      <c r="O125" t="n">
        <v>0</v>
      </c>
      <c r="P125" t="n">
        <v>0</v>
      </c>
      <c r="Q125" t="n">
        <v>0</v>
      </c>
      <c r="R125" t="n">
        <v>0</v>
      </c>
      <c r="S125" t="n">
        <v>0</v>
      </c>
      <c r="T125" t="n">
        <v>0</v>
      </c>
      <c r="U125" s="2" t="inlineStr"/>
    </row>
    <row r="126" ht="15" customHeight="1">
      <c r="A126" t="inlineStr">
        <is>
          <t>A 45510-2022</t>
        </is>
      </c>
      <c r="B126" t="inlineStr">
        <is>
          <t>avverkningsanmälan</t>
        </is>
      </c>
      <c r="C126" t="inlineStr">
        <is>
          <t>Föryngringsavverkning</t>
        </is>
      </c>
      <c r="D126" s="1" t="n">
        <v>44841</v>
      </c>
      <c r="E126" s="1" t="n">
        <v>46217</v>
      </c>
      <c r="F126" t="inlineStr">
        <is>
          <t>NORRBOTTENS LÄN</t>
        </is>
      </c>
      <c r="G126" t="inlineStr">
        <is>
          <t>JOKKMOKK</t>
        </is>
      </c>
      <c r="H126" t="inlineStr">
        <is>
          <t>Övriga Aktiebolag</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53100-2022</t>
        </is>
      </c>
      <c r="B127" t="inlineStr">
        <is>
          <t>avverkningsanmälan</t>
        </is>
      </c>
      <c r="C127" t="inlineStr">
        <is>
          <t>Föryngringsavverkning</t>
        </is>
      </c>
      <c r="D127" s="1" t="n">
        <v>44873</v>
      </c>
      <c r="E127" s="1" t="n">
        <v>46217</v>
      </c>
      <c r="F127" t="inlineStr">
        <is>
          <t>NORRBOTTENS LÄN</t>
        </is>
      </c>
      <c r="G127" t="inlineStr">
        <is>
          <t>JOKKMOKK</t>
        </is>
      </c>
      <c r="H127" t="inlineStr">
        <is>
          <t>Övriga statliga verk och myndigheter</t>
        </is>
      </c>
      <c r="I127" t="n">
        <v>37.1</v>
      </c>
      <c r="J127" t="n">
        <v>0</v>
      </c>
      <c r="K127" t="n">
        <v>0</v>
      </c>
      <c r="L127" t="n">
        <v>0</v>
      </c>
      <c r="M127" t="n">
        <v>0</v>
      </c>
      <c r="N127" t="n">
        <v>0</v>
      </c>
      <c r="O127" t="n">
        <v>0</v>
      </c>
      <c r="P127" t="n">
        <v>0</v>
      </c>
      <c r="Q127" t="n">
        <v>0</v>
      </c>
      <c r="R127" t="n">
        <v>0</v>
      </c>
      <c r="S127" t="n">
        <v>0</v>
      </c>
      <c r="T127" t="n">
        <v>0</v>
      </c>
      <c r="U127" s="2" t="inlineStr"/>
    </row>
    <row r="128" ht="15" customHeight="1">
      <c r="A128" t="inlineStr">
        <is>
          <t>A 31208-2023</t>
        </is>
      </c>
      <c r="B128" t="inlineStr">
        <is>
          <t>avverkningsanmälan</t>
        </is>
      </c>
      <c r="C128" t="inlineStr">
        <is>
          <t>Föryngringsavverkning</t>
        </is>
      </c>
      <c r="D128" s="1" t="n">
        <v>45113</v>
      </c>
      <c r="E128" s="1" t="n">
        <v>46217</v>
      </c>
      <c r="F128" t="inlineStr">
        <is>
          <t>NORRBOTTENS LÄN</t>
        </is>
      </c>
      <c r="G128" t="inlineStr">
        <is>
          <t>JOKKMOKK</t>
        </is>
      </c>
      <c r="H128" t="inlineStr">
        <is>
          <t>SCA</t>
        </is>
      </c>
      <c r="I128" t="n">
        <v>10.3</v>
      </c>
      <c r="J128" t="n">
        <v>0</v>
      </c>
      <c r="K128" t="n">
        <v>0</v>
      </c>
      <c r="L128" t="n">
        <v>0</v>
      </c>
      <c r="M128" t="n">
        <v>0</v>
      </c>
      <c r="N128" t="n">
        <v>0</v>
      </c>
      <c r="O128" t="n">
        <v>0</v>
      </c>
      <c r="P128" t="n">
        <v>0</v>
      </c>
      <c r="Q128" t="n">
        <v>0</v>
      </c>
      <c r="R128" t="n">
        <v>0</v>
      </c>
      <c r="S128" t="n">
        <v>0</v>
      </c>
      <c r="T128" t="n">
        <v>0</v>
      </c>
      <c r="U128" s="2" t="inlineStr"/>
    </row>
    <row r="129" ht="15" customHeight="1">
      <c r="A129" t="inlineStr">
        <is>
          <t>A 50568-2022</t>
        </is>
      </c>
      <c r="B129" t="inlineStr">
        <is>
          <t>avverkningsanmälan</t>
        </is>
      </c>
      <c r="C129" t="inlineStr">
        <is>
          <t>Föryngringsavverkning</t>
        </is>
      </c>
      <c r="D129" s="1" t="n">
        <v>44866</v>
      </c>
      <c r="E129" s="1" t="n">
        <v>46217</v>
      </c>
      <c r="F129" t="inlineStr">
        <is>
          <t>NORRBOTTENS LÄN</t>
        </is>
      </c>
      <c r="G129" t="inlineStr">
        <is>
          <t>JOKKMOKK</t>
        </is>
      </c>
      <c r="H129" t="inlineStr">
        <is>
          <t>Sveaskog</t>
        </is>
      </c>
      <c r="I129" t="n">
        <v>6.2</v>
      </c>
      <c r="J129" t="n">
        <v>0</v>
      </c>
      <c r="K129" t="n">
        <v>0</v>
      </c>
      <c r="L129" t="n">
        <v>0</v>
      </c>
      <c r="M129" t="n">
        <v>0</v>
      </c>
      <c r="N129" t="n">
        <v>0</v>
      </c>
      <c r="O129" t="n">
        <v>0</v>
      </c>
      <c r="P129" t="n">
        <v>0</v>
      </c>
      <c r="Q129" t="n">
        <v>0</v>
      </c>
      <c r="R129" t="n">
        <v>0</v>
      </c>
      <c r="S129" t="n">
        <v>0</v>
      </c>
      <c r="T129" t="n">
        <v>0</v>
      </c>
      <c r="U129" s="2" t="inlineStr"/>
    </row>
    <row r="130" ht="15" customHeight="1">
      <c r="A130" t="inlineStr">
        <is>
          <t>A 29625-2023</t>
        </is>
      </c>
      <c r="B130" t="inlineStr">
        <is>
          <t>avverkningsanmälan</t>
        </is>
      </c>
      <c r="C130" t="inlineStr">
        <is>
          <t>Föryngringsavverkning</t>
        </is>
      </c>
      <c r="D130" s="1" t="n">
        <v>45106</v>
      </c>
      <c r="E130" s="1" t="n">
        <v>46217</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s="2" t="inlineStr"/>
    </row>
    <row r="131" ht="15" customHeight="1">
      <c r="A131" t="inlineStr">
        <is>
          <t>A 51304-2022</t>
        </is>
      </c>
      <c r="B131" t="inlineStr">
        <is>
          <t>avverkningsanmälan</t>
        </is>
      </c>
      <c r="C131" t="inlineStr">
        <is>
          <t>Avverkning för annat ändamål</t>
        </is>
      </c>
      <c r="D131" s="1" t="n">
        <v>44868</v>
      </c>
      <c r="E131" s="1" t="n">
        <v>46217</v>
      </c>
      <c r="F131" t="inlineStr">
        <is>
          <t>NORRBOTTENS LÄN</t>
        </is>
      </c>
      <c r="G131" t="inlineStr">
        <is>
          <t>JOKKMOKK</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44646-2021</t>
        </is>
      </c>
      <c r="B132" t="inlineStr">
        <is>
          <t>avverkningsanmälan</t>
        </is>
      </c>
      <c r="C132" t="inlineStr">
        <is>
          <t>Föryngringsavverkning</t>
        </is>
      </c>
      <c r="D132" s="1" t="n">
        <v>44437</v>
      </c>
      <c r="E132" s="1" t="n">
        <v>46217</v>
      </c>
      <c r="F132" t="inlineStr">
        <is>
          <t>NORRBOTTENS LÄN</t>
        </is>
      </c>
      <c r="G132" t="inlineStr">
        <is>
          <t>JOKKMOKK</t>
        </is>
      </c>
      <c r="I132" t="n">
        <v>10</v>
      </c>
      <c r="J132" t="n">
        <v>0</v>
      </c>
      <c r="K132" t="n">
        <v>0</v>
      </c>
      <c r="L132" t="n">
        <v>0</v>
      </c>
      <c r="M132" t="n">
        <v>0</v>
      </c>
      <c r="N132" t="n">
        <v>0</v>
      </c>
      <c r="O132" t="n">
        <v>0</v>
      </c>
      <c r="P132" t="n">
        <v>0</v>
      </c>
      <c r="Q132" t="n">
        <v>0</v>
      </c>
      <c r="R132" t="n">
        <v>0</v>
      </c>
      <c r="S132" t="n">
        <v>0</v>
      </c>
      <c r="T132" t="n">
        <v>0</v>
      </c>
      <c r="U132" s="2" t="inlineStr"/>
    </row>
    <row r="133" ht="15" customHeight="1">
      <c r="A133" t="inlineStr">
        <is>
          <t>A 27657-2024</t>
        </is>
      </c>
      <c r="B133" t="inlineStr">
        <is>
          <t>avverkningsanmälan</t>
        </is>
      </c>
      <c r="C133" t="inlineStr">
        <is>
          <t>Avverkning för att bevara och utveckla /försöksver</t>
        </is>
      </c>
      <c r="D133" s="1" t="n">
        <v>45474</v>
      </c>
      <c r="E133" s="1" t="n">
        <v>46217</v>
      </c>
      <c r="F133" t="inlineStr">
        <is>
          <t>NORRBOTTENS LÄN</t>
        </is>
      </c>
      <c r="G133" t="inlineStr">
        <is>
          <t>JOKKMOKK</t>
        </is>
      </c>
      <c r="H133" t="inlineStr">
        <is>
          <t>SCA</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27658-2024</t>
        </is>
      </c>
      <c r="B134" t="inlineStr">
        <is>
          <t>avverkningsanmälan</t>
        </is>
      </c>
      <c r="C134" t="inlineStr">
        <is>
          <t>Avverkning för att bevara och utveckla /försöksver</t>
        </is>
      </c>
      <c r="D134" s="1" t="n">
        <v>45474</v>
      </c>
      <c r="E134" s="1" t="n">
        <v>46217</v>
      </c>
      <c r="F134" t="inlineStr">
        <is>
          <t>NORRBOTTENS LÄN</t>
        </is>
      </c>
      <c r="G134" t="inlineStr">
        <is>
          <t>JOKKMOKK</t>
        </is>
      </c>
      <c r="H134" t="inlineStr">
        <is>
          <t>SCA</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27653-2024</t>
        </is>
      </c>
      <c r="B135" t="inlineStr">
        <is>
          <t>avverkningsanmälan</t>
        </is>
      </c>
      <c r="C135" t="inlineStr">
        <is>
          <t>Föryngringsavverkning</t>
        </is>
      </c>
      <c r="D135" s="1" t="n">
        <v>45474</v>
      </c>
      <c r="E135" s="1" t="n">
        <v>46217</v>
      </c>
      <c r="F135" t="inlineStr">
        <is>
          <t>NORRBOTTENS LÄN</t>
        </is>
      </c>
      <c r="G135" t="inlineStr">
        <is>
          <t>JOKKMOKK</t>
        </is>
      </c>
      <c r="H135" t="inlineStr">
        <is>
          <t>SCA</t>
        </is>
      </c>
      <c r="I135" t="n">
        <v>7.1</v>
      </c>
      <c r="J135" t="n">
        <v>0</v>
      </c>
      <c r="K135" t="n">
        <v>0</v>
      </c>
      <c r="L135" t="n">
        <v>0</v>
      </c>
      <c r="M135" t="n">
        <v>0</v>
      </c>
      <c r="N135" t="n">
        <v>0</v>
      </c>
      <c r="O135" t="n">
        <v>0</v>
      </c>
      <c r="P135" t="n">
        <v>0</v>
      </c>
      <c r="Q135" t="n">
        <v>0</v>
      </c>
      <c r="R135" t="n">
        <v>0</v>
      </c>
      <c r="S135" t="n">
        <v>0</v>
      </c>
      <c r="T135" t="n">
        <v>0</v>
      </c>
      <c r="U135" s="2" t="inlineStr"/>
    </row>
    <row r="136" ht="15" customHeight="1">
      <c r="A136" t="inlineStr">
        <is>
          <t>A 27654-2024</t>
        </is>
      </c>
      <c r="B136" t="inlineStr">
        <is>
          <t>avverkningsanmälan</t>
        </is>
      </c>
      <c r="C136" t="inlineStr">
        <is>
          <t>Föryngringsavverkning</t>
        </is>
      </c>
      <c r="D136" s="1" t="n">
        <v>45474</v>
      </c>
      <c r="E136" s="1" t="n">
        <v>46217</v>
      </c>
      <c r="F136" t="inlineStr">
        <is>
          <t>NORRBOTTENS LÄN</t>
        </is>
      </c>
      <c r="G136" t="inlineStr">
        <is>
          <t>JOKKMOKK</t>
        </is>
      </c>
      <c r="H136" t="inlineStr">
        <is>
          <t>SCA</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27656-2024</t>
        </is>
      </c>
      <c r="B137" t="inlineStr">
        <is>
          <t>avverkningsanmälan</t>
        </is>
      </c>
      <c r="C137" t="inlineStr">
        <is>
          <t>Föryngringsavverkning</t>
        </is>
      </c>
      <c r="D137" s="1" t="n">
        <v>45474</v>
      </c>
      <c r="E137" s="1" t="n">
        <v>46217</v>
      </c>
      <c r="F137" t="inlineStr">
        <is>
          <t>NORRBOTTENS LÄN</t>
        </is>
      </c>
      <c r="G137" t="inlineStr">
        <is>
          <t>JOKKMOKK</t>
        </is>
      </c>
      <c r="H137" t="inlineStr">
        <is>
          <t>SCA</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25715-2024</t>
        </is>
      </c>
      <c r="B138" t="inlineStr">
        <is>
          <t>avverkningsanmälan</t>
        </is>
      </c>
      <c r="C138" t="inlineStr">
        <is>
          <t>Föryngringsavverkning</t>
        </is>
      </c>
      <c r="D138" s="1" t="n">
        <v>45463</v>
      </c>
      <c r="E138" s="1" t="n">
        <v>46217</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26969-2024</t>
        </is>
      </c>
      <c r="B139" t="inlineStr">
        <is>
          <t>avverkningsanmälan</t>
        </is>
      </c>
      <c r="C139" t="inlineStr">
        <is>
          <t>Föryngringsavverkning</t>
        </is>
      </c>
      <c r="D139" s="1" t="n">
        <v>45471</v>
      </c>
      <c r="E139" s="1" t="n">
        <v>46217</v>
      </c>
      <c r="F139" t="inlineStr">
        <is>
          <t>NORRBOTTENS LÄN</t>
        </is>
      </c>
      <c r="G139" t="inlineStr">
        <is>
          <t>JOKKMOKK</t>
        </is>
      </c>
      <c r="H139" t="inlineStr">
        <is>
          <t>Sveaskog</t>
        </is>
      </c>
      <c r="I139" t="n">
        <v>5.9</v>
      </c>
      <c r="J139" t="n">
        <v>0</v>
      </c>
      <c r="K139" t="n">
        <v>0</v>
      </c>
      <c r="L139" t="n">
        <v>0</v>
      </c>
      <c r="M139" t="n">
        <v>0</v>
      </c>
      <c r="N139" t="n">
        <v>0</v>
      </c>
      <c r="O139" t="n">
        <v>0</v>
      </c>
      <c r="P139" t="n">
        <v>0</v>
      </c>
      <c r="Q139" t="n">
        <v>0</v>
      </c>
      <c r="R139" t="n">
        <v>0</v>
      </c>
      <c r="S139" t="n">
        <v>0</v>
      </c>
      <c r="T139" t="n">
        <v>0</v>
      </c>
      <c r="U139" s="2" t="inlineStr"/>
    </row>
    <row r="140" ht="15" customHeight="1">
      <c r="A140" t="inlineStr">
        <is>
          <t>A 6777-2023</t>
        </is>
      </c>
      <c r="B140" t="inlineStr">
        <is>
          <t>avverkningsanmälan</t>
        </is>
      </c>
      <c r="C140" t="inlineStr">
        <is>
          <t>Föryngringsavverkning</t>
        </is>
      </c>
      <c r="D140" s="1" t="n">
        <v>44966</v>
      </c>
      <c r="E140" s="1" t="n">
        <v>46217</v>
      </c>
      <c r="F140" t="inlineStr">
        <is>
          <t>NORRBOTTENS LÄN</t>
        </is>
      </c>
      <c r="G140" t="inlineStr">
        <is>
          <t>JOKKMOKK</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31535-2024</t>
        </is>
      </c>
      <c r="B141" t="inlineStr">
        <is>
          <t>avverkningsanmälan</t>
        </is>
      </c>
      <c r="C141" t="inlineStr">
        <is>
          <t>Föryngringsavverkning</t>
        </is>
      </c>
      <c r="D141" s="1" t="n">
        <v>45505</v>
      </c>
      <c r="E141" s="1" t="n">
        <v>46217</v>
      </c>
      <c r="F141" t="inlineStr">
        <is>
          <t>NORRBOTTENS LÄN</t>
        </is>
      </c>
      <c r="G141" t="inlineStr">
        <is>
          <t>JOKKMOKK</t>
        </is>
      </c>
      <c r="H141" t="inlineStr">
        <is>
          <t>SCA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56412-2021</t>
        </is>
      </c>
      <c r="B142" t="inlineStr">
        <is>
          <t>avverkningsanmälan</t>
        </is>
      </c>
      <c r="C142" t="inlineStr">
        <is>
          <t>Föryngringsavverkning</t>
        </is>
      </c>
      <c r="D142" s="1" t="n">
        <v>44477</v>
      </c>
      <c r="E142" s="1" t="n">
        <v>46217</v>
      </c>
      <c r="F142" t="inlineStr">
        <is>
          <t>NORRBOTTENS LÄN</t>
        </is>
      </c>
      <c r="G142" t="inlineStr">
        <is>
          <t>JOKKMOKK</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9351-2023</t>
        </is>
      </c>
      <c r="B143" t="inlineStr">
        <is>
          <t>avverkningsanmälan</t>
        </is>
      </c>
      <c r="C143" t="inlineStr">
        <is>
          <t>Föryngringsavverkning</t>
        </is>
      </c>
      <c r="D143" s="1" t="n">
        <v>44980</v>
      </c>
      <c r="E143" s="1" t="n">
        <v>46217</v>
      </c>
      <c r="F143" t="inlineStr">
        <is>
          <t>NORRBOTTENS LÄN</t>
        </is>
      </c>
      <c r="G143" t="inlineStr">
        <is>
          <t>JOKKMOKK</t>
        </is>
      </c>
      <c r="H143" t="inlineStr">
        <is>
          <t>SCA</t>
        </is>
      </c>
      <c r="I143" t="n">
        <v>2.3</v>
      </c>
      <c r="J143" t="n">
        <v>0</v>
      </c>
      <c r="K143" t="n">
        <v>0</v>
      </c>
      <c r="L143" t="n">
        <v>0</v>
      </c>
      <c r="M143" t="n">
        <v>0</v>
      </c>
      <c r="N143" t="n">
        <v>0</v>
      </c>
      <c r="O143" t="n">
        <v>0</v>
      </c>
      <c r="P143" t="n">
        <v>0</v>
      </c>
      <c r="Q143" t="n">
        <v>0</v>
      </c>
      <c r="R143" t="n">
        <v>0</v>
      </c>
      <c r="S143" t="n">
        <v>0</v>
      </c>
      <c r="T143" t="n">
        <v>0</v>
      </c>
      <c r="U143" s="2" t="inlineStr"/>
    </row>
    <row r="144" ht="15" customHeight="1">
      <c r="A144" t="inlineStr">
        <is>
          <t>A 9878-2023</t>
        </is>
      </c>
      <c r="B144" t="inlineStr">
        <is>
          <t>avverkningsanmälan</t>
        </is>
      </c>
      <c r="C144" t="inlineStr">
        <is>
          <t>Föryngringsavverkning</t>
        </is>
      </c>
      <c r="D144" s="1" t="n">
        <v>44984</v>
      </c>
      <c r="E144" s="1" t="n">
        <v>46217</v>
      </c>
      <c r="F144" t="inlineStr">
        <is>
          <t>NORRBOTTENS LÄN</t>
        </is>
      </c>
      <c r="G144" t="inlineStr">
        <is>
          <t>JOKKMOKK</t>
        </is>
      </c>
      <c r="H144" t="inlineStr">
        <is>
          <t>SCA</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45512-2022</t>
        </is>
      </c>
      <c r="B145" t="inlineStr">
        <is>
          <t>avverkningsanmälan</t>
        </is>
      </c>
      <c r="C145" t="inlineStr">
        <is>
          <t>Föryngringsavverkning</t>
        </is>
      </c>
      <c r="D145" s="1" t="n">
        <v>44841</v>
      </c>
      <c r="E145" s="1" t="n">
        <v>46217</v>
      </c>
      <c r="F145" t="inlineStr">
        <is>
          <t>NORRBOTTENS LÄN</t>
        </is>
      </c>
      <c r="G145" t="inlineStr">
        <is>
          <t>JOKKMOKK</t>
        </is>
      </c>
      <c r="H145" t="inlineStr">
        <is>
          <t>Övriga Aktiebolag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23023-2023</t>
        </is>
      </c>
      <c r="B146" t="inlineStr">
        <is>
          <t>avverkningsanmälan</t>
        </is>
      </c>
      <c r="C146" t="inlineStr">
        <is>
          <t>Föryngringsavverkning</t>
        </is>
      </c>
      <c r="D146" s="1" t="n">
        <v>45073</v>
      </c>
      <c r="E146" s="1" t="n">
        <v>46217</v>
      </c>
      <c r="F146" t="inlineStr">
        <is>
          <t>NORRBOTTENS LÄN</t>
        </is>
      </c>
      <c r="G146" t="inlineStr">
        <is>
          <t>JOKKMOKK</t>
        </is>
      </c>
      <c r="H146" t="inlineStr">
        <is>
          <t>SCA</t>
        </is>
      </c>
      <c r="I146" t="n">
        <v>3.2</v>
      </c>
      <c r="J146" t="n">
        <v>0</v>
      </c>
      <c r="K146" t="n">
        <v>0</v>
      </c>
      <c r="L146" t="n">
        <v>0</v>
      </c>
      <c r="M146" t="n">
        <v>0</v>
      </c>
      <c r="N146" t="n">
        <v>0</v>
      </c>
      <c r="O146" t="n">
        <v>0</v>
      </c>
      <c r="P146" t="n">
        <v>0</v>
      </c>
      <c r="Q146" t="n">
        <v>0</v>
      </c>
      <c r="R146" t="n">
        <v>0</v>
      </c>
      <c r="S146" t="n">
        <v>0</v>
      </c>
      <c r="T146" t="n">
        <v>0</v>
      </c>
      <c r="U146" s="2" t="inlineStr"/>
    </row>
    <row r="147" ht="15" customHeight="1">
      <c r="A147" t="inlineStr">
        <is>
          <t>A 30399-2024</t>
        </is>
      </c>
      <c r="B147" t="inlineStr">
        <is>
          <t>avverkningsanmälan</t>
        </is>
      </c>
      <c r="C147" t="inlineStr">
        <is>
          <t>Föryngringsavverkning</t>
        </is>
      </c>
      <c r="D147" s="1" t="n">
        <v>45491</v>
      </c>
      <c r="E147" s="1" t="n">
        <v>46217</v>
      </c>
      <c r="F147" t="inlineStr">
        <is>
          <t>NORRBOTTENS LÄN</t>
        </is>
      </c>
      <c r="G147" t="inlineStr">
        <is>
          <t>JOKKMOKK</t>
        </is>
      </c>
      <c r="I147" t="n">
        <v>4.6</v>
      </c>
      <c r="J147" t="n">
        <v>0</v>
      </c>
      <c r="K147" t="n">
        <v>0</v>
      </c>
      <c r="L147" t="n">
        <v>0</v>
      </c>
      <c r="M147" t="n">
        <v>0</v>
      </c>
      <c r="N147" t="n">
        <v>0</v>
      </c>
      <c r="O147" t="n">
        <v>0</v>
      </c>
      <c r="P147" t="n">
        <v>0</v>
      </c>
      <c r="Q147" t="n">
        <v>0</v>
      </c>
      <c r="R147" t="n">
        <v>0</v>
      </c>
      <c r="S147" t="n">
        <v>0</v>
      </c>
      <c r="T147" t="n">
        <v>0</v>
      </c>
      <c r="U147" s="2" t="inlineStr"/>
    </row>
    <row r="148" ht="15" customHeight="1">
      <c r="A148" t="inlineStr">
        <is>
          <t>A 61641-2024</t>
        </is>
      </c>
      <c r="B148" t="inlineStr">
        <is>
          <t>avverkningsanmälan</t>
        </is>
      </c>
      <c r="C148" t="inlineStr">
        <is>
          <t>Föryngringsavverkning</t>
        </is>
      </c>
      <c r="D148" s="1" t="n">
        <v>45646</v>
      </c>
      <c r="E148" s="1" t="n">
        <v>46217</v>
      </c>
      <c r="F148" t="inlineStr">
        <is>
          <t>NORRBOTTENS LÄN</t>
        </is>
      </c>
      <c r="G148" t="inlineStr">
        <is>
          <t>JOKKMOKK</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40658-2024</t>
        </is>
      </c>
      <c r="B149" t="inlineStr">
        <is>
          <t>avverkningsanmälan</t>
        </is>
      </c>
      <c r="C149" t="inlineStr">
        <is>
          <t>Föryngringsavverkning</t>
        </is>
      </c>
      <c r="D149" s="1" t="n">
        <v>45558</v>
      </c>
      <c r="E149" s="1" t="n">
        <v>46217</v>
      </c>
      <c r="F149" t="inlineStr">
        <is>
          <t>NORRBOTTENS LÄN</t>
        </is>
      </c>
      <c r="G149" t="inlineStr">
        <is>
          <t>JOKKMOKK</t>
        </is>
      </c>
      <c r="H149" t="inlineStr">
        <is>
          <t>SCA</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30401-2024</t>
        </is>
      </c>
      <c r="B150" t="inlineStr">
        <is>
          <t>avverkningsanmälan</t>
        </is>
      </c>
      <c r="C150" t="inlineStr">
        <is>
          <t>Föryngringsavverkning</t>
        </is>
      </c>
      <c r="D150" s="1" t="n">
        <v>45491</v>
      </c>
      <c r="E150" s="1" t="n">
        <v>46217</v>
      </c>
      <c r="F150" t="inlineStr">
        <is>
          <t>NORRBOTTENS LÄN</t>
        </is>
      </c>
      <c r="G150" t="inlineStr">
        <is>
          <t>JOKKMOKK</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44145-2024</t>
        </is>
      </c>
      <c r="B151" t="inlineStr">
        <is>
          <t>avverkningsanmälan</t>
        </is>
      </c>
      <c r="C151" t="inlineStr">
        <is>
          <t>Föryngringsavverkning</t>
        </is>
      </c>
      <c r="D151" s="1" t="n">
        <v>45572</v>
      </c>
      <c r="E151" s="1" t="n">
        <v>46217</v>
      </c>
      <c r="F151" t="inlineStr">
        <is>
          <t>NORRBOTTENS LÄN</t>
        </is>
      </c>
      <c r="G151" t="inlineStr">
        <is>
          <t>JOKKMOKK</t>
        </is>
      </c>
      <c r="H151" t="inlineStr">
        <is>
          <t>Sveaskog</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425-2025</t>
        </is>
      </c>
      <c r="B152" t="inlineStr">
        <is>
          <t>avverkningsanmälan</t>
        </is>
      </c>
      <c r="C152" t="inlineStr">
        <is>
          <t>Föryngringsavverkning</t>
        </is>
      </c>
      <c r="D152" s="1" t="n">
        <v>45664</v>
      </c>
      <c r="E152" s="1" t="n">
        <v>46217</v>
      </c>
      <c r="F152" t="inlineStr">
        <is>
          <t>NORRBOTTENS LÄN</t>
        </is>
      </c>
      <c r="G152" t="inlineStr">
        <is>
          <t>JOKKMOKK</t>
        </is>
      </c>
      <c r="H152" t="inlineStr">
        <is>
          <t>Övriga statliga verk och myndigheter</t>
        </is>
      </c>
      <c r="I152" t="n">
        <v>36.5</v>
      </c>
      <c r="J152" t="n">
        <v>0</v>
      </c>
      <c r="K152" t="n">
        <v>0</v>
      </c>
      <c r="L152" t="n">
        <v>0</v>
      </c>
      <c r="M152" t="n">
        <v>0</v>
      </c>
      <c r="N152" t="n">
        <v>0</v>
      </c>
      <c r="O152" t="n">
        <v>0</v>
      </c>
      <c r="P152" t="n">
        <v>0</v>
      </c>
      <c r="Q152" t="n">
        <v>0</v>
      </c>
      <c r="R152" t="n">
        <v>0</v>
      </c>
      <c r="S152" t="n">
        <v>0</v>
      </c>
      <c r="T152" t="n">
        <v>0</v>
      </c>
      <c r="U152" s="2" t="inlineStr"/>
    </row>
    <row r="153" ht="15" customHeight="1">
      <c r="A153" t="inlineStr">
        <is>
          <t>A 457-2025</t>
        </is>
      </c>
      <c r="B153" t="inlineStr">
        <is>
          <t>avverkningsanmälan</t>
        </is>
      </c>
      <c r="C153" t="inlineStr">
        <is>
          <t>Föryngringsavverkning</t>
        </is>
      </c>
      <c r="D153" s="1" t="n">
        <v>45664</v>
      </c>
      <c r="E153" s="1" t="n">
        <v>46217</v>
      </c>
      <c r="F153" t="inlineStr">
        <is>
          <t>NORRBOTTENS LÄN</t>
        </is>
      </c>
      <c r="G153" t="inlineStr">
        <is>
          <t>JOKKMOKK</t>
        </is>
      </c>
      <c r="H153" t="inlineStr">
        <is>
          <t>Övriga statliga verk och myndigheter</t>
        </is>
      </c>
      <c r="I153" t="n">
        <v>8</v>
      </c>
      <c r="J153" t="n">
        <v>0</v>
      </c>
      <c r="K153" t="n">
        <v>0</v>
      </c>
      <c r="L153" t="n">
        <v>0</v>
      </c>
      <c r="M153" t="n">
        <v>0</v>
      </c>
      <c r="N153" t="n">
        <v>0</v>
      </c>
      <c r="O153" t="n">
        <v>0</v>
      </c>
      <c r="P153" t="n">
        <v>0</v>
      </c>
      <c r="Q153" t="n">
        <v>0</v>
      </c>
      <c r="R153" t="n">
        <v>0</v>
      </c>
      <c r="S153" t="n">
        <v>0</v>
      </c>
      <c r="T153" t="n">
        <v>0</v>
      </c>
      <c r="U153" s="2" t="inlineStr"/>
    </row>
    <row r="154" ht="15" customHeight="1">
      <c r="A154" t="inlineStr">
        <is>
          <t>A 458-2025</t>
        </is>
      </c>
      <c r="B154" t="inlineStr">
        <is>
          <t>avverkningsanmälan</t>
        </is>
      </c>
      <c r="C154" t="inlineStr">
        <is>
          <t>Föryngringsavverkning</t>
        </is>
      </c>
      <c r="D154" s="1" t="n">
        <v>45664</v>
      </c>
      <c r="E154" s="1" t="n">
        <v>46217</v>
      </c>
      <c r="F154" t="inlineStr">
        <is>
          <t>NORRBOTTENS LÄN</t>
        </is>
      </c>
      <c r="G154" t="inlineStr">
        <is>
          <t>JOKKMOKK</t>
        </is>
      </c>
      <c r="H154" t="inlineStr">
        <is>
          <t>Övriga statliga verk och myndigheter</t>
        </is>
      </c>
      <c r="I154" t="n">
        <v>10.3</v>
      </c>
      <c r="J154" t="n">
        <v>0</v>
      </c>
      <c r="K154" t="n">
        <v>0</v>
      </c>
      <c r="L154" t="n">
        <v>0</v>
      </c>
      <c r="M154" t="n">
        <v>0</v>
      </c>
      <c r="N154" t="n">
        <v>0</v>
      </c>
      <c r="O154" t="n">
        <v>0</v>
      </c>
      <c r="P154" t="n">
        <v>0</v>
      </c>
      <c r="Q154" t="n">
        <v>0</v>
      </c>
      <c r="R154" t="n">
        <v>0</v>
      </c>
      <c r="S154" t="n">
        <v>0</v>
      </c>
      <c r="T154" t="n">
        <v>0</v>
      </c>
      <c r="U154" s="2" t="inlineStr"/>
    </row>
    <row r="155" ht="15" customHeight="1">
      <c r="A155" t="inlineStr">
        <is>
          <t>A 16847-2023</t>
        </is>
      </c>
      <c r="B155" t="inlineStr">
        <is>
          <t>avverkningsanmälan</t>
        </is>
      </c>
      <c r="C155" t="inlineStr">
        <is>
          <t>Föryngringsavverkning</t>
        </is>
      </c>
      <c r="D155" s="1" t="n">
        <v>45028</v>
      </c>
      <c r="E155" s="1" t="n">
        <v>46217</v>
      </c>
      <c r="F155" t="inlineStr">
        <is>
          <t>NORRBOTTENS LÄN</t>
        </is>
      </c>
      <c r="G155" t="inlineStr">
        <is>
          <t>JOKKMOKK</t>
        </is>
      </c>
      <c r="I155" t="n">
        <v>7.3</v>
      </c>
      <c r="J155" t="n">
        <v>0</v>
      </c>
      <c r="K155" t="n">
        <v>0</v>
      </c>
      <c r="L155" t="n">
        <v>0</v>
      </c>
      <c r="M155" t="n">
        <v>0</v>
      </c>
      <c r="N155" t="n">
        <v>0</v>
      </c>
      <c r="O155" t="n">
        <v>0</v>
      </c>
      <c r="P155" t="n">
        <v>0</v>
      </c>
      <c r="Q155" t="n">
        <v>0</v>
      </c>
      <c r="R155" t="n">
        <v>0</v>
      </c>
      <c r="S155" t="n">
        <v>0</v>
      </c>
      <c r="T155" t="n">
        <v>0</v>
      </c>
      <c r="U155" s="2" t="inlineStr"/>
    </row>
    <row r="156" ht="15" customHeight="1">
      <c r="A156" t="inlineStr">
        <is>
          <t>A 34639-2024</t>
        </is>
      </c>
      <c r="B156" t="inlineStr">
        <is>
          <t>avverkningsanmälan</t>
        </is>
      </c>
      <c r="C156" t="inlineStr">
        <is>
          <t>Föryngringsavverkning</t>
        </is>
      </c>
      <c r="D156" s="1" t="n">
        <v>45526</v>
      </c>
      <c r="E156" s="1" t="n">
        <v>46217</v>
      </c>
      <c r="F156" t="inlineStr">
        <is>
          <t>NORRBOTTENS LÄN</t>
        </is>
      </c>
      <c r="G156" t="inlineStr">
        <is>
          <t>JOKKMOKK</t>
        </is>
      </c>
      <c r="I156" t="n">
        <v>7.7</v>
      </c>
      <c r="J156" t="n">
        <v>0</v>
      </c>
      <c r="K156" t="n">
        <v>0</v>
      </c>
      <c r="L156" t="n">
        <v>0</v>
      </c>
      <c r="M156" t="n">
        <v>0</v>
      </c>
      <c r="N156" t="n">
        <v>0</v>
      </c>
      <c r="O156" t="n">
        <v>0</v>
      </c>
      <c r="P156" t="n">
        <v>0</v>
      </c>
      <c r="Q156" t="n">
        <v>0</v>
      </c>
      <c r="R156" t="n">
        <v>0</v>
      </c>
      <c r="S156" t="n">
        <v>0</v>
      </c>
      <c r="T156" t="n">
        <v>0</v>
      </c>
      <c r="U156" s="2" t="inlineStr"/>
    </row>
    <row r="157" ht="15" customHeight="1">
      <c r="A157" t="inlineStr">
        <is>
          <t>A 9859-2023</t>
        </is>
      </c>
      <c r="B157" t="inlineStr">
        <is>
          <t>avverkningsanmälan</t>
        </is>
      </c>
      <c r="C157" t="inlineStr">
        <is>
          <t>Föryngringsavverkning</t>
        </is>
      </c>
      <c r="D157" s="1" t="n">
        <v>44984</v>
      </c>
      <c r="E157" s="1" t="n">
        <v>46217</v>
      </c>
      <c r="F157" t="inlineStr">
        <is>
          <t>NORRBOTTENS LÄN</t>
        </is>
      </c>
      <c r="G157" t="inlineStr">
        <is>
          <t>JOKKMOKK</t>
        </is>
      </c>
      <c r="H157" t="inlineStr">
        <is>
          <t>SCA</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9864-2023</t>
        </is>
      </c>
      <c r="B158" t="inlineStr">
        <is>
          <t>avverkningsanmälan</t>
        </is>
      </c>
      <c r="C158" t="inlineStr">
        <is>
          <t>Föryngringsavverkning</t>
        </is>
      </c>
      <c r="D158" s="1" t="n">
        <v>44984</v>
      </c>
      <c r="E158" s="1" t="n">
        <v>46217</v>
      </c>
      <c r="F158" t="inlineStr">
        <is>
          <t>NORRBOTTENS LÄN</t>
        </is>
      </c>
      <c r="G158" t="inlineStr">
        <is>
          <t>JOKKMOKK</t>
        </is>
      </c>
      <c r="H158" t="inlineStr">
        <is>
          <t>SCA</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47157-2024</t>
        </is>
      </c>
      <c r="B159" t="inlineStr">
        <is>
          <t>avverkningsanmälan</t>
        </is>
      </c>
      <c r="C159" t="inlineStr">
        <is>
          <t>Föryngringsavverkning</t>
        </is>
      </c>
      <c r="D159" s="1" t="n">
        <v>45586</v>
      </c>
      <c r="E159" s="1" t="n">
        <v>46217</v>
      </c>
      <c r="F159" t="inlineStr">
        <is>
          <t>NORRBOTTENS LÄN</t>
        </is>
      </c>
      <c r="G159" t="inlineStr">
        <is>
          <t>JOKKMOKK</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41923-2021</t>
        </is>
      </c>
      <c r="B160" t="inlineStr">
        <is>
          <t>avverkningsanmälan</t>
        </is>
      </c>
      <c r="C160" t="inlineStr">
        <is>
          <t>Föryngringsavverkning</t>
        </is>
      </c>
      <c r="D160" s="1" t="n">
        <v>44425</v>
      </c>
      <c r="E160" s="1" t="n">
        <v>46217</v>
      </c>
      <c r="F160" t="inlineStr">
        <is>
          <t>NORRBOTTENS LÄN</t>
        </is>
      </c>
      <c r="G160" t="inlineStr">
        <is>
          <t>JOKKMOKK</t>
        </is>
      </c>
      <c r="H160" t="inlineStr">
        <is>
          <t>Övriga statliga verk och myndigheter</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48210-2024</t>
        </is>
      </c>
      <c r="B161" t="inlineStr">
        <is>
          <t>avverkningsanmälan</t>
        </is>
      </c>
      <c r="C161" t="inlineStr">
        <is>
          <t>Föryngringsavverkning</t>
        </is>
      </c>
      <c r="D161" s="1" t="n">
        <v>45590</v>
      </c>
      <c r="E161" s="1" t="n">
        <v>46217</v>
      </c>
      <c r="F161" t="inlineStr">
        <is>
          <t>NORRBOTTENS LÄN</t>
        </is>
      </c>
      <c r="G161" t="inlineStr">
        <is>
          <t>JOKKMOKK</t>
        </is>
      </c>
      <c r="H161" t="inlineStr">
        <is>
          <t>SCA</t>
        </is>
      </c>
      <c r="I161" t="n">
        <v>6.5</v>
      </c>
      <c r="J161" t="n">
        <v>0</v>
      </c>
      <c r="K161" t="n">
        <v>0</v>
      </c>
      <c r="L161" t="n">
        <v>0</v>
      </c>
      <c r="M161" t="n">
        <v>0</v>
      </c>
      <c r="N161" t="n">
        <v>0</v>
      </c>
      <c r="O161" t="n">
        <v>0</v>
      </c>
      <c r="P161" t="n">
        <v>0</v>
      </c>
      <c r="Q161" t="n">
        <v>0</v>
      </c>
      <c r="R161" t="n">
        <v>0</v>
      </c>
      <c r="S161" t="n">
        <v>0</v>
      </c>
      <c r="T161" t="n">
        <v>0</v>
      </c>
      <c r="U161" s="2" t="inlineStr"/>
    </row>
    <row r="162" ht="15" customHeight="1">
      <c r="A162" t="inlineStr">
        <is>
          <t>A 49478-2024</t>
        </is>
      </c>
      <c r="B162" t="inlineStr">
        <is>
          <t>avverkningsanmälan</t>
        </is>
      </c>
      <c r="C162" t="inlineStr">
        <is>
          <t>Föryngringsavverkning</t>
        </is>
      </c>
      <c r="D162" s="1" t="n">
        <v>45596</v>
      </c>
      <c r="E162" s="1" t="n">
        <v>46217</v>
      </c>
      <c r="F162" t="inlineStr">
        <is>
          <t>NORRBOTTENS LÄN</t>
        </is>
      </c>
      <c r="G162" t="inlineStr">
        <is>
          <t>JOKKMOKK</t>
        </is>
      </c>
      <c r="H162" t="inlineStr">
        <is>
          <t>SCA</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38579-2025</t>
        </is>
      </c>
      <c r="B163" t="inlineStr">
        <is>
          <t>avverkningsanmälan</t>
        </is>
      </c>
      <c r="C163" t="inlineStr">
        <is>
          <t>Föryngringsavverkning</t>
        </is>
      </c>
      <c r="D163" s="1" t="n">
        <v>45884</v>
      </c>
      <c r="E163" s="1" t="n">
        <v>46217</v>
      </c>
      <c r="F163" t="inlineStr">
        <is>
          <t>NORRBOTTENS LÄN</t>
        </is>
      </c>
      <c r="G163" t="inlineStr">
        <is>
          <t>JOKKMOKK</t>
        </is>
      </c>
      <c r="H163" t="inlineStr">
        <is>
          <t>SCA</t>
        </is>
      </c>
      <c r="I163" t="n">
        <v>2.6</v>
      </c>
      <c r="J163" t="n">
        <v>0</v>
      </c>
      <c r="K163" t="n">
        <v>0</v>
      </c>
      <c r="L163" t="n">
        <v>0</v>
      </c>
      <c r="M163" t="n">
        <v>0</v>
      </c>
      <c r="N163" t="n">
        <v>0</v>
      </c>
      <c r="O163" t="n">
        <v>0</v>
      </c>
      <c r="P163" t="n">
        <v>0</v>
      </c>
      <c r="Q163" t="n">
        <v>0</v>
      </c>
      <c r="R163" t="n">
        <v>0</v>
      </c>
      <c r="S163" t="n">
        <v>0</v>
      </c>
      <c r="T163" t="n">
        <v>0</v>
      </c>
      <c r="U163" s="2" t="inlineStr"/>
    </row>
    <row r="164" ht="15" customHeight="1">
      <c r="A164" t="inlineStr">
        <is>
          <t>A 9874-2023</t>
        </is>
      </c>
      <c r="B164" t="inlineStr">
        <is>
          <t>avverkningsanmälan</t>
        </is>
      </c>
      <c r="C164" t="inlineStr">
        <is>
          <t>Föryngringsavverkning</t>
        </is>
      </c>
      <c r="D164" s="1" t="n">
        <v>44984</v>
      </c>
      <c r="E164" s="1" t="n">
        <v>46217</v>
      </c>
      <c r="F164" t="inlineStr">
        <is>
          <t>NORRBOTTENS LÄN</t>
        </is>
      </c>
      <c r="G164" t="inlineStr">
        <is>
          <t>JOKKMOKK</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9875-2023</t>
        </is>
      </c>
      <c r="B165" t="inlineStr">
        <is>
          <t>avverkningsanmälan</t>
        </is>
      </c>
      <c r="C165" t="inlineStr">
        <is>
          <t>Föryngringsavverkning</t>
        </is>
      </c>
      <c r="D165" s="1" t="n">
        <v>44984</v>
      </c>
      <c r="E165" s="1" t="n">
        <v>46217</v>
      </c>
      <c r="F165" t="inlineStr">
        <is>
          <t>NORRBOTTENS LÄN</t>
        </is>
      </c>
      <c r="G165" t="inlineStr">
        <is>
          <t>JOKKMOKK</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37120-2025</t>
        </is>
      </c>
      <c r="B166" t="inlineStr">
        <is>
          <t>avverkningsanmälan</t>
        </is>
      </c>
      <c r="C166" t="inlineStr">
        <is>
          <t>Föryngringsavverkning</t>
        </is>
      </c>
      <c r="D166" s="1" t="n">
        <v>45875</v>
      </c>
      <c r="E166" s="1" t="n">
        <v>46217</v>
      </c>
      <c r="F166" t="inlineStr">
        <is>
          <t>NORRBOTTENS LÄN</t>
        </is>
      </c>
      <c r="G166" t="inlineStr">
        <is>
          <t>JOKKMOKK</t>
        </is>
      </c>
      <c r="I166" t="n">
        <v>17.6</v>
      </c>
      <c r="J166" t="n">
        <v>0</v>
      </c>
      <c r="K166" t="n">
        <v>0</v>
      </c>
      <c r="L166" t="n">
        <v>0</v>
      </c>
      <c r="M166" t="n">
        <v>0</v>
      </c>
      <c r="N166" t="n">
        <v>0</v>
      </c>
      <c r="O166" t="n">
        <v>0</v>
      </c>
      <c r="P166" t="n">
        <v>0</v>
      </c>
      <c r="Q166" t="n">
        <v>0</v>
      </c>
      <c r="R166" t="n">
        <v>0</v>
      </c>
      <c r="S166" t="n">
        <v>0</v>
      </c>
      <c r="T166" t="n">
        <v>0</v>
      </c>
      <c r="U166" s="2" t="inlineStr"/>
    </row>
    <row r="167" ht="15" customHeight="1">
      <c r="A167" t="inlineStr">
        <is>
          <t>A 37694-2025</t>
        </is>
      </c>
      <c r="B167" t="inlineStr">
        <is>
          <t>avverkningsanmälan</t>
        </is>
      </c>
      <c r="C167" t="inlineStr">
        <is>
          <t>Föryngringsavverkning</t>
        </is>
      </c>
      <c r="D167" s="1" t="n">
        <v>45880</v>
      </c>
      <c r="E167" s="1" t="n">
        <v>46217</v>
      </c>
      <c r="F167" t="inlineStr">
        <is>
          <t>NORRBOTTENS LÄN</t>
        </is>
      </c>
      <c r="G167" t="inlineStr">
        <is>
          <t>JOKKMOKK</t>
        </is>
      </c>
      <c r="H167" t="inlineStr">
        <is>
          <t>SCA</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25622-2026</t>
        </is>
      </c>
      <c r="B168" t="inlineStr">
        <is>
          <t>avverkningsanmälan</t>
        </is>
      </c>
      <c r="C168" t="inlineStr">
        <is>
          <t>Föryngringsavverkning</t>
        </is>
      </c>
      <c r="D168" s="1" t="n">
        <v>46177</v>
      </c>
      <c r="E168" s="1" t="n">
        <v>46217</v>
      </c>
      <c r="F168" t="inlineStr">
        <is>
          <t>NORRBOTTENS LÄN</t>
        </is>
      </c>
      <c r="G168" t="inlineStr">
        <is>
          <t>JOKKMOKK</t>
        </is>
      </c>
      <c r="H168" t="inlineStr">
        <is>
          <t>SCA</t>
        </is>
      </c>
      <c r="I168" t="n">
        <v>8.4</v>
      </c>
      <c r="J168" t="n">
        <v>0</v>
      </c>
      <c r="K168" t="n">
        <v>0</v>
      </c>
      <c r="L168" t="n">
        <v>0</v>
      </c>
      <c r="M168" t="n">
        <v>0</v>
      </c>
      <c r="N168" t="n">
        <v>0</v>
      </c>
      <c r="O168" t="n">
        <v>0</v>
      </c>
      <c r="P168" t="n">
        <v>0</v>
      </c>
      <c r="Q168" t="n">
        <v>0</v>
      </c>
      <c r="R168" t="n">
        <v>0</v>
      </c>
      <c r="S168" t="n">
        <v>0</v>
      </c>
      <c r="T168" t="n">
        <v>0</v>
      </c>
      <c r="U168" s="2" t="inlineStr"/>
    </row>
    <row r="169" ht="15" customHeight="1">
      <c r="A169" t="inlineStr">
        <is>
          <t>A 38223-2025</t>
        </is>
      </c>
      <c r="B169" t="inlineStr">
        <is>
          <t>avverkningsanmälan</t>
        </is>
      </c>
      <c r="C169" t="inlineStr">
        <is>
          <t>Föryngringsavverkning</t>
        </is>
      </c>
      <c r="D169" s="1" t="n">
        <v>45883</v>
      </c>
      <c r="E169" s="1" t="n">
        <v>46217</v>
      </c>
      <c r="F169" t="inlineStr">
        <is>
          <t>NORRBOTTENS LÄN</t>
        </is>
      </c>
      <c r="G169" t="inlineStr">
        <is>
          <t>JOKKMOKK</t>
        </is>
      </c>
      <c r="H169" t="inlineStr">
        <is>
          <t>SCA</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25661-2026</t>
        </is>
      </c>
      <c r="B170" t="inlineStr">
        <is>
          <t>avverkningsanmälan</t>
        </is>
      </c>
      <c r="C170" t="inlineStr">
        <is>
          <t>Föryngringsavverkning</t>
        </is>
      </c>
      <c r="D170" s="1" t="n">
        <v>46178</v>
      </c>
      <c r="E170" s="1" t="n">
        <v>46217</v>
      </c>
      <c r="F170" t="inlineStr">
        <is>
          <t>NORRBOTTENS LÄN</t>
        </is>
      </c>
      <c r="G170" t="inlineStr">
        <is>
          <t>JOKKMOKK</t>
        </is>
      </c>
      <c r="H170" t="inlineStr">
        <is>
          <t>Sveaskog</t>
        </is>
      </c>
      <c r="I170" t="n">
        <v>51.9</v>
      </c>
      <c r="J170" t="n">
        <v>0</v>
      </c>
      <c r="K170" t="n">
        <v>0</v>
      </c>
      <c r="L170" t="n">
        <v>0</v>
      </c>
      <c r="M170" t="n">
        <v>0</v>
      </c>
      <c r="N170" t="n">
        <v>0</v>
      </c>
      <c r="O170" t="n">
        <v>0</v>
      </c>
      <c r="P170" t="n">
        <v>0</v>
      </c>
      <c r="Q170" t="n">
        <v>0</v>
      </c>
      <c r="R170" t="n">
        <v>0</v>
      </c>
      <c r="S170" t="n">
        <v>0</v>
      </c>
      <c r="T170" t="n">
        <v>0</v>
      </c>
      <c r="U170" s="2" t="inlineStr"/>
    </row>
    <row r="171" ht="15" customHeight="1">
      <c r="A171" t="inlineStr">
        <is>
          <t>A 42481-2024</t>
        </is>
      </c>
      <c r="B171" t="inlineStr">
        <is>
          <t>avverkningsanmälan</t>
        </is>
      </c>
      <c r="C171" t="inlineStr">
        <is>
          <t>Föryngringsavverkning</t>
        </is>
      </c>
      <c r="D171" s="1" t="n">
        <v>45565</v>
      </c>
      <c r="E171" s="1" t="n">
        <v>46217</v>
      </c>
      <c r="F171" t="inlineStr">
        <is>
          <t>NORRBOTTENS LÄN</t>
        </is>
      </c>
      <c r="G171" t="inlineStr">
        <is>
          <t>JOKKMOKK</t>
        </is>
      </c>
      <c r="H171" t="inlineStr">
        <is>
          <t>SCA</t>
        </is>
      </c>
      <c r="I171" t="n">
        <v>25.2</v>
      </c>
      <c r="J171" t="n">
        <v>0</v>
      </c>
      <c r="K171" t="n">
        <v>0</v>
      </c>
      <c r="L171" t="n">
        <v>0</v>
      </c>
      <c r="M171" t="n">
        <v>0</v>
      </c>
      <c r="N171" t="n">
        <v>0</v>
      </c>
      <c r="O171" t="n">
        <v>0</v>
      </c>
      <c r="P171" t="n">
        <v>0</v>
      </c>
      <c r="Q171" t="n">
        <v>0</v>
      </c>
      <c r="R171" t="n">
        <v>0</v>
      </c>
      <c r="S171" t="n">
        <v>0</v>
      </c>
      <c r="T171" t="n">
        <v>0</v>
      </c>
      <c r="U171" s="2" t="inlineStr"/>
    </row>
    <row r="172" ht="15" customHeight="1">
      <c r="A172" t="inlineStr">
        <is>
          <t>A 53232-2024</t>
        </is>
      </c>
      <c r="B172" t="inlineStr">
        <is>
          <t>avverkningsanmälan</t>
        </is>
      </c>
      <c r="C172" t="inlineStr">
        <is>
          <t>Föryngringsavverkning</t>
        </is>
      </c>
      <c r="D172" s="1" t="n">
        <v>45613</v>
      </c>
      <c r="E172" s="1" t="n">
        <v>46217</v>
      </c>
      <c r="F172" t="inlineStr">
        <is>
          <t>NORRBOTTENS LÄN</t>
        </is>
      </c>
      <c r="G172" t="inlineStr">
        <is>
          <t>JOKKMOKK</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25600-2026</t>
        </is>
      </c>
      <c r="B173" t="inlineStr">
        <is>
          <t>avverkningsanmälan</t>
        </is>
      </c>
      <c r="C173" t="inlineStr">
        <is>
          <t>Föryngringsavverkning</t>
        </is>
      </c>
      <c r="D173" s="1" t="n">
        <v>46177</v>
      </c>
      <c r="E173" s="1" t="n">
        <v>46217</v>
      </c>
      <c r="F173" t="inlineStr">
        <is>
          <t>NORRBOTTENS LÄN</t>
        </is>
      </c>
      <c r="G173" t="inlineStr">
        <is>
          <t>JOKKMOKK</t>
        </is>
      </c>
      <c r="H173" t="inlineStr">
        <is>
          <t>Sveaskog</t>
        </is>
      </c>
      <c r="I173" t="n">
        <v>19.4</v>
      </c>
      <c r="J173" t="n">
        <v>0</v>
      </c>
      <c r="K173" t="n">
        <v>0</v>
      </c>
      <c r="L173" t="n">
        <v>0</v>
      </c>
      <c r="M173" t="n">
        <v>0</v>
      </c>
      <c r="N173" t="n">
        <v>0</v>
      </c>
      <c r="O173" t="n">
        <v>0</v>
      </c>
      <c r="P173" t="n">
        <v>0</v>
      </c>
      <c r="Q173" t="n">
        <v>0</v>
      </c>
      <c r="R173" t="n">
        <v>0</v>
      </c>
      <c r="S173" t="n">
        <v>0</v>
      </c>
      <c r="T173" t="n">
        <v>0</v>
      </c>
      <c r="U173" s="2" t="inlineStr"/>
    </row>
    <row r="174" ht="15" customHeight="1">
      <c r="A174" t="inlineStr">
        <is>
          <t>A 453-2025</t>
        </is>
      </c>
      <c r="B174" t="inlineStr">
        <is>
          <t>avverkningsanmälan</t>
        </is>
      </c>
      <c r="C174" t="inlineStr">
        <is>
          <t>Föryngringsavverkning</t>
        </is>
      </c>
      <c r="D174" s="1" t="n">
        <v>45664</v>
      </c>
      <c r="E174" s="1" t="n">
        <v>46217</v>
      </c>
      <c r="F174" t="inlineStr">
        <is>
          <t>NORRBOTTENS LÄN</t>
        </is>
      </c>
      <c r="G174" t="inlineStr">
        <is>
          <t>JOKKMOKK</t>
        </is>
      </c>
      <c r="H174" t="inlineStr">
        <is>
          <t>Övriga statliga verk och myndigheter</t>
        </is>
      </c>
      <c r="I174" t="n">
        <v>5</v>
      </c>
      <c r="J174" t="n">
        <v>0</v>
      </c>
      <c r="K174" t="n">
        <v>0</v>
      </c>
      <c r="L174" t="n">
        <v>0</v>
      </c>
      <c r="M174" t="n">
        <v>0</v>
      </c>
      <c r="N174" t="n">
        <v>0</v>
      </c>
      <c r="O174" t="n">
        <v>0</v>
      </c>
      <c r="P174" t="n">
        <v>0</v>
      </c>
      <c r="Q174" t="n">
        <v>0</v>
      </c>
      <c r="R174" t="n">
        <v>0</v>
      </c>
      <c r="S174" t="n">
        <v>0</v>
      </c>
      <c r="T174" t="n">
        <v>0</v>
      </c>
      <c r="U174" s="2" t="inlineStr"/>
    </row>
    <row r="175" ht="15" customHeight="1">
      <c r="A175" t="inlineStr">
        <is>
          <t>A 56523-2021</t>
        </is>
      </c>
      <c r="B175" t="inlineStr">
        <is>
          <t>avverkningsanmälan</t>
        </is>
      </c>
      <c r="C175" t="inlineStr">
        <is>
          <t>Föryngringsavverkning</t>
        </is>
      </c>
      <c r="D175" s="1" t="n">
        <v>44477</v>
      </c>
      <c r="E175" s="1" t="n">
        <v>46217</v>
      </c>
      <c r="F175" t="inlineStr">
        <is>
          <t>NORRBOTTENS LÄN</t>
        </is>
      </c>
      <c r="G175" t="inlineStr">
        <is>
          <t>JOKKMOKK</t>
        </is>
      </c>
      <c r="I175" t="n">
        <v>6.6</v>
      </c>
      <c r="J175" t="n">
        <v>0</v>
      </c>
      <c r="K175" t="n">
        <v>0</v>
      </c>
      <c r="L175" t="n">
        <v>0</v>
      </c>
      <c r="M175" t="n">
        <v>0</v>
      </c>
      <c r="N175" t="n">
        <v>0</v>
      </c>
      <c r="O175" t="n">
        <v>0</v>
      </c>
      <c r="P175" t="n">
        <v>0</v>
      </c>
      <c r="Q175" t="n">
        <v>0</v>
      </c>
      <c r="R175" t="n">
        <v>0</v>
      </c>
      <c r="S175" t="n">
        <v>0</v>
      </c>
      <c r="T175" t="n">
        <v>0</v>
      </c>
      <c r="U175" s="2" t="inlineStr"/>
    </row>
    <row r="176" ht="15" customHeight="1">
      <c r="A176" t="inlineStr">
        <is>
          <t>A 40808-2025</t>
        </is>
      </c>
      <c r="B176" t="inlineStr">
        <is>
          <t>avverkningsanmälan</t>
        </is>
      </c>
      <c r="C176" t="inlineStr">
        <is>
          <t>Föryngringsavverkning</t>
        </is>
      </c>
      <c r="D176" s="1" t="n">
        <v>45897</v>
      </c>
      <c r="E176" s="1" t="n">
        <v>46217</v>
      </c>
      <c r="F176" t="inlineStr">
        <is>
          <t>NORRBOTTENS LÄN</t>
        </is>
      </c>
      <c r="G176" t="inlineStr">
        <is>
          <t>JOKKMOKK</t>
        </is>
      </c>
      <c r="H176" t="inlineStr">
        <is>
          <t>SCA</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30511-2023</t>
        </is>
      </c>
      <c r="B177" t="inlineStr">
        <is>
          <t>avverkningsanmälan</t>
        </is>
      </c>
      <c r="C177" t="inlineStr">
        <is>
          <t>Föryngringsavverkning</t>
        </is>
      </c>
      <c r="D177" s="1" t="n">
        <v>45111</v>
      </c>
      <c r="E177" s="1" t="n">
        <v>46217</v>
      </c>
      <c r="F177" t="inlineStr">
        <is>
          <t>NORRBOTTENS LÄN</t>
        </is>
      </c>
      <c r="G177" t="inlineStr">
        <is>
          <t>JOKKMOKK</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41403-2025</t>
        </is>
      </c>
      <c r="B178" t="inlineStr">
        <is>
          <t>avverkningsanmälan</t>
        </is>
      </c>
      <c r="C178" t="inlineStr">
        <is>
          <t>Föryngringsavverkning</t>
        </is>
      </c>
      <c r="D178" s="1" t="n">
        <v>45901</v>
      </c>
      <c r="E178" s="1" t="n">
        <v>46217</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s="2" t="inlineStr"/>
    </row>
    <row r="179" ht="15" customHeight="1">
      <c r="A179" t="inlineStr">
        <is>
          <t>A 25594-2026</t>
        </is>
      </c>
      <c r="B179" t="inlineStr">
        <is>
          <t>avverkningsanmälan</t>
        </is>
      </c>
      <c r="C179" t="inlineStr">
        <is>
          <t>Avverkning för annat ändamål</t>
        </is>
      </c>
      <c r="D179" s="1" t="n">
        <v>46177</v>
      </c>
      <c r="E179" s="1" t="n">
        <v>46217</v>
      </c>
      <c r="F179" t="inlineStr">
        <is>
          <t>NORRBOTTENS LÄN</t>
        </is>
      </c>
      <c r="G179" t="inlineStr">
        <is>
          <t>JOKKMOKK</t>
        </is>
      </c>
      <c r="H179" t="inlineStr">
        <is>
          <t>Sveaskog</t>
        </is>
      </c>
      <c r="I179" t="n">
        <v>3.7</v>
      </c>
      <c r="J179" t="n">
        <v>0</v>
      </c>
      <c r="K179" t="n">
        <v>0</v>
      </c>
      <c r="L179" t="n">
        <v>0</v>
      </c>
      <c r="M179" t="n">
        <v>0</v>
      </c>
      <c r="N179" t="n">
        <v>0</v>
      </c>
      <c r="O179" t="n">
        <v>0</v>
      </c>
      <c r="P179" t="n">
        <v>0</v>
      </c>
      <c r="Q179" t="n">
        <v>0</v>
      </c>
      <c r="R179" t="n">
        <v>0</v>
      </c>
      <c r="S179" t="n">
        <v>0</v>
      </c>
      <c r="T179" t="n">
        <v>0</v>
      </c>
      <c r="U179" s="2" t="inlineStr"/>
    </row>
    <row r="180" ht="15" customHeight="1">
      <c r="A180" t="inlineStr">
        <is>
          <t>A 42126-2025</t>
        </is>
      </c>
      <c r="B180" t="inlineStr">
        <is>
          <t>avverkningsanmälan</t>
        </is>
      </c>
      <c r="C180" t="inlineStr">
        <is>
          <t>Föryngringsavverkning</t>
        </is>
      </c>
      <c r="D180" s="1" t="n">
        <v>45904</v>
      </c>
      <c r="E180" s="1" t="n">
        <v>46217</v>
      </c>
      <c r="F180" t="inlineStr">
        <is>
          <t>NORRBOTTENS LÄN</t>
        </is>
      </c>
      <c r="G180" t="inlineStr">
        <is>
          <t>JOKKMOKK</t>
        </is>
      </c>
      <c r="H180" t="inlineStr">
        <is>
          <t>SCA</t>
        </is>
      </c>
      <c r="I180" t="n">
        <v>4.9</v>
      </c>
      <c r="J180" t="n">
        <v>0</v>
      </c>
      <c r="K180" t="n">
        <v>0</v>
      </c>
      <c r="L180" t="n">
        <v>0</v>
      </c>
      <c r="M180" t="n">
        <v>0</v>
      </c>
      <c r="N180" t="n">
        <v>0</v>
      </c>
      <c r="O180" t="n">
        <v>0</v>
      </c>
      <c r="P180" t="n">
        <v>0</v>
      </c>
      <c r="Q180" t="n">
        <v>0</v>
      </c>
      <c r="R180" t="n">
        <v>0</v>
      </c>
      <c r="S180" t="n">
        <v>0</v>
      </c>
      <c r="T180" t="n">
        <v>0</v>
      </c>
      <c r="U180" s="2" t="inlineStr"/>
    </row>
    <row r="181" ht="15" customHeight="1">
      <c r="A181" t="inlineStr">
        <is>
          <t>A 42664-2025</t>
        </is>
      </c>
      <c r="B181" t="inlineStr">
        <is>
          <t>avverkningsanmälan</t>
        </is>
      </c>
      <c r="C181" t="inlineStr">
        <is>
          <t>Avverkning för annat ändamål</t>
        </is>
      </c>
      <c r="D181" s="1" t="n">
        <v>45907</v>
      </c>
      <c r="E181" s="1" t="n">
        <v>46217</v>
      </c>
      <c r="F181" t="inlineStr">
        <is>
          <t>NORRBOTTENS LÄN</t>
        </is>
      </c>
      <c r="G181" t="inlineStr">
        <is>
          <t>JOKKMOKK</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61500-2024</t>
        </is>
      </c>
      <c r="B182" t="inlineStr">
        <is>
          <t>avverkningsanmälan</t>
        </is>
      </c>
      <c r="C182" t="inlineStr">
        <is>
          <t>Föryngringsavverkning</t>
        </is>
      </c>
      <c r="D182" s="1" t="n">
        <v>45645</v>
      </c>
      <c r="E182" s="1" t="n">
        <v>46217</v>
      </c>
      <c r="F182" t="inlineStr">
        <is>
          <t>NORRBOTTENS LÄN</t>
        </is>
      </c>
      <c r="G182" t="inlineStr">
        <is>
          <t>JOKKMOKK</t>
        </is>
      </c>
      <c r="I182" t="n">
        <v>39.8</v>
      </c>
      <c r="J182" t="n">
        <v>0</v>
      </c>
      <c r="K182" t="n">
        <v>0</v>
      </c>
      <c r="L182" t="n">
        <v>0</v>
      </c>
      <c r="M182" t="n">
        <v>0</v>
      </c>
      <c r="N182" t="n">
        <v>0</v>
      </c>
      <c r="O182" t="n">
        <v>0</v>
      </c>
      <c r="P182" t="n">
        <v>0</v>
      </c>
      <c r="Q182" t="n">
        <v>0</v>
      </c>
      <c r="R182" t="n">
        <v>0</v>
      </c>
      <c r="S182" t="n">
        <v>0</v>
      </c>
      <c r="T182" t="n">
        <v>0</v>
      </c>
      <c r="U182" s="2" t="inlineStr"/>
    </row>
    <row r="183" ht="15" customHeight="1">
      <c r="A183" t="inlineStr">
        <is>
          <t>A 35876-2022</t>
        </is>
      </c>
      <c r="B183" t="inlineStr">
        <is>
          <t>avverkningsanmälan</t>
        </is>
      </c>
      <c r="C183" t="inlineStr">
        <is>
          <t>Föryngringsavverkning</t>
        </is>
      </c>
      <c r="D183" s="1" t="n">
        <v>44802</v>
      </c>
      <c r="E183" s="1" t="n">
        <v>46217</v>
      </c>
      <c r="F183" t="inlineStr">
        <is>
          <t>NORRBOTTENS LÄN</t>
        </is>
      </c>
      <c r="G183" t="inlineStr">
        <is>
          <t>JOKKMOKK</t>
        </is>
      </c>
      <c r="I183" t="n">
        <v>9.5</v>
      </c>
      <c r="J183" t="n">
        <v>0</v>
      </c>
      <c r="K183" t="n">
        <v>0</v>
      </c>
      <c r="L183" t="n">
        <v>0</v>
      </c>
      <c r="M183" t="n">
        <v>0</v>
      </c>
      <c r="N183" t="n">
        <v>0</v>
      </c>
      <c r="O183" t="n">
        <v>0</v>
      </c>
      <c r="P183" t="n">
        <v>0</v>
      </c>
      <c r="Q183" t="n">
        <v>0</v>
      </c>
      <c r="R183" t="n">
        <v>0</v>
      </c>
      <c r="S183" t="n">
        <v>0</v>
      </c>
      <c r="T183" t="n">
        <v>0</v>
      </c>
      <c r="U183" s="2" t="inlineStr"/>
    </row>
    <row r="184" ht="15" customHeight="1">
      <c r="A184" t="inlineStr">
        <is>
          <t>A 43658-2025</t>
        </is>
      </c>
      <c r="B184" t="inlineStr">
        <is>
          <t>avverkningsanmälan</t>
        </is>
      </c>
      <c r="C184" t="inlineStr">
        <is>
          <t>Föryngringsavverkning</t>
        </is>
      </c>
      <c r="D184" s="1" t="n">
        <v>45912</v>
      </c>
      <c r="E184" s="1" t="n">
        <v>46217</v>
      </c>
      <c r="F184" t="inlineStr">
        <is>
          <t>NORRBOTTENS LÄN</t>
        </is>
      </c>
      <c r="G184" t="inlineStr">
        <is>
          <t>JOKKMOKK</t>
        </is>
      </c>
      <c r="H184" t="inlineStr">
        <is>
          <t>SCA</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44958-2025</t>
        </is>
      </c>
      <c r="B185" t="inlineStr">
        <is>
          <t>avverkningsanmälan</t>
        </is>
      </c>
      <c r="C185" t="inlineStr">
        <is>
          <t>Föryngringsavverkning</t>
        </is>
      </c>
      <c r="D185" s="1" t="n">
        <v>45918</v>
      </c>
      <c r="E185" s="1" t="n">
        <v>46217</v>
      </c>
      <c r="F185" t="inlineStr">
        <is>
          <t>NORRBOTTENS LÄN</t>
        </is>
      </c>
      <c r="G185" t="inlineStr">
        <is>
          <t>JOKKMOKK</t>
        </is>
      </c>
      <c r="H185" t="inlineStr">
        <is>
          <t>SCA</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61760-2024</t>
        </is>
      </c>
      <c r="B186" t="inlineStr">
        <is>
          <t>avverkningsanmälan</t>
        </is>
      </c>
      <c r="C186" t="inlineStr">
        <is>
          <t>Föryngringsavverkning</t>
        </is>
      </c>
      <c r="D186" s="1" t="n">
        <v>45649</v>
      </c>
      <c r="E186" s="1" t="n">
        <v>46217</v>
      </c>
      <c r="F186" t="inlineStr">
        <is>
          <t>NORRBOTTENS LÄN</t>
        </is>
      </c>
      <c r="G186" t="inlineStr">
        <is>
          <t>JOKKMOKK</t>
        </is>
      </c>
      <c r="H186" t="inlineStr">
        <is>
          <t>Övriga statliga verk och myndigheter</t>
        </is>
      </c>
      <c r="I186" t="n">
        <v>19.3</v>
      </c>
      <c r="J186" t="n">
        <v>0</v>
      </c>
      <c r="K186" t="n">
        <v>0</v>
      </c>
      <c r="L186" t="n">
        <v>0</v>
      </c>
      <c r="M186" t="n">
        <v>0</v>
      </c>
      <c r="N186" t="n">
        <v>0</v>
      </c>
      <c r="O186" t="n">
        <v>0</v>
      </c>
      <c r="P186" t="n">
        <v>0</v>
      </c>
      <c r="Q186" t="n">
        <v>0</v>
      </c>
      <c r="R186" t="n">
        <v>0</v>
      </c>
      <c r="S186" t="n">
        <v>0</v>
      </c>
      <c r="T186" t="n">
        <v>0</v>
      </c>
      <c r="U186" s="2" t="inlineStr"/>
    </row>
    <row r="187" ht="15" customHeight="1">
      <c r="A187" t="inlineStr">
        <is>
          <t>A 46837-2025</t>
        </is>
      </c>
      <c r="B187" t="inlineStr">
        <is>
          <t>avverkningsanmälan</t>
        </is>
      </c>
      <c r="C187" t="inlineStr">
        <is>
          <t>Föryngringsavverkning</t>
        </is>
      </c>
      <c r="D187" s="1" t="n">
        <v>45928</v>
      </c>
      <c r="E187" s="1" t="n">
        <v>46217</v>
      </c>
      <c r="F187" t="inlineStr">
        <is>
          <t>NORRBOTTENS LÄN</t>
        </is>
      </c>
      <c r="G187" t="inlineStr">
        <is>
          <t>JOKKMOKK</t>
        </is>
      </c>
      <c r="H187" t="inlineStr">
        <is>
          <t>SCA</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32915-2023</t>
        </is>
      </c>
      <c r="B188" t="inlineStr">
        <is>
          <t>avverkningsanmälan</t>
        </is>
      </c>
      <c r="C188" t="inlineStr">
        <is>
          <t>Föryngringsavverkning</t>
        </is>
      </c>
      <c r="D188" s="1" t="n">
        <v>45124</v>
      </c>
      <c r="E188" s="1" t="n">
        <v>46217</v>
      </c>
      <c r="F188" t="inlineStr">
        <is>
          <t>NORRBOTTENS LÄN</t>
        </is>
      </c>
      <c r="G188" t="inlineStr">
        <is>
          <t>JOKKMOKK</t>
        </is>
      </c>
      <c r="H188" t="inlineStr">
        <is>
          <t>SCA</t>
        </is>
      </c>
      <c r="I188" t="n">
        <v>15.1</v>
      </c>
      <c r="J188" t="n">
        <v>0</v>
      </c>
      <c r="K188" t="n">
        <v>0</v>
      </c>
      <c r="L188" t="n">
        <v>0</v>
      </c>
      <c r="M188" t="n">
        <v>0</v>
      </c>
      <c r="N188" t="n">
        <v>0</v>
      </c>
      <c r="O188" t="n">
        <v>0</v>
      </c>
      <c r="P188" t="n">
        <v>0</v>
      </c>
      <c r="Q188" t="n">
        <v>0</v>
      </c>
      <c r="R188" t="n">
        <v>0</v>
      </c>
      <c r="S188" t="n">
        <v>0</v>
      </c>
      <c r="T188" t="n">
        <v>0</v>
      </c>
      <c r="U188" s="2" t="inlineStr"/>
    </row>
    <row r="189" ht="15" customHeight="1">
      <c r="A189" t="inlineStr">
        <is>
          <t>A 38928-2025</t>
        </is>
      </c>
      <c r="B189" t="inlineStr">
        <is>
          <t>avverkningsanmälan</t>
        </is>
      </c>
      <c r="C189" t="inlineStr">
        <is>
          <t>Föryngringsavverkning</t>
        </is>
      </c>
      <c r="D189" s="1" t="n">
        <v>45887</v>
      </c>
      <c r="E189" s="1" t="n">
        <v>46217</v>
      </c>
      <c r="F189" t="inlineStr">
        <is>
          <t>NORRBOTTENS LÄN</t>
        </is>
      </c>
      <c r="G189" t="inlineStr">
        <is>
          <t>JOKKMOKK</t>
        </is>
      </c>
      <c r="H189" t="inlineStr">
        <is>
          <t>SCA</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30041-2024</t>
        </is>
      </c>
      <c r="B190" t="inlineStr">
        <is>
          <t>avverkningsanmälan</t>
        </is>
      </c>
      <c r="C190" t="inlineStr">
        <is>
          <t>Föryngringsavverkning</t>
        </is>
      </c>
      <c r="D190" s="1" t="n">
        <v>45488</v>
      </c>
      <c r="E190" s="1" t="n">
        <v>46217</v>
      </c>
      <c r="F190" t="inlineStr">
        <is>
          <t>NORRBOTTENS LÄN</t>
        </is>
      </c>
      <c r="G190" t="inlineStr">
        <is>
          <t>JOKKMOKK</t>
        </is>
      </c>
      <c r="I190" t="n">
        <v>19.9</v>
      </c>
      <c r="J190" t="n">
        <v>0</v>
      </c>
      <c r="K190" t="n">
        <v>0</v>
      </c>
      <c r="L190" t="n">
        <v>0</v>
      </c>
      <c r="M190" t="n">
        <v>0</v>
      </c>
      <c r="N190" t="n">
        <v>0</v>
      </c>
      <c r="O190" t="n">
        <v>0</v>
      </c>
      <c r="P190" t="n">
        <v>0</v>
      </c>
      <c r="Q190" t="n">
        <v>0</v>
      </c>
      <c r="R190" t="n">
        <v>0</v>
      </c>
      <c r="S190" t="n">
        <v>0</v>
      </c>
      <c r="T190" t="n">
        <v>0</v>
      </c>
      <c r="U190" s="2" t="inlineStr"/>
    </row>
    <row r="191" ht="15" customHeight="1">
      <c r="A191" t="inlineStr">
        <is>
          <t>A 20142-2026</t>
        </is>
      </c>
      <c r="B191" t="inlineStr">
        <is>
          <t>avverkningsanmälan</t>
        </is>
      </c>
      <c r="C191" t="inlineStr">
        <is>
          <t>Föryngringsavverkning</t>
        </is>
      </c>
      <c r="D191" s="1" t="n">
        <v>46137</v>
      </c>
      <c r="E191" s="1" t="n">
        <v>46217</v>
      </c>
      <c r="F191" t="inlineStr">
        <is>
          <t>NORRBOTTENS LÄN</t>
        </is>
      </c>
      <c r="G191" t="inlineStr">
        <is>
          <t>JOKKMOKK</t>
        </is>
      </c>
      <c r="H191" t="inlineStr">
        <is>
          <t>SCA</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16864-2023</t>
        </is>
      </c>
      <c r="B192" t="inlineStr">
        <is>
          <t>avverkningsanmälan</t>
        </is>
      </c>
      <c r="C192" t="inlineStr">
        <is>
          <t>Föryngringsavverkning</t>
        </is>
      </c>
      <c r="D192" s="1" t="n">
        <v>45028</v>
      </c>
      <c r="E192" s="1" t="n">
        <v>46217</v>
      </c>
      <c r="F192" t="inlineStr">
        <is>
          <t>NORRBOTTENS LÄN</t>
        </is>
      </c>
      <c r="G192" t="inlineStr">
        <is>
          <t>JOKKMOKK</t>
        </is>
      </c>
      <c r="I192" t="n">
        <v>4</v>
      </c>
      <c r="J192" t="n">
        <v>0</v>
      </c>
      <c r="K192" t="n">
        <v>0</v>
      </c>
      <c r="L192" t="n">
        <v>0</v>
      </c>
      <c r="M192" t="n">
        <v>0</v>
      </c>
      <c r="N192" t="n">
        <v>0</v>
      </c>
      <c r="O192" t="n">
        <v>0</v>
      </c>
      <c r="P192" t="n">
        <v>0</v>
      </c>
      <c r="Q192" t="n">
        <v>0</v>
      </c>
      <c r="R192" t="n">
        <v>0</v>
      </c>
      <c r="S192" t="n">
        <v>0</v>
      </c>
      <c r="T192" t="n">
        <v>0</v>
      </c>
      <c r="U192" s="2" t="inlineStr"/>
    </row>
    <row r="193" ht="15" customHeight="1">
      <c r="A193" t="inlineStr">
        <is>
          <t>A 45468-2022</t>
        </is>
      </c>
      <c r="B193" t="inlineStr">
        <is>
          <t>avverkningsanmälan</t>
        </is>
      </c>
      <c r="C193" t="inlineStr">
        <is>
          <t>Föryngringsavverkning</t>
        </is>
      </c>
      <c r="D193" s="1" t="n">
        <v>44841</v>
      </c>
      <c r="E193" s="1" t="n">
        <v>46217</v>
      </c>
      <c r="F193" t="inlineStr">
        <is>
          <t>NORRBOTTENS LÄN</t>
        </is>
      </c>
      <c r="G193" t="inlineStr">
        <is>
          <t>JOKKMOKK</t>
        </is>
      </c>
      <c r="H193" t="inlineStr">
        <is>
          <t>Övriga Aktiebolag</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36607-2021</t>
        </is>
      </c>
      <c r="B194" t="inlineStr">
        <is>
          <t>avverkningsanmälan</t>
        </is>
      </c>
      <c r="C194" t="inlineStr">
        <is>
          <t>Föryngringsavverkning</t>
        </is>
      </c>
      <c r="D194" s="1" t="n">
        <v>44391</v>
      </c>
      <c r="E194" s="1" t="n">
        <v>46217</v>
      </c>
      <c r="F194" t="inlineStr">
        <is>
          <t>NORRBOTTENS LÄN</t>
        </is>
      </c>
      <c r="G194" t="inlineStr">
        <is>
          <t>JOKKMOKK</t>
        </is>
      </c>
      <c r="H194" t="inlineStr">
        <is>
          <t>Allmännings- och besparingsskogar</t>
        </is>
      </c>
      <c r="I194" t="n">
        <v>9.5</v>
      </c>
      <c r="J194" t="n">
        <v>0</v>
      </c>
      <c r="K194" t="n">
        <v>0</v>
      </c>
      <c r="L194" t="n">
        <v>0</v>
      </c>
      <c r="M194" t="n">
        <v>0</v>
      </c>
      <c r="N194" t="n">
        <v>0</v>
      </c>
      <c r="O194" t="n">
        <v>0</v>
      </c>
      <c r="P194" t="n">
        <v>0</v>
      </c>
      <c r="Q194" t="n">
        <v>0</v>
      </c>
      <c r="R194" t="n">
        <v>0</v>
      </c>
      <c r="S194" t="n">
        <v>0</v>
      </c>
      <c r="T194" t="n">
        <v>0</v>
      </c>
      <c r="U194" s="2" t="inlineStr"/>
    </row>
    <row r="195" ht="15" customHeight="1">
      <c r="A195" t="inlineStr">
        <is>
          <t>A 49856-2025</t>
        </is>
      </c>
      <c r="B195" t="inlineStr">
        <is>
          <t>avverkningsanmälan</t>
        </is>
      </c>
      <c r="C195" t="inlineStr">
        <is>
          <t>Föryngringsavverkning</t>
        </is>
      </c>
      <c r="D195" s="1" t="n">
        <v>45940</v>
      </c>
      <c r="E195" s="1" t="n">
        <v>46217</v>
      </c>
      <c r="F195" t="inlineStr">
        <is>
          <t>NORRBOTTENS LÄN</t>
        </is>
      </c>
      <c r="G195" t="inlineStr">
        <is>
          <t>JOKKMOKK</t>
        </is>
      </c>
      <c r="H195" t="inlineStr">
        <is>
          <t>Sveaskog</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50185-2025</t>
        </is>
      </c>
      <c r="B196" t="inlineStr">
        <is>
          <t>avverkningsanmälan</t>
        </is>
      </c>
      <c r="C196" t="inlineStr">
        <is>
          <t>Föryngringsavverkning</t>
        </is>
      </c>
      <c r="D196" s="1" t="n">
        <v>45943</v>
      </c>
      <c r="E196" s="1" t="n">
        <v>46217</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49976-2025</t>
        </is>
      </c>
      <c r="B197" t="inlineStr">
        <is>
          <t>avverkningsanmälan</t>
        </is>
      </c>
      <c r="C197" t="inlineStr">
        <is>
          <t>Föryngringsavverkning</t>
        </is>
      </c>
      <c r="D197" s="1" t="n">
        <v>45942</v>
      </c>
      <c r="E197" s="1" t="n">
        <v>46217</v>
      </c>
      <c r="F197" t="inlineStr">
        <is>
          <t>NORRBOTTENS LÄN</t>
        </is>
      </c>
      <c r="G197" t="inlineStr">
        <is>
          <t>JOKKMOKK</t>
        </is>
      </c>
      <c r="H197" t="inlineStr">
        <is>
          <t>SCA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49978-2025</t>
        </is>
      </c>
      <c r="B198" t="inlineStr">
        <is>
          <t>avverkningsanmälan</t>
        </is>
      </c>
      <c r="C198" t="inlineStr">
        <is>
          <t>Föryngringsavverkning</t>
        </is>
      </c>
      <c r="D198" s="1" t="n">
        <v>45942</v>
      </c>
      <c r="E198" s="1" t="n">
        <v>46217</v>
      </c>
      <c r="F198" t="inlineStr">
        <is>
          <t>NORRBOTTENS LÄN</t>
        </is>
      </c>
      <c r="G198" t="inlineStr">
        <is>
          <t>JOKKMOKK</t>
        </is>
      </c>
      <c r="H198" t="inlineStr">
        <is>
          <t>SCA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30291-2023</t>
        </is>
      </c>
      <c r="B199" t="inlineStr">
        <is>
          <t>avverkningsanmälan</t>
        </is>
      </c>
      <c r="C199" t="inlineStr">
        <is>
          <t>Föryngringsavverkning</t>
        </is>
      </c>
      <c r="D199" s="1" t="n">
        <v>45110</v>
      </c>
      <c r="E199" s="1" t="n">
        <v>46217</v>
      </c>
      <c r="F199" t="inlineStr">
        <is>
          <t>NORRBOTTENS LÄN</t>
        </is>
      </c>
      <c r="G199" t="inlineStr">
        <is>
          <t>JOKKMOKK</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50717-2025</t>
        </is>
      </c>
      <c r="B200" t="inlineStr">
        <is>
          <t>avverkningsanmälan</t>
        </is>
      </c>
      <c r="C200" t="inlineStr">
        <is>
          <t>Föryngringsavverkning</t>
        </is>
      </c>
      <c r="D200" s="1" t="n">
        <v>45946</v>
      </c>
      <c r="E200" s="1" t="n">
        <v>46217</v>
      </c>
      <c r="F200" t="inlineStr">
        <is>
          <t>NORRBOTTENS LÄN</t>
        </is>
      </c>
      <c r="G200" t="inlineStr">
        <is>
          <t>JOKKMOKK</t>
        </is>
      </c>
      <c r="H200" t="inlineStr">
        <is>
          <t>SCA</t>
        </is>
      </c>
      <c r="I200" t="n">
        <v>3.3</v>
      </c>
      <c r="J200" t="n">
        <v>0</v>
      </c>
      <c r="K200" t="n">
        <v>0</v>
      </c>
      <c r="L200" t="n">
        <v>0</v>
      </c>
      <c r="M200" t="n">
        <v>0</v>
      </c>
      <c r="N200" t="n">
        <v>0</v>
      </c>
      <c r="O200" t="n">
        <v>0</v>
      </c>
      <c r="P200" t="n">
        <v>0</v>
      </c>
      <c r="Q200" t="n">
        <v>0</v>
      </c>
      <c r="R200" t="n">
        <v>0</v>
      </c>
      <c r="S200" t="n">
        <v>0</v>
      </c>
      <c r="T200" t="n">
        <v>0</v>
      </c>
      <c r="U200" s="2" t="inlineStr"/>
    </row>
    <row r="201" ht="15" customHeight="1">
      <c r="A201" t="inlineStr">
        <is>
          <t>A 51499-2025</t>
        </is>
      </c>
      <c r="B201" t="inlineStr">
        <is>
          <t>avverkningsanmälan</t>
        </is>
      </c>
      <c r="C201" t="inlineStr">
        <is>
          <t>Föryngringsavverkning</t>
        </is>
      </c>
      <c r="D201" s="1" t="n">
        <v>45950</v>
      </c>
      <c r="E201" s="1" t="n">
        <v>46217</v>
      </c>
      <c r="F201" t="inlineStr">
        <is>
          <t>NORRBOTTENS LÄN</t>
        </is>
      </c>
      <c r="G201" t="inlineStr">
        <is>
          <t>JOKKMOKK</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51500-2025</t>
        </is>
      </c>
      <c r="B202" t="inlineStr">
        <is>
          <t>avverkningsanmälan</t>
        </is>
      </c>
      <c r="C202" t="inlineStr">
        <is>
          <t>Föryngringsavverkning</t>
        </is>
      </c>
      <c r="D202" s="1" t="n">
        <v>45950</v>
      </c>
      <c r="E202" s="1" t="n">
        <v>46217</v>
      </c>
      <c r="F202" t="inlineStr">
        <is>
          <t>NORRBOTTENS LÄN</t>
        </is>
      </c>
      <c r="G202" t="inlineStr">
        <is>
          <t>JOKKMOKK</t>
        </is>
      </c>
      <c r="I202" t="n">
        <v>10.1</v>
      </c>
      <c r="J202" t="n">
        <v>0</v>
      </c>
      <c r="K202" t="n">
        <v>0</v>
      </c>
      <c r="L202" t="n">
        <v>0</v>
      </c>
      <c r="M202" t="n">
        <v>0</v>
      </c>
      <c r="N202" t="n">
        <v>0</v>
      </c>
      <c r="O202" t="n">
        <v>0</v>
      </c>
      <c r="P202" t="n">
        <v>0</v>
      </c>
      <c r="Q202" t="n">
        <v>0</v>
      </c>
      <c r="R202" t="n">
        <v>0</v>
      </c>
      <c r="S202" t="n">
        <v>0</v>
      </c>
      <c r="T202" t="n">
        <v>0</v>
      </c>
      <c r="U202" s="2" t="inlineStr"/>
    </row>
    <row r="203" ht="15" customHeight="1">
      <c r="A203" t="inlineStr">
        <is>
          <t>A 51707-2025</t>
        </is>
      </c>
      <c r="B203" t="inlineStr">
        <is>
          <t>avverkningsanmälan</t>
        </is>
      </c>
      <c r="C203" t="inlineStr">
        <is>
          <t>Föryngringsavverkning</t>
        </is>
      </c>
      <c r="D203" s="1" t="n">
        <v>45951</v>
      </c>
      <c r="E203" s="1" t="n">
        <v>46217</v>
      </c>
      <c r="F203" t="inlineStr">
        <is>
          <t>NORRBOTTENS LÄN</t>
        </is>
      </c>
      <c r="G203" t="inlineStr">
        <is>
          <t>JOKKMOKK</t>
        </is>
      </c>
      <c r="H203" t="inlineStr">
        <is>
          <t>Övriga statliga verk och myndigheter</t>
        </is>
      </c>
      <c r="I203" t="n">
        <v>7.2</v>
      </c>
      <c r="J203" t="n">
        <v>0</v>
      </c>
      <c r="K203" t="n">
        <v>0</v>
      </c>
      <c r="L203" t="n">
        <v>0</v>
      </c>
      <c r="M203" t="n">
        <v>0</v>
      </c>
      <c r="N203" t="n">
        <v>0</v>
      </c>
      <c r="O203" t="n">
        <v>0</v>
      </c>
      <c r="P203" t="n">
        <v>0</v>
      </c>
      <c r="Q203" t="n">
        <v>0</v>
      </c>
      <c r="R203" t="n">
        <v>0</v>
      </c>
      <c r="S203" t="n">
        <v>0</v>
      </c>
      <c r="T203" t="n">
        <v>0</v>
      </c>
      <c r="U203" s="2" t="inlineStr"/>
    </row>
    <row r="204" ht="15" customHeight="1">
      <c r="A204" t="inlineStr">
        <is>
          <t>A 51717-2025</t>
        </is>
      </c>
      <c r="B204" t="inlineStr">
        <is>
          <t>avverkningsanmälan</t>
        </is>
      </c>
      <c r="C204" t="inlineStr">
        <is>
          <t>Föryngringsavverkning</t>
        </is>
      </c>
      <c r="D204" s="1" t="n">
        <v>45951</v>
      </c>
      <c r="E204" s="1" t="n">
        <v>46217</v>
      </c>
      <c r="F204" t="inlineStr">
        <is>
          <t>NORRBOTTENS LÄN</t>
        </is>
      </c>
      <c r="G204" t="inlineStr">
        <is>
          <t>JOKKMOKK</t>
        </is>
      </c>
      <c r="H204" t="inlineStr">
        <is>
          <t>Övriga statliga verk och myndigheter</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52112-2025</t>
        </is>
      </c>
      <c r="B205" t="inlineStr">
        <is>
          <t>avverkningsanmälan</t>
        </is>
      </c>
      <c r="C205" t="inlineStr">
        <is>
          <t>Föryngringsavverkning</t>
        </is>
      </c>
      <c r="D205" s="1" t="n">
        <v>45952</v>
      </c>
      <c r="E205" s="1" t="n">
        <v>46217</v>
      </c>
      <c r="F205" t="inlineStr">
        <is>
          <t>NORRBOTTENS LÄN</t>
        </is>
      </c>
      <c r="G205" t="inlineStr">
        <is>
          <t>JOKKMOKK</t>
        </is>
      </c>
      <c r="H205" t="inlineStr">
        <is>
          <t>SCA</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51576-2025</t>
        </is>
      </c>
      <c r="B206" t="inlineStr">
        <is>
          <t>avverkningsanmälan</t>
        </is>
      </c>
      <c r="C206" t="inlineStr">
        <is>
          <t>Föryngringsavverkning</t>
        </is>
      </c>
      <c r="D206" s="1" t="n">
        <v>45951</v>
      </c>
      <c r="E206" s="1" t="n">
        <v>46217</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51577-2025</t>
        </is>
      </c>
      <c r="B207" t="inlineStr">
        <is>
          <t>avverkningsanmälan</t>
        </is>
      </c>
      <c r="C207" t="inlineStr">
        <is>
          <t>Föryngringsavverkning</t>
        </is>
      </c>
      <c r="D207" s="1" t="n">
        <v>45951</v>
      </c>
      <c r="E207" s="1" t="n">
        <v>46217</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51699-2025</t>
        </is>
      </c>
      <c r="B208" t="inlineStr">
        <is>
          <t>avverkningsanmälan</t>
        </is>
      </c>
      <c r="C208" t="inlineStr">
        <is>
          <t>Föryngringsavverkning</t>
        </is>
      </c>
      <c r="D208" s="1" t="n">
        <v>45951</v>
      </c>
      <c r="E208" s="1" t="n">
        <v>46217</v>
      </c>
      <c r="F208" t="inlineStr">
        <is>
          <t>NORRBOTTENS LÄN</t>
        </is>
      </c>
      <c r="G208" t="inlineStr">
        <is>
          <t>JOKKMOKK</t>
        </is>
      </c>
      <c r="H208" t="inlineStr">
        <is>
          <t>SCA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9852-2023</t>
        </is>
      </c>
      <c r="B209" t="inlineStr">
        <is>
          <t>avverkningsanmälan</t>
        </is>
      </c>
      <c r="C209" t="inlineStr">
        <is>
          <t>Föryngringsavverkning</t>
        </is>
      </c>
      <c r="D209" s="1" t="n">
        <v>44984</v>
      </c>
      <c r="E209" s="1" t="n">
        <v>46217</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51679-2025</t>
        </is>
      </c>
      <c r="B210" t="inlineStr">
        <is>
          <t>avverkningsanmälan</t>
        </is>
      </c>
      <c r="C210" t="inlineStr">
        <is>
          <t>Föryngringsavverkning</t>
        </is>
      </c>
      <c r="D210" s="1" t="n">
        <v>45951</v>
      </c>
      <c r="E210" s="1" t="n">
        <v>46217</v>
      </c>
      <c r="F210" t="inlineStr">
        <is>
          <t>NORRBOTTENS LÄN</t>
        </is>
      </c>
      <c r="G210" t="inlineStr">
        <is>
          <t>JOKKMOKK</t>
        </is>
      </c>
      <c r="H210" t="inlineStr">
        <is>
          <t>SCA</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51700-2025</t>
        </is>
      </c>
      <c r="B211" t="inlineStr">
        <is>
          <t>avverkningsanmälan</t>
        </is>
      </c>
      <c r="C211" t="inlineStr">
        <is>
          <t>Föryngringsavverkning</t>
        </is>
      </c>
      <c r="D211" s="1" t="n">
        <v>45951</v>
      </c>
      <c r="E211" s="1" t="n">
        <v>46217</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51715-2025</t>
        </is>
      </c>
      <c r="B212" t="inlineStr">
        <is>
          <t>avverkningsanmälan</t>
        </is>
      </c>
      <c r="C212" t="inlineStr">
        <is>
          <t>Föryngringsavverkning</t>
        </is>
      </c>
      <c r="D212" s="1" t="n">
        <v>45951</v>
      </c>
      <c r="E212" s="1" t="n">
        <v>46217</v>
      </c>
      <c r="F212" t="inlineStr">
        <is>
          <t>NORRBOTTENS LÄN</t>
        </is>
      </c>
      <c r="G212" t="inlineStr">
        <is>
          <t>JOKKMOKK</t>
        </is>
      </c>
      <c r="H212" t="inlineStr">
        <is>
          <t>Övriga statliga verk och myndigheter</t>
        </is>
      </c>
      <c r="I212" t="n">
        <v>4.1</v>
      </c>
      <c r="J212" t="n">
        <v>0</v>
      </c>
      <c r="K212" t="n">
        <v>0</v>
      </c>
      <c r="L212" t="n">
        <v>0</v>
      </c>
      <c r="M212" t="n">
        <v>0</v>
      </c>
      <c r="N212" t="n">
        <v>0</v>
      </c>
      <c r="O212" t="n">
        <v>0</v>
      </c>
      <c r="P212" t="n">
        <v>0</v>
      </c>
      <c r="Q212" t="n">
        <v>0</v>
      </c>
      <c r="R212" t="n">
        <v>0</v>
      </c>
      <c r="S212" t="n">
        <v>0</v>
      </c>
      <c r="T212" t="n">
        <v>0</v>
      </c>
      <c r="U212" s="2" t="inlineStr"/>
    </row>
    <row r="213" ht="15" customHeight="1">
      <c r="A213" t="inlineStr">
        <is>
          <t>A 52294-2025</t>
        </is>
      </c>
      <c r="B213" t="inlineStr">
        <is>
          <t>avverkningsanmälan</t>
        </is>
      </c>
      <c r="C213" t="inlineStr">
        <is>
          <t>Föryngringsavverkning</t>
        </is>
      </c>
      <c r="D213" s="1" t="n">
        <v>45953</v>
      </c>
      <c r="E213" s="1" t="n">
        <v>46217</v>
      </c>
      <c r="F213" t="inlineStr">
        <is>
          <t>NORRBOTTENS LÄN</t>
        </is>
      </c>
      <c r="G213" t="inlineStr">
        <is>
          <t>JOKKMOKK</t>
        </is>
      </c>
      <c r="H213" t="inlineStr">
        <is>
          <t>Övriga statliga verk och myndigheter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52288-2025</t>
        </is>
      </c>
      <c r="B214" t="inlineStr">
        <is>
          <t>avverkningsanmälan</t>
        </is>
      </c>
      <c r="C214" t="inlineStr">
        <is>
          <t>Föryngringsavverkning</t>
        </is>
      </c>
      <c r="D214" s="1" t="n">
        <v>45953</v>
      </c>
      <c r="E214" s="1" t="n">
        <v>46217</v>
      </c>
      <c r="F214" t="inlineStr">
        <is>
          <t>NORRBOTTENS LÄN</t>
        </is>
      </c>
      <c r="G214" t="inlineStr">
        <is>
          <t>JOKKMOKK</t>
        </is>
      </c>
      <c r="H214" t="inlineStr">
        <is>
          <t>Övriga statliga verk och myndigheter</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52293-2025</t>
        </is>
      </c>
      <c r="B215" t="inlineStr">
        <is>
          <t>avverkningsanmälan</t>
        </is>
      </c>
      <c r="C215" t="inlineStr">
        <is>
          <t>Föryngringsavverkning</t>
        </is>
      </c>
      <c r="D215" s="1" t="n">
        <v>45953</v>
      </c>
      <c r="E215" s="1" t="n">
        <v>46217</v>
      </c>
      <c r="F215" t="inlineStr">
        <is>
          <t>NORRBOTTENS LÄN</t>
        </is>
      </c>
      <c r="G215" t="inlineStr">
        <is>
          <t>JOKKMOKK</t>
        </is>
      </c>
      <c r="H215" t="inlineStr">
        <is>
          <t>Övriga statliga verk och myndigheter</t>
        </is>
      </c>
      <c r="I215" t="n">
        <v>65.09999999999999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52291-2025</t>
        </is>
      </c>
      <c r="B216" t="inlineStr">
        <is>
          <t>avverkningsanmälan</t>
        </is>
      </c>
      <c r="C216" t="inlineStr">
        <is>
          <t>Föryngringsavverkning</t>
        </is>
      </c>
      <c r="D216" s="1" t="n">
        <v>45953</v>
      </c>
      <c r="E216" s="1" t="n">
        <v>46217</v>
      </c>
      <c r="F216" t="inlineStr">
        <is>
          <t>NORRBOTTENS LÄN</t>
        </is>
      </c>
      <c r="G216" t="inlineStr">
        <is>
          <t>JOKKMOKK</t>
        </is>
      </c>
      <c r="H216" t="inlineStr">
        <is>
          <t>Övriga statliga verk och myndigheter</t>
        </is>
      </c>
      <c r="I216" t="n">
        <v>41.2</v>
      </c>
      <c r="J216" t="n">
        <v>0</v>
      </c>
      <c r="K216" t="n">
        <v>0</v>
      </c>
      <c r="L216" t="n">
        <v>0</v>
      </c>
      <c r="M216" t="n">
        <v>0</v>
      </c>
      <c r="N216" t="n">
        <v>0</v>
      </c>
      <c r="O216" t="n">
        <v>0</v>
      </c>
      <c r="P216" t="n">
        <v>0</v>
      </c>
      <c r="Q216" t="n">
        <v>0</v>
      </c>
      <c r="R216" t="n">
        <v>0</v>
      </c>
      <c r="S216" t="n">
        <v>0</v>
      </c>
      <c r="T216" t="n">
        <v>0</v>
      </c>
      <c r="U216" s="2" t="inlineStr"/>
    </row>
    <row r="217" ht="15" customHeight="1">
      <c r="A217" t="inlineStr">
        <is>
          <t>A 32915-2024</t>
        </is>
      </c>
      <c r="B217" t="inlineStr">
        <is>
          <t>avverkningsanmälan</t>
        </is>
      </c>
      <c r="C217" t="inlineStr">
        <is>
          <t>Föryngringsavverkning</t>
        </is>
      </c>
      <c r="D217" s="1" t="n">
        <v>45516</v>
      </c>
      <c r="E217" s="1" t="n">
        <v>46217</v>
      </c>
      <c r="F217" t="inlineStr">
        <is>
          <t>NORRBOTTENS LÄN</t>
        </is>
      </c>
      <c r="G217" t="inlineStr">
        <is>
          <t>JOKKMOKK</t>
        </is>
      </c>
      <c r="H217" t="inlineStr">
        <is>
          <t>SCA</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53513-2025</t>
        </is>
      </c>
      <c r="B218" t="inlineStr">
        <is>
          <t>avverkningsanmälan</t>
        </is>
      </c>
      <c r="C218" t="inlineStr">
        <is>
          <t>Föryngringsavverkning</t>
        </is>
      </c>
      <c r="D218" s="1" t="n">
        <v>45960</v>
      </c>
      <c r="E218" s="1" t="n">
        <v>46217</v>
      </c>
      <c r="F218" t="inlineStr">
        <is>
          <t>NORRBOTTENS LÄN</t>
        </is>
      </c>
      <c r="G218" t="inlineStr">
        <is>
          <t>JOKKMOKK</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54270-2025</t>
        </is>
      </c>
      <c r="B219" t="inlineStr">
        <is>
          <t>avverkningsanmälan</t>
        </is>
      </c>
      <c r="C219" t="inlineStr">
        <is>
          <t>Föryngringsavverkning</t>
        </is>
      </c>
      <c r="D219" s="1" t="n">
        <v>45964</v>
      </c>
      <c r="E219" s="1" t="n">
        <v>46217</v>
      </c>
      <c r="F219" t="inlineStr">
        <is>
          <t>NORRBOTTENS LÄN</t>
        </is>
      </c>
      <c r="G219" t="inlineStr">
        <is>
          <t>JOKKMOKK</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54546-2025</t>
        </is>
      </c>
      <c r="B220" t="inlineStr">
        <is>
          <t>avverkningsanmälan</t>
        </is>
      </c>
      <c r="C220" t="inlineStr">
        <is>
          <t>Föryngringsavverkning</t>
        </is>
      </c>
      <c r="D220" s="1" t="n">
        <v>45965</v>
      </c>
      <c r="E220" s="1" t="n">
        <v>46217</v>
      </c>
      <c r="F220" t="inlineStr">
        <is>
          <t>NORRBOTTENS LÄN</t>
        </is>
      </c>
      <c r="G220" t="inlineStr">
        <is>
          <t>JOKKMOKK</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16336-2023</t>
        </is>
      </c>
      <c r="B221" t="inlineStr">
        <is>
          <t>avverkningsanmälan</t>
        </is>
      </c>
      <c r="C221" t="inlineStr">
        <is>
          <t>Föryngringsavverkning</t>
        </is>
      </c>
      <c r="D221" s="1" t="n">
        <v>45022</v>
      </c>
      <c r="E221" s="1" t="n">
        <v>46217</v>
      </c>
      <c r="F221" t="inlineStr">
        <is>
          <t>NORRBOTTENS LÄN</t>
        </is>
      </c>
      <c r="G221" t="inlineStr">
        <is>
          <t>JOKKMOKK</t>
        </is>
      </c>
      <c r="H221" t="inlineStr">
        <is>
          <t>Övriga statliga verk och myndigheter</t>
        </is>
      </c>
      <c r="I221" t="n">
        <v>130.2</v>
      </c>
      <c r="J221" t="n">
        <v>0</v>
      </c>
      <c r="K221" t="n">
        <v>0</v>
      </c>
      <c r="L221" t="n">
        <v>0</v>
      </c>
      <c r="M221" t="n">
        <v>0</v>
      </c>
      <c r="N221" t="n">
        <v>0</v>
      </c>
      <c r="O221" t="n">
        <v>0</v>
      </c>
      <c r="P221" t="n">
        <v>0</v>
      </c>
      <c r="Q221" t="n">
        <v>0</v>
      </c>
      <c r="R221" t="n">
        <v>0</v>
      </c>
      <c r="S221" t="n">
        <v>0</v>
      </c>
      <c r="T221" t="n">
        <v>0</v>
      </c>
      <c r="U221" s="2" t="inlineStr"/>
    </row>
    <row r="222" ht="15" customHeight="1">
      <c r="A222" t="inlineStr">
        <is>
          <t>A 54585-2025</t>
        </is>
      </c>
      <c r="B222" t="inlineStr">
        <is>
          <t>avverkningsanmälan</t>
        </is>
      </c>
      <c r="C222" t="inlineStr">
        <is>
          <t>Föryngringsavverkning</t>
        </is>
      </c>
      <c r="D222" s="1" t="n">
        <v>45965</v>
      </c>
      <c r="E222" s="1" t="n">
        <v>46217</v>
      </c>
      <c r="F222" t="inlineStr">
        <is>
          <t>NORRBOTTENS LÄN</t>
        </is>
      </c>
      <c r="G222" t="inlineStr">
        <is>
          <t>JOKKMOKK</t>
        </is>
      </c>
      <c r="H222" t="inlineStr">
        <is>
          <t>Allmännings- och besparingsskogar</t>
        </is>
      </c>
      <c r="I222" t="n">
        <v>10.2</v>
      </c>
      <c r="J222" t="n">
        <v>0</v>
      </c>
      <c r="K222" t="n">
        <v>0</v>
      </c>
      <c r="L222" t="n">
        <v>0</v>
      </c>
      <c r="M222" t="n">
        <v>0</v>
      </c>
      <c r="N222" t="n">
        <v>0</v>
      </c>
      <c r="O222" t="n">
        <v>0</v>
      </c>
      <c r="P222" t="n">
        <v>0</v>
      </c>
      <c r="Q222" t="n">
        <v>0</v>
      </c>
      <c r="R222" t="n">
        <v>0</v>
      </c>
      <c r="S222" t="n">
        <v>0</v>
      </c>
      <c r="T222" t="n">
        <v>0</v>
      </c>
      <c r="U222" s="2" t="inlineStr"/>
    </row>
    <row r="223" ht="15" customHeight="1">
      <c r="A223" t="inlineStr">
        <is>
          <t>A 55195-2025</t>
        </is>
      </c>
      <c r="B223" t="inlineStr">
        <is>
          <t>avverkningsanmälan</t>
        </is>
      </c>
      <c r="C223" t="inlineStr">
        <is>
          <t>Föryngringsavverkning</t>
        </is>
      </c>
      <c r="D223" s="1" t="n">
        <v>45968</v>
      </c>
      <c r="E223" s="1" t="n">
        <v>46217</v>
      </c>
      <c r="F223" t="inlineStr">
        <is>
          <t>NORRBOTTENS LÄN</t>
        </is>
      </c>
      <c r="G223" t="inlineStr">
        <is>
          <t>JOKKMOKK</t>
        </is>
      </c>
      <c r="I223" t="n">
        <v>5.3</v>
      </c>
      <c r="J223" t="n">
        <v>0</v>
      </c>
      <c r="K223" t="n">
        <v>0</v>
      </c>
      <c r="L223" t="n">
        <v>0</v>
      </c>
      <c r="M223" t="n">
        <v>0</v>
      </c>
      <c r="N223" t="n">
        <v>0</v>
      </c>
      <c r="O223" t="n">
        <v>0</v>
      </c>
      <c r="P223" t="n">
        <v>0</v>
      </c>
      <c r="Q223" t="n">
        <v>0</v>
      </c>
      <c r="R223" t="n">
        <v>0</v>
      </c>
      <c r="S223" t="n">
        <v>0</v>
      </c>
      <c r="T223" t="n">
        <v>0</v>
      </c>
      <c r="U223" s="2" t="inlineStr"/>
    </row>
    <row r="224" ht="15" customHeight="1">
      <c r="A224" t="inlineStr">
        <is>
          <t>A 55015-2025</t>
        </is>
      </c>
      <c r="B224" t="inlineStr">
        <is>
          <t>avverkningsanmälan</t>
        </is>
      </c>
      <c r="C224" t="inlineStr">
        <is>
          <t>Föryngringsavverkning</t>
        </is>
      </c>
      <c r="D224" s="1" t="n">
        <v>45967</v>
      </c>
      <c r="E224" s="1" t="n">
        <v>46217</v>
      </c>
      <c r="F224" t="inlineStr">
        <is>
          <t>NORRBOTTENS LÄN</t>
        </is>
      </c>
      <c r="G224" t="inlineStr">
        <is>
          <t>JOKKMOKK</t>
        </is>
      </c>
      <c r="I224" t="n">
        <v>14.9</v>
      </c>
      <c r="J224" t="n">
        <v>0</v>
      </c>
      <c r="K224" t="n">
        <v>0</v>
      </c>
      <c r="L224" t="n">
        <v>0</v>
      </c>
      <c r="M224" t="n">
        <v>0</v>
      </c>
      <c r="N224" t="n">
        <v>0</v>
      </c>
      <c r="O224" t="n">
        <v>0</v>
      </c>
      <c r="P224" t="n">
        <v>0</v>
      </c>
      <c r="Q224" t="n">
        <v>0</v>
      </c>
      <c r="R224" t="n">
        <v>0</v>
      </c>
      <c r="S224" t="n">
        <v>0</v>
      </c>
      <c r="T224" t="n">
        <v>0</v>
      </c>
      <c r="U224" s="2" t="inlineStr"/>
    </row>
    <row r="225" ht="15" customHeight="1">
      <c r="A225" t="inlineStr">
        <is>
          <t>A 55673-2025</t>
        </is>
      </c>
      <c r="B225" t="inlineStr">
        <is>
          <t>avverkningsanmälan</t>
        </is>
      </c>
      <c r="C225" t="inlineStr">
        <is>
          <t>Föryngringsavverkning</t>
        </is>
      </c>
      <c r="D225" s="1" t="n">
        <v>45972</v>
      </c>
      <c r="E225" s="1" t="n">
        <v>46217</v>
      </c>
      <c r="F225" t="inlineStr">
        <is>
          <t>NORRBOTTENS LÄN</t>
        </is>
      </c>
      <c r="G225" t="inlineStr">
        <is>
          <t>JOKKMOKK</t>
        </is>
      </c>
      <c r="H225" t="inlineStr">
        <is>
          <t>SCA</t>
        </is>
      </c>
      <c r="I225" t="n">
        <v>4.8</v>
      </c>
      <c r="J225" t="n">
        <v>0</v>
      </c>
      <c r="K225" t="n">
        <v>0</v>
      </c>
      <c r="L225" t="n">
        <v>0</v>
      </c>
      <c r="M225" t="n">
        <v>0</v>
      </c>
      <c r="N225" t="n">
        <v>0</v>
      </c>
      <c r="O225" t="n">
        <v>0</v>
      </c>
      <c r="P225" t="n">
        <v>0</v>
      </c>
      <c r="Q225" t="n">
        <v>0</v>
      </c>
      <c r="R225" t="n">
        <v>0</v>
      </c>
      <c r="S225" t="n">
        <v>0</v>
      </c>
      <c r="T225" t="n">
        <v>0</v>
      </c>
      <c r="U225" s="2" t="inlineStr"/>
    </row>
    <row r="226" ht="15" customHeight="1">
      <c r="A226" t="inlineStr">
        <is>
          <t>A 55577-2025</t>
        </is>
      </c>
      <c r="B226" t="inlineStr">
        <is>
          <t>avverkningsanmälan</t>
        </is>
      </c>
      <c r="C226" t="inlineStr">
        <is>
          <t>Föryngringsavverkning</t>
        </is>
      </c>
      <c r="D226" s="1" t="n">
        <v>45971</v>
      </c>
      <c r="E226" s="1" t="n">
        <v>46217</v>
      </c>
      <c r="F226" t="inlineStr">
        <is>
          <t>NORRBOTTENS LÄN</t>
        </is>
      </c>
      <c r="G226" t="inlineStr">
        <is>
          <t>JOKKMOKK</t>
        </is>
      </c>
      <c r="H226" t="inlineStr">
        <is>
          <t>Allmännings- och besparingsskogar</t>
        </is>
      </c>
      <c r="I226" t="n">
        <v>7.8</v>
      </c>
      <c r="J226" t="n">
        <v>0</v>
      </c>
      <c r="K226" t="n">
        <v>0</v>
      </c>
      <c r="L226" t="n">
        <v>0</v>
      </c>
      <c r="M226" t="n">
        <v>0</v>
      </c>
      <c r="N226" t="n">
        <v>0</v>
      </c>
      <c r="O226" t="n">
        <v>0</v>
      </c>
      <c r="P226" t="n">
        <v>0</v>
      </c>
      <c r="Q226" t="n">
        <v>0</v>
      </c>
      <c r="R226" t="n">
        <v>0</v>
      </c>
      <c r="S226" t="n">
        <v>0</v>
      </c>
      <c r="T226" t="n">
        <v>0</v>
      </c>
      <c r="U226" s="2" t="inlineStr"/>
    </row>
    <row r="227" ht="15" customHeight="1">
      <c r="A227" t="inlineStr">
        <is>
          <t>A 56286-2025</t>
        </is>
      </c>
      <c r="B227" t="inlineStr">
        <is>
          <t>avverkningsanmälan</t>
        </is>
      </c>
      <c r="C227" t="inlineStr">
        <is>
          <t>Föryngringsavverkning</t>
        </is>
      </c>
      <c r="D227" s="1" t="n">
        <v>45974</v>
      </c>
      <c r="E227" s="1" t="n">
        <v>46217</v>
      </c>
      <c r="F227" t="inlineStr">
        <is>
          <t>NORRBOTTENS LÄN</t>
        </is>
      </c>
      <c r="G227" t="inlineStr">
        <is>
          <t>JOKKMOKK</t>
        </is>
      </c>
      <c r="H227" t="inlineStr">
        <is>
          <t>Sveaskog</t>
        </is>
      </c>
      <c r="I227" t="n">
        <v>22.8</v>
      </c>
      <c r="J227" t="n">
        <v>0</v>
      </c>
      <c r="K227" t="n">
        <v>0</v>
      </c>
      <c r="L227" t="n">
        <v>0</v>
      </c>
      <c r="M227" t="n">
        <v>0</v>
      </c>
      <c r="N227" t="n">
        <v>0</v>
      </c>
      <c r="O227" t="n">
        <v>0</v>
      </c>
      <c r="P227" t="n">
        <v>0</v>
      </c>
      <c r="Q227" t="n">
        <v>0</v>
      </c>
      <c r="R227" t="n">
        <v>0</v>
      </c>
      <c r="S227" t="n">
        <v>0</v>
      </c>
      <c r="T227" t="n">
        <v>0</v>
      </c>
      <c r="U227" s="2" t="inlineStr"/>
    </row>
    <row r="228" ht="15" customHeight="1">
      <c r="A228" t="inlineStr">
        <is>
          <t>A 61761-2024</t>
        </is>
      </c>
      <c r="B228" t="inlineStr">
        <is>
          <t>avverkningsanmälan</t>
        </is>
      </c>
      <c r="C228" t="inlineStr">
        <is>
          <t>Föryngringsavverkning</t>
        </is>
      </c>
      <c r="D228" s="1" t="n">
        <v>45649</v>
      </c>
      <c r="E228" s="1" t="n">
        <v>46217</v>
      </c>
      <c r="F228" t="inlineStr">
        <is>
          <t>NORRBOTTENS LÄN</t>
        </is>
      </c>
      <c r="G228" t="inlineStr">
        <is>
          <t>JOKKMOKK</t>
        </is>
      </c>
      <c r="H228" t="inlineStr">
        <is>
          <t>Övriga statliga verk och myndigheter</t>
        </is>
      </c>
      <c r="I228" t="n">
        <v>3.7</v>
      </c>
      <c r="J228" t="n">
        <v>0</v>
      </c>
      <c r="K228" t="n">
        <v>0</v>
      </c>
      <c r="L228" t="n">
        <v>0</v>
      </c>
      <c r="M228" t="n">
        <v>0</v>
      </c>
      <c r="N228" t="n">
        <v>0</v>
      </c>
      <c r="O228" t="n">
        <v>0</v>
      </c>
      <c r="P228" t="n">
        <v>0</v>
      </c>
      <c r="Q228" t="n">
        <v>0</v>
      </c>
      <c r="R228" t="n">
        <v>0</v>
      </c>
      <c r="S228" t="n">
        <v>0</v>
      </c>
      <c r="T228" t="n">
        <v>0</v>
      </c>
      <c r="U228" s="2" t="inlineStr"/>
    </row>
    <row r="229" ht="15" customHeight="1">
      <c r="A229" t="inlineStr">
        <is>
          <t>A 56012-2025</t>
        </is>
      </c>
      <c r="B229" t="inlineStr">
        <is>
          <t>avverkningsanmälan</t>
        </is>
      </c>
      <c r="C229" t="inlineStr">
        <is>
          <t>Föryngringsavverkning</t>
        </is>
      </c>
      <c r="D229" s="1" t="n">
        <v>45973</v>
      </c>
      <c r="E229" s="1" t="n">
        <v>46217</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56317-2025</t>
        </is>
      </c>
      <c r="B230" t="inlineStr">
        <is>
          <t>avverkningsanmälan</t>
        </is>
      </c>
      <c r="C230" t="inlineStr">
        <is>
          <t>Föryngringsavverkning</t>
        </is>
      </c>
      <c r="D230" s="1" t="n">
        <v>45974</v>
      </c>
      <c r="E230" s="1" t="n">
        <v>46217</v>
      </c>
      <c r="F230" t="inlineStr">
        <is>
          <t>NORRBOTTENS LÄN</t>
        </is>
      </c>
      <c r="G230" t="inlineStr">
        <is>
          <t>JOKKMOKK</t>
        </is>
      </c>
      <c r="H230" t="inlineStr">
        <is>
          <t>Övriga statliga verk och myndigheter</t>
        </is>
      </c>
      <c r="I230" t="n">
        <v>14.5</v>
      </c>
      <c r="J230" t="n">
        <v>0</v>
      </c>
      <c r="K230" t="n">
        <v>0</v>
      </c>
      <c r="L230" t="n">
        <v>0</v>
      </c>
      <c r="M230" t="n">
        <v>0</v>
      </c>
      <c r="N230" t="n">
        <v>0</v>
      </c>
      <c r="O230" t="n">
        <v>0</v>
      </c>
      <c r="P230" t="n">
        <v>0</v>
      </c>
      <c r="Q230" t="n">
        <v>0</v>
      </c>
      <c r="R230" t="n">
        <v>0</v>
      </c>
      <c r="S230" t="n">
        <v>0</v>
      </c>
      <c r="T230" t="n">
        <v>0</v>
      </c>
      <c r="U230" s="2" t="inlineStr"/>
    </row>
    <row r="231" ht="15" customHeight="1">
      <c r="A231" t="inlineStr">
        <is>
          <t>A 55990-2025</t>
        </is>
      </c>
      <c r="B231" t="inlineStr">
        <is>
          <t>avverkningsanmälan</t>
        </is>
      </c>
      <c r="C231" t="inlineStr">
        <is>
          <t>Föryngringsavverkning</t>
        </is>
      </c>
      <c r="D231" s="1" t="n">
        <v>45973</v>
      </c>
      <c r="E231" s="1" t="n">
        <v>46217</v>
      </c>
      <c r="F231" t="inlineStr">
        <is>
          <t>NORRBOTTENS LÄN</t>
        </is>
      </c>
      <c r="G231" t="inlineStr">
        <is>
          <t>JOKKMOKK</t>
        </is>
      </c>
      <c r="H231" t="inlineStr">
        <is>
          <t>Naturvårdsverket</t>
        </is>
      </c>
      <c r="I231" t="n">
        <v>6.2</v>
      </c>
      <c r="J231" t="n">
        <v>0</v>
      </c>
      <c r="K231" t="n">
        <v>0</v>
      </c>
      <c r="L231" t="n">
        <v>0</v>
      </c>
      <c r="M231" t="n">
        <v>0</v>
      </c>
      <c r="N231" t="n">
        <v>0</v>
      </c>
      <c r="O231" t="n">
        <v>0</v>
      </c>
      <c r="P231" t="n">
        <v>0</v>
      </c>
      <c r="Q231" t="n">
        <v>0</v>
      </c>
      <c r="R231" t="n">
        <v>0</v>
      </c>
      <c r="S231" t="n">
        <v>0</v>
      </c>
      <c r="T231" t="n">
        <v>0</v>
      </c>
      <c r="U231" s="2" t="inlineStr"/>
    </row>
    <row r="232" ht="15" customHeight="1">
      <c r="A232" t="inlineStr">
        <is>
          <t>A 56323-2025</t>
        </is>
      </c>
      <c r="B232" t="inlineStr">
        <is>
          <t>avverkningsanmälan</t>
        </is>
      </c>
      <c r="C232" t="inlineStr">
        <is>
          <t>Föryngringsavverkning</t>
        </is>
      </c>
      <c r="D232" s="1" t="n">
        <v>45974</v>
      </c>
      <c r="E232" s="1" t="n">
        <v>46217</v>
      </c>
      <c r="F232" t="inlineStr">
        <is>
          <t>NORRBOTTENS LÄN</t>
        </is>
      </c>
      <c r="G232" t="inlineStr">
        <is>
          <t>JOKKMOKK</t>
        </is>
      </c>
      <c r="H232" t="inlineStr">
        <is>
          <t>Övriga statliga verk och myndigheter</t>
        </is>
      </c>
      <c r="I232" t="n">
        <v>5.5</v>
      </c>
      <c r="J232" t="n">
        <v>0</v>
      </c>
      <c r="K232" t="n">
        <v>0</v>
      </c>
      <c r="L232" t="n">
        <v>0</v>
      </c>
      <c r="M232" t="n">
        <v>0</v>
      </c>
      <c r="N232" t="n">
        <v>0</v>
      </c>
      <c r="O232" t="n">
        <v>0</v>
      </c>
      <c r="P232" t="n">
        <v>0</v>
      </c>
      <c r="Q232" t="n">
        <v>0</v>
      </c>
      <c r="R232" t="n">
        <v>0</v>
      </c>
      <c r="S232" t="n">
        <v>0</v>
      </c>
      <c r="T232" t="n">
        <v>0</v>
      </c>
      <c r="U232" s="2" t="inlineStr"/>
    </row>
    <row r="233" ht="15" customHeight="1">
      <c r="A233" t="inlineStr">
        <is>
          <t>A 56321-2025</t>
        </is>
      </c>
      <c r="B233" t="inlineStr">
        <is>
          <t>avverkningsanmälan</t>
        </is>
      </c>
      <c r="C233" t="inlineStr">
        <is>
          <t>Föryngringsavverkning</t>
        </is>
      </c>
      <c r="D233" s="1" t="n">
        <v>45974</v>
      </c>
      <c r="E233" s="1" t="n">
        <v>46217</v>
      </c>
      <c r="F233" t="inlineStr">
        <is>
          <t>NORRBOTTENS LÄN</t>
        </is>
      </c>
      <c r="G233" t="inlineStr">
        <is>
          <t>JOKKMOKK</t>
        </is>
      </c>
      <c r="H233" t="inlineStr">
        <is>
          <t>Övriga statliga verk och myndigheter</t>
        </is>
      </c>
      <c r="I233" t="n">
        <v>14.6</v>
      </c>
      <c r="J233" t="n">
        <v>0</v>
      </c>
      <c r="K233" t="n">
        <v>0</v>
      </c>
      <c r="L233" t="n">
        <v>0</v>
      </c>
      <c r="M233" t="n">
        <v>0</v>
      </c>
      <c r="N233" t="n">
        <v>0</v>
      </c>
      <c r="O233" t="n">
        <v>0</v>
      </c>
      <c r="P233" t="n">
        <v>0</v>
      </c>
      <c r="Q233" t="n">
        <v>0</v>
      </c>
      <c r="R233" t="n">
        <v>0</v>
      </c>
      <c r="S233" t="n">
        <v>0</v>
      </c>
      <c r="T233" t="n">
        <v>0</v>
      </c>
      <c r="U233" s="2" t="inlineStr"/>
    </row>
    <row r="234" ht="15" customHeight="1">
      <c r="A234" t="inlineStr">
        <is>
          <t>A 56322-2025</t>
        </is>
      </c>
      <c r="B234" t="inlineStr">
        <is>
          <t>avverkningsanmälan</t>
        </is>
      </c>
      <c r="C234" t="inlineStr">
        <is>
          <t>Föryngringsavverkning</t>
        </is>
      </c>
      <c r="D234" s="1" t="n">
        <v>45974</v>
      </c>
      <c r="E234" s="1" t="n">
        <v>46217</v>
      </c>
      <c r="F234" t="inlineStr">
        <is>
          <t>NORRBOTTENS LÄN</t>
        </is>
      </c>
      <c r="G234" t="inlineStr">
        <is>
          <t>JOKKMOKK</t>
        </is>
      </c>
      <c r="H234" t="inlineStr">
        <is>
          <t>Övriga statliga verk och myndigheter</t>
        </is>
      </c>
      <c r="I234" t="n">
        <v>6.2</v>
      </c>
      <c r="J234" t="n">
        <v>0</v>
      </c>
      <c r="K234" t="n">
        <v>0</v>
      </c>
      <c r="L234" t="n">
        <v>0</v>
      </c>
      <c r="M234" t="n">
        <v>0</v>
      </c>
      <c r="N234" t="n">
        <v>0</v>
      </c>
      <c r="O234" t="n">
        <v>0</v>
      </c>
      <c r="P234" t="n">
        <v>0</v>
      </c>
      <c r="Q234" t="n">
        <v>0</v>
      </c>
      <c r="R234" t="n">
        <v>0</v>
      </c>
      <c r="S234" t="n">
        <v>0</v>
      </c>
      <c r="T234" t="n">
        <v>0</v>
      </c>
      <c r="U234" s="2" t="inlineStr"/>
    </row>
    <row r="235" ht="15" customHeight="1">
      <c r="A235" t="inlineStr">
        <is>
          <t>A 56192-2025</t>
        </is>
      </c>
      <c r="B235" t="inlineStr">
        <is>
          <t>avverkningsanmälan</t>
        </is>
      </c>
      <c r="C235" t="inlineStr">
        <is>
          <t>Avverkning för annat ändamål</t>
        </is>
      </c>
      <c r="D235" s="1" t="n">
        <v>45974</v>
      </c>
      <c r="E235" s="1" t="n">
        <v>46217</v>
      </c>
      <c r="F235" t="inlineStr">
        <is>
          <t>NORRBOTTENS LÄN</t>
        </is>
      </c>
      <c r="G235" t="inlineStr">
        <is>
          <t>JOKKMOKK</t>
        </is>
      </c>
      <c r="H235" t="inlineStr">
        <is>
          <t>Sveaskog</t>
        </is>
      </c>
      <c r="I235" t="n">
        <v>3.8</v>
      </c>
      <c r="J235" t="n">
        <v>0</v>
      </c>
      <c r="K235" t="n">
        <v>0</v>
      </c>
      <c r="L235" t="n">
        <v>0</v>
      </c>
      <c r="M235" t="n">
        <v>0</v>
      </c>
      <c r="N235" t="n">
        <v>0</v>
      </c>
      <c r="O235" t="n">
        <v>0</v>
      </c>
      <c r="P235" t="n">
        <v>0</v>
      </c>
      <c r="Q235" t="n">
        <v>0</v>
      </c>
      <c r="R235" t="n">
        <v>0</v>
      </c>
      <c r="S235" t="n">
        <v>0</v>
      </c>
      <c r="T235" t="n">
        <v>0</v>
      </c>
      <c r="U235" s="2" t="inlineStr"/>
    </row>
    <row r="236" ht="15" customHeight="1">
      <c r="A236" t="inlineStr">
        <is>
          <t>A 56445-2025</t>
        </is>
      </c>
      <c r="B236" t="inlineStr">
        <is>
          <t>avverkningsanmälan</t>
        </is>
      </c>
      <c r="C236" t="inlineStr">
        <is>
          <t>Föryngringsavverkning</t>
        </is>
      </c>
      <c r="D236" s="1" t="n">
        <v>45975</v>
      </c>
      <c r="E236" s="1" t="n">
        <v>46217</v>
      </c>
      <c r="F236" t="inlineStr">
        <is>
          <t>NORRBOTTENS LÄN</t>
        </is>
      </c>
      <c r="G236" t="inlineStr">
        <is>
          <t>JOKKMOKK</t>
        </is>
      </c>
      <c r="I236" t="n">
        <v>35.7</v>
      </c>
      <c r="J236" t="n">
        <v>0</v>
      </c>
      <c r="K236" t="n">
        <v>0</v>
      </c>
      <c r="L236" t="n">
        <v>0</v>
      </c>
      <c r="M236" t="n">
        <v>0</v>
      </c>
      <c r="N236" t="n">
        <v>0</v>
      </c>
      <c r="O236" t="n">
        <v>0</v>
      </c>
      <c r="P236" t="n">
        <v>0</v>
      </c>
      <c r="Q236" t="n">
        <v>0</v>
      </c>
      <c r="R236" t="n">
        <v>0</v>
      </c>
      <c r="S236" t="n">
        <v>0</v>
      </c>
      <c r="T236" t="n">
        <v>0</v>
      </c>
      <c r="U236" s="2" t="inlineStr"/>
    </row>
    <row r="237" ht="15" customHeight="1">
      <c r="A237" t="inlineStr">
        <is>
          <t>A 56507-2025</t>
        </is>
      </c>
      <c r="B237" t="inlineStr">
        <is>
          <t>avverkningsanmälan</t>
        </is>
      </c>
      <c r="C237" t="inlineStr">
        <is>
          <t>Föryngringsavverkning</t>
        </is>
      </c>
      <c r="D237" s="1" t="n">
        <v>45975</v>
      </c>
      <c r="E237" s="1" t="n">
        <v>46217</v>
      </c>
      <c r="F237" t="inlineStr">
        <is>
          <t>NORRBOTTENS LÄN</t>
        </is>
      </c>
      <c r="G237" t="inlineStr">
        <is>
          <t>JOKKMOKK</t>
        </is>
      </c>
      <c r="H237" t="inlineStr">
        <is>
          <t>Allmännings- och besparingsskogar</t>
        </is>
      </c>
      <c r="I237" t="n">
        <v>20</v>
      </c>
      <c r="J237" t="n">
        <v>0</v>
      </c>
      <c r="K237" t="n">
        <v>0</v>
      </c>
      <c r="L237" t="n">
        <v>0</v>
      </c>
      <c r="M237" t="n">
        <v>0</v>
      </c>
      <c r="N237" t="n">
        <v>0</v>
      </c>
      <c r="O237" t="n">
        <v>0</v>
      </c>
      <c r="P237" t="n">
        <v>0</v>
      </c>
      <c r="Q237" t="n">
        <v>0</v>
      </c>
      <c r="R237" t="n">
        <v>0</v>
      </c>
      <c r="S237" t="n">
        <v>0</v>
      </c>
      <c r="T237" t="n">
        <v>0</v>
      </c>
      <c r="U237" s="2" t="inlineStr"/>
    </row>
    <row r="238" ht="15" customHeight="1">
      <c r="A238" t="inlineStr">
        <is>
          <t>A 26384-2026</t>
        </is>
      </c>
      <c r="B238" t="inlineStr">
        <is>
          <t>avverkningsanmälan</t>
        </is>
      </c>
      <c r="C238" t="inlineStr">
        <is>
          <t>Föryngringsavverkning</t>
        </is>
      </c>
      <c r="D238" s="1" t="n">
        <v>46183</v>
      </c>
      <c r="E238" s="1" t="n">
        <v>46217</v>
      </c>
      <c r="F238" t="inlineStr">
        <is>
          <t>NORRBOTTENS LÄN</t>
        </is>
      </c>
      <c r="G238" t="inlineStr">
        <is>
          <t>JOKKMOKK</t>
        </is>
      </c>
      <c r="H238" t="inlineStr">
        <is>
          <t>SCA</t>
        </is>
      </c>
      <c r="I238" t="n">
        <v>3.5</v>
      </c>
      <c r="J238" t="n">
        <v>0</v>
      </c>
      <c r="K238" t="n">
        <v>0</v>
      </c>
      <c r="L238" t="n">
        <v>0</v>
      </c>
      <c r="M238" t="n">
        <v>0</v>
      </c>
      <c r="N238" t="n">
        <v>0</v>
      </c>
      <c r="O238" t="n">
        <v>0</v>
      </c>
      <c r="P238" t="n">
        <v>0</v>
      </c>
      <c r="Q238" t="n">
        <v>0</v>
      </c>
      <c r="R238" t="n">
        <v>0</v>
      </c>
      <c r="S238" t="n">
        <v>0</v>
      </c>
      <c r="T238" t="n">
        <v>0</v>
      </c>
      <c r="U238" s="2" t="inlineStr"/>
    </row>
    <row r="239" ht="15" customHeight="1">
      <c r="A239" t="inlineStr">
        <is>
          <t>A 42322-2025</t>
        </is>
      </c>
      <c r="B239" t="inlineStr">
        <is>
          <t>avverkningsanmälan</t>
        </is>
      </c>
      <c r="C239" t="inlineStr">
        <is>
          <t>Föryngringsavverkning</t>
        </is>
      </c>
      <c r="D239" s="1" t="n">
        <v>45904</v>
      </c>
      <c r="E239" s="1" t="n">
        <v>46217</v>
      </c>
      <c r="F239" t="inlineStr">
        <is>
          <t>NORRBOTTENS LÄN</t>
        </is>
      </c>
      <c r="G239" t="inlineStr">
        <is>
          <t>JOKKMOKK</t>
        </is>
      </c>
      <c r="I239" t="n">
        <v>3.8</v>
      </c>
      <c r="J239" t="n">
        <v>0</v>
      </c>
      <c r="K239" t="n">
        <v>0</v>
      </c>
      <c r="L239" t="n">
        <v>0</v>
      </c>
      <c r="M239" t="n">
        <v>0</v>
      </c>
      <c r="N239" t="n">
        <v>0</v>
      </c>
      <c r="O239" t="n">
        <v>0</v>
      </c>
      <c r="P239" t="n">
        <v>0</v>
      </c>
      <c r="Q239" t="n">
        <v>0</v>
      </c>
      <c r="R239" t="n">
        <v>0</v>
      </c>
      <c r="S239" t="n">
        <v>0</v>
      </c>
      <c r="T239" t="n">
        <v>0</v>
      </c>
      <c r="U239" s="2" t="inlineStr"/>
    </row>
    <row r="240" ht="15" customHeight="1">
      <c r="A240" t="inlineStr">
        <is>
          <t>A 57167-2025</t>
        </is>
      </c>
      <c r="B240" t="inlineStr">
        <is>
          <t>avverkningsanmälan</t>
        </is>
      </c>
      <c r="C240" t="inlineStr">
        <is>
          <t>Föryngringsavverkning</t>
        </is>
      </c>
      <c r="D240" s="1" t="n">
        <v>45979</v>
      </c>
      <c r="E240" s="1" t="n">
        <v>46217</v>
      </c>
      <c r="F240" t="inlineStr">
        <is>
          <t>NORRBOTTENS LÄN</t>
        </is>
      </c>
      <c r="G240" t="inlineStr">
        <is>
          <t>JOKKMOKK</t>
        </is>
      </c>
      <c r="H240" t="inlineStr">
        <is>
          <t>Allmännings- och besparingsskogar</t>
        </is>
      </c>
      <c r="I240" t="n">
        <v>12.8</v>
      </c>
      <c r="J240" t="n">
        <v>0</v>
      </c>
      <c r="K240" t="n">
        <v>0</v>
      </c>
      <c r="L240" t="n">
        <v>0</v>
      </c>
      <c r="M240" t="n">
        <v>0</v>
      </c>
      <c r="N240" t="n">
        <v>0</v>
      </c>
      <c r="O240" t="n">
        <v>0</v>
      </c>
      <c r="P240" t="n">
        <v>0</v>
      </c>
      <c r="Q240" t="n">
        <v>0</v>
      </c>
      <c r="R240" t="n">
        <v>0</v>
      </c>
      <c r="S240" t="n">
        <v>0</v>
      </c>
      <c r="T240" t="n">
        <v>0</v>
      </c>
      <c r="U240" s="2" t="inlineStr"/>
    </row>
    <row r="241" ht="15" customHeight="1">
      <c r="A241" t="inlineStr">
        <is>
          <t>A 57256-2025</t>
        </is>
      </c>
      <c r="B241" t="inlineStr">
        <is>
          <t>avverkningsanmälan</t>
        </is>
      </c>
      <c r="C241" t="inlineStr">
        <is>
          <t>Föryngringsavverkning</t>
        </is>
      </c>
      <c r="D241" s="1" t="n">
        <v>45979</v>
      </c>
      <c r="E241" s="1" t="n">
        <v>46217</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s="2" t="inlineStr"/>
    </row>
    <row r="242" ht="15" customHeight="1">
      <c r="A242" t="inlineStr">
        <is>
          <t>A 27650-2024</t>
        </is>
      </c>
      <c r="B242" t="inlineStr">
        <is>
          <t>avverkningsanmälan</t>
        </is>
      </c>
      <c r="C242" t="inlineStr">
        <is>
          <t>Föryngringsavverkning</t>
        </is>
      </c>
      <c r="D242" s="1" t="n">
        <v>45474</v>
      </c>
      <c r="E242" s="1" t="n">
        <v>46217</v>
      </c>
      <c r="F242" t="inlineStr">
        <is>
          <t>NORRBOTTENS LÄN</t>
        </is>
      </c>
      <c r="G242" t="inlineStr">
        <is>
          <t>JOKKMOKK</t>
        </is>
      </c>
      <c r="H242" t="inlineStr">
        <is>
          <t>SCA</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26630-2026</t>
        </is>
      </c>
      <c r="B243" t="inlineStr">
        <is>
          <t>avverkningsanmälan</t>
        </is>
      </c>
      <c r="C243" t="inlineStr">
        <is>
          <t>Föryngringsavverkning</t>
        </is>
      </c>
      <c r="D243" s="1" t="n">
        <v>46184</v>
      </c>
      <c r="E243" s="1" t="n">
        <v>46217</v>
      </c>
      <c r="F243" t="inlineStr">
        <is>
          <t>NORRBOTTENS LÄN</t>
        </is>
      </c>
      <c r="G243" t="inlineStr">
        <is>
          <t>JOKKMOKK</t>
        </is>
      </c>
      <c r="H243" t="inlineStr">
        <is>
          <t>Sveaskog</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58609-2025</t>
        </is>
      </c>
      <c r="B244" t="inlineStr">
        <is>
          <t>avverkningsanmälan</t>
        </is>
      </c>
      <c r="C244" t="inlineStr">
        <is>
          <t>Föryngringsavverkning</t>
        </is>
      </c>
      <c r="D244" s="1" t="n">
        <v>45986</v>
      </c>
      <c r="E244" s="1" t="n">
        <v>46217</v>
      </c>
      <c r="F244" t="inlineStr">
        <is>
          <t>NORRBOTTENS LÄN</t>
        </is>
      </c>
      <c r="G244" t="inlineStr">
        <is>
          <t>JOKKMOKK</t>
        </is>
      </c>
      <c r="I244" t="n">
        <v>6.5</v>
      </c>
      <c r="J244" t="n">
        <v>0</v>
      </c>
      <c r="K244" t="n">
        <v>0</v>
      </c>
      <c r="L244" t="n">
        <v>0</v>
      </c>
      <c r="M244" t="n">
        <v>0</v>
      </c>
      <c r="N244" t="n">
        <v>0</v>
      </c>
      <c r="O244" t="n">
        <v>0</v>
      </c>
      <c r="P244" t="n">
        <v>0</v>
      </c>
      <c r="Q244" t="n">
        <v>0</v>
      </c>
      <c r="R244" t="n">
        <v>0</v>
      </c>
      <c r="S244" t="n">
        <v>0</v>
      </c>
      <c r="T244" t="n">
        <v>0</v>
      </c>
      <c r="U244" s="2" t="inlineStr"/>
    </row>
    <row r="245" ht="15" customHeight="1">
      <c r="A245" t="inlineStr">
        <is>
          <t>A 58404-2025</t>
        </is>
      </c>
      <c r="B245" t="inlineStr">
        <is>
          <t>avverkningsanmälan</t>
        </is>
      </c>
      <c r="C245" t="inlineStr">
        <is>
          <t>Föryngringsavverkning</t>
        </is>
      </c>
      <c r="D245" s="1" t="n">
        <v>45985</v>
      </c>
      <c r="E245" s="1" t="n">
        <v>46217</v>
      </c>
      <c r="F245" t="inlineStr">
        <is>
          <t>NORRBOTTENS LÄN</t>
        </is>
      </c>
      <c r="G245" t="inlineStr">
        <is>
          <t>JOKKMOKK</t>
        </is>
      </c>
      <c r="H245" t="inlineStr">
        <is>
          <t>Övriga statliga verk och myndigheter</t>
        </is>
      </c>
      <c r="I245" t="n">
        <v>9.300000000000001</v>
      </c>
      <c r="J245" t="n">
        <v>0</v>
      </c>
      <c r="K245" t="n">
        <v>0</v>
      </c>
      <c r="L245" t="n">
        <v>0</v>
      </c>
      <c r="M245" t="n">
        <v>0</v>
      </c>
      <c r="N245" t="n">
        <v>0</v>
      </c>
      <c r="O245" t="n">
        <v>0</v>
      </c>
      <c r="P245" t="n">
        <v>0</v>
      </c>
      <c r="Q245" t="n">
        <v>0</v>
      </c>
      <c r="R245" t="n">
        <v>0</v>
      </c>
      <c r="S245" t="n">
        <v>0</v>
      </c>
      <c r="T245" t="n">
        <v>0</v>
      </c>
      <c r="U245" s="2" t="inlineStr"/>
    </row>
    <row r="246" ht="15" customHeight="1">
      <c r="A246" t="inlineStr">
        <is>
          <t>A 26983-2026</t>
        </is>
      </c>
      <c r="B246" t="inlineStr">
        <is>
          <t>avverkningsanmälan</t>
        </is>
      </c>
      <c r="C246" t="inlineStr">
        <is>
          <t>Föryngringsavverkning</t>
        </is>
      </c>
      <c r="D246" s="1" t="n">
        <v>46185</v>
      </c>
      <c r="E246" s="1" t="n">
        <v>46217</v>
      </c>
      <c r="F246" t="inlineStr">
        <is>
          <t>NORRBOTTENS LÄN</t>
        </is>
      </c>
      <c r="G246" t="inlineStr">
        <is>
          <t>JOKKMOKK</t>
        </is>
      </c>
      <c r="H246" t="inlineStr">
        <is>
          <t>Sveaskog</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58419-2025</t>
        </is>
      </c>
      <c r="B247" t="inlineStr">
        <is>
          <t>avverkningsanmälan</t>
        </is>
      </c>
      <c r="C247" t="inlineStr">
        <is>
          <t>Föryngringsavverkning</t>
        </is>
      </c>
      <c r="D247" s="1" t="n">
        <v>45985</v>
      </c>
      <c r="E247" s="1" t="n">
        <v>46217</v>
      </c>
      <c r="F247" t="inlineStr">
        <is>
          <t>NORRBOTTENS LÄN</t>
        </is>
      </c>
      <c r="G247" t="inlineStr">
        <is>
          <t>JOKKMOKK</t>
        </is>
      </c>
      <c r="H247" t="inlineStr">
        <is>
          <t>Övriga statliga verk och myndigheter</t>
        </is>
      </c>
      <c r="I247" t="n">
        <v>3.5</v>
      </c>
      <c r="J247" t="n">
        <v>0</v>
      </c>
      <c r="K247" t="n">
        <v>0</v>
      </c>
      <c r="L247" t="n">
        <v>0</v>
      </c>
      <c r="M247" t="n">
        <v>0</v>
      </c>
      <c r="N247" t="n">
        <v>0</v>
      </c>
      <c r="O247" t="n">
        <v>0</v>
      </c>
      <c r="P247" t="n">
        <v>0</v>
      </c>
      <c r="Q247" t="n">
        <v>0</v>
      </c>
      <c r="R247" t="n">
        <v>0</v>
      </c>
      <c r="S247" t="n">
        <v>0</v>
      </c>
      <c r="T247" t="n">
        <v>0</v>
      </c>
      <c r="U247" s="2" t="inlineStr"/>
    </row>
    <row r="248" ht="15" customHeight="1">
      <c r="A248" t="inlineStr">
        <is>
          <t>A 25595-2026</t>
        </is>
      </c>
      <c r="B248" t="inlineStr">
        <is>
          <t>avverkningsanmälan</t>
        </is>
      </c>
      <c r="C248" t="inlineStr">
        <is>
          <t>Föryngringsavverkning</t>
        </is>
      </c>
      <c r="D248" s="1" t="n">
        <v>46177</v>
      </c>
      <c r="E248" s="1" t="n">
        <v>46217</v>
      </c>
      <c r="F248" t="inlineStr">
        <is>
          <t>NORRBOTTENS LÄN</t>
        </is>
      </c>
      <c r="G248" t="inlineStr">
        <is>
          <t>JOKKMOKK</t>
        </is>
      </c>
      <c r="H248" t="inlineStr">
        <is>
          <t>Sveaskog</t>
        </is>
      </c>
      <c r="I248" t="n">
        <v>9.800000000000001</v>
      </c>
      <c r="J248" t="n">
        <v>0</v>
      </c>
      <c r="K248" t="n">
        <v>0</v>
      </c>
      <c r="L248" t="n">
        <v>0</v>
      </c>
      <c r="M248" t="n">
        <v>0</v>
      </c>
      <c r="N248" t="n">
        <v>0</v>
      </c>
      <c r="O248" t="n">
        <v>0</v>
      </c>
      <c r="P248" t="n">
        <v>0</v>
      </c>
      <c r="Q248" t="n">
        <v>0</v>
      </c>
      <c r="R248" t="n">
        <v>0</v>
      </c>
      <c r="S248" t="n">
        <v>0</v>
      </c>
      <c r="T248" t="n">
        <v>0</v>
      </c>
      <c r="U248" s="2" t="inlineStr"/>
    </row>
    <row r="249" ht="15" customHeight="1">
      <c r="A249" t="inlineStr">
        <is>
          <t>A 56073-2025</t>
        </is>
      </c>
      <c r="B249" t="inlineStr">
        <is>
          <t>avverkningsanmälan</t>
        </is>
      </c>
      <c r="C249" t="inlineStr">
        <is>
          <t>Föryngringsavverkning</t>
        </is>
      </c>
      <c r="D249" s="1" t="n">
        <v>45973</v>
      </c>
      <c r="E249" s="1" t="n">
        <v>46217</v>
      </c>
      <c r="F249" t="inlineStr">
        <is>
          <t>NORRBOTTENS LÄN</t>
        </is>
      </c>
      <c r="G249" t="inlineStr">
        <is>
          <t>JOKKMOKK</t>
        </is>
      </c>
      <c r="H249" t="inlineStr">
        <is>
          <t>Naturvårdsverket</t>
        </is>
      </c>
      <c r="I249" t="n">
        <v>8.1</v>
      </c>
      <c r="J249" t="n">
        <v>0</v>
      </c>
      <c r="K249" t="n">
        <v>0</v>
      </c>
      <c r="L249" t="n">
        <v>0</v>
      </c>
      <c r="M249" t="n">
        <v>0</v>
      </c>
      <c r="N249" t="n">
        <v>0</v>
      </c>
      <c r="O249" t="n">
        <v>0</v>
      </c>
      <c r="P249" t="n">
        <v>0</v>
      </c>
      <c r="Q249" t="n">
        <v>0</v>
      </c>
      <c r="R249" t="n">
        <v>0</v>
      </c>
      <c r="S249" t="n">
        <v>0</v>
      </c>
      <c r="T249" t="n">
        <v>0</v>
      </c>
      <c r="U249" s="2" t="inlineStr"/>
    </row>
    <row r="250" ht="15" customHeight="1">
      <c r="A250" t="inlineStr">
        <is>
          <t>A 21761-2026</t>
        </is>
      </c>
      <c r="B250" t="inlineStr">
        <is>
          <t>avverkningsanmälan</t>
        </is>
      </c>
      <c r="C250" t="inlineStr">
        <is>
          <t>Föryngringsavverkning</t>
        </is>
      </c>
      <c r="D250" s="1" t="n">
        <v>46149</v>
      </c>
      <c r="E250" s="1" t="n">
        <v>46217</v>
      </c>
      <c r="F250" t="inlineStr">
        <is>
          <t>NORRBOTTENS LÄN</t>
        </is>
      </c>
      <c r="G250" t="inlineStr">
        <is>
          <t>JOKKMOKK</t>
        </is>
      </c>
      <c r="I250" t="n">
        <v>23.4</v>
      </c>
      <c r="J250" t="n">
        <v>0</v>
      </c>
      <c r="K250" t="n">
        <v>0</v>
      </c>
      <c r="L250" t="n">
        <v>0</v>
      </c>
      <c r="M250" t="n">
        <v>0</v>
      </c>
      <c r="N250" t="n">
        <v>0</v>
      </c>
      <c r="O250" t="n">
        <v>0</v>
      </c>
      <c r="P250" t="n">
        <v>0</v>
      </c>
      <c r="Q250" t="n">
        <v>0</v>
      </c>
      <c r="R250" t="n">
        <v>0</v>
      </c>
      <c r="S250" t="n">
        <v>0</v>
      </c>
      <c r="T250" t="n">
        <v>0</v>
      </c>
      <c r="U250" s="2" t="inlineStr"/>
    </row>
    <row r="251" ht="15" customHeight="1">
      <c r="A251" t="inlineStr">
        <is>
          <t>A 27811-2026</t>
        </is>
      </c>
      <c r="B251" t="inlineStr">
        <is>
          <t>avverkningsanmälan</t>
        </is>
      </c>
      <c r="C251" t="inlineStr">
        <is>
          <t>Föryngringsavverkning</t>
        </is>
      </c>
      <c r="D251" s="1" t="n">
        <v>46191</v>
      </c>
      <c r="E251" s="1" t="n">
        <v>46217</v>
      </c>
      <c r="F251" t="inlineStr">
        <is>
          <t>NORRBOTTENS LÄN</t>
        </is>
      </c>
      <c r="G251" t="inlineStr">
        <is>
          <t>JOKKMOKK</t>
        </is>
      </c>
      <c r="H251" t="inlineStr">
        <is>
          <t>SCA</t>
        </is>
      </c>
      <c r="I251" t="n">
        <v>30.2</v>
      </c>
      <c r="J251" t="n">
        <v>0</v>
      </c>
      <c r="K251" t="n">
        <v>0</v>
      </c>
      <c r="L251" t="n">
        <v>0</v>
      </c>
      <c r="M251" t="n">
        <v>0</v>
      </c>
      <c r="N251" t="n">
        <v>0</v>
      </c>
      <c r="O251" t="n">
        <v>0</v>
      </c>
      <c r="P251" t="n">
        <v>0</v>
      </c>
      <c r="Q251" t="n">
        <v>0</v>
      </c>
      <c r="R251" t="n">
        <v>0</v>
      </c>
      <c r="S251" t="n">
        <v>0</v>
      </c>
      <c r="T251" t="n">
        <v>0</v>
      </c>
      <c r="U251" s="2" t="inlineStr"/>
    </row>
    <row r="252" ht="15" customHeight="1">
      <c r="A252" t="inlineStr">
        <is>
          <t>A 27948-2026</t>
        </is>
      </c>
      <c r="B252" t="inlineStr">
        <is>
          <t>avverkningsanmälan</t>
        </is>
      </c>
      <c r="C252" t="inlineStr">
        <is>
          <t>Föryngringsavverkning</t>
        </is>
      </c>
      <c r="D252" s="1" t="n">
        <v>46192</v>
      </c>
      <c r="E252" s="1" t="n">
        <v>46217</v>
      </c>
      <c r="F252" t="inlineStr">
        <is>
          <t>NORRBOTTENS LÄN</t>
        </is>
      </c>
      <c r="G252" t="inlineStr">
        <is>
          <t>JOKKMOKK</t>
        </is>
      </c>
      <c r="H252" t="inlineStr">
        <is>
          <t>SCA</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27807-2026</t>
        </is>
      </c>
      <c r="B253" t="inlineStr">
        <is>
          <t>avverkningsanmälan</t>
        </is>
      </c>
      <c r="C253" t="inlineStr">
        <is>
          <t>Föryngringsavverkning</t>
        </is>
      </c>
      <c r="D253" s="1" t="n">
        <v>46191</v>
      </c>
      <c r="E253" s="1" t="n">
        <v>46217</v>
      </c>
      <c r="F253" t="inlineStr">
        <is>
          <t>NORRBOTTENS LÄN</t>
        </is>
      </c>
      <c r="G253" t="inlineStr">
        <is>
          <t>JOKKMOKK</t>
        </is>
      </c>
      <c r="H253" t="inlineStr">
        <is>
          <t>SCA</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10630-2025</t>
        </is>
      </c>
      <c r="B254" t="inlineStr">
        <is>
          <t>avverkningsanmälan</t>
        </is>
      </c>
      <c r="C254" t="inlineStr">
        <is>
          <t>Föryngringsavverkning</t>
        </is>
      </c>
      <c r="D254" s="1" t="n">
        <v>45721</v>
      </c>
      <c r="E254" s="1" t="n">
        <v>46217</v>
      </c>
      <c r="F254" t="inlineStr">
        <is>
          <t>NORRBOTTENS LÄN</t>
        </is>
      </c>
      <c r="G254" t="inlineStr">
        <is>
          <t>JOKKMOKK</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52130-2024</t>
        </is>
      </c>
      <c r="B255" t="inlineStr">
        <is>
          <t>avverkningsanmälan</t>
        </is>
      </c>
      <c r="C255" t="inlineStr">
        <is>
          <t>Föryngringsavverkning</t>
        </is>
      </c>
      <c r="D255" s="1" t="n">
        <v>45608</v>
      </c>
      <c r="E255" s="1" t="n">
        <v>46217</v>
      </c>
      <c r="F255" t="inlineStr">
        <is>
          <t>NORRBOTTENS LÄN</t>
        </is>
      </c>
      <c r="G255" t="inlineStr">
        <is>
          <t>JOKKMOKK</t>
        </is>
      </c>
      <c r="I255" t="n">
        <v>84</v>
      </c>
      <c r="J255" t="n">
        <v>0</v>
      </c>
      <c r="K255" t="n">
        <v>0</v>
      </c>
      <c r="L255" t="n">
        <v>0</v>
      </c>
      <c r="M255" t="n">
        <v>0</v>
      </c>
      <c r="N255" t="n">
        <v>0</v>
      </c>
      <c r="O255" t="n">
        <v>0</v>
      </c>
      <c r="P255" t="n">
        <v>0</v>
      </c>
      <c r="Q255" t="n">
        <v>0</v>
      </c>
      <c r="R255" t="n">
        <v>0</v>
      </c>
      <c r="S255" t="n">
        <v>0</v>
      </c>
      <c r="T255" t="n">
        <v>0</v>
      </c>
      <c r="U255" s="2" t="inlineStr"/>
    </row>
    <row r="256" ht="15" customHeight="1">
      <c r="A256" t="inlineStr">
        <is>
          <t>A 60155-2025</t>
        </is>
      </c>
      <c r="B256" t="inlineStr">
        <is>
          <t>avverkningsanmälan</t>
        </is>
      </c>
      <c r="C256" t="inlineStr">
        <is>
          <t>Föryngringsavverkning</t>
        </is>
      </c>
      <c r="D256" s="1" t="n">
        <v>45994</v>
      </c>
      <c r="E256" s="1" t="n">
        <v>46217</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24052-2023</t>
        </is>
      </c>
      <c r="B257" t="inlineStr">
        <is>
          <t>avverkningsanmälan</t>
        </is>
      </c>
      <c r="C257" t="inlineStr">
        <is>
          <t>Föryngringsavverkning</t>
        </is>
      </c>
      <c r="D257" s="1" t="n">
        <v>45078</v>
      </c>
      <c r="E257" s="1" t="n">
        <v>46217</v>
      </c>
      <c r="F257" t="inlineStr">
        <is>
          <t>NORRBOTTENS LÄN</t>
        </is>
      </c>
      <c r="G257" t="inlineStr">
        <is>
          <t>JOKKMOKK</t>
        </is>
      </c>
      <c r="H257" t="inlineStr">
        <is>
          <t>Naturvårdsverket</t>
        </is>
      </c>
      <c r="I257" t="n">
        <v>58.1</v>
      </c>
      <c r="J257" t="n">
        <v>0</v>
      </c>
      <c r="K257" t="n">
        <v>0</v>
      </c>
      <c r="L257" t="n">
        <v>0</v>
      </c>
      <c r="M257" t="n">
        <v>0</v>
      </c>
      <c r="N257" t="n">
        <v>0</v>
      </c>
      <c r="O257" t="n">
        <v>0</v>
      </c>
      <c r="P257" t="n">
        <v>0</v>
      </c>
      <c r="Q257" t="n">
        <v>0</v>
      </c>
      <c r="R257" t="n">
        <v>0</v>
      </c>
      <c r="S257" t="n">
        <v>0</v>
      </c>
      <c r="T257" t="n">
        <v>0</v>
      </c>
      <c r="U257" s="2" t="inlineStr"/>
    </row>
    <row r="258" ht="15" customHeight="1">
      <c r="A258" t="inlineStr">
        <is>
          <t>A 52280-2021</t>
        </is>
      </c>
      <c r="B258" t="inlineStr">
        <is>
          <t>avverkningsanmälan</t>
        </is>
      </c>
      <c r="C258" t="inlineStr">
        <is>
          <t>Föryngringsavverkning</t>
        </is>
      </c>
      <c r="D258" s="1" t="n">
        <v>44462</v>
      </c>
      <c r="E258" s="1" t="n">
        <v>46217</v>
      </c>
      <c r="F258" t="inlineStr">
        <is>
          <t>NORRBOTTENS LÄN</t>
        </is>
      </c>
      <c r="G258" t="inlineStr">
        <is>
          <t>JOKKMOKK</t>
        </is>
      </c>
      <c r="H258" t="inlineStr">
        <is>
          <t>Övriga statliga verk och myndigheter</t>
        </is>
      </c>
      <c r="I258" t="n">
        <v>25.9</v>
      </c>
      <c r="J258" t="n">
        <v>0</v>
      </c>
      <c r="K258" t="n">
        <v>0</v>
      </c>
      <c r="L258" t="n">
        <v>0</v>
      </c>
      <c r="M258" t="n">
        <v>0</v>
      </c>
      <c r="N258" t="n">
        <v>0</v>
      </c>
      <c r="O258" t="n">
        <v>0</v>
      </c>
      <c r="P258" t="n">
        <v>0</v>
      </c>
      <c r="Q258" t="n">
        <v>0</v>
      </c>
      <c r="R258" t="n">
        <v>0</v>
      </c>
      <c r="S258" t="n">
        <v>0</v>
      </c>
      <c r="T258" t="n">
        <v>0</v>
      </c>
      <c r="U258" s="2" t="inlineStr"/>
    </row>
    <row r="259" ht="15" customHeight="1">
      <c r="A259" t="inlineStr">
        <is>
          <t>A 60404-2025</t>
        </is>
      </c>
      <c r="B259" t="inlineStr">
        <is>
          <t>avverkningsanmälan</t>
        </is>
      </c>
      <c r="C259" t="inlineStr">
        <is>
          <t>Föryngringsavverkning</t>
        </is>
      </c>
      <c r="D259" s="1" t="n">
        <v>45995</v>
      </c>
      <c r="E259" s="1" t="n">
        <v>46217</v>
      </c>
      <c r="F259" t="inlineStr">
        <is>
          <t>NORRBOTTENS LÄN</t>
        </is>
      </c>
      <c r="G259" t="inlineStr">
        <is>
          <t>JOKKMOKK</t>
        </is>
      </c>
      <c r="H259" t="inlineStr">
        <is>
          <t>SCA</t>
        </is>
      </c>
      <c r="I259" t="n">
        <v>4.8</v>
      </c>
      <c r="J259" t="n">
        <v>0</v>
      </c>
      <c r="K259" t="n">
        <v>0</v>
      </c>
      <c r="L259" t="n">
        <v>0</v>
      </c>
      <c r="M259" t="n">
        <v>0</v>
      </c>
      <c r="N259" t="n">
        <v>0</v>
      </c>
      <c r="O259" t="n">
        <v>0</v>
      </c>
      <c r="P259" t="n">
        <v>0</v>
      </c>
      <c r="Q259" t="n">
        <v>0</v>
      </c>
      <c r="R259" t="n">
        <v>0</v>
      </c>
      <c r="S259" t="n">
        <v>0</v>
      </c>
      <c r="T259" t="n">
        <v>0</v>
      </c>
      <c r="U259" s="2" t="inlineStr"/>
    </row>
    <row r="260" ht="15" customHeight="1">
      <c r="A260" t="inlineStr">
        <is>
          <t>A 60408-2025</t>
        </is>
      </c>
      <c r="B260" t="inlineStr">
        <is>
          <t>avverkningsanmälan</t>
        </is>
      </c>
      <c r="C260" t="inlineStr">
        <is>
          <t>Föryngringsavverkning</t>
        </is>
      </c>
      <c r="D260" s="1" t="n">
        <v>45995</v>
      </c>
      <c r="E260" s="1" t="n">
        <v>46217</v>
      </c>
      <c r="F260" t="inlineStr">
        <is>
          <t>NORRBOTTENS LÄN</t>
        </is>
      </c>
      <c r="G260" t="inlineStr">
        <is>
          <t>JOKKMOKK</t>
        </is>
      </c>
      <c r="H260" t="inlineStr">
        <is>
          <t>Övriga statliga verk och myndigheter</t>
        </is>
      </c>
      <c r="I260" t="n">
        <v>9.6</v>
      </c>
      <c r="J260" t="n">
        <v>0</v>
      </c>
      <c r="K260" t="n">
        <v>0</v>
      </c>
      <c r="L260" t="n">
        <v>0</v>
      </c>
      <c r="M260" t="n">
        <v>0</v>
      </c>
      <c r="N260" t="n">
        <v>0</v>
      </c>
      <c r="O260" t="n">
        <v>0</v>
      </c>
      <c r="P260" t="n">
        <v>0</v>
      </c>
      <c r="Q260" t="n">
        <v>0</v>
      </c>
      <c r="R260" t="n">
        <v>0</v>
      </c>
      <c r="S260" t="n">
        <v>0</v>
      </c>
      <c r="T260" t="n">
        <v>0</v>
      </c>
      <c r="U260" s="2" t="inlineStr"/>
    </row>
    <row r="261" ht="15" customHeight="1">
      <c r="A261" t="inlineStr">
        <is>
          <t>A 59849-2021</t>
        </is>
      </c>
      <c r="B261" t="inlineStr">
        <is>
          <t>avverkningsanmälan</t>
        </is>
      </c>
      <c r="C261" t="inlineStr">
        <is>
          <t>Föryngringsavverkning</t>
        </is>
      </c>
      <c r="D261" s="1" t="n">
        <v>44493</v>
      </c>
      <c r="E261" s="1" t="n">
        <v>46217</v>
      </c>
      <c r="F261" t="inlineStr">
        <is>
          <t>NORRBOTTENS LÄN</t>
        </is>
      </c>
      <c r="G261" t="inlineStr">
        <is>
          <t>JOKKMOKK</t>
        </is>
      </c>
      <c r="H261" t="inlineStr">
        <is>
          <t>Övriga Aktiebolag</t>
        </is>
      </c>
      <c r="I261" t="n">
        <v>11.7</v>
      </c>
      <c r="J261" t="n">
        <v>0</v>
      </c>
      <c r="K261" t="n">
        <v>0</v>
      </c>
      <c r="L261" t="n">
        <v>0</v>
      </c>
      <c r="M261" t="n">
        <v>0</v>
      </c>
      <c r="N261" t="n">
        <v>0</v>
      </c>
      <c r="O261" t="n">
        <v>0</v>
      </c>
      <c r="P261" t="n">
        <v>0</v>
      </c>
      <c r="Q261" t="n">
        <v>0</v>
      </c>
      <c r="R261" t="n">
        <v>0</v>
      </c>
      <c r="S261" t="n">
        <v>0</v>
      </c>
      <c r="T261" t="n">
        <v>0</v>
      </c>
      <c r="U261" s="2" t="inlineStr"/>
    </row>
    <row r="262" ht="15" customHeight="1">
      <c r="A262" t="inlineStr">
        <is>
          <t>A 22025-2026</t>
        </is>
      </c>
      <c r="B262" t="inlineStr">
        <is>
          <t>avverkningsanmälan</t>
        </is>
      </c>
      <c r="C262" t="inlineStr">
        <is>
          <t>Föryngringsavverkning</t>
        </is>
      </c>
      <c r="D262" s="1" t="n">
        <v>46153</v>
      </c>
      <c r="E262" s="1" t="n">
        <v>46217</v>
      </c>
      <c r="F262" t="inlineStr">
        <is>
          <t>NORRBOTTENS LÄN</t>
        </is>
      </c>
      <c r="G262" t="inlineStr">
        <is>
          <t>JOKKMOKK</t>
        </is>
      </c>
      <c r="I262" t="n">
        <v>9.5</v>
      </c>
      <c r="J262" t="n">
        <v>0</v>
      </c>
      <c r="K262" t="n">
        <v>0</v>
      </c>
      <c r="L262" t="n">
        <v>0</v>
      </c>
      <c r="M262" t="n">
        <v>0</v>
      </c>
      <c r="N262" t="n">
        <v>0</v>
      </c>
      <c r="O262" t="n">
        <v>0</v>
      </c>
      <c r="P262" t="n">
        <v>0</v>
      </c>
      <c r="Q262" t="n">
        <v>0</v>
      </c>
      <c r="R262" t="n">
        <v>0</v>
      </c>
      <c r="S262" t="n">
        <v>0</v>
      </c>
      <c r="T262" t="n">
        <v>0</v>
      </c>
      <c r="U262" s="2" t="inlineStr"/>
    </row>
    <row r="263" ht="15" customHeight="1">
      <c r="A263" t="inlineStr">
        <is>
          <t>A 52240-2025</t>
        </is>
      </c>
      <c r="B263" t="inlineStr">
        <is>
          <t>avverkningsanmälan</t>
        </is>
      </c>
      <c r="C263" t="inlineStr">
        <is>
          <t>Föryngringsavverkning</t>
        </is>
      </c>
      <c r="D263" s="1" t="n">
        <v>45953</v>
      </c>
      <c r="E263" s="1" t="n">
        <v>46217</v>
      </c>
      <c r="F263" t="inlineStr">
        <is>
          <t>NORRBOTTENS LÄN</t>
        </is>
      </c>
      <c r="G263" t="inlineStr">
        <is>
          <t>JOKKMOKK</t>
        </is>
      </c>
      <c r="H263" t="inlineStr">
        <is>
          <t>Övriga statliga verk och myndigheter</t>
        </is>
      </c>
      <c r="I263" t="n">
        <v>17.6</v>
      </c>
      <c r="J263" t="n">
        <v>0</v>
      </c>
      <c r="K263" t="n">
        <v>0</v>
      </c>
      <c r="L263" t="n">
        <v>0</v>
      </c>
      <c r="M263" t="n">
        <v>0</v>
      </c>
      <c r="N263" t="n">
        <v>0</v>
      </c>
      <c r="O263" t="n">
        <v>0</v>
      </c>
      <c r="P263" t="n">
        <v>0</v>
      </c>
      <c r="Q263" t="n">
        <v>0</v>
      </c>
      <c r="R263" t="n">
        <v>0</v>
      </c>
      <c r="S263" t="n">
        <v>0</v>
      </c>
      <c r="T263" t="n">
        <v>0</v>
      </c>
      <c r="U263" s="2" t="inlineStr"/>
    </row>
    <row r="264" ht="15" customHeight="1">
      <c r="A264" t="inlineStr">
        <is>
          <t>A 32900-2023</t>
        </is>
      </c>
      <c r="B264" t="inlineStr">
        <is>
          <t>avverkningsanmälan</t>
        </is>
      </c>
      <c r="C264" t="inlineStr">
        <is>
          <t>Avverkning för att bevara och utveckla /försöksver</t>
        </is>
      </c>
      <c r="D264" s="1" t="n">
        <v>45124</v>
      </c>
      <c r="E264" s="1" t="n">
        <v>46217</v>
      </c>
      <c r="F264" t="inlineStr">
        <is>
          <t>NORRBOTTENS LÄN</t>
        </is>
      </c>
      <c r="G264" t="inlineStr">
        <is>
          <t>JOKKMOKK</t>
        </is>
      </c>
      <c r="H264" t="inlineStr">
        <is>
          <t>SCA</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62093-2025</t>
        </is>
      </c>
      <c r="B265" t="inlineStr">
        <is>
          <t>avverkningsanmälan</t>
        </is>
      </c>
      <c r="C265" t="inlineStr">
        <is>
          <t>Föryngringsavverkning</t>
        </is>
      </c>
      <c r="D265" s="1" t="n">
        <v>46006</v>
      </c>
      <c r="E265" s="1" t="n">
        <v>46217</v>
      </c>
      <c r="F265" t="inlineStr">
        <is>
          <t>NORRBOTTENS LÄN</t>
        </is>
      </c>
      <c r="G265" t="inlineStr">
        <is>
          <t>JOKKMOKK</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63206-2025</t>
        </is>
      </c>
      <c r="B266" t="inlineStr">
        <is>
          <t>avverkningsanmälan</t>
        </is>
      </c>
      <c r="C266" t="inlineStr">
        <is>
          <t>Avverkning för annat ändamål</t>
        </is>
      </c>
      <c r="D266" s="1" t="n">
        <v>46010</v>
      </c>
      <c r="E266" s="1" t="n">
        <v>46217</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28548-2026</t>
        </is>
      </c>
      <c r="B267" t="inlineStr">
        <is>
          <t>avverkningsanmälan</t>
        </is>
      </c>
      <c r="C267" t="inlineStr">
        <is>
          <t>Föryngringsavverkning</t>
        </is>
      </c>
      <c r="D267" s="1" t="n">
        <v>46197</v>
      </c>
      <c r="E267" s="1" t="n">
        <v>46217</v>
      </c>
      <c r="F267" t="inlineStr">
        <is>
          <t>NORRBOTTENS LÄN</t>
        </is>
      </c>
      <c r="G267" t="inlineStr">
        <is>
          <t>JOKKMOKK</t>
        </is>
      </c>
      <c r="H267" t="inlineStr">
        <is>
          <t>Sveaskog</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42095-2025</t>
        </is>
      </c>
      <c r="B268" t="inlineStr">
        <is>
          <t>avverkningsanmälan</t>
        </is>
      </c>
      <c r="C268" t="inlineStr">
        <is>
          <t>Föryngringsavverkning</t>
        </is>
      </c>
      <c r="D268" s="1" t="n">
        <v>45903</v>
      </c>
      <c r="E268" s="1" t="n">
        <v>46217</v>
      </c>
      <c r="F268" t="inlineStr">
        <is>
          <t>NORRBOTTENS LÄN</t>
        </is>
      </c>
      <c r="G268" t="inlineStr">
        <is>
          <t>JOKKMOKK</t>
        </is>
      </c>
      <c r="H268" t="inlineStr">
        <is>
          <t>SCA</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28523-2026</t>
        </is>
      </c>
      <c r="B269" t="inlineStr">
        <is>
          <t>avverkningsanmälan</t>
        </is>
      </c>
      <c r="C269" t="inlineStr">
        <is>
          <t>Föryngringsavverkning</t>
        </is>
      </c>
      <c r="D269" s="1" t="n">
        <v>46197</v>
      </c>
      <c r="E269" s="1" t="n">
        <v>46217</v>
      </c>
      <c r="F269" t="inlineStr">
        <is>
          <t>NORRBOTTENS LÄN</t>
        </is>
      </c>
      <c r="G269" t="inlineStr">
        <is>
          <t>JOKKMOKK</t>
        </is>
      </c>
      <c r="H269" t="inlineStr">
        <is>
          <t>Sveaskog</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71369-2021</t>
        </is>
      </c>
      <c r="B270" t="inlineStr">
        <is>
          <t>avverkningsanmälan</t>
        </is>
      </c>
      <c r="C270" t="inlineStr">
        <is>
          <t>Avverkning för att bevara och utveckla /försöksver</t>
        </is>
      </c>
      <c r="D270" s="1" t="n">
        <v>44539</v>
      </c>
      <c r="E270" s="1" t="n">
        <v>46217</v>
      </c>
      <c r="F270" t="inlineStr">
        <is>
          <t>NORRBOTTENS LÄN</t>
        </is>
      </c>
      <c r="G270" t="inlineStr">
        <is>
          <t>JOKKMOKK</t>
        </is>
      </c>
      <c r="H270" t="inlineStr">
        <is>
          <t>SCA</t>
        </is>
      </c>
      <c r="I270" t="n">
        <v>15.7</v>
      </c>
      <c r="J270" t="n">
        <v>0</v>
      </c>
      <c r="K270" t="n">
        <v>0</v>
      </c>
      <c r="L270" t="n">
        <v>0</v>
      </c>
      <c r="M270" t="n">
        <v>0</v>
      </c>
      <c r="N270" t="n">
        <v>0</v>
      </c>
      <c r="O270" t="n">
        <v>0</v>
      </c>
      <c r="P270" t="n">
        <v>0</v>
      </c>
      <c r="Q270" t="n">
        <v>0</v>
      </c>
      <c r="R270" t="n">
        <v>0</v>
      </c>
      <c r="S270" t="n">
        <v>0</v>
      </c>
      <c r="T270" t="n">
        <v>0</v>
      </c>
      <c r="U270" s="2" t="inlineStr"/>
    </row>
    <row r="271" ht="15" customHeight="1">
      <c r="A271" t="inlineStr">
        <is>
          <t>A 43997-2024</t>
        </is>
      </c>
      <c r="B271" t="inlineStr">
        <is>
          <t>avverkningsanmälan</t>
        </is>
      </c>
      <c r="C271" t="inlineStr">
        <is>
          <t>Föryngringsavverkning</t>
        </is>
      </c>
      <c r="D271" s="1" t="n">
        <v>45572</v>
      </c>
      <c r="E271" s="1" t="n">
        <v>46217</v>
      </c>
      <c r="F271" t="inlineStr">
        <is>
          <t>NORRBOTTENS LÄN</t>
        </is>
      </c>
      <c r="G271" t="inlineStr">
        <is>
          <t>JOKKMOKK</t>
        </is>
      </c>
      <c r="H271" t="inlineStr">
        <is>
          <t>Sveaskog</t>
        </is>
      </c>
      <c r="I271" t="n">
        <v>17.4</v>
      </c>
      <c r="J271" t="n">
        <v>0</v>
      </c>
      <c r="K271" t="n">
        <v>0</v>
      </c>
      <c r="L271" t="n">
        <v>0</v>
      </c>
      <c r="M271" t="n">
        <v>0</v>
      </c>
      <c r="N271" t="n">
        <v>0</v>
      </c>
      <c r="O271" t="n">
        <v>0</v>
      </c>
      <c r="P271" t="n">
        <v>0</v>
      </c>
      <c r="Q271" t="n">
        <v>0</v>
      </c>
      <c r="R271" t="n">
        <v>0</v>
      </c>
      <c r="S271" t="n">
        <v>0</v>
      </c>
      <c r="T271" t="n">
        <v>0</v>
      </c>
      <c r="U271" s="2" t="inlineStr"/>
    </row>
    <row r="272" ht="15" customHeight="1">
      <c r="A272" t="inlineStr">
        <is>
          <t>A 64016-2025</t>
        </is>
      </c>
      <c r="B272" t="inlineStr">
        <is>
          <t>avverkningsanmälan</t>
        </is>
      </c>
      <c r="C272" t="inlineStr">
        <is>
          <t>Föryngringsavverkning</t>
        </is>
      </c>
      <c r="D272" s="1" t="n">
        <v>46021</v>
      </c>
      <c r="E272" s="1" t="n">
        <v>46217</v>
      </c>
      <c r="F272" t="inlineStr">
        <is>
          <t>NORRBOTTENS LÄN</t>
        </is>
      </c>
      <c r="G272" t="inlineStr">
        <is>
          <t>JOKKMOKK</t>
        </is>
      </c>
      <c r="I272" t="n">
        <v>8.4</v>
      </c>
      <c r="J272" t="n">
        <v>0</v>
      </c>
      <c r="K272" t="n">
        <v>0</v>
      </c>
      <c r="L272" t="n">
        <v>0</v>
      </c>
      <c r="M272" t="n">
        <v>0</v>
      </c>
      <c r="N272" t="n">
        <v>0</v>
      </c>
      <c r="O272" t="n">
        <v>0</v>
      </c>
      <c r="P272" t="n">
        <v>0</v>
      </c>
      <c r="Q272" t="n">
        <v>0</v>
      </c>
      <c r="R272" t="n">
        <v>0</v>
      </c>
      <c r="S272" t="n">
        <v>0</v>
      </c>
      <c r="T272" t="n">
        <v>0</v>
      </c>
      <c r="U272" s="2" t="inlineStr"/>
    </row>
    <row r="273" ht="15" customHeight="1">
      <c r="A273" t="inlineStr">
        <is>
          <t>A 63181-2025</t>
        </is>
      </c>
      <c r="B273" t="inlineStr">
        <is>
          <t>avverkningsanmälan</t>
        </is>
      </c>
      <c r="C273" t="inlineStr">
        <is>
          <t>Föryngringsavverkning</t>
        </is>
      </c>
      <c r="D273" s="1" t="n">
        <v>46010</v>
      </c>
      <c r="E273" s="1" t="n">
        <v>46217</v>
      </c>
      <c r="F273" t="inlineStr">
        <is>
          <t>NORRBOTTENS LÄN</t>
        </is>
      </c>
      <c r="G273" t="inlineStr">
        <is>
          <t>JOKKMOKK</t>
        </is>
      </c>
      <c r="I273" t="n">
        <v>42.7</v>
      </c>
      <c r="J273" t="n">
        <v>0</v>
      </c>
      <c r="K273" t="n">
        <v>0</v>
      </c>
      <c r="L273" t="n">
        <v>0</v>
      </c>
      <c r="M273" t="n">
        <v>0</v>
      </c>
      <c r="N273" t="n">
        <v>0</v>
      </c>
      <c r="O273" t="n">
        <v>0</v>
      </c>
      <c r="P273" t="n">
        <v>0</v>
      </c>
      <c r="Q273" t="n">
        <v>0</v>
      </c>
      <c r="R273" t="n">
        <v>0</v>
      </c>
      <c r="S273" t="n">
        <v>0</v>
      </c>
      <c r="T273" t="n">
        <v>0</v>
      </c>
      <c r="U273" s="2" t="inlineStr"/>
    </row>
    <row r="274" ht="15" customHeight="1">
      <c r="A274" t="inlineStr">
        <is>
          <t>A 28770-2026</t>
        </is>
      </c>
      <c r="B274" t="inlineStr">
        <is>
          <t>avverkningsanmälan</t>
        </is>
      </c>
      <c r="C274" t="inlineStr">
        <is>
          <t>Föryngringsavverkning</t>
        </is>
      </c>
      <c r="D274" s="1" t="n">
        <v>46198</v>
      </c>
      <c r="E274" s="1" t="n">
        <v>46217</v>
      </c>
      <c r="F274" t="inlineStr">
        <is>
          <t>NORRBOTTENS LÄN</t>
        </is>
      </c>
      <c r="G274" t="inlineStr">
        <is>
          <t>JOKKMOKK</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49483-2021</t>
        </is>
      </c>
      <c r="B275" t="inlineStr">
        <is>
          <t>avverkningsanmälan</t>
        </is>
      </c>
      <c r="C275" t="inlineStr">
        <is>
          <t>Föryngringsavverkning</t>
        </is>
      </c>
      <c r="D275" s="1" t="n">
        <v>44454</v>
      </c>
      <c r="E275" s="1" t="n">
        <v>46217</v>
      </c>
      <c r="F275" t="inlineStr">
        <is>
          <t>NORRBOTTENS LÄN</t>
        </is>
      </c>
      <c r="G275" t="inlineStr">
        <is>
          <t>JOKKMOKK</t>
        </is>
      </c>
      <c r="H275" t="inlineStr">
        <is>
          <t>SCA</t>
        </is>
      </c>
      <c r="I275" t="n">
        <v>24.2</v>
      </c>
      <c r="J275" t="n">
        <v>0</v>
      </c>
      <c r="K275" t="n">
        <v>0</v>
      </c>
      <c r="L275" t="n">
        <v>0</v>
      </c>
      <c r="M275" t="n">
        <v>0</v>
      </c>
      <c r="N275" t="n">
        <v>0</v>
      </c>
      <c r="O275" t="n">
        <v>0</v>
      </c>
      <c r="P275" t="n">
        <v>0</v>
      </c>
      <c r="Q275" t="n">
        <v>0</v>
      </c>
      <c r="R275" t="n">
        <v>0</v>
      </c>
      <c r="S275" t="n">
        <v>0</v>
      </c>
      <c r="T275" t="n">
        <v>0</v>
      </c>
      <c r="U275" s="2" t="inlineStr"/>
    </row>
    <row r="276" ht="15" customHeight="1">
      <c r="A276" t="inlineStr">
        <is>
          <t>A 63142-2025</t>
        </is>
      </c>
      <c r="B276" t="inlineStr">
        <is>
          <t>avverkningsanmälan</t>
        </is>
      </c>
      <c r="C276" t="inlineStr">
        <is>
          <t>Föryngringsavverkning</t>
        </is>
      </c>
      <c r="D276" s="1" t="n">
        <v>46010</v>
      </c>
      <c r="E276" s="1" t="n">
        <v>46217</v>
      </c>
      <c r="F276" t="inlineStr">
        <is>
          <t>NORRBOTTENS LÄN</t>
        </is>
      </c>
      <c r="G276" t="inlineStr">
        <is>
          <t>JOKKMOKK</t>
        </is>
      </c>
      <c r="H276" t="inlineStr">
        <is>
          <t>SCA</t>
        </is>
      </c>
      <c r="I276" t="n">
        <v>9.199999999999999</v>
      </c>
      <c r="J276" t="n">
        <v>0</v>
      </c>
      <c r="K276" t="n">
        <v>0</v>
      </c>
      <c r="L276" t="n">
        <v>0</v>
      </c>
      <c r="M276" t="n">
        <v>0</v>
      </c>
      <c r="N276" t="n">
        <v>0</v>
      </c>
      <c r="O276" t="n">
        <v>0</v>
      </c>
      <c r="P276" t="n">
        <v>0</v>
      </c>
      <c r="Q276" t="n">
        <v>0</v>
      </c>
      <c r="R276" t="n">
        <v>0</v>
      </c>
      <c r="S276" t="n">
        <v>0</v>
      </c>
      <c r="T276" t="n">
        <v>0</v>
      </c>
      <c r="U276" s="2" t="inlineStr"/>
    </row>
    <row r="277" ht="15" customHeight="1">
      <c r="A277" t="inlineStr">
        <is>
          <t>A 43886-2025</t>
        </is>
      </c>
      <c r="B277" t="inlineStr">
        <is>
          <t>avverkningsanmälan</t>
        </is>
      </c>
      <c r="C277" t="inlineStr">
        <is>
          <t>Föryngringsavverkning</t>
        </is>
      </c>
      <c r="D277" s="1" t="n">
        <v>45912</v>
      </c>
      <c r="E277" s="1" t="n">
        <v>46217</v>
      </c>
      <c r="F277" t="inlineStr">
        <is>
          <t>NORRBOTTENS LÄN</t>
        </is>
      </c>
      <c r="G277" t="inlineStr">
        <is>
          <t>JOKKMOKK</t>
        </is>
      </c>
      <c r="I277" t="n">
        <v>38.1</v>
      </c>
      <c r="J277" t="n">
        <v>0</v>
      </c>
      <c r="K277" t="n">
        <v>0</v>
      </c>
      <c r="L277" t="n">
        <v>0</v>
      </c>
      <c r="M277" t="n">
        <v>0</v>
      </c>
      <c r="N277" t="n">
        <v>0</v>
      </c>
      <c r="O277" t="n">
        <v>0</v>
      </c>
      <c r="P277" t="n">
        <v>0</v>
      </c>
      <c r="Q277" t="n">
        <v>0</v>
      </c>
      <c r="R277" t="n">
        <v>0</v>
      </c>
      <c r="S277" t="n">
        <v>0</v>
      </c>
      <c r="T277" t="n">
        <v>0</v>
      </c>
      <c r="U277" s="2" t="inlineStr"/>
    </row>
    <row r="278" ht="15" customHeight="1">
      <c r="A278" t="inlineStr">
        <is>
          <t>A 39684-2023</t>
        </is>
      </c>
      <c r="B278" t="inlineStr">
        <is>
          <t>avverkningsanmälan</t>
        </is>
      </c>
      <c r="C278" t="inlineStr">
        <is>
          <t>Föryngringsavverkning</t>
        </is>
      </c>
      <c r="D278" s="1" t="n">
        <v>45166</v>
      </c>
      <c r="E278" s="1" t="n">
        <v>46217</v>
      </c>
      <c r="F278" t="inlineStr">
        <is>
          <t>NORRBOTTENS LÄN</t>
        </is>
      </c>
      <c r="G278" t="inlineStr">
        <is>
          <t>JOKKMOKK</t>
        </is>
      </c>
      <c r="I278" t="n">
        <v>6.8</v>
      </c>
      <c r="J278" t="n">
        <v>0</v>
      </c>
      <c r="K278" t="n">
        <v>0</v>
      </c>
      <c r="L278" t="n">
        <v>0</v>
      </c>
      <c r="M278" t="n">
        <v>0</v>
      </c>
      <c r="N278" t="n">
        <v>0</v>
      </c>
      <c r="O278" t="n">
        <v>0</v>
      </c>
      <c r="P278" t="n">
        <v>0</v>
      </c>
      <c r="Q278" t="n">
        <v>0</v>
      </c>
      <c r="R278" t="n">
        <v>0</v>
      </c>
      <c r="S278" t="n">
        <v>0</v>
      </c>
      <c r="T278" t="n">
        <v>0</v>
      </c>
      <c r="U278" s="2" t="inlineStr"/>
    </row>
    <row r="279" ht="15" customHeight="1">
      <c r="A279" t="inlineStr">
        <is>
          <t>A 63024-2025</t>
        </is>
      </c>
      <c r="B279" t="inlineStr">
        <is>
          <t>avverkningsanmälan</t>
        </is>
      </c>
      <c r="C279" t="inlineStr">
        <is>
          <t>Föryngringsavverkning</t>
        </is>
      </c>
      <c r="D279" s="1" t="n">
        <v>46009</v>
      </c>
      <c r="E279" s="1" t="n">
        <v>46217</v>
      </c>
      <c r="F279" t="inlineStr">
        <is>
          <t>NORRBOTTENS LÄN</t>
        </is>
      </c>
      <c r="G279" t="inlineStr">
        <is>
          <t>JOKKMOKK</t>
        </is>
      </c>
      <c r="I279" t="n">
        <v>8.800000000000001</v>
      </c>
      <c r="J279" t="n">
        <v>0</v>
      </c>
      <c r="K279" t="n">
        <v>0</v>
      </c>
      <c r="L279" t="n">
        <v>0</v>
      </c>
      <c r="M279" t="n">
        <v>0</v>
      </c>
      <c r="N279" t="n">
        <v>0</v>
      </c>
      <c r="O279" t="n">
        <v>0</v>
      </c>
      <c r="P279" t="n">
        <v>0</v>
      </c>
      <c r="Q279" t="n">
        <v>0</v>
      </c>
      <c r="R279" t="n">
        <v>0</v>
      </c>
      <c r="S279" t="n">
        <v>0</v>
      </c>
      <c r="T279" t="n">
        <v>0</v>
      </c>
      <c r="U279" s="2" t="inlineStr"/>
    </row>
    <row r="280" ht="15" customHeight="1">
      <c r="A280" t="inlineStr">
        <is>
          <t>A 9860-2023</t>
        </is>
      </c>
      <c r="B280" t="inlineStr">
        <is>
          <t>avverkningsanmälan</t>
        </is>
      </c>
      <c r="C280" t="inlineStr">
        <is>
          <t>Föryngringsavverkning</t>
        </is>
      </c>
      <c r="D280" s="1" t="n">
        <v>44984</v>
      </c>
      <c r="E280" s="1" t="n">
        <v>46217</v>
      </c>
      <c r="F280" t="inlineStr">
        <is>
          <t>NORRBOTTENS LÄN</t>
        </is>
      </c>
      <c r="G280" t="inlineStr">
        <is>
          <t>JOKKMOKK</t>
        </is>
      </c>
      <c r="H280" t="inlineStr">
        <is>
          <t>SCA</t>
        </is>
      </c>
      <c r="I280" t="n">
        <v>8</v>
      </c>
      <c r="J280" t="n">
        <v>0</v>
      </c>
      <c r="K280" t="n">
        <v>0</v>
      </c>
      <c r="L280" t="n">
        <v>0</v>
      </c>
      <c r="M280" t="n">
        <v>0</v>
      </c>
      <c r="N280" t="n">
        <v>0</v>
      </c>
      <c r="O280" t="n">
        <v>0</v>
      </c>
      <c r="P280" t="n">
        <v>0</v>
      </c>
      <c r="Q280" t="n">
        <v>0</v>
      </c>
      <c r="R280" t="n">
        <v>0</v>
      </c>
      <c r="S280" t="n">
        <v>0</v>
      </c>
      <c r="T280" t="n">
        <v>0</v>
      </c>
      <c r="U280" s="2" t="inlineStr"/>
    </row>
    <row r="281" ht="15" customHeight="1">
      <c r="A281" t="inlineStr">
        <is>
          <t>A 9863-2023</t>
        </is>
      </c>
      <c r="B281" t="inlineStr">
        <is>
          <t>avverkningsanmälan</t>
        </is>
      </c>
      <c r="C281" t="inlineStr">
        <is>
          <t>Föryngringsavverkning</t>
        </is>
      </c>
      <c r="D281" s="1" t="n">
        <v>44984</v>
      </c>
      <c r="E281" s="1" t="n">
        <v>46217</v>
      </c>
      <c r="F281" t="inlineStr">
        <is>
          <t>NORRBOTTENS LÄN</t>
        </is>
      </c>
      <c r="G281" t="inlineStr">
        <is>
          <t>JOKKMOKK</t>
        </is>
      </c>
      <c r="H281" t="inlineStr">
        <is>
          <t>SCA</t>
        </is>
      </c>
      <c r="I281" t="n">
        <v>14.4</v>
      </c>
      <c r="J281" t="n">
        <v>0</v>
      </c>
      <c r="K281" t="n">
        <v>0</v>
      </c>
      <c r="L281" t="n">
        <v>0</v>
      </c>
      <c r="M281" t="n">
        <v>0</v>
      </c>
      <c r="N281" t="n">
        <v>0</v>
      </c>
      <c r="O281" t="n">
        <v>0</v>
      </c>
      <c r="P281" t="n">
        <v>0</v>
      </c>
      <c r="Q281" t="n">
        <v>0</v>
      </c>
      <c r="R281" t="n">
        <v>0</v>
      </c>
      <c r="S281" t="n">
        <v>0</v>
      </c>
      <c r="T281" t="n">
        <v>0</v>
      </c>
      <c r="U281" s="2" t="inlineStr"/>
    </row>
    <row r="282" ht="15" customHeight="1">
      <c r="A282" t="inlineStr">
        <is>
          <t>A 9872-2023</t>
        </is>
      </c>
      <c r="B282" t="inlineStr">
        <is>
          <t>avverkningsanmälan</t>
        </is>
      </c>
      <c r="C282" t="inlineStr">
        <is>
          <t>Föryngringsavverkning</t>
        </is>
      </c>
      <c r="D282" s="1" t="n">
        <v>44984</v>
      </c>
      <c r="E282" s="1" t="n">
        <v>46217</v>
      </c>
      <c r="F282" t="inlineStr">
        <is>
          <t>NORRBOTTENS LÄN</t>
        </is>
      </c>
      <c r="G282" t="inlineStr">
        <is>
          <t>JOKKMOKK</t>
        </is>
      </c>
      <c r="H282" t="inlineStr">
        <is>
          <t>SCA</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9873-2023</t>
        </is>
      </c>
      <c r="B283" t="inlineStr">
        <is>
          <t>avverkningsanmälan</t>
        </is>
      </c>
      <c r="C283" t="inlineStr">
        <is>
          <t>Föryngringsavverkning</t>
        </is>
      </c>
      <c r="D283" s="1" t="n">
        <v>44984</v>
      </c>
      <c r="E283" s="1" t="n">
        <v>46217</v>
      </c>
      <c r="F283" t="inlineStr">
        <is>
          <t>NORRBOTTENS LÄN</t>
        </is>
      </c>
      <c r="G283" t="inlineStr">
        <is>
          <t>JOKKMOKK</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9877-2023</t>
        </is>
      </c>
      <c r="B284" t="inlineStr">
        <is>
          <t>avverkningsanmälan</t>
        </is>
      </c>
      <c r="C284" t="inlineStr">
        <is>
          <t>Föryngringsavverkning</t>
        </is>
      </c>
      <c r="D284" s="1" t="n">
        <v>44984</v>
      </c>
      <c r="E284" s="1" t="n">
        <v>46217</v>
      </c>
      <c r="F284" t="inlineStr">
        <is>
          <t>NORRBOTTENS LÄN</t>
        </is>
      </c>
      <c r="G284" t="inlineStr">
        <is>
          <t>JOKKMOKK</t>
        </is>
      </c>
      <c r="H284" t="inlineStr">
        <is>
          <t>SCA</t>
        </is>
      </c>
      <c r="I284" t="n">
        <v>5.4</v>
      </c>
      <c r="J284" t="n">
        <v>0</v>
      </c>
      <c r="K284" t="n">
        <v>0</v>
      </c>
      <c r="L284" t="n">
        <v>0</v>
      </c>
      <c r="M284" t="n">
        <v>0</v>
      </c>
      <c r="N284" t="n">
        <v>0</v>
      </c>
      <c r="O284" t="n">
        <v>0</v>
      </c>
      <c r="P284" t="n">
        <v>0</v>
      </c>
      <c r="Q284" t="n">
        <v>0</v>
      </c>
      <c r="R284" t="n">
        <v>0</v>
      </c>
      <c r="S284" t="n">
        <v>0</v>
      </c>
      <c r="T284" t="n">
        <v>0</v>
      </c>
      <c r="U284" s="2" t="inlineStr"/>
    </row>
    <row r="285" ht="15" customHeight="1">
      <c r="A285" t="inlineStr">
        <is>
          <t>A 848-2026</t>
        </is>
      </c>
      <c r="B285" t="inlineStr">
        <is>
          <t>avverkningsanmälan</t>
        </is>
      </c>
      <c r="C285" t="inlineStr">
        <is>
          <t>Föryngringsavverkning</t>
        </is>
      </c>
      <c r="D285" s="1" t="n">
        <v>46030</v>
      </c>
      <c r="E285" s="1" t="n">
        <v>46217</v>
      </c>
      <c r="F285" t="inlineStr">
        <is>
          <t>NORRBOTTENS LÄN</t>
        </is>
      </c>
      <c r="G285" t="inlineStr">
        <is>
          <t>JOKKMOKK</t>
        </is>
      </c>
      <c r="H285" t="inlineStr">
        <is>
          <t>SCA</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11381-2026</t>
        </is>
      </c>
      <c r="B286" t="inlineStr">
        <is>
          <t>avverkningsanmälan</t>
        </is>
      </c>
      <c r="C286" t="inlineStr">
        <is>
          <t>Föryngringsavverkning</t>
        </is>
      </c>
      <c r="D286" s="1" t="n">
        <v>46083</v>
      </c>
      <c r="E286" s="1" t="n">
        <v>46217</v>
      </c>
      <c r="F286" t="inlineStr">
        <is>
          <t>NORRBOTTENS LÄN</t>
        </is>
      </c>
      <c r="G286" t="inlineStr">
        <is>
          <t>JOKKMOKK</t>
        </is>
      </c>
      <c r="I286" t="n">
        <v>49.1</v>
      </c>
      <c r="J286" t="n">
        <v>0</v>
      </c>
      <c r="K286" t="n">
        <v>0</v>
      </c>
      <c r="L286" t="n">
        <v>0</v>
      </c>
      <c r="M286" t="n">
        <v>0</v>
      </c>
      <c r="N286" t="n">
        <v>0</v>
      </c>
      <c r="O286" t="n">
        <v>0</v>
      </c>
      <c r="P286" t="n">
        <v>0</v>
      </c>
      <c r="Q286" t="n">
        <v>0</v>
      </c>
      <c r="R286" t="n">
        <v>0</v>
      </c>
      <c r="S286" t="n">
        <v>0</v>
      </c>
      <c r="T286" t="n">
        <v>0</v>
      </c>
      <c r="U286" s="2" t="inlineStr"/>
    </row>
    <row r="287" ht="15" customHeight="1">
      <c r="A287" t="inlineStr">
        <is>
          <t>A 53237-2025</t>
        </is>
      </c>
      <c r="B287" t="inlineStr">
        <is>
          <t>avverkningsanmälan</t>
        </is>
      </c>
      <c r="C287" t="inlineStr">
        <is>
          <t>Föryngringsavverkning</t>
        </is>
      </c>
      <c r="D287" s="1" t="n">
        <v>45957</v>
      </c>
      <c r="E287" s="1" t="n">
        <v>46217</v>
      </c>
      <c r="F287" t="inlineStr">
        <is>
          <t>NORRBOTTENS LÄN</t>
        </is>
      </c>
      <c r="G287" t="inlineStr">
        <is>
          <t>JOKKMOKK</t>
        </is>
      </c>
      <c r="H287" t="inlineStr">
        <is>
          <t>Övriga Aktiebolag</t>
        </is>
      </c>
      <c r="I287" t="n">
        <v>28.1</v>
      </c>
      <c r="J287" t="n">
        <v>0</v>
      </c>
      <c r="K287" t="n">
        <v>0</v>
      </c>
      <c r="L287" t="n">
        <v>0</v>
      </c>
      <c r="M287" t="n">
        <v>0</v>
      </c>
      <c r="N287" t="n">
        <v>0</v>
      </c>
      <c r="O287" t="n">
        <v>0</v>
      </c>
      <c r="P287" t="n">
        <v>0</v>
      </c>
      <c r="Q287" t="n">
        <v>0</v>
      </c>
      <c r="R287" t="n">
        <v>0</v>
      </c>
      <c r="S287" t="n">
        <v>0</v>
      </c>
      <c r="T287" t="n">
        <v>0</v>
      </c>
      <c r="U287" s="2" t="inlineStr"/>
    </row>
    <row r="288" ht="15" customHeight="1">
      <c r="A288" t="inlineStr">
        <is>
          <t>A 60308-2025</t>
        </is>
      </c>
      <c r="B288" t="inlineStr">
        <is>
          <t>avverkningsanmälan</t>
        </is>
      </c>
      <c r="C288" t="inlineStr">
        <is>
          <t>Föryngringsavverkning</t>
        </is>
      </c>
      <c r="D288" s="1" t="n">
        <v>45994</v>
      </c>
      <c r="E288" s="1" t="n">
        <v>46217</v>
      </c>
      <c r="F288" t="inlineStr">
        <is>
          <t>NORRBOTTENS LÄN</t>
        </is>
      </c>
      <c r="G288" t="inlineStr">
        <is>
          <t>JOKKMOKK</t>
        </is>
      </c>
      <c r="H288" t="inlineStr">
        <is>
          <t>Allmännings- och besparingsskogar</t>
        </is>
      </c>
      <c r="I288" t="n">
        <v>6.5</v>
      </c>
      <c r="J288" t="n">
        <v>0</v>
      </c>
      <c r="K288" t="n">
        <v>0</v>
      </c>
      <c r="L288" t="n">
        <v>0</v>
      </c>
      <c r="M288" t="n">
        <v>0</v>
      </c>
      <c r="N288" t="n">
        <v>0</v>
      </c>
      <c r="O288" t="n">
        <v>0</v>
      </c>
      <c r="P288" t="n">
        <v>0</v>
      </c>
      <c r="Q288" t="n">
        <v>0</v>
      </c>
      <c r="R288" t="n">
        <v>0</v>
      </c>
      <c r="S288" t="n">
        <v>0</v>
      </c>
      <c r="T288" t="n">
        <v>0</v>
      </c>
      <c r="U288" s="2" t="inlineStr"/>
    </row>
    <row r="289" ht="15" customHeight="1">
      <c r="A289" t="inlineStr">
        <is>
          <t>A 16018-2024</t>
        </is>
      </c>
      <c r="B289" t="inlineStr">
        <is>
          <t>avverkningsanmälan</t>
        </is>
      </c>
      <c r="C289" t="inlineStr">
        <is>
          <t>Föryngringsavverkning</t>
        </is>
      </c>
      <c r="D289" s="1" t="n">
        <v>45405</v>
      </c>
      <c r="E289" s="1" t="n">
        <v>46217</v>
      </c>
      <c r="F289" t="inlineStr">
        <is>
          <t>NORRBOTTENS LÄN</t>
        </is>
      </c>
      <c r="G289" t="inlineStr">
        <is>
          <t>JOKKMOKK</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32899-2023</t>
        </is>
      </c>
      <c r="B290" t="inlineStr">
        <is>
          <t>avverkningsanmälan</t>
        </is>
      </c>
      <c r="C290" t="inlineStr">
        <is>
          <t>Avverkning för att bevara och utveckla /försöksver</t>
        </is>
      </c>
      <c r="D290" s="1" t="n">
        <v>45124</v>
      </c>
      <c r="E290" s="1" t="n">
        <v>46217</v>
      </c>
      <c r="F290" t="inlineStr">
        <is>
          <t>NORRBOTTENS LÄN</t>
        </is>
      </c>
      <c r="G290" t="inlineStr">
        <is>
          <t>JOKKMOKK</t>
        </is>
      </c>
      <c r="H290" t="inlineStr">
        <is>
          <t>SCA</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59666-2025</t>
        </is>
      </c>
      <c r="B291" t="inlineStr">
        <is>
          <t>avverkningsanmälan</t>
        </is>
      </c>
      <c r="C291" t="inlineStr">
        <is>
          <t>Föryngringsavverkning</t>
        </is>
      </c>
      <c r="D291" s="1" t="n">
        <v>45992</v>
      </c>
      <c r="E291" s="1" t="n">
        <v>46217</v>
      </c>
      <c r="F291" t="inlineStr">
        <is>
          <t>NORRBOTTENS LÄN</t>
        </is>
      </c>
      <c r="G291" t="inlineStr">
        <is>
          <t>JOKKMOKK</t>
        </is>
      </c>
      <c r="H291" t="inlineStr">
        <is>
          <t>Allmännings- och besparingsskogar</t>
        </is>
      </c>
      <c r="I291" t="n">
        <v>12.2</v>
      </c>
      <c r="J291" t="n">
        <v>0</v>
      </c>
      <c r="K291" t="n">
        <v>0</v>
      </c>
      <c r="L291" t="n">
        <v>0</v>
      </c>
      <c r="M291" t="n">
        <v>0</v>
      </c>
      <c r="N291" t="n">
        <v>0</v>
      </c>
      <c r="O291" t="n">
        <v>0</v>
      </c>
      <c r="P291" t="n">
        <v>0</v>
      </c>
      <c r="Q291" t="n">
        <v>0</v>
      </c>
      <c r="R291" t="n">
        <v>0</v>
      </c>
      <c r="S291" t="n">
        <v>0</v>
      </c>
      <c r="T291" t="n">
        <v>0</v>
      </c>
      <c r="U291" s="2" t="inlineStr"/>
    </row>
    <row r="292" ht="15" customHeight="1">
      <c r="A292" t="inlineStr">
        <is>
          <t>A 59984-2025</t>
        </is>
      </c>
      <c r="B292" t="inlineStr">
        <is>
          <t>avverkningsanmälan</t>
        </is>
      </c>
      <c r="C292" t="inlineStr">
        <is>
          <t>Föryngringsavverkning</t>
        </is>
      </c>
      <c r="D292" s="1" t="n">
        <v>45993</v>
      </c>
      <c r="E292" s="1" t="n">
        <v>46217</v>
      </c>
      <c r="F292" t="inlineStr">
        <is>
          <t>NORRBOTTENS LÄN</t>
        </is>
      </c>
      <c r="G292" t="inlineStr">
        <is>
          <t>JOKKMOKK</t>
        </is>
      </c>
      <c r="H292" t="inlineStr">
        <is>
          <t>Allmännings- och besparingsskogar</t>
        </is>
      </c>
      <c r="I292" t="n">
        <v>4.4</v>
      </c>
      <c r="J292" t="n">
        <v>0</v>
      </c>
      <c r="K292" t="n">
        <v>0</v>
      </c>
      <c r="L292" t="n">
        <v>0</v>
      </c>
      <c r="M292" t="n">
        <v>0</v>
      </c>
      <c r="N292" t="n">
        <v>0</v>
      </c>
      <c r="O292" t="n">
        <v>0</v>
      </c>
      <c r="P292" t="n">
        <v>0</v>
      </c>
      <c r="Q292" t="n">
        <v>0</v>
      </c>
      <c r="R292" t="n">
        <v>0</v>
      </c>
      <c r="S292" t="n">
        <v>0</v>
      </c>
      <c r="T292" t="n">
        <v>0</v>
      </c>
      <c r="U292" s="2" t="inlineStr"/>
    </row>
    <row r="293" ht="15" customHeight="1">
      <c r="A293" t="inlineStr">
        <is>
          <t>A 3055-2025</t>
        </is>
      </c>
      <c r="B293" t="inlineStr">
        <is>
          <t>avverkningsanmälan</t>
        </is>
      </c>
      <c r="C293" t="inlineStr">
        <is>
          <t>Föryngringsavverkning</t>
        </is>
      </c>
      <c r="D293" s="1" t="n">
        <v>45678</v>
      </c>
      <c r="E293" s="1" t="n">
        <v>46217</v>
      </c>
      <c r="F293" t="inlineStr">
        <is>
          <t>NORRBOTTENS LÄN</t>
        </is>
      </c>
      <c r="G293" t="inlineStr">
        <is>
          <t>JOKKMOKK</t>
        </is>
      </c>
      <c r="H293" t="inlineStr">
        <is>
          <t>SCA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42639-2024</t>
        </is>
      </c>
      <c r="B294" t="inlineStr">
        <is>
          <t>avverkningsanmälan</t>
        </is>
      </c>
      <c r="C294" t="inlineStr">
        <is>
          <t>Föryngringsavverkning</t>
        </is>
      </c>
      <c r="D294" s="1" t="n">
        <v>45565</v>
      </c>
      <c r="E294" s="1" t="n">
        <v>46217</v>
      </c>
      <c r="F294" t="inlineStr">
        <is>
          <t>NORRBOTTENS LÄN</t>
        </is>
      </c>
      <c r="G294" t="inlineStr">
        <is>
          <t>JOKKMOKK</t>
        </is>
      </c>
      <c r="I294" t="n">
        <v>34.5</v>
      </c>
      <c r="J294" t="n">
        <v>0</v>
      </c>
      <c r="K294" t="n">
        <v>0</v>
      </c>
      <c r="L294" t="n">
        <v>0</v>
      </c>
      <c r="M294" t="n">
        <v>0</v>
      </c>
      <c r="N294" t="n">
        <v>0</v>
      </c>
      <c r="O294" t="n">
        <v>0</v>
      </c>
      <c r="P294" t="n">
        <v>0</v>
      </c>
      <c r="Q294" t="n">
        <v>0</v>
      </c>
      <c r="R294" t="n">
        <v>0</v>
      </c>
      <c r="S294" t="n">
        <v>0</v>
      </c>
      <c r="T294" t="n">
        <v>0</v>
      </c>
      <c r="U294" s="2" t="inlineStr"/>
    </row>
    <row r="295" ht="15" customHeight="1">
      <c r="A295" t="inlineStr">
        <is>
          <t>A 28553-2026</t>
        </is>
      </c>
      <c r="B295" t="inlineStr">
        <is>
          <t>avverkningsanmälan</t>
        </is>
      </c>
      <c r="C295" t="inlineStr">
        <is>
          <t>Föryngringsavverkning</t>
        </is>
      </c>
      <c r="D295" s="1" t="n">
        <v>46197</v>
      </c>
      <c r="E295" s="1" t="n">
        <v>46217</v>
      </c>
      <c r="F295" t="inlineStr">
        <is>
          <t>NORRBOTTENS LÄN</t>
        </is>
      </c>
      <c r="G295" t="inlineStr">
        <is>
          <t>JOKKMOKK</t>
        </is>
      </c>
      <c r="H295" t="inlineStr">
        <is>
          <t>Sveaskog</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5670-2025</t>
        </is>
      </c>
      <c r="B296" t="inlineStr">
        <is>
          <t>avverkningsanmälan</t>
        </is>
      </c>
      <c r="C296" t="inlineStr">
        <is>
          <t>Föryngringsavverkning</t>
        </is>
      </c>
      <c r="D296" s="1" t="n">
        <v>45693</v>
      </c>
      <c r="E296" s="1" t="n">
        <v>46217</v>
      </c>
      <c r="F296" t="inlineStr">
        <is>
          <t>NORRBOTTENS LÄN</t>
        </is>
      </c>
      <c r="G296" t="inlineStr">
        <is>
          <t>JOKKMOKK</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37827-2024</t>
        </is>
      </c>
      <c r="B297" t="inlineStr">
        <is>
          <t>avverkningsanmälan</t>
        </is>
      </c>
      <c r="C297" t="inlineStr">
        <is>
          <t>Föryngringsavverkning</t>
        </is>
      </c>
      <c r="D297" s="1" t="n">
        <v>45544</v>
      </c>
      <c r="E297" s="1" t="n">
        <v>46217</v>
      </c>
      <c r="F297" t="inlineStr">
        <is>
          <t>NORRBOTTENS LÄN</t>
        </is>
      </c>
      <c r="G297" t="inlineStr">
        <is>
          <t>JOKKMOKK</t>
        </is>
      </c>
      <c r="H297" t="inlineStr">
        <is>
          <t>SCA</t>
        </is>
      </c>
      <c r="I297" t="n">
        <v>5</v>
      </c>
      <c r="J297" t="n">
        <v>0</v>
      </c>
      <c r="K297" t="n">
        <v>0</v>
      </c>
      <c r="L297" t="n">
        <v>0</v>
      </c>
      <c r="M297" t="n">
        <v>0</v>
      </c>
      <c r="N297" t="n">
        <v>0</v>
      </c>
      <c r="O297" t="n">
        <v>0</v>
      </c>
      <c r="P297" t="n">
        <v>0</v>
      </c>
      <c r="Q297" t="n">
        <v>0</v>
      </c>
      <c r="R297" t="n">
        <v>0</v>
      </c>
      <c r="S297" t="n">
        <v>0</v>
      </c>
      <c r="T297" t="n">
        <v>0</v>
      </c>
      <c r="U297" s="2" t="inlineStr"/>
    </row>
    <row r="298" ht="15" customHeight="1">
      <c r="A298" t="inlineStr">
        <is>
          <t>A 52181-2023</t>
        </is>
      </c>
      <c r="B298" t="inlineStr">
        <is>
          <t>avverkningsanmälan</t>
        </is>
      </c>
      <c r="C298" t="inlineStr">
        <is>
          <t>Föryngringsavverkning</t>
        </is>
      </c>
      <c r="D298" s="1" t="n">
        <v>45224</v>
      </c>
      <c r="E298" s="1" t="n">
        <v>46217</v>
      </c>
      <c r="F298" t="inlineStr">
        <is>
          <t>NORRBOTTENS LÄN</t>
        </is>
      </c>
      <c r="G298" t="inlineStr">
        <is>
          <t>JOKKMOKK</t>
        </is>
      </c>
      <c r="H298" t="inlineStr">
        <is>
          <t>Sveaskog</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29259-2026</t>
        </is>
      </c>
      <c r="B299" t="inlineStr">
        <is>
          <t>avverkningsanmälan</t>
        </is>
      </c>
      <c r="C299" t="inlineStr">
        <is>
          <t>Föryngringsavverkning</t>
        </is>
      </c>
      <c r="D299" s="1" t="n">
        <v>46202</v>
      </c>
      <c r="E299" s="1" t="n">
        <v>46217</v>
      </c>
      <c r="F299" t="inlineStr">
        <is>
          <t>NORRBOTTENS LÄN</t>
        </is>
      </c>
      <c r="G299" t="inlineStr">
        <is>
          <t>JOKKMOKK</t>
        </is>
      </c>
      <c r="I299" t="n">
        <v>10.8</v>
      </c>
      <c r="J299" t="n">
        <v>0</v>
      </c>
      <c r="K299" t="n">
        <v>0</v>
      </c>
      <c r="L299" t="n">
        <v>0</v>
      </c>
      <c r="M299" t="n">
        <v>0</v>
      </c>
      <c r="N299" t="n">
        <v>0</v>
      </c>
      <c r="O299" t="n">
        <v>0</v>
      </c>
      <c r="P299" t="n">
        <v>0</v>
      </c>
      <c r="Q299" t="n">
        <v>0</v>
      </c>
      <c r="R299" t="n">
        <v>0</v>
      </c>
      <c r="S299" t="n">
        <v>0</v>
      </c>
      <c r="T299" t="n">
        <v>0</v>
      </c>
      <c r="U299" s="2" t="inlineStr"/>
    </row>
    <row r="300" ht="15" customHeight="1">
      <c r="A300" t="inlineStr">
        <is>
          <t>A 28985-2026</t>
        </is>
      </c>
      <c r="B300" t="inlineStr">
        <is>
          <t>avverkningsanmälan</t>
        </is>
      </c>
      <c r="C300" t="inlineStr">
        <is>
          <t>Föryngringsavverkning</t>
        </is>
      </c>
      <c r="D300" s="1" t="n">
        <v>46199</v>
      </c>
      <c r="E300" s="1" t="n">
        <v>46217</v>
      </c>
      <c r="F300" t="inlineStr">
        <is>
          <t>NORRBOTTENS LÄN</t>
        </is>
      </c>
      <c r="G300" t="inlineStr">
        <is>
          <t>JOKKMOKK</t>
        </is>
      </c>
      <c r="H300" t="inlineStr">
        <is>
          <t>SCA</t>
        </is>
      </c>
      <c r="I300" t="n">
        <v>4.3</v>
      </c>
      <c r="J300" t="n">
        <v>0</v>
      </c>
      <c r="K300" t="n">
        <v>0</v>
      </c>
      <c r="L300" t="n">
        <v>0</v>
      </c>
      <c r="M300" t="n">
        <v>0</v>
      </c>
      <c r="N300" t="n">
        <v>0</v>
      </c>
      <c r="O300" t="n">
        <v>0</v>
      </c>
      <c r="P300" t="n">
        <v>0</v>
      </c>
      <c r="Q300" t="n">
        <v>0</v>
      </c>
      <c r="R300" t="n">
        <v>0</v>
      </c>
      <c r="S300" t="n">
        <v>0</v>
      </c>
      <c r="T300" t="n">
        <v>0</v>
      </c>
      <c r="U300" s="2" t="inlineStr"/>
    </row>
    <row r="301" ht="15" customHeight="1">
      <c r="A301" t="inlineStr">
        <is>
          <t>A 40432-2024</t>
        </is>
      </c>
      <c r="B301" t="inlineStr">
        <is>
          <t>avverkningsanmälan</t>
        </is>
      </c>
      <c r="C301" t="inlineStr">
        <is>
          <t>Föryngringsavverkning</t>
        </is>
      </c>
      <c r="D301" s="1" t="n">
        <v>45555</v>
      </c>
      <c r="E301" s="1" t="n">
        <v>46217</v>
      </c>
      <c r="F301" t="inlineStr">
        <is>
          <t>NORRBOTTENS LÄN</t>
        </is>
      </c>
      <c r="G301" t="inlineStr">
        <is>
          <t>JOKKMOKK</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28886-2026</t>
        </is>
      </c>
      <c r="B302" t="inlineStr">
        <is>
          <t>avverkningsanmälan</t>
        </is>
      </c>
      <c r="C302" t="inlineStr">
        <is>
          <t>Föryngringsavverkning</t>
        </is>
      </c>
      <c r="D302" s="1" t="n">
        <v>46199</v>
      </c>
      <c r="E302" s="1" t="n">
        <v>46217</v>
      </c>
      <c r="F302" t="inlineStr">
        <is>
          <t>NORRBOTTENS LÄN</t>
        </is>
      </c>
      <c r="G302" t="inlineStr">
        <is>
          <t>JOKKMOKK</t>
        </is>
      </c>
      <c r="H302" t="inlineStr">
        <is>
          <t>SCA</t>
        </is>
      </c>
      <c r="I302" t="n">
        <v>3.4</v>
      </c>
      <c r="J302" t="n">
        <v>0</v>
      </c>
      <c r="K302" t="n">
        <v>0</v>
      </c>
      <c r="L302" t="n">
        <v>0</v>
      </c>
      <c r="M302" t="n">
        <v>0</v>
      </c>
      <c r="N302" t="n">
        <v>0</v>
      </c>
      <c r="O302" t="n">
        <v>0</v>
      </c>
      <c r="P302" t="n">
        <v>0</v>
      </c>
      <c r="Q302" t="n">
        <v>0</v>
      </c>
      <c r="R302" t="n">
        <v>0</v>
      </c>
      <c r="S302" t="n">
        <v>0</v>
      </c>
      <c r="T302" t="n">
        <v>0</v>
      </c>
      <c r="U302" s="2" t="inlineStr"/>
    </row>
    <row r="303" ht="15" customHeight="1">
      <c r="A303" t="inlineStr">
        <is>
          <t>A 7845-2024</t>
        </is>
      </c>
      <c r="B303" t="inlineStr">
        <is>
          <t>avverkningsanmälan</t>
        </is>
      </c>
      <c r="C303" t="inlineStr">
        <is>
          <t>Föryngringsavverkning</t>
        </is>
      </c>
      <c r="D303" s="1" t="n">
        <v>45349</v>
      </c>
      <c r="E303" s="1" t="n">
        <v>46217</v>
      </c>
      <c r="F303" t="inlineStr">
        <is>
          <t>NORRBOTTENS LÄN</t>
        </is>
      </c>
      <c r="G303" t="inlineStr">
        <is>
          <t>JOKKMOKK</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28986-2026</t>
        </is>
      </c>
      <c r="B304" t="inlineStr">
        <is>
          <t>avverkningsanmälan</t>
        </is>
      </c>
      <c r="C304" t="inlineStr">
        <is>
          <t>Föryngringsavverkning</t>
        </is>
      </c>
      <c r="D304" s="1" t="n">
        <v>46199</v>
      </c>
      <c r="E304" s="1" t="n">
        <v>46217</v>
      </c>
      <c r="F304" t="inlineStr">
        <is>
          <t>NORRBOTTENS LÄN</t>
        </is>
      </c>
      <c r="G304" t="inlineStr">
        <is>
          <t>JOKKMOKK</t>
        </is>
      </c>
      <c r="H304" t="inlineStr">
        <is>
          <t>SCA</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38462-2025</t>
        </is>
      </c>
      <c r="B305" t="inlineStr">
        <is>
          <t>avverkningsanmälan</t>
        </is>
      </c>
      <c r="C305" t="inlineStr">
        <is>
          <t>Föryngringsavverkning</t>
        </is>
      </c>
      <c r="D305" s="1" t="n">
        <v>45883</v>
      </c>
      <c r="E305" s="1" t="n">
        <v>46217</v>
      </c>
      <c r="F305" t="inlineStr">
        <is>
          <t>NORRBOTTENS LÄN</t>
        </is>
      </c>
      <c r="G305" t="inlineStr">
        <is>
          <t>JOKKMOKK</t>
        </is>
      </c>
      <c r="H305" t="inlineStr">
        <is>
          <t>SCA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29008-2026</t>
        </is>
      </c>
      <c r="B306" t="inlineStr">
        <is>
          <t>avverkningsanmälan</t>
        </is>
      </c>
      <c r="C306" t="inlineStr">
        <is>
          <t>Föryngringsavverkning</t>
        </is>
      </c>
      <c r="D306" s="1" t="n">
        <v>46199</v>
      </c>
      <c r="E306" s="1" t="n">
        <v>46217</v>
      </c>
      <c r="F306" t="inlineStr">
        <is>
          <t>NORRBOTTENS LÄN</t>
        </is>
      </c>
      <c r="G306" t="inlineStr">
        <is>
          <t>JOKKMOKK</t>
        </is>
      </c>
      <c r="H306" t="inlineStr">
        <is>
          <t>SCA</t>
        </is>
      </c>
      <c r="I306" t="n">
        <v>5.3</v>
      </c>
      <c r="J306" t="n">
        <v>0</v>
      </c>
      <c r="K306" t="n">
        <v>0</v>
      </c>
      <c r="L306" t="n">
        <v>0</v>
      </c>
      <c r="M306" t="n">
        <v>0</v>
      </c>
      <c r="N306" t="n">
        <v>0</v>
      </c>
      <c r="O306" t="n">
        <v>0</v>
      </c>
      <c r="P306" t="n">
        <v>0</v>
      </c>
      <c r="Q306" t="n">
        <v>0</v>
      </c>
      <c r="R306" t="n">
        <v>0</v>
      </c>
      <c r="S306" t="n">
        <v>0</v>
      </c>
      <c r="T306" t="n">
        <v>0</v>
      </c>
      <c r="U306" s="2" t="inlineStr"/>
    </row>
    <row r="307" ht="15" customHeight="1">
      <c r="A307" t="inlineStr">
        <is>
          <t>A 33741-2025</t>
        </is>
      </c>
      <c r="B307" t="inlineStr">
        <is>
          <t>avverkningsanmälan</t>
        </is>
      </c>
      <c r="C307" t="inlineStr">
        <is>
          <t>Föryngringsavverkning</t>
        </is>
      </c>
      <c r="D307" s="1" t="n">
        <v>45842</v>
      </c>
      <c r="E307" s="1" t="n">
        <v>46217</v>
      </c>
      <c r="F307" t="inlineStr">
        <is>
          <t>NORRBOTTENS LÄN</t>
        </is>
      </c>
      <c r="G307" t="inlineStr">
        <is>
          <t>JOKKMOKK</t>
        </is>
      </c>
      <c r="H307" t="inlineStr">
        <is>
          <t>SCA</t>
        </is>
      </c>
      <c r="I307" t="n">
        <v>5.1</v>
      </c>
      <c r="J307" t="n">
        <v>0</v>
      </c>
      <c r="K307" t="n">
        <v>0</v>
      </c>
      <c r="L307" t="n">
        <v>0</v>
      </c>
      <c r="M307" t="n">
        <v>0</v>
      </c>
      <c r="N307" t="n">
        <v>0</v>
      </c>
      <c r="O307" t="n">
        <v>0</v>
      </c>
      <c r="P307" t="n">
        <v>0</v>
      </c>
      <c r="Q307" t="n">
        <v>0</v>
      </c>
      <c r="R307" t="n">
        <v>0</v>
      </c>
      <c r="S307" t="n">
        <v>0</v>
      </c>
      <c r="T307" t="n">
        <v>0</v>
      </c>
      <c r="U307" s="2" t="inlineStr"/>
    </row>
    <row r="308" ht="15" customHeight="1">
      <c r="A308" t="inlineStr">
        <is>
          <t>A 30292-2023</t>
        </is>
      </c>
      <c r="B308" t="inlineStr">
        <is>
          <t>avverkningsanmälan</t>
        </is>
      </c>
      <c r="C308" t="inlineStr">
        <is>
          <t>Föryngringsavverkning</t>
        </is>
      </c>
      <c r="D308" s="1" t="n">
        <v>45110</v>
      </c>
      <c r="E308" s="1" t="n">
        <v>46217</v>
      </c>
      <c r="F308" t="inlineStr">
        <is>
          <t>NORRBOTTENS LÄN</t>
        </is>
      </c>
      <c r="G308" t="inlineStr">
        <is>
          <t>JOKKMOKK</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44150-2024</t>
        </is>
      </c>
      <c r="B309" t="inlineStr">
        <is>
          <t>avverkningsanmälan</t>
        </is>
      </c>
      <c r="C309" t="inlineStr">
        <is>
          <t>Föryngringsavverkning</t>
        </is>
      </c>
      <c r="D309" s="1" t="n">
        <v>45572</v>
      </c>
      <c r="E309" s="1" t="n">
        <v>46217</v>
      </c>
      <c r="F309" t="inlineStr">
        <is>
          <t>NORRBOTTENS LÄN</t>
        </is>
      </c>
      <c r="G309" t="inlineStr">
        <is>
          <t>JOKKMOKK</t>
        </is>
      </c>
      <c r="H309" t="inlineStr">
        <is>
          <t>Sveaskog</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51617-2024</t>
        </is>
      </c>
      <c r="B310" t="inlineStr">
        <is>
          <t>avverkningsanmälan</t>
        </is>
      </c>
      <c r="C310" t="inlineStr">
        <is>
          <t>Föryngringsavverkning</t>
        </is>
      </c>
      <c r="D310" s="1" t="n">
        <v>45604</v>
      </c>
      <c r="E310" s="1" t="n">
        <v>46217</v>
      </c>
      <c r="F310" t="inlineStr">
        <is>
          <t>NORRBOTTENS LÄN</t>
        </is>
      </c>
      <c r="G310" t="inlineStr">
        <is>
          <t>JOKKMOKK</t>
        </is>
      </c>
      <c r="H310" t="inlineStr">
        <is>
          <t>SCA</t>
        </is>
      </c>
      <c r="I310" t="n">
        <v>8.300000000000001</v>
      </c>
      <c r="J310" t="n">
        <v>0</v>
      </c>
      <c r="K310" t="n">
        <v>0</v>
      </c>
      <c r="L310" t="n">
        <v>0</v>
      </c>
      <c r="M310" t="n">
        <v>0</v>
      </c>
      <c r="N310" t="n">
        <v>0</v>
      </c>
      <c r="O310" t="n">
        <v>0</v>
      </c>
      <c r="P310" t="n">
        <v>0</v>
      </c>
      <c r="Q310" t="n">
        <v>0</v>
      </c>
      <c r="R310" t="n">
        <v>0</v>
      </c>
      <c r="S310" t="n">
        <v>0</v>
      </c>
      <c r="T310" t="n">
        <v>0</v>
      </c>
      <c r="U310" s="2" t="inlineStr"/>
    </row>
    <row r="311" ht="15" customHeight="1">
      <c r="A311" t="inlineStr">
        <is>
          <t>A 25156-2026</t>
        </is>
      </c>
      <c r="B311" t="inlineStr">
        <is>
          <t>avverkningsanmälan</t>
        </is>
      </c>
      <c r="C311" t="inlineStr">
        <is>
          <t>Föryngringsavverkning</t>
        </is>
      </c>
      <c r="D311" s="1" t="n">
        <v>46175</v>
      </c>
      <c r="E311" s="1" t="n">
        <v>46217</v>
      </c>
      <c r="F311" t="inlineStr">
        <is>
          <t>NORRBOTTENS LÄN</t>
        </is>
      </c>
      <c r="G311" t="inlineStr">
        <is>
          <t>JOKKMOKK</t>
        </is>
      </c>
      <c r="I311" t="n">
        <v>35.4</v>
      </c>
      <c r="J311" t="n">
        <v>0</v>
      </c>
      <c r="K311" t="n">
        <v>0</v>
      </c>
      <c r="L311" t="n">
        <v>0</v>
      </c>
      <c r="M311" t="n">
        <v>0</v>
      </c>
      <c r="N311" t="n">
        <v>0</v>
      </c>
      <c r="O311" t="n">
        <v>0</v>
      </c>
      <c r="P311" t="n">
        <v>0</v>
      </c>
      <c r="Q311" t="n">
        <v>0</v>
      </c>
      <c r="R311" t="n">
        <v>0</v>
      </c>
      <c r="S311" t="n">
        <v>0</v>
      </c>
      <c r="T311" t="n">
        <v>0</v>
      </c>
      <c r="U311" s="2" t="inlineStr"/>
    </row>
    <row r="312" ht="15" customHeight="1">
      <c r="A312" t="inlineStr">
        <is>
          <t>A 23303-2026</t>
        </is>
      </c>
      <c r="B312" t="inlineStr">
        <is>
          <t>avverkningsanmälan</t>
        </is>
      </c>
      <c r="C312" t="inlineStr">
        <is>
          <t>Föryngringsavverkning</t>
        </is>
      </c>
      <c r="D312" s="1" t="n">
        <v>46162</v>
      </c>
      <c r="E312" s="1" t="n">
        <v>46217</v>
      </c>
      <c r="F312" t="inlineStr">
        <is>
          <t>NORRBOTTENS LÄN</t>
        </is>
      </c>
      <c r="G312" t="inlineStr">
        <is>
          <t>JOKKMOKK</t>
        </is>
      </c>
      <c r="H312" t="inlineStr">
        <is>
          <t>SCA</t>
        </is>
      </c>
      <c r="I312" t="n">
        <v>24.8</v>
      </c>
      <c r="J312" t="n">
        <v>0</v>
      </c>
      <c r="K312" t="n">
        <v>0</v>
      </c>
      <c r="L312" t="n">
        <v>0</v>
      </c>
      <c r="M312" t="n">
        <v>0</v>
      </c>
      <c r="N312" t="n">
        <v>0</v>
      </c>
      <c r="O312" t="n">
        <v>0</v>
      </c>
      <c r="P312" t="n">
        <v>0</v>
      </c>
      <c r="Q312" t="n">
        <v>0</v>
      </c>
      <c r="R312" t="n">
        <v>0</v>
      </c>
      <c r="S312" t="n">
        <v>0</v>
      </c>
      <c r="T312" t="n">
        <v>0</v>
      </c>
      <c r="U312" s="2" t="inlineStr"/>
    </row>
    <row r="313" ht="15" customHeight="1">
      <c r="A313" t="inlineStr">
        <is>
          <t>A 10590-2026</t>
        </is>
      </c>
      <c r="B313" t="inlineStr">
        <is>
          <t>avverkningsanmälan</t>
        </is>
      </c>
      <c r="C313" t="inlineStr">
        <is>
          <t>Föryngringsavverkning</t>
        </is>
      </c>
      <c r="D313" s="1" t="n">
        <v>46077</v>
      </c>
      <c r="E313" s="1" t="n">
        <v>46217</v>
      </c>
      <c r="F313" t="inlineStr">
        <is>
          <t>NORRBOTTENS LÄN</t>
        </is>
      </c>
      <c r="G313" t="inlineStr">
        <is>
          <t>JOKKMOKK</t>
        </is>
      </c>
      <c r="H313" t="inlineStr">
        <is>
          <t>SCA</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10593-2026</t>
        </is>
      </c>
      <c r="B314" t="inlineStr">
        <is>
          <t>avverkningsanmälan</t>
        </is>
      </c>
      <c r="C314" t="inlineStr">
        <is>
          <t>Föryngringsavverkning</t>
        </is>
      </c>
      <c r="D314" s="1" t="n">
        <v>46077</v>
      </c>
      <c r="E314" s="1" t="n">
        <v>46217</v>
      </c>
      <c r="F314" t="inlineStr">
        <is>
          <t>NORRBOTTENS LÄN</t>
        </is>
      </c>
      <c r="G314" t="inlineStr">
        <is>
          <t>JOKKMOKK</t>
        </is>
      </c>
      <c r="H314" t="inlineStr">
        <is>
          <t>SCA</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10592-2026</t>
        </is>
      </c>
      <c r="B315" t="inlineStr">
        <is>
          <t>avverkningsanmälan</t>
        </is>
      </c>
      <c r="C315" t="inlineStr">
        <is>
          <t>Föryngringsavverkning</t>
        </is>
      </c>
      <c r="D315" s="1" t="n">
        <v>46077</v>
      </c>
      <c r="E315" s="1" t="n">
        <v>46217</v>
      </c>
      <c r="F315" t="inlineStr">
        <is>
          <t>NORRBOTTENS LÄN</t>
        </is>
      </c>
      <c r="G315" t="inlineStr">
        <is>
          <t>JOKKMOKK</t>
        </is>
      </c>
      <c r="H315" t="inlineStr">
        <is>
          <t>SCA</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10591-2026</t>
        </is>
      </c>
      <c r="B316" t="inlineStr">
        <is>
          <t>avverkningsanmälan</t>
        </is>
      </c>
      <c r="C316" t="inlineStr">
        <is>
          <t>Föryngringsavverkning</t>
        </is>
      </c>
      <c r="D316" s="1" t="n">
        <v>46077</v>
      </c>
      <c r="E316" s="1" t="n">
        <v>46217</v>
      </c>
      <c r="F316" t="inlineStr">
        <is>
          <t>NORRBOTTENS LÄN</t>
        </is>
      </c>
      <c r="G316" t="inlineStr">
        <is>
          <t>JOKKMOKK</t>
        </is>
      </c>
      <c r="H316" t="inlineStr">
        <is>
          <t>SCA</t>
        </is>
      </c>
      <c r="I316" t="n">
        <v>5.5</v>
      </c>
      <c r="J316" t="n">
        <v>0</v>
      </c>
      <c r="K316" t="n">
        <v>0</v>
      </c>
      <c r="L316" t="n">
        <v>0</v>
      </c>
      <c r="M316" t="n">
        <v>0</v>
      </c>
      <c r="N316" t="n">
        <v>0</v>
      </c>
      <c r="O316" t="n">
        <v>0</v>
      </c>
      <c r="P316" t="n">
        <v>0</v>
      </c>
      <c r="Q316" t="n">
        <v>0</v>
      </c>
      <c r="R316" t="n">
        <v>0</v>
      </c>
      <c r="S316" t="n">
        <v>0</v>
      </c>
      <c r="T316" t="n">
        <v>0</v>
      </c>
      <c r="U316" s="2" t="inlineStr"/>
    </row>
    <row r="317" ht="15" customHeight="1">
      <c r="A317" t="inlineStr">
        <is>
          <t>A 10576-2026</t>
        </is>
      </c>
      <c r="B317" t="inlineStr">
        <is>
          <t>avverkningsanmälan</t>
        </is>
      </c>
      <c r="C317" t="inlineStr">
        <is>
          <t>Föryngringsavverkning</t>
        </is>
      </c>
      <c r="D317" s="1" t="n">
        <v>46077</v>
      </c>
      <c r="E317" s="1" t="n">
        <v>46217</v>
      </c>
      <c r="F317" t="inlineStr">
        <is>
          <t>NORRBOTTENS LÄN</t>
        </is>
      </c>
      <c r="G317" t="inlineStr">
        <is>
          <t>JOKKMOKK</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29758-2026</t>
        </is>
      </c>
      <c r="B318" t="inlineStr">
        <is>
          <t>avverkningsanmälan</t>
        </is>
      </c>
      <c r="C318" t="inlineStr">
        <is>
          <t>Föryngringsavverkning</t>
        </is>
      </c>
      <c r="D318" s="1" t="n">
        <v>46204</v>
      </c>
      <c r="E318" s="1" t="n">
        <v>46217</v>
      </c>
      <c r="F318" t="inlineStr">
        <is>
          <t>NORRBOTTENS LÄN</t>
        </is>
      </c>
      <c r="G318" t="inlineStr">
        <is>
          <t>JOKKMOKK</t>
        </is>
      </c>
      <c r="H318" t="inlineStr">
        <is>
          <t>SCA</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23791-2026</t>
        </is>
      </c>
      <c r="B319" t="inlineStr">
        <is>
          <t>avverkningsanmälan</t>
        </is>
      </c>
      <c r="C319" t="inlineStr">
        <is>
          <t>Föryngringsavverkning</t>
        </is>
      </c>
      <c r="D319" s="1" t="n">
        <v>46164</v>
      </c>
      <c r="E319" s="1" t="n">
        <v>46217</v>
      </c>
      <c r="F319" t="inlineStr">
        <is>
          <t>NORRBOTTENS LÄN</t>
        </is>
      </c>
      <c r="G319" t="inlineStr">
        <is>
          <t>JOKKMOKK</t>
        </is>
      </c>
      <c r="H319" t="inlineStr">
        <is>
          <t>Sveaskog</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29907-2026</t>
        </is>
      </c>
      <c r="B320" t="inlineStr">
        <is>
          <t>avverkningsanmälan</t>
        </is>
      </c>
      <c r="C320" t="inlineStr">
        <is>
          <t>Föryngringsavverkning</t>
        </is>
      </c>
      <c r="D320" s="1" t="n">
        <v>46205</v>
      </c>
      <c r="E320" s="1" t="n">
        <v>46217</v>
      </c>
      <c r="F320" t="inlineStr">
        <is>
          <t>NORRBOTTENS LÄN</t>
        </is>
      </c>
      <c r="G320" t="inlineStr">
        <is>
          <t>JOKKMOKK</t>
        </is>
      </c>
      <c r="I320" t="n">
        <v>5.3</v>
      </c>
      <c r="J320" t="n">
        <v>0</v>
      </c>
      <c r="K320" t="n">
        <v>0</v>
      </c>
      <c r="L320" t="n">
        <v>0</v>
      </c>
      <c r="M320" t="n">
        <v>0</v>
      </c>
      <c r="N320" t="n">
        <v>0</v>
      </c>
      <c r="O320" t="n">
        <v>0</v>
      </c>
      <c r="P320" t="n">
        <v>0</v>
      </c>
      <c r="Q320" t="n">
        <v>0</v>
      </c>
      <c r="R320" t="n">
        <v>0</v>
      </c>
      <c r="S320" t="n">
        <v>0</v>
      </c>
      <c r="T320" t="n">
        <v>0</v>
      </c>
      <c r="U320" s="2" t="inlineStr"/>
    </row>
    <row r="321" ht="15" customHeight="1">
      <c r="A321" t="inlineStr">
        <is>
          <t>A 30008-2026</t>
        </is>
      </c>
      <c r="B321" t="inlineStr">
        <is>
          <t>avverkningsanmälan</t>
        </is>
      </c>
      <c r="C321" t="inlineStr">
        <is>
          <t>Föryngringsavverkning</t>
        </is>
      </c>
      <c r="D321" s="1" t="n">
        <v>46205</v>
      </c>
      <c r="E321" s="1" t="n">
        <v>46217</v>
      </c>
      <c r="F321" t="inlineStr">
        <is>
          <t>NORRBOTTENS LÄN</t>
        </is>
      </c>
      <c r="G321" t="inlineStr">
        <is>
          <t>JOKKMOKK</t>
        </is>
      </c>
      <c r="I321" t="n">
        <v>11.8</v>
      </c>
      <c r="J321" t="n">
        <v>0</v>
      </c>
      <c r="K321" t="n">
        <v>0</v>
      </c>
      <c r="L321" t="n">
        <v>0</v>
      </c>
      <c r="M321" t="n">
        <v>0</v>
      </c>
      <c r="N321" t="n">
        <v>0</v>
      </c>
      <c r="O321" t="n">
        <v>0</v>
      </c>
      <c r="P321" t="n">
        <v>0</v>
      </c>
      <c r="Q321" t="n">
        <v>0</v>
      </c>
      <c r="R321" t="n">
        <v>0</v>
      </c>
      <c r="S321" t="n">
        <v>0</v>
      </c>
      <c r="T321" t="n">
        <v>0</v>
      </c>
      <c r="U321" s="2" t="inlineStr"/>
    </row>
    <row r="322" ht="15" customHeight="1">
      <c r="A322" t="inlineStr">
        <is>
          <t>A 35749-2025</t>
        </is>
      </c>
      <c r="B322" t="inlineStr">
        <is>
          <t>avverkningsanmälan</t>
        </is>
      </c>
      <c r="C322" t="inlineStr">
        <is>
          <t>Föryngringsavverkning</t>
        </is>
      </c>
      <c r="D322" s="1" t="n">
        <v>45860</v>
      </c>
      <c r="E322" s="1" t="n">
        <v>46217</v>
      </c>
      <c r="F322" t="inlineStr">
        <is>
          <t>NORRBOTTENS LÄN</t>
        </is>
      </c>
      <c r="G322" t="inlineStr">
        <is>
          <t>JOKKMOKK</t>
        </is>
      </c>
      <c r="I322" t="n">
        <v>4.2</v>
      </c>
      <c r="J322" t="n">
        <v>0</v>
      </c>
      <c r="K322" t="n">
        <v>0</v>
      </c>
      <c r="L322" t="n">
        <v>0</v>
      </c>
      <c r="M322" t="n">
        <v>0</v>
      </c>
      <c r="N322" t="n">
        <v>0</v>
      </c>
      <c r="O322" t="n">
        <v>0</v>
      </c>
      <c r="P322" t="n">
        <v>0</v>
      </c>
      <c r="Q322" t="n">
        <v>0</v>
      </c>
      <c r="R322" t="n">
        <v>0</v>
      </c>
      <c r="S322" t="n">
        <v>0</v>
      </c>
      <c r="T322" t="n">
        <v>0</v>
      </c>
      <c r="U322" s="2" t="inlineStr"/>
    </row>
    <row r="323" ht="15" customHeight="1">
      <c r="A323" t="inlineStr">
        <is>
          <t>A 30064-2026</t>
        </is>
      </c>
      <c r="B323" t="inlineStr">
        <is>
          <t>avverkningsanmälan</t>
        </is>
      </c>
      <c r="C323" t="inlineStr">
        <is>
          <t>Föryngringsavverkning</t>
        </is>
      </c>
      <c r="D323" s="1" t="n">
        <v>46206</v>
      </c>
      <c r="E323" s="1" t="n">
        <v>46217</v>
      </c>
      <c r="F323" t="inlineStr">
        <is>
          <t>NORRBOTTENS LÄN</t>
        </is>
      </c>
      <c r="G323" t="inlineStr">
        <is>
          <t>JOKKMOKK</t>
        </is>
      </c>
      <c r="I323" t="n">
        <v>29.8</v>
      </c>
      <c r="J323" t="n">
        <v>0</v>
      </c>
      <c r="K323" t="n">
        <v>0</v>
      </c>
      <c r="L323" t="n">
        <v>0</v>
      </c>
      <c r="M323" t="n">
        <v>0</v>
      </c>
      <c r="N323" t="n">
        <v>0</v>
      </c>
      <c r="O323" t="n">
        <v>0</v>
      </c>
      <c r="P323" t="n">
        <v>0</v>
      </c>
      <c r="Q323" t="n">
        <v>0</v>
      </c>
      <c r="R323" t="n">
        <v>0</v>
      </c>
      <c r="S323" t="n">
        <v>0</v>
      </c>
      <c r="T323" t="n">
        <v>0</v>
      </c>
      <c r="U323" s="2" t="inlineStr"/>
    </row>
    <row r="324" ht="15" customHeight="1">
      <c r="A324" t="inlineStr">
        <is>
          <t>A 30068-2026</t>
        </is>
      </c>
      <c r="B324" t="inlineStr">
        <is>
          <t>avverkningsanmälan</t>
        </is>
      </c>
      <c r="C324" t="inlineStr">
        <is>
          <t>Föryngringsavverkning</t>
        </is>
      </c>
      <c r="D324" s="1" t="n">
        <v>46206</v>
      </c>
      <c r="E324" s="1" t="n">
        <v>46217</v>
      </c>
      <c r="F324" t="inlineStr">
        <is>
          <t>NORRBOTTENS LÄN</t>
        </is>
      </c>
      <c r="G324" t="inlineStr">
        <is>
          <t>JOKKMOKK</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29446-2025</t>
        </is>
      </c>
      <c r="B325" t="inlineStr">
        <is>
          <t>avverkningsanmälan</t>
        </is>
      </c>
      <c r="C325" t="inlineStr">
        <is>
          <t>Föryngringsavverkning</t>
        </is>
      </c>
      <c r="D325" s="1" t="n">
        <v>45824</v>
      </c>
      <c r="E325" s="1" t="n">
        <v>46217</v>
      </c>
      <c r="F325" t="inlineStr">
        <is>
          <t>NORRBOTTENS LÄN</t>
        </is>
      </c>
      <c r="G325" t="inlineStr">
        <is>
          <t>JOKKMOKK</t>
        </is>
      </c>
      <c r="I325" t="n">
        <v>68.5</v>
      </c>
      <c r="J325" t="n">
        <v>0</v>
      </c>
      <c r="K325" t="n">
        <v>0</v>
      </c>
      <c r="L325" t="n">
        <v>0</v>
      </c>
      <c r="M325" t="n">
        <v>0</v>
      </c>
      <c r="N325" t="n">
        <v>0</v>
      </c>
      <c r="O325" t="n">
        <v>0</v>
      </c>
      <c r="P325" t="n">
        <v>0</v>
      </c>
      <c r="Q325" t="n">
        <v>0</v>
      </c>
      <c r="R325" t="n">
        <v>0</v>
      </c>
      <c r="S325" t="n">
        <v>0</v>
      </c>
      <c r="T325" t="n">
        <v>0</v>
      </c>
      <c r="U325" s="2" t="inlineStr"/>
    </row>
    <row r="326" ht="15" customHeight="1">
      <c r="A326" t="inlineStr">
        <is>
          <t>A 30072-2026</t>
        </is>
      </c>
      <c r="B326" t="inlineStr">
        <is>
          <t>avverkningsanmälan</t>
        </is>
      </c>
      <c r="C326" t="inlineStr">
        <is>
          <t>Föryngringsavverkning</t>
        </is>
      </c>
      <c r="D326" s="1" t="n">
        <v>46206</v>
      </c>
      <c r="E326" s="1" t="n">
        <v>46217</v>
      </c>
      <c r="F326" t="inlineStr">
        <is>
          <t>NORRBOTTENS LÄN</t>
        </is>
      </c>
      <c r="G326" t="inlineStr">
        <is>
          <t>JOKKMOKK</t>
        </is>
      </c>
      <c r="I326" t="n">
        <v>21.7</v>
      </c>
      <c r="J326" t="n">
        <v>0</v>
      </c>
      <c r="K326" t="n">
        <v>0</v>
      </c>
      <c r="L326" t="n">
        <v>0</v>
      </c>
      <c r="M326" t="n">
        <v>0</v>
      </c>
      <c r="N326" t="n">
        <v>0</v>
      </c>
      <c r="O326" t="n">
        <v>0</v>
      </c>
      <c r="P326" t="n">
        <v>0</v>
      </c>
      <c r="Q326" t="n">
        <v>0</v>
      </c>
      <c r="R326" t="n">
        <v>0</v>
      </c>
      <c r="S326" t="n">
        <v>0</v>
      </c>
      <c r="T326" t="n">
        <v>0</v>
      </c>
      <c r="U326" s="2" t="inlineStr"/>
    </row>
    <row r="327" ht="15" customHeight="1">
      <c r="A327" t="inlineStr">
        <is>
          <t>A 24926-2026</t>
        </is>
      </c>
      <c r="B327" t="inlineStr">
        <is>
          <t>avverkningsanmälan</t>
        </is>
      </c>
      <c r="C327" t="inlineStr">
        <is>
          <t>Föryngringsavverkning</t>
        </is>
      </c>
      <c r="D327" s="1" t="n">
        <v>46174</v>
      </c>
      <c r="E327" s="1" t="n">
        <v>46217</v>
      </c>
      <c r="F327" t="inlineStr">
        <is>
          <t>NORRBOTTENS LÄN</t>
        </is>
      </c>
      <c r="G327" t="inlineStr">
        <is>
          <t>JOKKMOKK</t>
        </is>
      </c>
      <c r="H327" t="inlineStr">
        <is>
          <t>Övriga Aktiebolag</t>
        </is>
      </c>
      <c r="I327" t="n">
        <v>6.4</v>
      </c>
      <c r="J327" t="n">
        <v>0</v>
      </c>
      <c r="K327" t="n">
        <v>0</v>
      </c>
      <c r="L327" t="n">
        <v>0</v>
      </c>
      <c r="M327" t="n">
        <v>0</v>
      </c>
      <c r="N327" t="n">
        <v>0</v>
      </c>
      <c r="O327" t="n">
        <v>0</v>
      </c>
      <c r="P327" t="n">
        <v>0</v>
      </c>
      <c r="Q327" t="n">
        <v>0</v>
      </c>
      <c r="R327" t="n">
        <v>0</v>
      </c>
      <c r="S327" t="n">
        <v>0</v>
      </c>
      <c r="T327" t="n">
        <v>0</v>
      </c>
      <c r="U327" s="2" t="inlineStr"/>
    </row>
    <row r="328" ht="15" customHeight="1">
      <c r="A328" t="inlineStr">
        <is>
          <t>A 12862-2026</t>
        </is>
      </c>
      <c r="B328" t="inlineStr">
        <is>
          <t>avverkningsanmälan</t>
        </is>
      </c>
      <c r="C328" t="inlineStr">
        <is>
          <t>Föryngringsavverkning</t>
        </is>
      </c>
      <c r="D328" s="1" t="n">
        <v>46092</v>
      </c>
      <c r="E328" s="1" t="n">
        <v>46217</v>
      </c>
      <c r="F328" t="inlineStr">
        <is>
          <t>NORRBOTTENS LÄN</t>
        </is>
      </c>
      <c r="G328" t="inlineStr">
        <is>
          <t>JOKKMOKK</t>
        </is>
      </c>
      <c r="H328" t="inlineStr">
        <is>
          <t>SCA</t>
        </is>
      </c>
      <c r="I328" t="n">
        <v>4.7</v>
      </c>
      <c r="J328" t="n">
        <v>0</v>
      </c>
      <c r="K328" t="n">
        <v>0</v>
      </c>
      <c r="L328" t="n">
        <v>0</v>
      </c>
      <c r="M328" t="n">
        <v>0</v>
      </c>
      <c r="N328" t="n">
        <v>0</v>
      </c>
      <c r="O328" t="n">
        <v>0</v>
      </c>
      <c r="P328" t="n">
        <v>0</v>
      </c>
      <c r="Q328" t="n">
        <v>0</v>
      </c>
      <c r="R328" t="n">
        <v>0</v>
      </c>
      <c r="S328" t="n">
        <v>0</v>
      </c>
      <c r="T328" t="n">
        <v>0</v>
      </c>
      <c r="U328" s="2" t="inlineStr"/>
    </row>
    <row r="329" ht="15" customHeight="1">
      <c r="A329" t="inlineStr">
        <is>
          <t>A 12863-2026</t>
        </is>
      </c>
      <c r="B329" t="inlineStr">
        <is>
          <t>avverkningsanmälan</t>
        </is>
      </c>
      <c r="C329" t="inlineStr">
        <is>
          <t>Föryngringsavverkning</t>
        </is>
      </c>
      <c r="D329" s="1" t="n">
        <v>46092</v>
      </c>
      <c r="E329" s="1" t="n">
        <v>46217</v>
      </c>
      <c r="F329" t="inlineStr">
        <is>
          <t>NORRBOTTENS LÄN</t>
        </is>
      </c>
      <c r="G329" t="inlineStr">
        <is>
          <t>JOKKMOKK</t>
        </is>
      </c>
      <c r="H329" t="inlineStr">
        <is>
          <t>SCA</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47208-2022</t>
        </is>
      </c>
      <c r="B330" t="inlineStr">
        <is>
          <t>avverkningsanmälan</t>
        </is>
      </c>
      <c r="C330" t="inlineStr">
        <is>
          <t>Föryngringsavverkning</t>
        </is>
      </c>
      <c r="D330" s="1" t="n">
        <v>44851</v>
      </c>
      <c r="E330" s="1" t="n">
        <v>46217</v>
      </c>
      <c r="F330" t="inlineStr">
        <is>
          <t>NORRBOTTENS LÄN</t>
        </is>
      </c>
      <c r="G330" t="inlineStr">
        <is>
          <t>JOKKMOKK</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12867-2026</t>
        </is>
      </c>
      <c r="B331" t="inlineStr">
        <is>
          <t>avverkningsanmälan</t>
        </is>
      </c>
      <c r="C331" t="inlineStr">
        <is>
          <t>Föryngringsavverkning</t>
        </is>
      </c>
      <c r="D331" s="1" t="n">
        <v>46092</v>
      </c>
      <c r="E331" s="1" t="n">
        <v>46217</v>
      </c>
      <c r="F331" t="inlineStr">
        <is>
          <t>NORRBOTTENS LÄN</t>
        </is>
      </c>
      <c r="G331" t="inlineStr">
        <is>
          <t>JOKKMOKK</t>
        </is>
      </c>
      <c r="H331" t="inlineStr">
        <is>
          <t>SCA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12861-2026</t>
        </is>
      </c>
      <c r="B332" t="inlineStr">
        <is>
          <t>avverkningsanmälan</t>
        </is>
      </c>
      <c r="C332" t="inlineStr">
        <is>
          <t>Föryngringsavverkning</t>
        </is>
      </c>
      <c r="D332" s="1" t="n">
        <v>46092</v>
      </c>
      <c r="E332" s="1" t="n">
        <v>46217</v>
      </c>
      <c r="F332" t="inlineStr">
        <is>
          <t>NORRBOTTENS LÄN</t>
        </is>
      </c>
      <c r="G332" t="inlineStr">
        <is>
          <t>JOKKMOKK</t>
        </is>
      </c>
      <c r="H332" t="inlineStr">
        <is>
          <t>SCA</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63025-2025</t>
        </is>
      </c>
      <c r="B333" t="inlineStr">
        <is>
          <t>avverkningsanmälan</t>
        </is>
      </c>
      <c r="C333" t="inlineStr">
        <is>
          <t>Föryngringsavverkning</t>
        </is>
      </c>
      <c r="D333" s="1" t="n">
        <v>46009</v>
      </c>
      <c r="E333" s="1" t="n">
        <v>46217</v>
      </c>
      <c r="F333" t="inlineStr">
        <is>
          <t>NORRBOTTENS LÄN</t>
        </is>
      </c>
      <c r="G333" t="inlineStr">
        <is>
          <t>JOKKMOKK</t>
        </is>
      </c>
      <c r="I333" t="n">
        <v>11.1</v>
      </c>
      <c r="J333" t="n">
        <v>0</v>
      </c>
      <c r="K333" t="n">
        <v>0</v>
      </c>
      <c r="L333" t="n">
        <v>0</v>
      </c>
      <c r="M333" t="n">
        <v>0</v>
      </c>
      <c r="N333" t="n">
        <v>0</v>
      </c>
      <c r="O333" t="n">
        <v>0</v>
      </c>
      <c r="P333" t="n">
        <v>0</v>
      </c>
      <c r="Q333" t="n">
        <v>0</v>
      </c>
      <c r="R333" t="n">
        <v>0</v>
      </c>
      <c r="S333" t="n">
        <v>0</v>
      </c>
      <c r="T333" t="n">
        <v>0</v>
      </c>
      <c r="U333" s="2" t="inlineStr"/>
    </row>
    <row r="334" ht="15" customHeight="1">
      <c r="A334" t="inlineStr">
        <is>
          <t>A 14786-2026</t>
        </is>
      </c>
      <c r="B334" t="inlineStr">
        <is>
          <t>avverkningsanmälan</t>
        </is>
      </c>
      <c r="C334" t="inlineStr">
        <is>
          <t>Föryngringsavverkning</t>
        </is>
      </c>
      <c r="D334" s="1" t="n">
        <v>46101</v>
      </c>
      <c r="E334" s="1" t="n">
        <v>46217</v>
      </c>
      <c r="F334" t="inlineStr">
        <is>
          <t>NORRBOTTENS LÄN</t>
        </is>
      </c>
      <c r="G334" t="inlineStr">
        <is>
          <t>JOKKMOKK</t>
        </is>
      </c>
      <c r="H334" t="inlineStr">
        <is>
          <t>SCA</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1615-2024</t>
        </is>
      </c>
      <c r="B335" t="inlineStr">
        <is>
          <t>avverkningsanmälan</t>
        </is>
      </c>
      <c r="C335" t="inlineStr">
        <is>
          <t>Föryngringsavverkning</t>
        </is>
      </c>
      <c r="D335" s="1" t="n">
        <v>45306</v>
      </c>
      <c r="E335" s="1" t="n">
        <v>46217</v>
      </c>
      <c r="F335" t="inlineStr">
        <is>
          <t>NORRBOTTENS LÄN</t>
        </is>
      </c>
      <c r="G335" t="inlineStr">
        <is>
          <t>JOKKMOKK</t>
        </is>
      </c>
      <c r="I335" t="n">
        <v>10.8</v>
      </c>
      <c r="J335" t="n">
        <v>0</v>
      </c>
      <c r="K335" t="n">
        <v>0</v>
      </c>
      <c r="L335" t="n">
        <v>0</v>
      </c>
      <c r="M335" t="n">
        <v>0</v>
      </c>
      <c r="N335" t="n">
        <v>0</v>
      </c>
      <c r="O335" t="n">
        <v>0</v>
      </c>
      <c r="P335" t="n">
        <v>0</v>
      </c>
      <c r="Q335" t="n">
        <v>0</v>
      </c>
      <c r="R335" t="n">
        <v>0</v>
      </c>
      <c r="S335" t="n">
        <v>0</v>
      </c>
      <c r="T335" t="n">
        <v>0</v>
      </c>
      <c r="U335" s="2" t="inlineStr"/>
    </row>
    <row r="336" ht="15" customHeight="1">
      <c r="A336" t="inlineStr">
        <is>
          <t>A 14650-2026</t>
        </is>
      </c>
      <c r="B336" t="inlineStr">
        <is>
          <t>avverkningsanmälan</t>
        </is>
      </c>
      <c r="C336" t="inlineStr">
        <is>
          <t>Föryngringsavverkning</t>
        </is>
      </c>
      <c r="D336" s="1" t="n">
        <v>46101</v>
      </c>
      <c r="E336" s="1" t="n">
        <v>46217</v>
      </c>
      <c r="F336" t="inlineStr">
        <is>
          <t>NORRBOTTENS LÄN</t>
        </is>
      </c>
      <c r="G336" t="inlineStr">
        <is>
          <t>JOKKMOKK</t>
        </is>
      </c>
      <c r="H336" t="inlineStr">
        <is>
          <t>SCA</t>
        </is>
      </c>
      <c r="I336" t="n">
        <v>23.6</v>
      </c>
      <c r="J336" t="n">
        <v>0</v>
      </c>
      <c r="K336" t="n">
        <v>0</v>
      </c>
      <c r="L336" t="n">
        <v>0</v>
      </c>
      <c r="M336" t="n">
        <v>0</v>
      </c>
      <c r="N336" t="n">
        <v>0</v>
      </c>
      <c r="O336" t="n">
        <v>0</v>
      </c>
      <c r="P336" t="n">
        <v>0</v>
      </c>
      <c r="Q336" t="n">
        <v>0</v>
      </c>
      <c r="R336" t="n">
        <v>0</v>
      </c>
      <c r="S336" t="n">
        <v>0</v>
      </c>
      <c r="T336" t="n">
        <v>0</v>
      </c>
      <c r="U336" s="2" t="inlineStr"/>
    </row>
    <row r="337" ht="15" customHeight="1">
      <c r="A337" t="inlineStr">
        <is>
          <t>A 59849-2023</t>
        </is>
      </c>
      <c r="B337" t="inlineStr">
        <is>
          <t>avverkningsanmälan</t>
        </is>
      </c>
      <c r="C337" t="inlineStr">
        <is>
          <t>Föryngringsavverkning</t>
        </is>
      </c>
      <c r="D337" s="1" t="n">
        <v>45257</v>
      </c>
      <c r="E337" s="1" t="n">
        <v>46217</v>
      </c>
      <c r="F337" t="inlineStr">
        <is>
          <t>NORRBOTTENS LÄN</t>
        </is>
      </c>
      <c r="G337" t="inlineStr">
        <is>
          <t>JOKKMOKK</t>
        </is>
      </c>
      <c r="H337" t="inlineStr">
        <is>
          <t>Allmännings- och besparingsskogar</t>
        </is>
      </c>
      <c r="I337" t="n">
        <v>12.7</v>
      </c>
      <c r="J337" t="n">
        <v>0</v>
      </c>
      <c r="K337" t="n">
        <v>0</v>
      </c>
      <c r="L337" t="n">
        <v>0</v>
      </c>
      <c r="M337" t="n">
        <v>0</v>
      </c>
      <c r="N337" t="n">
        <v>0</v>
      </c>
      <c r="O337" t="n">
        <v>0</v>
      </c>
      <c r="P337" t="n">
        <v>0</v>
      </c>
      <c r="Q337" t="n">
        <v>0</v>
      </c>
      <c r="R337" t="n">
        <v>0</v>
      </c>
      <c r="S337" t="n">
        <v>0</v>
      </c>
      <c r="T337" t="n">
        <v>0</v>
      </c>
      <c r="U337" s="2" t="inlineStr"/>
    </row>
    <row r="338" ht="15" customHeight="1">
      <c r="A338" t="inlineStr">
        <is>
          <t>A 38226-2025</t>
        </is>
      </c>
      <c r="B338" t="inlineStr">
        <is>
          <t>avverkningsanmälan</t>
        </is>
      </c>
      <c r="C338" t="inlineStr">
        <is>
          <t>Föryngringsavverkning</t>
        </is>
      </c>
      <c r="D338" s="1" t="n">
        <v>45883</v>
      </c>
      <c r="E338" s="1" t="n">
        <v>46217</v>
      </c>
      <c r="F338" t="inlineStr">
        <is>
          <t>NORRBOTTENS LÄN</t>
        </is>
      </c>
      <c r="G338" t="inlineStr">
        <is>
          <t>JOKKMOKK</t>
        </is>
      </c>
      <c r="H338" t="inlineStr">
        <is>
          <t>SCA</t>
        </is>
      </c>
      <c r="I338" t="n">
        <v>14.5</v>
      </c>
      <c r="J338" t="n">
        <v>0</v>
      </c>
      <c r="K338" t="n">
        <v>0</v>
      </c>
      <c r="L338" t="n">
        <v>0</v>
      </c>
      <c r="M338" t="n">
        <v>0</v>
      </c>
      <c r="N338" t="n">
        <v>0</v>
      </c>
      <c r="O338" t="n">
        <v>0</v>
      </c>
      <c r="P338" t="n">
        <v>0</v>
      </c>
      <c r="Q338" t="n">
        <v>0</v>
      </c>
      <c r="R338" t="n">
        <v>0</v>
      </c>
      <c r="S338" t="n">
        <v>0</v>
      </c>
      <c r="T338" t="n">
        <v>0</v>
      </c>
      <c r="U338" s="2" t="inlineStr"/>
    </row>
    <row r="339" ht="15" customHeight="1">
      <c r="A339" t="inlineStr">
        <is>
          <t>A 15385-2026</t>
        </is>
      </c>
      <c r="B339" t="inlineStr">
        <is>
          <t>avverkningsanmälan</t>
        </is>
      </c>
      <c r="C339" t="inlineStr">
        <is>
          <t>Föryngringsavverkning</t>
        </is>
      </c>
      <c r="D339" s="1" t="n">
        <v>46106</v>
      </c>
      <c r="E339" s="1" t="n">
        <v>46217</v>
      </c>
      <c r="F339" t="inlineStr">
        <is>
          <t>NORRBOTTENS LÄN</t>
        </is>
      </c>
      <c r="G339" t="inlineStr">
        <is>
          <t>JOKKMOKK</t>
        </is>
      </c>
      <c r="H339" t="inlineStr">
        <is>
          <t>SCA</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15386-2026</t>
        </is>
      </c>
      <c r="B340" t="inlineStr">
        <is>
          <t>avverkningsanmälan</t>
        </is>
      </c>
      <c r="C340" t="inlineStr">
        <is>
          <t>Föryngringsavverkning</t>
        </is>
      </c>
      <c r="D340" s="1" t="n">
        <v>46106</v>
      </c>
      <c r="E340" s="1" t="n">
        <v>46217</v>
      </c>
      <c r="F340" t="inlineStr">
        <is>
          <t>NORRBOTTENS LÄN</t>
        </is>
      </c>
      <c r="G340" t="inlineStr">
        <is>
          <t>JOKKMOKK</t>
        </is>
      </c>
      <c r="H340" t="inlineStr">
        <is>
          <t>SCA</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15383-2026</t>
        </is>
      </c>
      <c r="B341" t="inlineStr">
        <is>
          <t>avverkningsanmälan</t>
        </is>
      </c>
      <c r="C341" t="inlineStr">
        <is>
          <t>Föryngringsavverkning</t>
        </is>
      </c>
      <c r="D341" s="1" t="n">
        <v>46106</v>
      </c>
      <c r="E341" s="1" t="n">
        <v>46217</v>
      </c>
      <c r="F341" t="inlineStr">
        <is>
          <t>NORRBOTTENS LÄN</t>
        </is>
      </c>
      <c r="G341" t="inlineStr">
        <is>
          <t>JOKKMOKK</t>
        </is>
      </c>
      <c r="H341" t="inlineStr">
        <is>
          <t>SCA</t>
        </is>
      </c>
      <c r="I341" t="n">
        <v>4.6</v>
      </c>
      <c r="J341" t="n">
        <v>0</v>
      </c>
      <c r="K341" t="n">
        <v>0</v>
      </c>
      <c r="L341" t="n">
        <v>0</v>
      </c>
      <c r="M341" t="n">
        <v>0</v>
      </c>
      <c r="N341" t="n">
        <v>0</v>
      </c>
      <c r="O341" t="n">
        <v>0</v>
      </c>
      <c r="P341" t="n">
        <v>0</v>
      </c>
      <c r="Q341" t="n">
        <v>0</v>
      </c>
      <c r="R341" t="n">
        <v>0</v>
      </c>
      <c r="S341" t="n">
        <v>0</v>
      </c>
      <c r="T341" t="n">
        <v>0</v>
      </c>
      <c r="U341" s="2" t="inlineStr"/>
    </row>
    <row r="342" ht="15" customHeight="1">
      <c r="A342" t="inlineStr">
        <is>
          <t>A 15968-2026</t>
        </is>
      </c>
      <c r="B342" t="inlineStr">
        <is>
          <t>avverkningsanmälan</t>
        </is>
      </c>
      <c r="C342" t="inlineStr">
        <is>
          <t>Föryngringsavverkning</t>
        </is>
      </c>
      <c r="D342" s="1" t="n">
        <v>46108</v>
      </c>
      <c r="E342" s="1" t="n">
        <v>46217</v>
      </c>
      <c r="F342" t="inlineStr">
        <is>
          <t>NORRBOTTENS LÄN</t>
        </is>
      </c>
      <c r="G342" t="inlineStr">
        <is>
          <t>JOKKMOKK</t>
        </is>
      </c>
      <c r="H342" t="inlineStr">
        <is>
          <t>SCA</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15972-2026</t>
        </is>
      </c>
      <c r="B343" t="inlineStr">
        <is>
          <t>avverkningsanmälan</t>
        </is>
      </c>
      <c r="C343" t="inlineStr">
        <is>
          <t>Föryngringsavverkning</t>
        </is>
      </c>
      <c r="D343" s="1" t="n">
        <v>46108</v>
      </c>
      <c r="E343" s="1" t="n">
        <v>46217</v>
      </c>
      <c r="F343" t="inlineStr">
        <is>
          <t>NORRBOTTENS LÄN</t>
        </is>
      </c>
      <c r="G343" t="inlineStr">
        <is>
          <t>JOKKMOKK</t>
        </is>
      </c>
      <c r="H343" t="inlineStr">
        <is>
          <t>SCA</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27652-2024</t>
        </is>
      </c>
      <c r="B344" t="inlineStr">
        <is>
          <t>avverkningsanmälan</t>
        </is>
      </c>
      <c r="C344" t="inlineStr">
        <is>
          <t>Föryngringsavverkning</t>
        </is>
      </c>
      <c r="D344" s="1" t="n">
        <v>45474</v>
      </c>
      <c r="E344" s="1" t="n">
        <v>46217</v>
      </c>
      <c r="F344" t="inlineStr">
        <is>
          <t>NORRBOTTENS LÄN</t>
        </is>
      </c>
      <c r="G344" t="inlineStr">
        <is>
          <t>JOKKMOKK</t>
        </is>
      </c>
      <c r="H344" t="inlineStr">
        <is>
          <t>SCA</t>
        </is>
      </c>
      <c r="I344" t="n">
        <v>5.3</v>
      </c>
      <c r="J344" t="n">
        <v>0</v>
      </c>
      <c r="K344" t="n">
        <v>0</v>
      </c>
      <c r="L344" t="n">
        <v>0</v>
      </c>
      <c r="M344" t="n">
        <v>0</v>
      </c>
      <c r="N344" t="n">
        <v>0</v>
      </c>
      <c r="O344" t="n">
        <v>0</v>
      </c>
      <c r="P344" t="n">
        <v>0</v>
      </c>
      <c r="Q344" t="n">
        <v>0</v>
      </c>
      <c r="R344" t="n">
        <v>0</v>
      </c>
      <c r="S344" t="n">
        <v>0</v>
      </c>
      <c r="T344" t="n">
        <v>0</v>
      </c>
      <c r="U344" s="2" t="inlineStr"/>
    </row>
    <row r="345" ht="15" customHeight="1">
      <c r="A345" t="inlineStr">
        <is>
          <t>A 15969-2026</t>
        </is>
      </c>
      <c r="B345" t="inlineStr">
        <is>
          <t>avverkningsanmälan</t>
        </is>
      </c>
      <c r="C345" t="inlineStr">
        <is>
          <t>Föryngringsavverkning</t>
        </is>
      </c>
      <c r="D345" s="1" t="n">
        <v>46108</v>
      </c>
      <c r="E345" s="1" t="n">
        <v>46217</v>
      </c>
      <c r="F345" t="inlineStr">
        <is>
          <t>NORRBOTTENS LÄN</t>
        </is>
      </c>
      <c r="G345" t="inlineStr">
        <is>
          <t>JOKKMOKK</t>
        </is>
      </c>
      <c r="H345" t="inlineStr">
        <is>
          <t>SCA</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16711-2026</t>
        </is>
      </c>
      <c r="B346" t="inlineStr">
        <is>
          <t>avverkningsanmälan</t>
        </is>
      </c>
      <c r="C346" t="inlineStr">
        <is>
          <t>Föryngringsavverkning</t>
        </is>
      </c>
      <c r="D346" s="1" t="n">
        <v>46113</v>
      </c>
      <c r="E346" s="1" t="n">
        <v>46217</v>
      </c>
      <c r="F346" t="inlineStr">
        <is>
          <t>NORRBOTTENS LÄN</t>
        </is>
      </c>
      <c r="G346" t="inlineStr">
        <is>
          <t>JOKKMOKK</t>
        </is>
      </c>
      <c r="H346" t="inlineStr">
        <is>
          <t>SCA</t>
        </is>
      </c>
      <c r="I346" t="n">
        <v>6.1</v>
      </c>
      <c r="J346" t="n">
        <v>0</v>
      </c>
      <c r="K346" t="n">
        <v>0</v>
      </c>
      <c r="L346" t="n">
        <v>0</v>
      </c>
      <c r="M346" t="n">
        <v>0</v>
      </c>
      <c r="N346" t="n">
        <v>0</v>
      </c>
      <c r="O346" t="n">
        <v>0</v>
      </c>
      <c r="P346" t="n">
        <v>0</v>
      </c>
      <c r="Q346" t="n">
        <v>0</v>
      </c>
      <c r="R346" t="n">
        <v>0</v>
      </c>
      <c r="S346" t="n">
        <v>0</v>
      </c>
      <c r="T346" t="n">
        <v>0</v>
      </c>
      <c r="U346" s="2" t="inlineStr"/>
    </row>
    <row r="347" ht="15" customHeight="1">
      <c r="A347" t="inlineStr">
        <is>
          <t>A 18493-2025</t>
        </is>
      </c>
      <c r="B347" t="inlineStr">
        <is>
          <t>avverkningsanmälan</t>
        </is>
      </c>
      <c r="C347" t="inlineStr">
        <is>
          <t>Föryngringsavverkning</t>
        </is>
      </c>
      <c r="D347" s="1" t="n">
        <v>45763</v>
      </c>
      <c r="E347" s="1" t="n">
        <v>46217</v>
      </c>
      <c r="F347" t="inlineStr">
        <is>
          <t>NORRBOTTENS LÄN</t>
        </is>
      </c>
      <c r="G347" t="inlineStr">
        <is>
          <t>JOKKMOKK</t>
        </is>
      </c>
      <c r="H347" t="inlineStr">
        <is>
          <t>SCA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16757-2026</t>
        </is>
      </c>
      <c r="B348" t="inlineStr">
        <is>
          <t>avverkningsanmälan</t>
        </is>
      </c>
      <c r="C348" t="inlineStr">
        <is>
          <t>Föryngringsavverkning</t>
        </is>
      </c>
      <c r="D348" s="1" t="n">
        <v>46113</v>
      </c>
      <c r="E348" s="1" t="n">
        <v>46217</v>
      </c>
      <c r="F348" t="inlineStr">
        <is>
          <t>NORRBOTTENS LÄN</t>
        </is>
      </c>
      <c r="G348" t="inlineStr">
        <is>
          <t>JOKKMOKK</t>
        </is>
      </c>
      <c r="H348" t="inlineStr">
        <is>
          <t>SCA</t>
        </is>
      </c>
      <c r="I348" t="n">
        <v>4.1</v>
      </c>
      <c r="J348" t="n">
        <v>0</v>
      </c>
      <c r="K348" t="n">
        <v>0</v>
      </c>
      <c r="L348" t="n">
        <v>0</v>
      </c>
      <c r="M348" t="n">
        <v>0</v>
      </c>
      <c r="N348" t="n">
        <v>0</v>
      </c>
      <c r="O348" t="n">
        <v>0</v>
      </c>
      <c r="P348" t="n">
        <v>0</v>
      </c>
      <c r="Q348" t="n">
        <v>0</v>
      </c>
      <c r="R348" t="n">
        <v>0</v>
      </c>
      <c r="S348" t="n">
        <v>0</v>
      </c>
      <c r="T348" t="n">
        <v>0</v>
      </c>
      <c r="U348" s="2" t="inlineStr"/>
    </row>
    <row r="349" ht="15" customHeight="1">
      <c r="A349" t="inlineStr">
        <is>
          <t>A 16710-2026</t>
        </is>
      </c>
      <c r="B349" t="inlineStr">
        <is>
          <t>avverkningsanmälan</t>
        </is>
      </c>
      <c r="C349" t="inlineStr">
        <is>
          <t>Föryngringsavverkning</t>
        </is>
      </c>
      <c r="D349" s="1" t="n">
        <v>46113</v>
      </c>
      <c r="E349" s="1" t="n">
        <v>46217</v>
      </c>
      <c r="F349" t="inlineStr">
        <is>
          <t>NORRBOTTENS LÄN</t>
        </is>
      </c>
      <c r="G349" t="inlineStr">
        <is>
          <t>JOKKMOKK</t>
        </is>
      </c>
      <c r="H349" t="inlineStr">
        <is>
          <t>SCA</t>
        </is>
      </c>
      <c r="I349" t="n">
        <v>18.9</v>
      </c>
      <c r="J349" t="n">
        <v>0</v>
      </c>
      <c r="K349" t="n">
        <v>0</v>
      </c>
      <c r="L349" t="n">
        <v>0</v>
      </c>
      <c r="M349" t="n">
        <v>0</v>
      </c>
      <c r="N349" t="n">
        <v>0</v>
      </c>
      <c r="O349" t="n">
        <v>0</v>
      </c>
      <c r="P349" t="n">
        <v>0</v>
      </c>
      <c r="Q349" t="n">
        <v>0</v>
      </c>
      <c r="R349" t="n">
        <v>0</v>
      </c>
      <c r="S349" t="n">
        <v>0</v>
      </c>
      <c r="T349" t="n">
        <v>0</v>
      </c>
      <c r="U349" s="2" t="inlineStr"/>
    </row>
    <row r="350" ht="15" customHeight="1">
      <c r="A350" t="inlineStr">
        <is>
          <t>A 16716-2026</t>
        </is>
      </c>
      <c r="B350" t="inlineStr">
        <is>
          <t>avverkningsanmälan</t>
        </is>
      </c>
      <c r="C350" t="inlineStr">
        <is>
          <t>Föryngringsavverkning</t>
        </is>
      </c>
      <c r="D350" s="1" t="n">
        <v>46113</v>
      </c>
      <c r="E350" s="1" t="n">
        <v>46217</v>
      </c>
      <c r="F350" t="inlineStr">
        <is>
          <t>NORRBOTTENS LÄN</t>
        </is>
      </c>
      <c r="G350" t="inlineStr">
        <is>
          <t>JOKKMOKK</t>
        </is>
      </c>
      <c r="H350" t="inlineStr">
        <is>
          <t>SCA</t>
        </is>
      </c>
      <c r="I350" t="n">
        <v>7.5</v>
      </c>
      <c r="J350" t="n">
        <v>0</v>
      </c>
      <c r="K350" t="n">
        <v>0</v>
      </c>
      <c r="L350" t="n">
        <v>0</v>
      </c>
      <c r="M350" t="n">
        <v>0</v>
      </c>
      <c r="N350" t="n">
        <v>0</v>
      </c>
      <c r="O350" t="n">
        <v>0</v>
      </c>
      <c r="P350" t="n">
        <v>0</v>
      </c>
      <c r="Q350" t="n">
        <v>0</v>
      </c>
      <c r="R350" t="n">
        <v>0</v>
      </c>
      <c r="S350" t="n">
        <v>0</v>
      </c>
      <c r="T350" t="n">
        <v>0</v>
      </c>
      <c r="U350" s="2" t="inlineStr"/>
    </row>
    <row r="351" ht="15" customHeight="1">
      <c r="A351" t="inlineStr">
        <is>
          <t>A 16708-2026</t>
        </is>
      </c>
      <c r="B351" t="inlineStr">
        <is>
          <t>avverkningsanmälan</t>
        </is>
      </c>
      <c r="C351" t="inlineStr">
        <is>
          <t>Föryngringsavverkning</t>
        </is>
      </c>
      <c r="D351" s="1" t="n">
        <v>46113</v>
      </c>
      <c r="E351" s="1" t="n">
        <v>46217</v>
      </c>
      <c r="F351" t="inlineStr">
        <is>
          <t>NORRBOTTENS LÄN</t>
        </is>
      </c>
      <c r="G351" t="inlineStr">
        <is>
          <t>JOKKMOKK</t>
        </is>
      </c>
      <c r="H351" t="inlineStr">
        <is>
          <t>SCA</t>
        </is>
      </c>
      <c r="I351" t="n">
        <v>4.6</v>
      </c>
      <c r="J351" t="n">
        <v>0</v>
      </c>
      <c r="K351" t="n">
        <v>0</v>
      </c>
      <c r="L351" t="n">
        <v>0</v>
      </c>
      <c r="M351" t="n">
        <v>0</v>
      </c>
      <c r="N351" t="n">
        <v>0</v>
      </c>
      <c r="O351" t="n">
        <v>0</v>
      </c>
      <c r="P351" t="n">
        <v>0</v>
      </c>
      <c r="Q351" t="n">
        <v>0</v>
      </c>
      <c r="R351" t="n">
        <v>0</v>
      </c>
      <c r="S351" t="n">
        <v>0</v>
      </c>
      <c r="T351" t="n">
        <v>0</v>
      </c>
      <c r="U351" s="2" t="inlineStr"/>
    </row>
    <row r="352" ht="15" customHeight="1">
      <c r="A352" t="inlineStr">
        <is>
          <t>A 16709-2026</t>
        </is>
      </c>
      <c r="B352" t="inlineStr">
        <is>
          <t>avverkningsanmälan</t>
        </is>
      </c>
      <c r="C352" t="inlineStr">
        <is>
          <t>Föryngringsavverkning</t>
        </is>
      </c>
      <c r="D352" s="1" t="n">
        <v>46113</v>
      </c>
      <c r="E352" s="1" t="n">
        <v>46217</v>
      </c>
      <c r="F352" t="inlineStr">
        <is>
          <t>NORRBOTTENS LÄN</t>
        </is>
      </c>
      <c r="G352" t="inlineStr">
        <is>
          <t>JOKKMOKK</t>
        </is>
      </c>
      <c r="H352" t="inlineStr">
        <is>
          <t>SCA</t>
        </is>
      </c>
      <c r="I352" t="n">
        <v>7.6</v>
      </c>
      <c r="J352" t="n">
        <v>0</v>
      </c>
      <c r="K352" t="n">
        <v>0</v>
      </c>
      <c r="L352" t="n">
        <v>0</v>
      </c>
      <c r="M352" t="n">
        <v>0</v>
      </c>
      <c r="N352" t="n">
        <v>0</v>
      </c>
      <c r="O352" t="n">
        <v>0</v>
      </c>
      <c r="P352" t="n">
        <v>0</v>
      </c>
      <c r="Q352" t="n">
        <v>0</v>
      </c>
      <c r="R352" t="n">
        <v>0</v>
      </c>
      <c r="S352" t="n">
        <v>0</v>
      </c>
      <c r="T352" t="n">
        <v>0</v>
      </c>
      <c r="U352" s="2" t="inlineStr"/>
    </row>
    <row r="353" ht="15" customHeight="1">
      <c r="A353" t="inlineStr">
        <is>
          <t>A 16714-2026</t>
        </is>
      </c>
      <c r="B353" t="inlineStr">
        <is>
          <t>avverkningsanmälan</t>
        </is>
      </c>
      <c r="C353" t="inlineStr">
        <is>
          <t>Föryngringsavverkning</t>
        </is>
      </c>
      <c r="D353" s="1" t="n">
        <v>46113</v>
      </c>
      <c r="E353" s="1" t="n">
        <v>46217</v>
      </c>
      <c r="F353" t="inlineStr">
        <is>
          <t>NORRBOTTENS LÄN</t>
        </is>
      </c>
      <c r="G353" t="inlineStr">
        <is>
          <t>JOKKMOKK</t>
        </is>
      </c>
      <c r="H353" t="inlineStr">
        <is>
          <t>SCA</t>
        </is>
      </c>
      <c r="I353" t="n">
        <v>6.4</v>
      </c>
      <c r="J353" t="n">
        <v>0</v>
      </c>
      <c r="K353" t="n">
        <v>0</v>
      </c>
      <c r="L353" t="n">
        <v>0</v>
      </c>
      <c r="M353" t="n">
        <v>0</v>
      </c>
      <c r="N353" t="n">
        <v>0</v>
      </c>
      <c r="O353" t="n">
        <v>0</v>
      </c>
      <c r="P353" t="n">
        <v>0</v>
      </c>
      <c r="Q353" t="n">
        <v>0</v>
      </c>
      <c r="R353" t="n">
        <v>0</v>
      </c>
      <c r="S353" t="n">
        <v>0</v>
      </c>
      <c r="T353" t="n">
        <v>0</v>
      </c>
      <c r="U353" s="2" t="inlineStr"/>
    </row>
    <row r="354" ht="15" customHeight="1">
      <c r="A354" t="inlineStr">
        <is>
          <t>A 17001-2026</t>
        </is>
      </c>
      <c r="B354" t="inlineStr">
        <is>
          <t>avverkningsanmälan</t>
        </is>
      </c>
      <c r="C354" t="inlineStr">
        <is>
          <t>Föryngringsavverkning</t>
        </is>
      </c>
      <c r="D354" s="1" t="n">
        <v>46114</v>
      </c>
      <c r="E354" s="1" t="n">
        <v>46217</v>
      </c>
      <c r="F354" t="inlineStr">
        <is>
          <t>NORRBOTTENS LÄN</t>
        </is>
      </c>
      <c r="G354" t="inlineStr">
        <is>
          <t>JOKKMOKK</t>
        </is>
      </c>
      <c r="H354" t="inlineStr">
        <is>
          <t>SCA</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60028-2025</t>
        </is>
      </c>
      <c r="B355" t="inlineStr">
        <is>
          <t>avverkningsanmälan</t>
        </is>
      </c>
      <c r="C355" t="inlineStr">
        <is>
          <t>Föryngringsavverkning</t>
        </is>
      </c>
      <c r="D355" s="1" t="n">
        <v>45993</v>
      </c>
      <c r="E355" s="1" t="n">
        <v>46217</v>
      </c>
      <c r="F355" t="inlineStr">
        <is>
          <t>NORRBOTTENS LÄN</t>
        </is>
      </c>
      <c r="G355" t="inlineStr">
        <is>
          <t>JOKKMOKK</t>
        </is>
      </c>
      <c r="H355" t="inlineStr">
        <is>
          <t>Övriga statliga verk och myndigheter</t>
        </is>
      </c>
      <c r="I355" t="n">
        <v>15.8</v>
      </c>
      <c r="J355" t="n">
        <v>0</v>
      </c>
      <c r="K355" t="n">
        <v>0</v>
      </c>
      <c r="L355" t="n">
        <v>0</v>
      </c>
      <c r="M355" t="n">
        <v>0</v>
      </c>
      <c r="N355" t="n">
        <v>0</v>
      </c>
      <c r="O355" t="n">
        <v>0</v>
      </c>
      <c r="P355" t="n">
        <v>0</v>
      </c>
      <c r="Q355" t="n">
        <v>0</v>
      </c>
      <c r="R355" t="n">
        <v>0</v>
      </c>
      <c r="S355" t="n">
        <v>0</v>
      </c>
      <c r="T355" t="n">
        <v>0</v>
      </c>
      <c r="U355" s="2" t="inlineStr"/>
    </row>
    <row r="356" ht="15" customHeight="1">
      <c r="A356" t="inlineStr">
        <is>
          <t>A 30756-2026</t>
        </is>
      </c>
      <c r="B356" t="inlineStr">
        <is>
          <t>avverkningsanmälan</t>
        </is>
      </c>
      <c r="C356" t="inlineStr">
        <is>
          <t>Föryngringsavverkning</t>
        </is>
      </c>
      <c r="D356" s="1" t="n">
        <v>46212</v>
      </c>
      <c r="E356" s="1" t="n">
        <v>46217</v>
      </c>
      <c r="F356" t="inlineStr">
        <is>
          <t>NORRBOTTENS LÄN</t>
        </is>
      </c>
      <c r="G356" t="inlineStr">
        <is>
          <t>JOKKMOKK</t>
        </is>
      </c>
      <c r="H356" t="inlineStr">
        <is>
          <t>SCA</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44151-2024</t>
        </is>
      </c>
      <c r="B357" t="inlineStr">
        <is>
          <t>avverkningsanmälan</t>
        </is>
      </c>
      <c r="C357" t="inlineStr">
        <is>
          <t>Föryngringsavverkning</t>
        </is>
      </c>
      <c r="D357" s="1" t="n">
        <v>45572</v>
      </c>
      <c r="E357" s="1" t="n">
        <v>46217</v>
      </c>
      <c r="F357" t="inlineStr">
        <is>
          <t>NORRBOTTENS LÄN</t>
        </is>
      </c>
      <c r="G357" t="inlineStr">
        <is>
          <t>JOKKMOKK</t>
        </is>
      </c>
      <c r="H357" t="inlineStr">
        <is>
          <t>Sveaskog</t>
        </is>
      </c>
      <c r="I357" t="n">
        <v>9.4</v>
      </c>
      <c r="J357" t="n">
        <v>0</v>
      </c>
      <c r="K357" t="n">
        <v>0</v>
      </c>
      <c r="L357" t="n">
        <v>0</v>
      </c>
      <c r="M357" t="n">
        <v>0</v>
      </c>
      <c r="N357" t="n">
        <v>0</v>
      </c>
      <c r="O357" t="n">
        <v>0</v>
      </c>
      <c r="P357" t="n">
        <v>0</v>
      </c>
      <c r="Q357" t="n">
        <v>0</v>
      </c>
      <c r="R357" t="n">
        <v>0</v>
      </c>
      <c r="S357" t="n">
        <v>0</v>
      </c>
      <c r="T357" t="n">
        <v>0</v>
      </c>
      <c r="U357" s="2" t="inlineStr"/>
    </row>
    <row r="358" ht="15" customHeight="1">
      <c r="A358" t="inlineStr">
        <is>
          <t>A 30757-2026</t>
        </is>
      </c>
      <c r="B358" t="inlineStr">
        <is>
          <t>avverkningsanmälan</t>
        </is>
      </c>
      <c r="C358" t="inlineStr">
        <is>
          <t>Föryngringsavverkning</t>
        </is>
      </c>
      <c r="D358" s="1" t="n">
        <v>46212</v>
      </c>
      <c r="E358" s="1" t="n">
        <v>46217</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30657-2026</t>
        </is>
      </c>
      <c r="B359" t="inlineStr">
        <is>
          <t>avverkningsanmälan</t>
        </is>
      </c>
      <c r="C359" t="inlineStr">
        <is>
          <t>Föryngringsavverkning</t>
        </is>
      </c>
      <c r="D359" s="1" t="n">
        <v>46211</v>
      </c>
      <c r="E359" s="1" t="n">
        <v>46217</v>
      </c>
      <c r="F359" t="inlineStr">
        <is>
          <t>NORRBOTTENS LÄN</t>
        </is>
      </c>
      <c r="G359" t="inlineStr">
        <is>
          <t>JOKKMOKK</t>
        </is>
      </c>
      <c r="H359" t="inlineStr">
        <is>
          <t>SCA</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24441-2026</t>
        </is>
      </c>
      <c r="B360" t="inlineStr">
        <is>
          <t>avverkningsanmälan</t>
        </is>
      </c>
      <c r="C360" t="inlineStr">
        <is>
          <t>Föryngringsavverkning</t>
        </is>
      </c>
      <c r="D360" s="1" t="n">
        <v>46170</v>
      </c>
      <c r="E360" s="1" t="n">
        <v>46217</v>
      </c>
      <c r="F360" t="inlineStr">
        <is>
          <t>NORRBOTTENS LÄN</t>
        </is>
      </c>
      <c r="G360" t="inlineStr">
        <is>
          <t>JOKKMOKK</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2040-2025</t>
        </is>
      </c>
      <c r="B361" t="inlineStr">
        <is>
          <t>avverkningsanmälan</t>
        </is>
      </c>
      <c r="C361" t="inlineStr">
        <is>
          <t>Föryngringsavverkning</t>
        </is>
      </c>
      <c r="D361" s="1" t="n">
        <v>45671</v>
      </c>
      <c r="E361" s="1" t="n">
        <v>46217</v>
      </c>
      <c r="F361" t="inlineStr">
        <is>
          <t>NORRBOTTENS LÄN</t>
        </is>
      </c>
      <c r="G361" t="inlineStr">
        <is>
          <t>JOKKMOKK</t>
        </is>
      </c>
      <c r="I361" t="n">
        <v>5.1</v>
      </c>
      <c r="J361" t="n">
        <v>0</v>
      </c>
      <c r="K361" t="n">
        <v>0</v>
      </c>
      <c r="L361" t="n">
        <v>0</v>
      </c>
      <c r="M361" t="n">
        <v>0</v>
      </c>
      <c r="N361" t="n">
        <v>0</v>
      </c>
      <c r="O361" t="n">
        <v>0</v>
      </c>
      <c r="P361" t="n">
        <v>0</v>
      </c>
      <c r="Q361" t="n">
        <v>0</v>
      </c>
      <c r="R361" t="n">
        <v>0</v>
      </c>
      <c r="S361" t="n">
        <v>0</v>
      </c>
      <c r="T361" t="n">
        <v>0</v>
      </c>
      <c r="U361" s="2" t="inlineStr"/>
    </row>
    <row r="362" ht="15" customHeight="1">
      <c r="A362" t="inlineStr">
        <is>
          <t>A 18772-2023</t>
        </is>
      </c>
      <c r="B362" t="inlineStr">
        <is>
          <t>avverkningsanmälan</t>
        </is>
      </c>
      <c r="C362" t="inlineStr">
        <is>
          <t>Föryngringsavverkning</t>
        </is>
      </c>
      <c r="D362" s="1" t="n">
        <v>45043</v>
      </c>
      <c r="E362" s="1" t="n">
        <v>46217</v>
      </c>
      <c r="F362" t="inlineStr">
        <is>
          <t>NORRBOTTENS LÄN</t>
        </is>
      </c>
      <c r="G362" t="inlineStr">
        <is>
          <t>JOKKMOKK</t>
        </is>
      </c>
      <c r="H362" t="inlineStr">
        <is>
          <t>SCA</t>
        </is>
      </c>
      <c r="I362" t="n">
        <v>11.9</v>
      </c>
      <c r="J362" t="n">
        <v>0</v>
      </c>
      <c r="K362" t="n">
        <v>0</v>
      </c>
      <c r="L362" t="n">
        <v>0</v>
      </c>
      <c r="M362" t="n">
        <v>0</v>
      </c>
      <c r="N362" t="n">
        <v>0</v>
      </c>
      <c r="O362" t="n">
        <v>0</v>
      </c>
      <c r="P362" t="n">
        <v>0</v>
      </c>
      <c r="Q362" t="n">
        <v>0</v>
      </c>
      <c r="R362" t="n">
        <v>0</v>
      </c>
      <c r="S362" t="n">
        <v>0</v>
      </c>
      <c r="T362" t="n">
        <v>0</v>
      </c>
      <c r="U362" s="2" t="inlineStr"/>
    </row>
    <row r="363" ht="15" customHeight="1">
      <c r="A363" t="inlineStr">
        <is>
          <t>A 9854-2023</t>
        </is>
      </c>
      <c r="B363" t="inlineStr">
        <is>
          <t>avverkningsanmälan</t>
        </is>
      </c>
      <c r="C363" t="inlineStr">
        <is>
          <t>Föryngringsavverkning</t>
        </is>
      </c>
      <c r="D363" s="1" t="n">
        <v>44984</v>
      </c>
      <c r="E363" s="1" t="n">
        <v>46217</v>
      </c>
      <c r="F363" t="inlineStr">
        <is>
          <t>NORRBOTTENS LÄN</t>
        </is>
      </c>
      <c r="G363" t="inlineStr">
        <is>
          <t>JOKKMOKK</t>
        </is>
      </c>
      <c r="H363" t="inlineStr">
        <is>
          <t>SCA</t>
        </is>
      </c>
      <c r="I363" t="n">
        <v>4.2</v>
      </c>
      <c r="J363" t="n">
        <v>0</v>
      </c>
      <c r="K363" t="n">
        <v>0</v>
      </c>
      <c r="L363" t="n">
        <v>0</v>
      </c>
      <c r="M363" t="n">
        <v>0</v>
      </c>
      <c r="N363" t="n">
        <v>0</v>
      </c>
      <c r="O363" t="n">
        <v>0</v>
      </c>
      <c r="P363" t="n">
        <v>0</v>
      </c>
      <c r="Q363" t="n">
        <v>0</v>
      </c>
      <c r="R363" t="n">
        <v>0</v>
      </c>
      <c r="S363" t="n">
        <v>0</v>
      </c>
      <c r="T363" t="n">
        <v>0</v>
      </c>
      <c r="U363" s="2" t="inlineStr"/>
    </row>
    <row r="364" ht="15" customHeight="1">
      <c r="A364" t="inlineStr">
        <is>
          <t>A 63190-2025</t>
        </is>
      </c>
      <c r="B364" t="inlineStr">
        <is>
          <t>avverkningsanmälan</t>
        </is>
      </c>
      <c r="C364" t="inlineStr">
        <is>
          <t>Föryngringsavverkning</t>
        </is>
      </c>
      <c r="D364" s="1" t="n">
        <v>46010</v>
      </c>
      <c r="E364" s="1" t="n">
        <v>46217</v>
      </c>
      <c r="F364" t="inlineStr">
        <is>
          <t>NORRBOTTENS LÄN</t>
        </is>
      </c>
      <c r="G364" t="inlineStr">
        <is>
          <t>JOKKMOKK</t>
        </is>
      </c>
      <c r="I364" t="n">
        <v>11.4</v>
      </c>
      <c r="J364" t="n">
        <v>0</v>
      </c>
      <c r="K364" t="n">
        <v>0</v>
      </c>
      <c r="L364" t="n">
        <v>0</v>
      </c>
      <c r="M364" t="n">
        <v>0</v>
      </c>
      <c r="N364" t="n">
        <v>0</v>
      </c>
      <c r="O364" t="n">
        <v>0</v>
      </c>
      <c r="P364" t="n">
        <v>0</v>
      </c>
      <c r="Q364" t="n">
        <v>0</v>
      </c>
      <c r="R364" t="n">
        <v>0</v>
      </c>
      <c r="S364" t="n">
        <v>0</v>
      </c>
      <c r="T364" t="n">
        <v>0</v>
      </c>
      <c r="U364" s="2" t="inlineStr"/>
    </row>
    <row r="365" ht="15" customHeight="1">
      <c r="A365" t="inlineStr">
        <is>
          <t>A 31099-2026</t>
        </is>
      </c>
      <c r="B365" t="inlineStr">
        <is>
          <t>avverkningsanmälan</t>
        </is>
      </c>
      <c r="C365" t="inlineStr">
        <is>
          <t>Föryngringsavverkning</t>
        </is>
      </c>
      <c r="D365" s="1" t="n">
        <v>46216</v>
      </c>
      <c r="E365" s="1" t="n">
        <v>46217</v>
      </c>
      <c r="F365" t="inlineStr">
        <is>
          <t>NORRBOTTENS LÄN</t>
        </is>
      </c>
      <c r="G365" t="inlineStr">
        <is>
          <t>JOKKMOKK</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31100-2026</t>
        </is>
      </c>
      <c r="B366" t="inlineStr">
        <is>
          <t>avverkningsanmälan</t>
        </is>
      </c>
      <c r="C366" t="inlineStr">
        <is>
          <t>Föryngringsavverkning</t>
        </is>
      </c>
      <c r="D366" s="1" t="n">
        <v>46216</v>
      </c>
      <c r="E366" s="1" t="n">
        <v>46217</v>
      </c>
      <c r="F366" t="inlineStr">
        <is>
          <t>NORRBOTTENS LÄN</t>
        </is>
      </c>
      <c r="G366" t="inlineStr">
        <is>
          <t>JOKKMOKK</t>
        </is>
      </c>
      <c r="I366" t="n">
        <v>7.6</v>
      </c>
      <c r="J366" t="n">
        <v>0</v>
      </c>
      <c r="K366" t="n">
        <v>0</v>
      </c>
      <c r="L366" t="n">
        <v>0</v>
      </c>
      <c r="M366" t="n">
        <v>0</v>
      </c>
      <c r="N366" t="n">
        <v>0</v>
      </c>
      <c r="O366" t="n">
        <v>0</v>
      </c>
      <c r="P366" t="n">
        <v>0</v>
      </c>
      <c r="Q366" t="n">
        <v>0</v>
      </c>
      <c r="R366" t="n">
        <v>0</v>
      </c>
      <c r="S366" t="n">
        <v>0</v>
      </c>
      <c r="T366" t="n">
        <v>0</v>
      </c>
      <c r="U366" s="2" t="inlineStr"/>
    </row>
    <row r="367" ht="15" customHeight="1">
      <c r="A367" t="inlineStr">
        <is>
          <t>A 30954-2026</t>
        </is>
      </c>
      <c r="B367" t="inlineStr">
        <is>
          <t>avverkningsanmälan</t>
        </is>
      </c>
      <c r="C367" t="inlineStr">
        <is>
          <t>Föryngringsavverkning</t>
        </is>
      </c>
      <c r="D367" s="1" t="n">
        <v>46213</v>
      </c>
      <c r="E367" s="1" t="n">
        <v>46217</v>
      </c>
      <c r="F367" t="inlineStr">
        <is>
          <t>NORRBOTTENS LÄN</t>
        </is>
      </c>
      <c r="G367" t="inlineStr">
        <is>
          <t>JOKKMOKK</t>
        </is>
      </c>
      <c r="H367" t="inlineStr">
        <is>
          <t>SCA</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56168-2022</t>
        </is>
      </c>
      <c r="B368" t="inlineStr">
        <is>
          <t>avverkningsanmälan</t>
        </is>
      </c>
      <c r="C368" t="inlineStr">
        <is>
          <t>Avverkning för annat ändamål</t>
        </is>
      </c>
      <c r="D368" s="1" t="n">
        <v>44889</v>
      </c>
      <c r="E368" s="1" t="n">
        <v>46217</v>
      </c>
      <c r="F368" t="inlineStr">
        <is>
          <t>NORRBOTTENS LÄN</t>
        </is>
      </c>
      <c r="G368" t="inlineStr">
        <is>
          <t>JOKKMOKK</t>
        </is>
      </c>
      <c r="H368" t="inlineStr">
        <is>
          <t>SCA</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24584-2026</t>
        </is>
      </c>
      <c r="B369" t="inlineStr">
        <is>
          <t>avverkningsanmälan</t>
        </is>
      </c>
      <c r="C369" t="inlineStr">
        <is>
          <t>Föryngringsavverkning</t>
        </is>
      </c>
      <c r="D369" s="1" t="n">
        <v>46170</v>
      </c>
      <c r="E369" s="1" t="n">
        <v>46217</v>
      </c>
      <c r="F369" t="inlineStr">
        <is>
          <t>NORRBOTTENS LÄN</t>
        </is>
      </c>
      <c r="G369" t="inlineStr">
        <is>
          <t>JOKKMOKK</t>
        </is>
      </c>
      <c r="H369" t="inlineStr">
        <is>
          <t>SCA</t>
        </is>
      </c>
      <c r="I369" t="n">
        <v>5.7</v>
      </c>
      <c r="J369" t="n">
        <v>0</v>
      </c>
      <c r="K369" t="n">
        <v>0</v>
      </c>
      <c r="L369" t="n">
        <v>0</v>
      </c>
      <c r="M369" t="n">
        <v>0</v>
      </c>
      <c r="N369" t="n">
        <v>0</v>
      </c>
      <c r="O369" t="n">
        <v>0</v>
      </c>
      <c r="P369" t="n">
        <v>0</v>
      </c>
      <c r="Q369" t="n">
        <v>0</v>
      </c>
      <c r="R369" t="n">
        <v>0</v>
      </c>
      <c r="S369" t="n">
        <v>0</v>
      </c>
      <c r="T369" t="n">
        <v>0</v>
      </c>
      <c r="U369" s="2" t="inlineStr"/>
    </row>
    <row r="370" ht="15" customHeight="1">
      <c r="A370" t="inlineStr">
        <is>
          <t>A 24594-2026</t>
        </is>
      </c>
      <c r="B370" t="inlineStr">
        <is>
          <t>avverkningsanmälan</t>
        </is>
      </c>
      <c r="C370" t="inlineStr">
        <is>
          <t>Föryngringsavverkning</t>
        </is>
      </c>
      <c r="D370" s="1" t="n">
        <v>46170</v>
      </c>
      <c r="E370" s="1" t="n">
        <v>46217</v>
      </c>
      <c r="F370" t="inlineStr">
        <is>
          <t>NORRBOTTENS LÄN</t>
        </is>
      </c>
      <c r="G370" t="inlineStr">
        <is>
          <t>JOKKMOKK</t>
        </is>
      </c>
      <c r="I370" t="n">
        <v>6.1</v>
      </c>
      <c r="J370" t="n">
        <v>0</v>
      </c>
      <c r="K370" t="n">
        <v>0</v>
      </c>
      <c r="L370" t="n">
        <v>0</v>
      </c>
      <c r="M370" t="n">
        <v>0</v>
      </c>
      <c r="N370" t="n">
        <v>0</v>
      </c>
      <c r="O370" t="n">
        <v>0</v>
      </c>
      <c r="P370" t="n">
        <v>0</v>
      </c>
      <c r="Q370" t="n">
        <v>0</v>
      </c>
      <c r="R370" t="n">
        <v>0</v>
      </c>
      <c r="S370" t="n">
        <v>0</v>
      </c>
      <c r="T370" t="n">
        <v>0</v>
      </c>
      <c r="U370" s="2" t="inlineStr"/>
    </row>
    <row r="371" ht="15" customHeight="1">
      <c r="A371" t="inlineStr">
        <is>
          <t>A 9865-2023</t>
        </is>
      </c>
      <c r="B371" t="inlineStr">
        <is>
          <t>avverkningsanmälan</t>
        </is>
      </c>
      <c r="C371" t="inlineStr">
        <is>
          <t>Föryngringsavverkning</t>
        </is>
      </c>
      <c r="D371" s="1" t="n">
        <v>44984</v>
      </c>
      <c r="E371" s="1" t="n">
        <v>46217</v>
      </c>
      <c r="F371" t="inlineStr">
        <is>
          <t>NORRBOTTENS LÄN</t>
        </is>
      </c>
      <c r="G371" t="inlineStr">
        <is>
          <t>JOKKMOKK</t>
        </is>
      </c>
      <c r="H371" t="inlineStr">
        <is>
          <t>SCA</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3821-2026</t>
        </is>
      </c>
      <c r="B372" t="inlineStr">
        <is>
          <t>avverkningsanmälan</t>
        </is>
      </c>
      <c r="C372" t="inlineStr">
        <is>
          <t>Föryngringsavverkning</t>
        </is>
      </c>
      <c r="D372" s="1" t="n">
        <v>46043</v>
      </c>
      <c r="E372" s="1" t="n">
        <v>46217</v>
      </c>
      <c r="F372" t="inlineStr">
        <is>
          <t>NORRBOTTENS LÄN</t>
        </is>
      </c>
      <c r="G372" t="inlineStr">
        <is>
          <t>JOKKMOKK</t>
        </is>
      </c>
      <c r="I372" t="n">
        <v>15.7</v>
      </c>
      <c r="J372" t="n">
        <v>0</v>
      </c>
      <c r="K372" t="n">
        <v>0</v>
      </c>
      <c r="L372" t="n">
        <v>0</v>
      </c>
      <c r="M372" t="n">
        <v>0</v>
      </c>
      <c r="N372" t="n">
        <v>0</v>
      </c>
      <c r="O372" t="n">
        <v>0</v>
      </c>
      <c r="P372" t="n">
        <v>0</v>
      </c>
      <c r="Q372" t="n">
        <v>0</v>
      </c>
      <c r="R372" t="n">
        <v>0</v>
      </c>
      <c r="S372" t="n">
        <v>0</v>
      </c>
      <c r="T372" t="n">
        <v>0</v>
      </c>
      <c r="U372" s="2" t="inlineStr"/>
    </row>
    <row r="373" ht="15" customHeight="1">
      <c r="A373" t="inlineStr">
        <is>
          <t>A 63182-2025</t>
        </is>
      </c>
      <c r="B373" t="inlineStr">
        <is>
          <t>avverkningsanmälan</t>
        </is>
      </c>
      <c r="C373" t="inlineStr">
        <is>
          <t>Föryngringsavverkning</t>
        </is>
      </c>
      <c r="D373" s="1" t="n">
        <v>46010</v>
      </c>
      <c r="E373" s="1" t="n">
        <v>46217</v>
      </c>
      <c r="F373" t="inlineStr">
        <is>
          <t>NORRBOTTENS LÄN</t>
        </is>
      </c>
      <c r="G373" t="inlineStr">
        <is>
          <t>JOKKMOKK</t>
        </is>
      </c>
      <c r="I373" t="n">
        <v>6.9</v>
      </c>
      <c r="J373" t="n">
        <v>0</v>
      </c>
      <c r="K373" t="n">
        <v>0</v>
      </c>
      <c r="L373" t="n">
        <v>0</v>
      </c>
      <c r="M373" t="n">
        <v>0</v>
      </c>
      <c r="N373" t="n">
        <v>0</v>
      </c>
      <c r="O373" t="n">
        <v>0</v>
      </c>
      <c r="P373" t="n">
        <v>0</v>
      </c>
      <c r="Q373" t="n">
        <v>0</v>
      </c>
      <c r="R373" t="n">
        <v>0</v>
      </c>
      <c r="S373" t="n">
        <v>0</v>
      </c>
      <c r="T373" t="n">
        <v>0</v>
      </c>
      <c r="U373" s="2" t="inlineStr"/>
    </row>
    <row r="374" ht="15" customHeight="1">
      <c r="A374" t="inlineStr">
        <is>
          <t>A 31064-2026</t>
        </is>
      </c>
      <c r="B374" t="inlineStr">
        <is>
          <t>avverkningsanmälan</t>
        </is>
      </c>
      <c r="C374" t="inlineStr">
        <is>
          <t>Föryngringsavverkning</t>
        </is>
      </c>
      <c r="D374" s="1" t="n">
        <v>46215</v>
      </c>
      <c r="E374" s="1" t="n">
        <v>46217</v>
      </c>
      <c r="F374" t="inlineStr">
        <is>
          <t>NORRBOTTENS LÄN</t>
        </is>
      </c>
      <c r="G374" t="inlineStr">
        <is>
          <t>JOKKMOKK</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45469-2022</t>
        </is>
      </c>
      <c r="B375" t="inlineStr">
        <is>
          <t>avverkningsanmälan</t>
        </is>
      </c>
      <c r="C375" t="inlineStr">
        <is>
          <t>Föryngringsavverkning</t>
        </is>
      </c>
      <c r="D375" s="1" t="n">
        <v>44841</v>
      </c>
      <c r="E375" s="1" t="n">
        <v>46217</v>
      </c>
      <c r="F375" t="inlineStr">
        <is>
          <t>NORRBOTTENS LÄN</t>
        </is>
      </c>
      <c r="G375" t="inlineStr">
        <is>
          <t>JOKKMOKK</t>
        </is>
      </c>
      <c r="H375" t="inlineStr">
        <is>
          <t>Övriga Aktiebolag</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31063-2026</t>
        </is>
      </c>
      <c r="B376" t="inlineStr">
        <is>
          <t>avverkningsanmälan</t>
        </is>
      </c>
      <c r="C376" t="inlineStr">
        <is>
          <t>Föryngringsavverkning</t>
        </is>
      </c>
      <c r="D376" s="1" t="n">
        <v>46215</v>
      </c>
      <c r="E376" s="1" t="n">
        <v>46217</v>
      </c>
      <c r="F376" t="inlineStr">
        <is>
          <t>NORRBOTTENS LÄN</t>
        </is>
      </c>
      <c r="G376" t="inlineStr">
        <is>
          <t>JOKKMOKK</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30953-2026</t>
        </is>
      </c>
      <c r="B377" t="inlineStr">
        <is>
          <t>avverkningsanmälan</t>
        </is>
      </c>
      <c r="C377" t="inlineStr">
        <is>
          <t>Föryngringsavverkning</t>
        </is>
      </c>
      <c r="D377" s="1" t="n">
        <v>46213</v>
      </c>
      <c r="E377" s="1" t="n">
        <v>46217</v>
      </c>
      <c r="F377" t="inlineStr">
        <is>
          <t>NORRBOTTENS LÄN</t>
        </is>
      </c>
      <c r="G377" t="inlineStr">
        <is>
          <t>JOKKMOKK</t>
        </is>
      </c>
      <c r="I377" t="n">
        <v>10.7</v>
      </c>
      <c r="J377" t="n">
        <v>0</v>
      </c>
      <c r="K377" t="n">
        <v>0</v>
      </c>
      <c r="L377" t="n">
        <v>0</v>
      </c>
      <c r="M377" t="n">
        <v>0</v>
      </c>
      <c r="N377" t="n">
        <v>0</v>
      </c>
      <c r="O377" t="n">
        <v>0</v>
      </c>
      <c r="P377" t="n">
        <v>0</v>
      </c>
      <c r="Q377" t="n">
        <v>0</v>
      </c>
      <c r="R377" t="n">
        <v>0</v>
      </c>
      <c r="S377" t="n">
        <v>0</v>
      </c>
      <c r="T377" t="n">
        <v>0</v>
      </c>
      <c r="U377" s="2" t="inlineStr"/>
    </row>
    <row r="378" ht="15" customHeight="1">
      <c r="A378" t="inlineStr">
        <is>
          <t>A 32957-2024</t>
        </is>
      </c>
      <c r="B378" t="inlineStr">
        <is>
          <t>avverkningsanmälan</t>
        </is>
      </c>
      <c r="C378" t="inlineStr">
        <is>
          <t>Föryngringsavverkning</t>
        </is>
      </c>
      <c r="D378" s="1" t="n">
        <v>45517</v>
      </c>
      <c r="E378" s="1" t="n">
        <v>46217</v>
      </c>
      <c r="F378" t="inlineStr">
        <is>
          <t>NORRBOTTENS LÄN</t>
        </is>
      </c>
      <c r="G378" t="inlineStr">
        <is>
          <t>JOKKMOKK</t>
        </is>
      </c>
      <c r="H378" t="inlineStr">
        <is>
          <t>Sveaskog</t>
        </is>
      </c>
      <c r="I378" t="n">
        <v>5.4</v>
      </c>
      <c r="J378" t="n">
        <v>0</v>
      </c>
      <c r="K378" t="n">
        <v>0</v>
      </c>
      <c r="L378" t="n">
        <v>0</v>
      </c>
      <c r="M378" t="n">
        <v>0</v>
      </c>
      <c r="N378" t="n">
        <v>0</v>
      </c>
      <c r="O378" t="n">
        <v>0</v>
      </c>
      <c r="P378" t="n">
        <v>0</v>
      </c>
      <c r="Q378" t="n">
        <v>0</v>
      </c>
      <c r="R378" t="n">
        <v>0</v>
      </c>
      <c r="S378" t="n">
        <v>0</v>
      </c>
      <c r="T378" t="n">
        <v>0</v>
      </c>
      <c r="U378" s="2" t="inlineStr"/>
    </row>
    <row r="379" ht="15" customHeight="1">
      <c r="A379" t="inlineStr">
        <is>
          <t>A 45333-2024</t>
        </is>
      </c>
      <c r="B379" t="inlineStr">
        <is>
          <t>avverkningsanmälan</t>
        </is>
      </c>
      <c r="C379" t="inlineStr">
        <is>
          <t>Avverkning för annat ändamål</t>
        </is>
      </c>
      <c r="D379" s="1" t="n">
        <v>45576</v>
      </c>
      <c r="E379" s="1" t="n">
        <v>46217</v>
      </c>
      <c r="F379" t="inlineStr">
        <is>
          <t>NORRBOTTENS LÄN</t>
        </is>
      </c>
      <c r="G379" t="inlineStr">
        <is>
          <t>JOKKMOKK</t>
        </is>
      </c>
      <c r="H379" t="inlineStr">
        <is>
          <t>Sveaskog</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6778-2023</t>
        </is>
      </c>
      <c r="B380" t="inlineStr">
        <is>
          <t>avverkningsanmälan</t>
        </is>
      </c>
      <c r="C380" t="inlineStr">
        <is>
          <t>Föryngringsavverkning</t>
        </is>
      </c>
      <c r="D380" s="1" t="n">
        <v>44966</v>
      </c>
      <c r="E380" s="1" t="n">
        <v>46217</v>
      </c>
      <c r="F380" t="inlineStr">
        <is>
          <t>NORRBOTTENS LÄN</t>
        </is>
      </c>
      <c r="G380" t="inlineStr">
        <is>
          <t>JOKKMOKK</t>
        </is>
      </c>
      <c r="H380" t="inlineStr">
        <is>
          <t>SCA</t>
        </is>
      </c>
      <c r="I380" t="n">
        <v>5</v>
      </c>
      <c r="J380" t="n">
        <v>0</v>
      </c>
      <c r="K380" t="n">
        <v>0</v>
      </c>
      <c r="L380" t="n">
        <v>0</v>
      </c>
      <c r="M380" t="n">
        <v>0</v>
      </c>
      <c r="N380" t="n">
        <v>0</v>
      </c>
      <c r="O380" t="n">
        <v>0</v>
      </c>
      <c r="P380" t="n">
        <v>0</v>
      </c>
      <c r="Q380" t="n">
        <v>0</v>
      </c>
      <c r="R380" t="n">
        <v>0</v>
      </c>
      <c r="S380" t="n">
        <v>0</v>
      </c>
      <c r="T380" t="n">
        <v>0</v>
      </c>
      <c r="U380" s="2" t="inlineStr"/>
    </row>
    <row r="381" ht="15" customHeight="1">
      <c r="A381" t="inlineStr">
        <is>
          <t>A 31209-2023</t>
        </is>
      </c>
      <c r="B381" t="inlineStr">
        <is>
          <t>avverkningsanmälan</t>
        </is>
      </c>
      <c r="C381" t="inlineStr">
        <is>
          <t>Föryngringsavverkning</t>
        </is>
      </c>
      <c r="D381" s="1" t="n">
        <v>45113</v>
      </c>
      <c r="E381" s="1" t="n">
        <v>46217</v>
      </c>
      <c r="F381" t="inlineStr">
        <is>
          <t>NORRBOTTENS LÄN</t>
        </is>
      </c>
      <c r="G381" t="inlineStr">
        <is>
          <t>JOKKMOKK</t>
        </is>
      </c>
      <c r="H381" t="inlineStr">
        <is>
          <t>SCA</t>
        </is>
      </c>
      <c r="I381" t="n">
        <v>5.7</v>
      </c>
      <c r="J381" t="n">
        <v>0</v>
      </c>
      <c r="K381" t="n">
        <v>0</v>
      </c>
      <c r="L381" t="n">
        <v>0</v>
      </c>
      <c r="M381" t="n">
        <v>0</v>
      </c>
      <c r="N381" t="n">
        <v>0</v>
      </c>
      <c r="O381" t="n">
        <v>0</v>
      </c>
      <c r="P381" t="n">
        <v>0</v>
      </c>
      <c r="Q381" t="n">
        <v>0</v>
      </c>
      <c r="R381" t="n">
        <v>0</v>
      </c>
      <c r="S381" t="n">
        <v>0</v>
      </c>
      <c r="T381" t="n">
        <v>0</v>
      </c>
      <c r="U381" s="2" t="inlineStr"/>
    </row>
    <row r="382" ht="15" customHeight="1">
      <c r="A382" t="inlineStr">
        <is>
          <t>A 23019-2023</t>
        </is>
      </c>
      <c r="B382" t="inlineStr">
        <is>
          <t>avverkningsanmälan</t>
        </is>
      </c>
      <c r="C382" t="inlineStr">
        <is>
          <t>Föryngringsavverkning</t>
        </is>
      </c>
      <c r="D382" s="1" t="n">
        <v>45073</v>
      </c>
      <c r="E382" s="1" t="n">
        <v>46217</v>
      </c>
      <c r="F382" t="inlineStr">
        <is>
          <t>NORRBOTTENS LÄN</t>
        </is>
      </c>
      <c r="G382" t="inlineStr">
        <is>
          <t>JOKKMOKK</t>
        </is>
      </c>
      <c r="H382" t="inlineStr">
        <is>
          <t>SCA</t>
        </is>
      </c>
      <c r="I382" t="n">
        <v>6.3</v>
      </c>
      <c r="J382" t="n">
        <v>0</v>
      </c>
      <c r="K382" t="n">
        <v>0</v>
      </c>
      <c r="L382" t="n">
        <v>0</v>
      </c>
      <c r="M382" t="n">
        <v>0</v>
      </c>
      <c r="N382" t="n">
        <v>0</v>
      </c>
      <c r="O382" t="n">
        <v>0</v>
      </c>
      <c r="P382" t="n">
        <v>0</v>
      </c>
      <c r="Q382" t="n">
        <v>0</v>
      </c>
      <c r="R382" t="n">
        <v>0</v>
      </c>
      <c r="S382" t="n">
        <v>0</v>
      </c>
      <c r="T382" t="n">
        <v>0</v>
      </c>
      <c r="U382" s="2" t="inlineStr"/>
    </row>
    <row r="383" ht="15" customHeight="1">
      <c r="A383" t="inlineStr">
        <is>
          <t>A 4136-2024</t>
        </is>
      </c>
      <c r="B383" t="inlineStr">
        <is>
          <t>avverkningsanmälan</t>
        </is>
      </c>
      <c r="C383" t="inlineStr">
        <is>
          <t>Föryngringsavverkning</t>
        </is>
      </c>
      <c r="D383" s="1" t="n">
        <v>45323</v>
      </c>
      <c r="E383" s="1" t="n">
        <v>46217</v>
      </c>
      <c r="F383" t="inlineStr">
        <is>
          <t>NORRBOTTENS LÄN</t>
        </is>
      </c>
      <c r="G383" t="inlineStr">
        <is>
          <t>JOKKMOKK</t>
        </is>
      </c>
      <c r="I383" t="n">
        <v>27.3</v>
      </c>
      <c r="J383" t="n">
        <v>0</v>
      </c>
      <c r="K383" t="n">
        <v>0</v>
      </c>
      <c r="L383" t="n">
        <v>0</v>
      </c>
      <c r="M383" t="n">
        <v>0</v>
      </c>
      <c r="N383" t="n">
        <v>0</v>
      </c>
      <c r="O383" t="n">
        <v>0</v>
      </c>
      <c r="P383" t="n">
        <v>0</v>
      </c>
      <c r="Q383" t="n">
        <v>0</v>
      </c>
      <c r="R383" t="n">
        <v>0</v>
      </c>
      <c r="S383" t="n">
        <v>0</v>
      </c>
      <c r="T383" t="n">
        <v>0</v>
      </c>
      <c r="U383" s="2" t="inlineStr"/>
    </row>
    <row r="384" ht="15" customHeight="1">
      <c r="A384" t="inlineStr">
        <is>
          <t>A 18537-2023</t>
        </is>
      </c>
      <c r="B384" t="inlineStr">
        <is>
          <t>avverkningsanmälan</t>
        </is>
      </c>
      <c r="C384" t="inlineStr">
        <is>
          <t>Föryngringsavverkning</t>
        </is>
      </c>
      <c r="D384" s="1" t="n">
        <v>45028</v>
      </c>
      <c r="E384" s="1" t="n">
        <v>46217</v>
      </c>
      <c r="F384" t="inlineStr">
        <is>
          <t>NORRBOTTENS LÄN</t>
        </is>
      </c>
      <c r="G384" t="inlineStr">
        <is>
          <t>JOKKMOKK</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49474-2024</t>
        </is>
      </c>
      <c r="B385" t="inlineStr">
        <is>
          <t>avverkningsanmälan</t>
        </is>
      </c>
      <c r="C385" t="inlineStr">
        <is>
          <t>Föryngringsavverkning</t>
        </is>
      </c>
      <c r="D385" s="1" t="n">
        <v>45596</v>
      </c>
      <c r="E385" s="1" t="n">
        <v>46217</v>
      </c>
      <c r="F385" t="inlineStr">
        <is>
          <t>NORRBOTTENS LÄN</t>
        </is>
      </c>
      <c r="G385" t="inlineStr">
        <is>
          <t>JOKKMOKK</t>
        </is>
      </c>
      <c r="H385" t="inlineStr">
        <is>
          <t>SCA</t>
        </is>
      </c>
      <c r="I385" t="n">
        <v>5.2</v>
      </c>
      <c r="J385" t="n">
        <v>0</v>
      </c>
      <c r="K385" t="n">
        <v>0</v>
      </c>
      <c r="L385" t="n">
        <v>0</v>
      </c>
      <c r="M385" t="n">
        <v>0</v>
      </c>
      <c r="N385" t="n">
        <v>0</v>
      </c>
      <c r="O385" t="n">
        <v>0</v>
      </c>
      <c r="P385" t="n">
        <v>0</v>
      </c>
      <c r="Q385" t="n">
        <v>0</v>
      </c>
      <c r="R385" t="n">
        <v>0</v>
      </c>
      <c r="S385" t="n">
        <v>0</v>
      </c>
      <c r="T385" t="n">
        <v>0</v>
      </c>
      <c r="U385" s="2" t="inlineStr"/>
    </row>
    <row r="386" ht="15" customHeight="1">
      <c r="A386" t="inlineStr">
        <is>
          <t>A 20593-2023</t>
        </is>
      </c>
      <c r="B386" t="inlineStr">
        <is>
          <t>avverkningsanmälan</t>
        </is>
      </c>
      <c r="C386" t="inlineStr">
        <is>
          <t>Föryngringsavverkning</t>
        </is>
      </c>
      <c r="D386" s="1" t="n">
        <v>45057</v>
      </c>
      <c r="E386" s="1" t="n">
        <v>46217</v>
      </c>
      <c r="F386" t="inlineStr">
        <is>
          <t>NORRBOTTENS LÄN</t>
        </is>
      </c>
      <c r="G386" t="inlineStr">
        <is>
          <t>JOKKMOKK</t>
        </is>
      </c>
      <c r="H386" t="inlineStr">
        <is>
          <t>SCA</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33014-2023</t>
        </is>
      </c>
      <c r="B387" t="inlineStr">
        <is>
          <t>avverkningsanmälan</t>
        </is>
      </c>
      <c r="C387" t="inlineStr">
        <is>
          <t>Avverkning för annat ändamål</t>
        </is>
      </c>
      <c r="D387" s="1" t="n">
        <v>45113</v>
      </c>
      <c r="E387" s="1" t="n">
        <v>46217</v>
      </c>
      <c r="F387" t="inlineStr">
        <is>
          <t>NORRBOTTENS LÄN</t>
        </is>
      </c>
      <c r="G387" t="inlineStr">
        <is>
          <t>JOKKMOKK</t>
        </is>
      </c>
      <c r="H387" t="inlineStr">
        <is>
          <t>Övriga statliga verk och myndigheter</t>
        </is>
      </c>
      <c r="I387" t="n">
        <v>7.2</v>
      </c>
      <c r="J387" t="n">
        <v>0</v>
      </c>
      <c r="K387" t="n">
        <v>0</v>
      </c>
      <c r="L387" t="n">
        <v>0</v>
      </c>
      <c r="M387" t="n">
        <v>0</v>
      </c>
      <c r="N387" t="n">
        <v>0</v>
      </c>
      <c r="O387" t="n">
        <v>0</v>
      </c>
      <c r="P387" t="n">
        <v>0</v>
      </c>
      <c r="Q387" t="n">
        <v>0</v>
      </c>
      <c r="R387" t="n">
        <v>0</v>
      </c>
      <c r="S387" t="n">
        <v>0</v>
      </c>
      <c r="T387" t="n">
        <v>0</v>
      </c>
      <c r="U387" s="2" t="inlineStr"/>
    </row>
    <row r="388" ht="15" customHeight="1">
      <c r="A388" t="inlineStr">
        <is>
          <t>A 56199-2021</t>
        </is>
      </c>
      <c r="B388" t="inlineStr">
        <is>
          <t>avverkningsanmälan</t>
        </is>
      </c>
      <c r="C388" t="inlineStr">
        <is>
          <t>Föryngringsavverkning</t>
        </is>
      </c>
      <c r="D388" s="1" t="n">
        <v>44477</v>
      </c>
      <c r="E388" s="1" t="n">
        <v>46217</v>
      </c>
      <c r="F388" t="inlineStr">
        <is>
          <t>NORRBOTTENS LÄN</t>
        </is>
      </c>
      <c r="G388" t="inlineStr">
        <is>
          <t>JOKKMOKK</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2826-2025</t>
        </is>
      </c>
      <c r="B389" t="inlineStr">
        <is>
          <t>avverkningsanmälan</t>
        </is>
      </c>
      <c r="C389" t="inlineStr">
        <is>
          <t>Föryngringsavverkning</t>
        </is>
      </c>
      <c r="D389" s="1" t="n">
        <v>45677</v>
      </c>
      <c r="E389" s="1" t="n">
        <v>46217</v>
      </c>
      <c r="F389" t="inlineStr">
        <is>
          <t>NORRBOTTENS LÄN</t>
        </is>
      </c>
      <c r="G389" t="inlineStr">
        <is>
          <t>JOKKMOKK</t>
        </is>
      </c>
      <c r="H389" t="inlineStr">
        <is>
          <t>Övriga statliga verk och myndigheter</t>
        </is>
      </c>
      <c r="I389" t="n">
        <v>10.5</v>
      </c>
      <c r="J389" t="n">
        <v>0</v>
      </c>
      <c r="K389" t="n">
        <v>0</v>
      </c>
      <c r="L389" t="n">
        <v>0</v>
      </c>
      <c r="M389" t="n">
        <v>0</v>
      </c>
      <c r="N389" t="n">
        <v>0</v>
      </c>
      <c r="O389" t="n">
        <v>0</v>
      </c>
      <c r="P389" t="n">
        <v>0</v>
      </c>
      <c r="Q389" t="n">
        <v>0</v>
      </c>
      <c r="R389" t="n">
        <v>0</v>
      </c>
      <c r="S389" t="n">
        <v>0</v>
      </c>
      <c r="T389" t="n">
        <v>0</v>
      </c>
      <c r="U389" s="2" t="inlineStr"/>
    </row>
    <row r="390" ht="15" customHeight="1">
      <c r="A390" t="inlineStr">
        <is>
          <t>A 40106-2023</t>
        </is>
      </c>
      <c r="B390" t="inlineStr">
        <is>
          <t>avverkningsanmälan</t>
        </is>
      </c>
      <c r="C390" t="inlineStr">
        <is>
          <t>Föryngringsavverkning</t>
        </is>
      </c>
      <c r="D390" s="1" t="n">
        <v>45168</v>
      </c>
      <c r="E390" s="1" t="n">
        <v>46217</v>
      </c>
      <c r="F390" t="inlineStr">
        <is>
          <t>NORRBOTTENS LÄN</t>
        </is>
      </c>
      <c r="G390" t="inlineStr">
        <is>
          <t>JOKKMOKK</t>
        </is>
      </c>
      <c r="H390" t="inlineStr">
        <is>
          <t>SCA</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25720-2023</t>
        </is>
      </c>
      <c r="B391" t="inlineStr">
        <is>
          <t>avverkningsanmälan</t>
        </is>
      </c>
      <c r="C391" t="inlineStr">
        <is>
          <t>Föryngringsavverkning</t>
        </is>
      </c>
      <c r="D391" s="1" t="n">
        <v>45090</v>
      </c>
      <c r="E391" s="1" t="n">
        <v>46217</v>
      </c>
      <c r="F391" t="inlineStr">
        <is>
          <t>NORRBOTTENS LÄN</t>
        </is>
      </c>
      <c r="G391" t="inlineStr">
        <is>
          <t>JOKKMOKK</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29212-2024</t>
        </is>
      </c>
      <c r="B392" t="inlineStr">
        <is>
          <t>avverkningsanmälan</t>
        </is>
      </c>
      <c r="C392" t="inlineStr">
        <is>
          <t>Föryngringsavverkning</t>
        </is>
      </c>
      <c r="D392" s="1" t="n">
        <v>45482</v>
      </c>
      <c r="E392" s="1" t="n">
        <v>46217</v>
      </c>
      <c r="F392" t="inlineStr">
        <is>
          <t>NORRBOTTENS LÄN</t>
        </is>
      </c>
      <c r="G392" t="inlineStr">
        <is>
          <t>JOKKMOKK</t>
        </is>
      </c>
      <c r="I392" t="n">
        <v>8.5</v>
      </c>
      <c r="J392" t="n">
        <v>0</v>
      </c>
      <c r="K392" t="n">
        <v>0</v>
      </c>
      <c r="L392" t="n">
        <v>0</v>
      </c>
      <c r="M392" t="n">
        <v>0</v>
      </c>
      <c r="N392" t="n">
        <v>0</v>
      </c>
      <c r="O392" t="n">
        <v>0</v>
      </c>
      <c r="P392" t="n">
        <v>0</v>
      </c>
      <c r="Q392" t="n">
        <v>0</v>
      </c>
      <c r="R392" t="n">
        <v>0</v>
      </c>
      <c r="S392" t="n">
        <v>0</v>
      </c>
      <c r="T392" t="n">
        <v>0</v>
      </c>
      <c r="U392" s="2" t="inlineStr"/>
    </row>
    <row r="393" ht="15" customHeight="1">
      <c r="A393" t="inlineStr">
        <is>
          <t>A 32853-2024</t>
        </is>
      </c>
      <c r="B393" t="inlineStr">
        <is>
          <t>avverkningsanmälan</t>
        </is>
      </c>
      <c r="C393" t="inlineStr">
        <is>
          <t>Föryngringsavverkning</t>
        </is>
      </c>
      <c r="D393" s="1" t="n">
        <v>45516</v>
      </c>
      <c r="E393" s="1" t="n">
        <v>46217</v>
      </c>
      <c r="F393" t="inlineStr">
        <is>
          <t>NORRBOTTENS LÄN</t>
        </is>
      </c>
      <c r="G393" t="inlineStr">
        <is>
          <t>JOKKMOKK</t>
        </is>
      </c>
      <c r="H393" t="inlineStr">
        <is>
          <t>Sveaskog</t>
        </is>
      </c>
      <c r="I393" t="n">
        <v>40.4</v>
      </c>
      <c r="J393" t="n">
        <v>0</v>
      </c>
      <c r="K393" t="n">
        <v>0</v>
      </c>
      <c r="L393" t="n">
        <v>0</v>
      </c>
      <c r="M393" t="n">
        <v>0</v>
      </c>
      <c r="N393" t="n">
        <v>0</v>
      </c>
      <c r="O393" t="n">
        <v>0</v>
      </c>
      <c r="P393" t="n">
        <v>0</v>
      </c>
      <c r="Q393" t="n">
        <v>0</v>
      </c>
      <c r="R393" t="n">
        <v>0</v>
      </c>
      <c r="S393" t="n">
        <v>0</v>
      </c>
      <c r="T393" t="n">
        <v>0</v>
      </c>
      <c r="U393" s="2" t="inlineStr"/>
    </row>
    <row r="394" ht="15" customHeight="1">
      <c r="A394" t="inlineStr">
        <is>
          <t>A 3206-2025</t>
        </is>
      </c>
      <c r="B394" t="inlineStr">
        <is>
          <t>avverkningsanmälan</t>
        </is>
      </c>
      <c r="C394" t="inlineStr">
        <is>
          <t>Föryngringsavverkning</t>
        </is>
      </c>
      <c r="D394" s="1" t="n">
        <v>45679</v>
      </c>
      <c r="E394" s="1" t="n">
        <v>46217</v>
      </c>
      <c r="F394" t="inlineStr">
        <is>
          <t>NORRBOTTENS LÄN</t>
        </is>
      </c>
      <c r="G394" t="inlineStr">
        <is>
          <t>JOKKMOKK</t>
        </is>
      </c>
      <c r="H394" t="inlineStr">
        <is>
          <t>SCA</t>
        </is>
      </c>
      <c r="I394" t="n">
        <v>9.1</v>
      </c>
      <c r="J394" t="n">
        <v>0</v>
      </c>
      <c r="K394" t="n">
        <v>0</v>
      </c>
      <c r="L394" t="n">
        <v>0</v>
      </c>
      <c r="M394" t="n">
        <v>0</v>
      </c>
      <c r="N394" t="n">
        <v>0</v>
      </c>
      <c r="O394" t="n">
        <v>0</v>
      </c>
      <c r="P394" t="n">
        <v>0</v>
      </c>
      <c r="Q394" t="n">
        <v>0</v>
      </c>
      <c r="R394" t="n">
        <v>0</v>
      </c>
      <c r="S394" t="n">
        <v>0</v>
      </c>
      <c r="T394" t="n">
        <v>0</v>
      </c>
      <c r="U394" s="2" t="inlineStr"/>
    </row>
    <row r="395" ht="15" customHeight="1">
      <c r="A395" t="inlineStr">
        <is>
          <t>A 36113-2024</t>
        </is>
      </c>
      <c r="B395" t="inlineStr">
        <is>
          <t>avverkningsanmälan</t>
        </is>
      </c>
      <c r="C395" t="inlineStr">
        <is>
          <t>Avverkning för annat ändamål</t>
        </is>
      </c>
      <c r="D395" s="1" t="n">
        <v>45534</v>
      </c>
      <c r="E395" s="1" t="n">
        <v>46217</v>
      </c>
      <c r="F395" t="inlineStr">
        <is>
          <t>NORRBOTTENS LÄN</t>
        </is>
      </c>
      <c r="G395" t="inlineStr">
        <is>
          <t>JOKKMOKK</t>
        </is>
      </c>
      <c r="H395" t="inlineStr">
        <is>
          <t>Sveaskog</t>
        </is>
      </c>
      <c r="I395" t="n">
        <v>3.2</v>
      </c>
      <c r="J395" t="n">
        <v>0</v>
      </c>
      <c r="K395" t="n">
        <v>0</v>
      </c>
      <c r="L395" t="n">
        <v>0</v>
      </c>
      <c r="M395" t="n">
        <v>0</v>
      </c>
      <c r="N395" t="n">
        <v>0</v>
      </c>
      <c r="O395" t="n">
        <v>0</v>
      </c>
      <c r="P395" t="n">
        <v>0</v>
      </c>
      <c r="Q395" t="n">
        <v>0</v>
      </c>
      <c r="R395" t="n">
        <v>0</v>
      </c>
      <c r="S395" t="n">
        <v>0</v>
      </c>
      <c r="T395" t="n">
        <v>0</v>
      </c>
      <c r="U395" s="2" t="inlineStr"/>
    </row>
    <row r="396" ht="15" customHeight="1">
      <c r="A396" t="inlineStr">
        <is>
          <t>A 33827-2024</t>
        </is>
      </c>
      <c r="B396" t="inlineStr">
        <is>
          <t>avverkningsanmälan</t>
        </is>
      </c>
      <c r="C396" t="inlineStr">
        <is>
          <t>Föryngringsavverkning</t>
        </is>
      </c>
      <c r="D396" s="1" t="n">
        <v>45520</v>
      </c>
      <c r="E396" s="1" t="n">
        <v>46217</v>
      </c>
      <c r="F396" t="inlineStr">
        <is>
          <t>NORRBOTTENS LÄN</t>
        </is>
      </c>
      <c r="G396" t="inlineStr">
        <is>
          <t>JOKKMOKK</t>
        </is>
      </c>
      <c r="H396" t="inlineStr">
        <is>
          <t>SCA</t>
        </is>
      </c>
      <c r="I396" t="n">
        <v>12.8</v>
      </c>
      <c r="J396" t="n">
        <v>0</v>
      </c>
      <c r="K396" t="n">
        <v>0</v>
      </c>
      <c r="L396" t="n">
        <v>0</v>
      </c>
      <c r="M396" t="n">
        <v>0</v>
      </c>
      <c r="N396" t="n">
        <v>0</v>
      </c>
      <c r="O396" t="n">
        <v>0</v>
      </c>
      <c r="P396" t="n">
        <v>0</v>
      </c>
      <c r="Q396" t="n">
        <v>0</v>
      </c>
      <c r="R396" t="n">
        <v>0</v>
      </c>
      <c r="S396" t="n">
        <v>0</v>
      </c>
      <c r="T396" t="n">
        <v>0</v>
      </c>
      <c r="U396" s="2" t="inlineStr"/>
    </row>
    <row r="397" ht="15" customHeight="1">
      <c r="A397" t="inlineStr">
        <is>
          <t>A 45505-2022</t>
        </is>
      </c>
      <c r="B397" t="inlineStr">
        <is>
          <t>avverkningsanmälan</t>
        </is>
      </c>
      <c r="C397" t="inlineStr">
        <is>
          <t>Föryngringsavverkning</t>
        </is>
      </c>
      <c r="D397" s="1" t="n">
        <v>44841</v>
      </c>
      <c r="E397" s="1" t="n">
        <v>46217</v>
      </c>
      <c r="F397" t="inlineStr">
        <is>
          <t>NORRBOTTENS LÄN</t>
        </is>
      </c>
      <c r="G397" t="inlineStr">
        <is>
          <t>JOKKMOKK</t>
        </is>
      </c>
      <c r="H397" t="inlineStr">
        <is>
          <t>Övriga Aktiebolag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14815-2024</t>
        </is>
      </c>
      <c r="B398" t="inlineStr">
        <is>
          <t>avverkningsanmälan</t>
        </is>
      </c>
      <c r="C398" t="inlineStr">
        <is>
          <t>Föryngringsavverkning</t>
        </is>
      </c>
      <c r="D398" s="1" t="n">
        <v>45397</v>
      </c>
      <c r="E398" s="1" t="n">
        <v>46217</v>
      </c>
      <c r="F398" t="inlineStr">
        <is>
          <t>NORRBOTTENS LÄN</t>
        </is>
      </c>
      <c r="G398" t="inlineStr">
        <is>
          <t>JOKKMOKK</t>
        </is>
      </c>
      <c r="H398" t="inlineStr">
        <is>
          <t>SCA</t>
        </is>
      </c>
      <c r="I398" t="n">
        <v>54.1</v>
      </c>
      <c r="J398" t="n">
        <v>0</v>
      </c>
      <c r="K398" t="n">
        <v>0</v>
      </c>
      <c r="L398" t="n">
        <v>0</v>
      </c>
      <c r="M398" t="n">
        <v>0</v>
      </c>
      <c r="N398" t="n">
        <v>0</v>
      </c>
      <c r="O398" t="n">
        <v>0</v>
      </c>
      <c r="P398" t="n">
        <v>0</v>
      </c>
      <c r="Q398" t="n">
        <v>0</v>
      </c>
      <c r="R398" t="n">
        <v>0</v>
      </c>
      <c r="S398" t="n">
        <v>0</v>
      </c>
      <c r="T398" t="n">
        <v>0</v>
      </c>
      <c r="U398" s="2" t="inlineStr"/>
    </row>
    <row r="399" ht="15" customHeight="1">
      <c r="A399" t="inlineStr">
        <is>
          <t>A 4661-2022</t>
        </is>
      </c>
      <c r="B399" t="inlineStr">
        <is>
          <t>avverkningsanmälan</t>
        </is>
      </c>
      <c r="C399" t="inlineStr">
        <is>
          <t>Föryngringsavverkning</t>
        </is>
      </c>
      <c r="D399" s="1" t="n">
        <v>44589</v>
      </c>
      <c r="E399" s="1" t="n">
        <v>46217</v>
      </c>
      <c r="F399" t="inlineStr">
        <is>
          <t>NORRBOTTENS LÄN</t>
        </is>
      </c>
      <c r="G399" t="inlineStr">
        <is>
          <t>JOKKMOKK</t>
        </is>
      </c>
      <c r="I399" t="n">
        <v>39.5</v>
      </c>
      <c r="J399" t="n">
        <v>0</v>
      </c>
      <c r="K399" t="n">
        <v>0</v>
      </c>
      <c r="L399" t="n">
        <v>0</v>
      </c>
      <c r="M399" t="n">
        <v>0</v>
      </c>
      <c r="N399" t="n">
        <v>0</v>
      </c>
      <c r="O399" t="n">
        <v>0</v>
      </c>
      <c r="P399" t="n">
        <v>0</v>
      </c>
      <c r="Q399" t="n">
        <v>0</v>
      </c>
      <c r="R399" t="n">
        <v>0</v>
      </c>
      <c r="S399" t="n">
        <v>0</v>
      </c>
      <c r="T399" t="n">
        <v>0</v>
      </c>
      <c r="U399" s="2" t="inlineStr"/>
    </row>
    <row r="400" ht="15" customHeight="1">
      <c r="A400" t="inlineStr">
        <is>
          <t>A 29213-2024</t>
        </is>
      </c>
      <c r="B400" t="inlineStr">
        <is>
          <t>avverkningsanmälan</t>
        </is>
      </c>
      <c r="C400" t="inlineStr">
        <is>
          <t>Föryngringsavverkning</t>
        </is>
      </c>
      <c r="D400" s="1" t="n">
        <v>45482</v>
      </c>
      <c r="E400" s="1" t="n">
        <v>46217</v>
      </c>
      <c r="F400" t="inlineStr">
        <is>
          <t>NORRBOTTENS LÄN</t>
        </is>
      </c>
      <c r="G400" t="inlineStr">
        <is>
          <t>JOKKMOKK</t>
        </is>
      </c>
      <c r="I400" t="n">
        <v>55</v>
      </c>
      <c r="J400" t="n">
        <v>0</v>
      </c>
      <c r="K400" t="n">
        <v>0</v>
      </c>
      <c r="L400" t="n">
        <v>0</v>
      </c>
      <c r="M400" t="n">
        <v>0</v>
      </c>
      <c r="N400" t="n">
        <v>0</v>
      </c>
      <c r="O400" t="n">
        <v>0</v>
      </c>
      <c r="P400" t="n">
        <v>0</v>
      </c>
      <c r="Q400" t="n">
        <v>0</v>
      </c>
      <c r="R400" t="n">
        <v>0</v>
      </c>
      <c r="S400" t="n">
        <v>0</v>
      </c>
      <c r="T400" t="n">
        <v>0</v>
      </c>
      <c r="U400" s="2" t="inlineStr"/>
    </row>
    <row r="401" ht="15" customHeight="1">
      <c r="A401" t="inlineStr">
        <is>
          <t>A 40345-2024</t>
        </is>
      </c>
      <c r="B401" t="inlineStr">
        <is>
          <t>avverkningsanmälan</t>
        </is>
      </c>
      <c r="C401" t="inlineStr">
        <is>
          <t>Föryngringsavverkning</t>
        </is>
      </c>
      <c r="D401" s="1" t="n">
        <v>45555</v>
      </c>
      <c r="E401" s="1" t="n">
        <v>46217</v>
      </c>
      <c r="F401" t="inlineStr">
        <is>
          <t>NORRBOTTENS LÄN</t>
        </is>
      </c>
      <c r="G401" t="inlineStr">
        <is>
          <t>JOKKMOKK</t>
        </is>
      </c>
      <c r="H401" t="inlineStr">
        <is>
          <t>SCA</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30313-2024</t>
        </is>
      </c>
      <c r="B402" t="inlineStr">
        <is>
          <t>avverkningsanmälan</t>
        </is>
      </c>
      <c r="C402" t="inlineStr">
        <is>
          <t>Föryngringsavverkning</t>
        </is>
      </c>
      <c r="D402" s="1" t="n">
        <v>45490</v>
      </c>
      <c r="E402" s="1" t="n">
        <v>46217</v>
      </c>
      <c r="F402" t="inlineStr">
        <is>
          <t>NORRBOTTENS LÄN</t>
        </is>
      </c>
      <c r="G402" t="inlineStr">
        <is>
          <t>JOKKMOKK</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52882-2023</t>
        </is>
      </c>
      <c r="B403" t="inlineStr">
        <is>
          <t>avverkningsanmälan</t>
        </is>
      </c>
      <c r="C403" t="inlineStr">
        <is>
          <t>Föryngringsavverkning</t>
        </is>
      </c>
      <c r="D403" s="1" t="n">
        <v>45222</v>
      </c>
      <c r="E403" s="1" t="n">
        <v>46217</v>
      </c>
      <c r="F403" t="inlineStr">
        <is>
          <t>NORRBOTTENS LÄN</t>
        </is>
      </c>
      <c r="G403" t="inlineStr">
        <is>
          <t>JOKKMOKK</t>
        </is>
      </c>
      <c r="I403" t="n">
        <v>56.1</v>
      </c>
      <c r="J403" t="n">
        <v>0</v>
      </c>
      <c r="K403" t="n">
        <v>0</v>
      </c>
      <c r="L403" t="n">
        <v>0</v>
      </c>
      <c r="M403" t="n">
        <v>0</v>
      </c>
      <c r="N403" t="n">
        <v>0</v>
      </c>
      <c r="O403" t="n">
        <v>0</v>
      </c>
      <c r="P403" t="n">
        <v>0</v>
      </c>
      <c r="Q403" t="n">
        <v>0</v>
      </c>
      <c r="R403" t="n">
        <v>0</v>
      </c>
      <c r="S403" t="n">
        <v>0</v>
      </c>
      <c r="T403" t="n">
        <v>0</v>
      </c>
      <c r="U403" s="2" t="inlineStr"/>
    </row>
    <row r="404" ht="15" customHeight="1">
      <c r="A404" t="inlineStr">
        <is>
          <t>A 50258-2023</t>
        </is>
      </c>
      <c r="B404" t="inlineStr">
        <is>
          <t>avverkningsanmälan</t>
        </is>
      </c>
      <c r="C404" t="inlineStr">
        <is>
          <t>Föryngringsavverkning</t>
        </is>
      </c>
      <c r="D404" s="1" t="n">
        <v>45216</v>
      </c>
      <c r="E404" s="1" t="n">
        <v>46217</v>
      </c>
      <c r="F404" t="inlineStr">
        <is>
          <t>NORRBOTTENS LÄN</t>
        </is>
      </c>
      <c r="G404" t="inlineStr">
        <is>
          <t>JOKKMOKK</t>
        </is>
      </c>
      <c r="H404" t="inlineStr">
        <is>
          <t>Sveaskog</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26962-2023</t>
        </is>
      </c>
      <c r="B405" t="inlineStr">
        <is>
          <t>avverkningsanmälan</t>
        </is>
      </c>
      <c r="C405" t="inlineStr">
        <is>
          <t>Föryngringsavverkning</t>
        </is>
      </c>
      <c r="D405" s="1" t="n">
        <v>45093</v>
      </c>
      <c r="E405" s="1" t="n">
        <v>46217</v>
      </c>
      <c r="F405" t="inlineStr">
        <is>
          <t>NORRBOTTENS LÄN</t>
        </is>
      </c>
      <c r="G405" t="inlineStr">
        <is>
          <t>JOKKMOKK</t>
        </is>
      </c>
      <c r="H405" t="inlineStr">
        <is>
          <t>Sveaskog</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61762-2024</t>
        </is>
      </c>
      <c r="B406" t="inlineStr">
        <is>
          <t>avverkningsanmälan</t>
        </is>
      </c>
      <c r="C406" t="inlineStr">
        <is>
          <t>Föryngringsavverkning</t>
        </is>
      </c>
      <c r="D406" s="1" t="n">
        <v>45649</v>
      </c>
      <c r="E406" s="1" t="n">
        <v>46217</v>
      </c>
      <c r="F406" t="inlineStr">
        <is>
          <t>NORRBOTTENS LÄN</t>
        </is>
      </c>
      <c r="G406" t="inlineStr">
        <is>
          <t>JOKKMOKK</t>
        </is>
      </c>
      <c r="H406" t="inlineStr">
        <is>
          <t>Övriga statliga verk och myndigheter</t>
        </is>
      </c>
      <c r="I406" t="n">
        <v>15.4</v>
      </c>
      <c r="J406" t="n">
        <v>0</v>
      </c>
      <c r="K406" t="n">
        <v>0</v>
      </c>
      <c r="L406" t="n">
        <v>0</v>
      </c>
      <c r="M406" t="n">
        <v>0</v>
      </c>
      <c r="N406" t="n">
        <v>0</v>
      </c>
      <c r="O406" t="n">
        <v>0</v>
      </c>
      <c r="P406" t="n">
        <v>0</v>
      </c>
      <c r="Q406" t="n">
        <v>0</v>
      </c>
      <c r="R406" t="n">
        <v>0</v>
      </c>
      <c r="S406" t="n">
        <v>0</v>
      </c>
      <c r="T406" t="n">
        <v>0</v>
      </c>
      <c r="U406" s="2" t="inlineStr"/>
    </row>
    <row r="407" ht="15" customHeight="1">
      <c r="A407" t="inlineStr">
        <is>
          <t>A 30305-2024</t>
        </is>
      </c>
      <c r="B407" t="inlineStr">
        <is>
          <t>avverkningsanmälan</t>
        </is>
      </c>
      <c r="C407" t="inlineStr">
        <is>
          <t>Föryngringsavverkning</t>
        </is>
      </c>
      <c r="D407" s="1" t="n">
        <v>45490</v>
      </c>
      <c r="E407" s="1" t="n">
        <v>46217</v>
      </c>
      <c r="F407" t="inlineStr">
        <is>
          <t>NORRBOTTENS LÄN</t>
        </is>
      </c>
      <c r="G407" t="inlineStr">
        <is>
          <t>JOKKMOKK</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30308-2024</t>
        </is>
      </c>
      <c r="B408" t="inlineStr">
        <is>
          <t>avverkningsanmälan</t>
        </is>
      </c>
      <c r="C408" t="inlineStr">
        <is>
          <t>Föryngringsavverkning</t>
        </is>
      </c>
      <c r="D408" s="1" t="n">
        <v>45490</v>
      </c>
      <c r="E408" s="1" t="n">
        <v>46217</v>
      </c>
      <c r="F408" t="inlineStr">
        <is>
          <t>NORRBOTTENS LÄN</t>
        </is>
      </c>
      <c r="G408" t="inlineStr">
        <is>
          <t>JOKKMOKK</t>
        </is>
      </c>
      <c r="I408" t="n">
        <v>2.2</v>
      </c>
      <c r="J408" t="n">
        <v>0</v>
      </c>
      <c r="K408" t="n">
        <v>0</v>
      </c>
      <c r="L408" t="n">
        <v>0</v>
      </c>
      <c r="M408" t="n">
        <v>0</v>
      </c>
      <c r="N408" t="n">
        <v>0</v>
      </c>
      <c r="O408" t="n">
        <v>0</v>
      </c>
      <c r="P408" t="n">
        <v>0</v>
      </c>
      <c r="Q408" t="n">
        <v>0</v>
      </c>
      <c r="R408" t="n">
        <v>0</v>
      </c>
      <c r="S408" t="n">
        <v>0</v>
      </c>
      <c r="T408" t="n">
        <v>0</v>
      </c>
      <c r="U408" s="2" t="inlineStr"/>
    </row>
    <row r="409" ht="15" customHeight="1">
      <c r="A409" t="inlineStr">
        <is>
          <t>A 30310-2024</t>
        </is>
      </c>
      <c r="B409" t="inlineStr">
        <is>
          <t>avverkningsanmälan</t>
        </is>
      </c>
      <c r="C409" t="inlineStr">
        <is>
          <t>Föryngringsavverkning</t>
        </is>
      </c>
      <c r="D409" s="1" t="n">
        <v>45490</v>
      </c>
      <c r="E409" s="1" t="n">
        <v>46217</v>
      </c>
      <c r="F409" t="inlineStr">
        <is>
          <t>NORRBOTTENS LÄN</t>
        </is>
      </c>
      <c r="G409" t="inlineStr">
        <is>
          <t>JOKKMOKK</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30312-2024</t>
        </is>
      </c>
      <c r="B410" t="inlineStr">
        <is>
          <t>avverkningsanmälan</t>
        </is>
      </c>
      <c r="C410" t="inlineStr">
        <is>
          <t>Föryngringsavverkning</t>
        </is>
      </c>
      <c r="D410" s="1" t="n">
        <v>45490</v>
      </c>
      <c r="E410" s="1" t="n">
        <v>46217</v>
      </c>
      <c r="F410" t="inlineStr">
        <is>
          <t>NORRBOTTENS LÄN</t>
        </is>
      </c>
      <c r="G410" t="inlineStr">
        <is>
          <t>JOKKMOKK</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2037-2025</t>
        </is>
      </c>
      <c r="B411" t="inlineStr">
        <is>
          <t>avverkningsanmälan</t>
        </is>
      </c>
      <c r="C411" t="inlineStr">
        <is>
          <t>Föryngringsavverkning</t>
        </is>
      </c>
      <c r="D411" s="1" t="n">
        <v>45671</v>
      </c>
      <c r="E411" s="1" t="n">
        <v>46217</v>
      </c>
      <c r="F411" t="inlineStr">
        <is>
          <t>NORRBOTTENS LÄN</t>
        </is>
      </c>
      <c r="G411" t="inlineStr">
        <is>
          <t>JOKKMOKK</t>
        </is>
      </c>
      <c r="I411" t="n">
        <v>5.4</v>
      </c>
      <c r="J411" t="n">
        <v>0</v>
      </c>
      <c r="K411" t="n">
        <v>0</v>
      </c>
      <c r="L411" t="n">
        <v>0</v>
      </c>
      <c r="M411" t="n">
        <v>0</v>
      </c>
      <c r="N411" t="n">
        <v>0</v>
      </c>
      <c r="O411" t="n">
        <v>0</v>
      </c>
      <c r="P411" t="n">
        <v>0</v>
      </c>
      <c r="Q411" t="n">
        <v>0</v>
      </c>
      <c r="R411" t="n">
        <v>0</v>
      </c>
      <c r="S411" t="n">
        <v>0</v>
      </c>
      <c r="T411" t="n">
        <v>0</v>
      </c>
      <c r="U411" s="2" t="inlineStr"/>
    </row>
    <row r="412" ht="15" customHeight="1">
      <c r="A412" t="inlineStr">
        <is>
          <t>A 23203-2024</t>
        </is>
      </c>
      <c r="B412" t="inlineStr">
        <is>
          <t>avverkningsanmälan</t>
        </is>
      </c>
      <c r="C412" t="inlineStr">
        <is>
          <t>Föryngringsavverkning</t>
        </is>
      </c>
      <c r="D412" s="1" t="n">
        <v>45451</v>
      </c>
      <c r="E412" s="1" t="n">
        <v>46217</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s="2" t="inlineStr"/>
    </row>
    <row r="413" ht="15" customHeight="1">
      <c r="A413" t="inlineStr">
        <is>
          <t>A 60418-2023</t>
        </is>
      </c>
      <c r="B413" t="inlineStr">
        <is>
          <t>avverkningsanmälan</t>
        </is>
      </c>
      <c r="C413" t="inlineStr">
        <is>
          <t>Föryngringsavverkning</t>
        </is>
      </c>
      <c r="D413" s="1" t="n">
        <v>45259</v>
      </c>
      <c r="E413" s="1" t="n">
        <v>46217</v>
      </c>
      <c r="F413" t="inlineStr">
        <is>
          <t>NORRBOTTENS LÄN</t>
        </is>
      </c>
      <c r="G413" t="inlineStr">
        <is>
          <t>JOKKMOKK</t>
        </is>
      </c>
      <c r="H413" t="inlineStr">
        <is>
          <t>Allmännings- och besparingsskogar</t>
        </is>
      </c>
      <c r="I413" t="n">
        <v>12.7</v>
      </c>
      <c r="J413" t="n">
        <v>0</v>
      </c>
      <c r="K413" t="n">
        <v>0</v>
      </c>
      <c r="L413" t="n">
        <v>0</v>
      </c>
      <c r="M413" t="n">
        <v>0</v>
      </c>
      <c r="N413" t="n">
        <v>0</v>
      </c>
      <c r="O413" t="n">
        <v>0</v>
      </c>
      <c r="P413" t="n">
        <v>0</v>
      </c>
      <c r="Q413" t="n">
        <v>0</v>
      </c>
      <c r="R413" t="n">
        <v>0</v>
      </c>
      <c r="S413" t="n">
        <v>0</v>
      </c>
      <c r="T413" t="n">
        <v>0</v>
      </c>
      <c r="U413" s="2" t="inlineStr"/>
    </row>
    <row r="414" ht="15" customHeight="1">
      <c r="A414" t="inlineStr">
        <is>
          <t>A 49562-2024</t>
        </is>
      </c>
      <c r="B414" t="inlineStr">
        <is>
          <t>avverkningsanmälan</t>
        </is>
      </c>
      <c r="C414" t="inlineStr">
        <is>
          <t>Föryngringsavverkning</t>
        </is>
      </c>
      <c r="D414" s="1" t="n">
        <v>45596</v>
      </c>
      <c r="E414" s="1" t="n">
        <v>46217</v>
      </c>
      <c r="F414" t="inlineStr">
        <is>
          <t>NORRBOTTENS LÄN</t>
        </is>
      </c>
      <c r="G414" t="inlineStr">
        <is>
          <t>JOKKMOKK</t>
        </is>
      </c>
      <c r="H414" t="inlineStr">
        <is>
          <t>Allmännings- och besparingsskogar</t>
        </is>
      </c>
      <c r="I414" t="n">
        <v>8.199999999999999</v>
      </c>
      <c r="J414" t="n">
        <v>0</v>
      </c>
      <c r="K414" t="n">
        <v>0</v>
      </c>
      <c r="L414" t="n">
        <v>0</v>
      </c>
      <c r="M414" t="n">
        <v>0</v>
      </c>
      <c r="N414" t="n">
        <v>0</v>
      </c>
      <c r="O414" t="n">
        <v>0</v>
      </c>
      <c r="P414" t="n">
        <v>0</v>
      </c>
      <c r="Q414" t="n">
        <v>0</v>
      </c>
      <c r="R414" t="n">
        <v>0</v>
      </c>
      <c r="S414" t="n">
        <v>0</v>
      </c>
      <c r="T414" t="n">
        <v>0</v>
      </c>
      <c r="U414" s="2" t="inlineStr"/>
    </row>
    <row r="415" ht="15" customHeight="1">
      <c r="A415" t="inlineStr">
        <is>
          <t>A 37828-2024</t>
        </is>
      </c>
      <c r="B415" t="inlineStr">
        <is>
          <t>avverkningsanmälan</t>
        </is>
      </c>
      <c r="C415" t="inlineStr">
        <is>
          <t>Föryngringsavverkning</t>
        </is>
      </c>
      <c r="D415" s="1" t="n">
        <v>45544</v>
      </c>
      <c r="E415" s="1" t="n">
        <v>46217</v>
      </c>
      <c r="F415" t="inlineStr">
        <is>
          <t>NORRBOTTENS LÄN</t>
        </is>
      </c>
      <c r="G415" t="inlineStr">
        <is>
          <t>JOKKMOKK</t>
        </is>
      </c>
      <c r="H415" t="inlineStr">
        <is>
          <t>SCA</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35675-2024</t>
        </is>
      </c>
      <c r="B416" t="inlineStr">
        <is>
          <t>avverkningsanmälan</t>
        </is>
      </c>
      <c r="C416" t="inlineStr">
        <is>
          <t>Föryngringsavverkning</t>
        </is>
      </c>
      <c r="D416" s="1" t="n">
        <v>45532</v>
      </c>
      <c r="E416" s="1" t="n">
        <v>46217</v>
      </c>
      <c r="F416" t="inlineStr">
        <is>
          <t>NORRBOTTENS LÄN</t>
        </is>
      </c>
      <c r="G416" t="inlineStr">
        <is>
          <t>JOKKMOKK</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27685-2025</t>
        </is>
      </c>
      <c r="B417" t="inlineStr">
        <is>
          <t>avverkningsanmälan</t>
        </is>
      </c>
      <c r="C417" t="inlineStr">
        <is>
          <t>Föryngringsavverkning</t>
        </is>
      </c>
      <c r="D417" s="1" t="n">
        <v>45813</v>
      </c>
      <c r="E417" s="1" t="n">
        <v>46217</v>
      </c>
      <c r="F417" t="inlineStr">
        <is>
          <t>NORRBOTTENS LÄN</t>
        </is>
      </c>
      <c r="G417" t="inlineStr">
        <is>
          <t>JOKKMOKK</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48339-2024</t>
        </is>
      </c>
      <c r="B418" t="inlineStr">
        <is>
          <t>avverkningsanmälan</t>
        </is>
      </c>
      <c r="C418" t="inlineStr">
        <is>
          <t>Föryngringsavverkning</t>
        </is>
      </c>
      <c r="D418" s="1" t="n">
        <v>45590</v>
      </c>
      <c r="E418" s="1" t="n">
        <v>46217</v>
      </c>
      <c r="F418" t="inlineStr">
        <is>
          <t>NORRBOTTENS LÄN</t>
        </is>
      </c>
      <c r="G418" t="inlineStr">
        <is>
          <t>JOKKMOKK</t>
        </is>
      </c>
      <c r="H418" t="inlineStr">
        <is>
          <t>Allmännings- och besparingsskogar</t>
        </is>
      </c>
      <c r="I418" t="n">
        <v>24.9</v>
      </c>
      <c r="J418" t="n">
        <v>0</v>
      </c>
      <c r="K418" t="n">
        <v>0</v>
      </c>
      <c r="L418" t="n">
        <v>0</v>
      </c>
      <c r="M418" t="n">
        <v>0</v>
      </c>
      <c r="N418" t="n">
        <v>0</v>
      </c>
      <c r="O418" t="n">
        <v>0</v>
      </c>
      <c r="P418" t="n">
        <v>0</v>
      </c>
      <c r="Q418" t="n">
        <v>0</v>
      </c>
      <c r="R418" t="n">
        <v>0</v>
      </c>
      <c r="S418" t="n">
        <v>0</v>
      </c>
      <c r="T418" t="n">
        <v>0</v>
      </c>
      <c r="U418" s="2" t="inlineStr"/>
    </row>
    <row r="419" ht="15" customHeight="1">
      <c r="A419" t="inlineStr">
        <is>
          <t>A 28601-2025</t>
        </is>
      </c>
      <c r="B419" t="inlineStr">
        <is>
          <t>avverkningsanmälan</t>
        </is>
      </c>
      <c r="C419" t="inlineStr">
        <is>
          <t>Föryngringsavverkning</t>
        </is>
      </c>
      <c r="D419" s="1" t="n">
        <v>45819</v>
      </c>
      <c r="E419" s="1" t="n">
        <v>46217</v>
      </c>
      <c r="F419" t="inlineStr">
        <is>
          <t>NORRBOTTENS LÄN</t>
        </is>
      </c>
      <c r="G419" t="inlineStr">
        <is>
          <t>JOKKMOKK</t>
        </is>
      </c>
      <c r="H419" t="inlineStr">
        <is>
          <t>Sveaskog</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29418-2025</t>
        </is>
      </c>
      <c r="B420" t="inlineStr">
        <is>
          <t>avverkningsanmälan</t>
        </is>
      </c>
      <c r="C420" t="inlineStr">
        <is>
          <t>Föryngringsavverkning</t>
        </is>
      </c>
      <c r="D420" s="1" t="n">
        <v>45824</v>
      </c>
      <c r="E420" s="1" t="n">
        <v>46217</v>
      </c>
      <c r="F420" t="inlineStr">
        <is>
          <t>NORRBOTTENS LÄN</t>
        </is>
      </c>
      <c r="G420" t="inlineStr">
        <is>
          <t>JOKKMOKK</t>
        </is>
      </c>
      <c r="I420" t="n">
        <v>17.8</v>
      </c>
      <c r="J420" t="n">
        <v>0</v>
      </c>
      <c r="K420" t="n">
        <v>0</v>
      </c>
      <c r="L420" t="n">
        <v>0</v>
      </c>
      <c r="M420" t="n">
        <v>0</v>
      </c>
      <c r="N420" t="n">
        <v>0</v>
      </c>
      <c r="O420" t="n">
        <v>0</v>
      </c>
      <c r="P420" t="n">
        <v>0</v>
      </c>
      <c r="Q420" t="n">
        <v>0</v>
      </c>
      <c r="R420" t="n">
        <v>0</v>
      </c>
      <c r="S420" t="n">
        <v>0</v>
      </c>
      <c r="T420" t="n">
        <v>0</v>
      </c>
      <c r="U420" s="2" t="inlineStr"/>
    </row>
    <row r="421" ht="15" customHeight="1">
      <c r="A421" t="inlineStr">
        <is>
          <t>A 29853-2025</t>
        </is>
      </c>
      <c r="B421" t="inlineStr">
        <is>
          <t>avverkningsanmälan</t>
        </is>
      </c>
      <c r="C421" t="inlineStr">
        <is>
          <t>Föryngringsavverkning</t>
        </is>
      </c>
      <c r="D421" s="1" t="n">
        <v>45826</v>
      </c>
      <c r="E421" s="1" t="n">
        <v>46217</v>
      </c>
      <c r="F421" t="inlineStr">
        <is>
          <t>NORRBOTTENS LÄN</t>
        </is>
      </c>
      <c r="G421" t="inlineStr">
        <is>
          <t>JOKKMOKK</t>
        </is>
      </c>
      <c r="H421" t="inlineStr">
        <is>
          <t>SCA</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30177-2025</t>
        </is>
      </c>
      <c r="B422" t="inlineStr">
        <is>
          <t>avverkningsanmälan</t>
        </is>
      </c>
      <c r="C422" t="inlineStr">
        <is>
          <t>Föryngringsavverkning</t>
        </is>
      </c>
      <c r="D422" s="1" t="n">
        <v>45827</v>
      </c>
      <c r="E422" s="1" t="n">
        <v>46217</v>
      </c>
      <c r="F422" t="inlineStr">
        <is>
          <t>NORRBOTTENS LÄN</t>
        </is>
      </c>
      <c r="G422" t="inlineStr">
        <is>
          <t>JOKKMOKK</t>
        </is>
      </c>
      <c r="H422" t="inlineStr">
        <is>
          <t>SCA</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32670-2025</t>
        </is>
      </c>
      <c r="B423" t="inlineStr">
        <is>
          <t>avverkningsanmälan</t>
        </is>
      </c>
      <c r="C423" t="inlineStr">
        <is>
          <t>Föryngringsavverkning</t>
        </is>
      </c>
      <c r="D423" s="1" t="n">
        <v>45838</v>
      </c>
      <c r="E423" s="1" t="n">
        <v>46217</v>
      </c>
      <c r="F423" t="inlineStr">
        <is>
          <t>NORRBOTTENS LÄN</t>
        </is>
      </c>
      <c r="G423" t="inlineStr">
        <is>
          <t>JOKKMOKK</t>
        </is>
      </c>
      <c r="H423" t="inlineStr">
        <is>
          <t>Sveaskog</t>
        </is>
      </c>
      <c r="I423" t="n">
        <v>6.8</v>
      </c>
      <c r="J423" t="n">
        <v>0</v>
      </c>
      <c r="K423" t="n">
        <v>0</v>
      </c>
      <c r="L423" t="n">
        <v>0</v>
      </c>
      <c r="M423" t="n">
        <v>0</v>
      </c>
      <c r="N423" t="n">
        <v>0</v>
      </c>
      <c r="O423" t="n">
        <v>0</v>
      </c>
      <c r="P423" t="n">
        <v>0</v>
      </c>
      <c r="Q423" t="n">
        <v>0</v>
      </c>
      <c r="R423" t="n">
        <v>0</v>
      </c>
      <c r="S423" t="n">
        <v>0</v>
      </c>
      <c r="T423" t="n">
        <v>0</v>
      </c>
      <c r="U423" s="2" t="inlineStr"/>
    </row>
    <row r="424" ht="15" customHeight="1">
      <c r="A424" t="inlineStr">
        <is>
          <t>A 35805-2025</t>
        </is>
      </c>
      <c r="B424" t="inlineStr">
        <is>
          <t>avverkningsanmälan</t>
        </is>
      </c>
      <c r="C424" t="inlineStr">
        <is>
          <t>Föryngringsavverkning</t>
        </is>
      </c>
      <c r="D424" s="1" t="n">
        <v>45861</v>
      </c>
      <c r="E424" s="1" t="n">
        <v>46217</v>
      </c>
      <c r="F424" t="inlineStr">
        <is>
          <t>NORRBOTTENS LÄN</t>
        </is>
      </c>
      <c r="G424" t="inlineStr">
        <is>
          <t>JOKKMOKK</t>
        </is>
      </c>
      <c r="I424" t="n">
        <v>7</v>
      </c>
      <c r="J424" t="n">
        <v>0</v>
      </c>
      <c r="K424" t="n">
        <v>0</v>
      </c>
      <c r="L424" t="n">
        <v>0</v>
      </c>
      <c r="M424" t="n">
        <v>0</v>
      </c>
      <c r="N424" t="n">
        <v>0</v>
      </c>
      <c r="O424" t="n">
        <v>0</v>
      </c>
      <c r="P424" t="n">
        <v>0</v>
      </c>
      <c r="Q424" t="n">
        <v>0</v>
      </c>
      <c r="R424" t="n">
        <v>0</v>
      </c>
      <c r="S424" t="n">
        <v>0</v>
      </c>
      <c r="T424" t="n">
        <v>0</v>
      </c>
      <c r="U424" s="2" t="inlineStr"/>
    </row>
    <row r="425" ht="15" customHeight="1">
      <c r="A425" t="inlineStr">
        <is>
          <t>A 26552-2025</t>
        </is>
      </c>
      <c r="B425" t="inlineStr">
        <is>
          <t>avverkningsanmälan</t>
        </is>
      </c>
      <c r="C425" t="inlineStr">
        <is>
          <t>Föryngringsavverkning</t>
        </is>
      </c>
      <c r="D425" s="1" t="n">
        <v>45807</v>
      </c>
      <c r="E425" s="1" t="n">
        <v>46217</v>
      </c>
      <c r="F425" t="inlineStr">
        <is>
          <t>NORRBOTTENS LÄN</t>
        </is>
      </c>
      <c r="G425" t="inlineStr">
        <is>
          <t>JOKKMOKK</t>
        </is>
      </c>
      <c r="H425" t="inlineStr">
        <is>
          <t>SCA</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36357-2025</t>
        </is>
      </c>
      <c r="B426" t="inlineStr">
        <is>
          <t>avverkningsanmälan</t>
        </is>
      </c>
      <c r="C426" t="inlineStr">
        <is>
          <t>Föryngringsavverkning</t>
        </is>
      </c>
      <c r="D426" s="1" t="n">
        <v>45868</v>
      </c>
      <c r="E426" s="1" t="n">
        <v>46217</v>
      </c>
      <c r="F426" t="inlineStr">
        <is>
          <t>NORRBOTTENS LÄN</t>
        </is>
      </c>
      <c r="G426" t="inlineStr">
        <is>
          <t>JOKKMOKK</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S 5226-2022</t>
        </is>
      </c>
      <c r="B427" t="inlineStr">
        <is>
          <t>samrådsanmälan</t>
        </is>
      </c>
      <c r="C427" t="inlineStr">
        <is>
          <t>Skogsbilväg</t>
        </is>
      </c>
      <c r="D427" s="1" t="n">
        <v>44823</v>
      </c>
      <c r="E427" s="1" t="n">
        <v>46217</v>
      </c>
      <c r="F427" t="inlineStr">
        <is>
          <t>NORRBOTTENS LÄN</t>
        </is>
      </c>
      <c r="G427" t="inlineStr">
        <is>
          <t>JOKKMOKK</t>
        </is>
      </c>
      <c r="H427" t="inlineStr">
        <is>
          <t>Övriga Aktiebolag</t>
        </is>
      </c>
      <c r="I427" t="n">
        <v>4.1</v>
      </c>
      <c r="J427" t="n">
        <v>0</v>
      </c>
      <c r="K427" t="n">
        <v>0</v>
      </c>
      <c r="L427" t="n">
        <v>0</v>
      </c>
      <c r="M427" t="n">
        <v>0</v>
      </c>
      <c r="N427" t="n">
        <v>0</v>
      </c>
      <c r="O427" t="n">
        <v>0</v>
      </c>
      <c r="P427" t="n">
        <v>0</v>
      </c>
      <c r="Q427" t="n">
        <v>0</v>
      </c>
      <c r="R427" t="n">
        <v>0</v>
      </c>
      <c r="S427" t="n">
        <v>0</v>
      </c>
      <c r="T427" t="n">
        <v>0</v>
      </c>
      <c r="U427" s="2" t="inlineStr"/>
    </row>
    <row r="428" ht="15" customHeight="1">
      <c r="A428" t="inlineStr">
        <is>
          <t>S 5220-2022</t>
        </is>
      </c>
      <c r="B428" t="inlineStr">
        <is>
          <t>samrådsanmälan</t>
        </is>
      </c>
      <c r="C428" t="inlineStr">
        <is>
          <t>Skogsbilväg</t>
        </is>
      </c>
      <c r="D428" s="1" t="n">
        <v>44820</v>
      </c>
      <c r="E428" s="1" t="n">
        <v>46217</v>
      </c>
      <c r="F428" t="inlineStr">
        <is>
          <t>NORRBOTTENS LÄN</t>
        </is>
      </c>
      <c r="G428" t="inlineStr">
        <is>
          <t>JOKKMOKK</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S 1106-2024</t>
        </is>
      </c>
      <c r="B429" t="inlineStr">
        <is>
          <t>samrådsanmälan</t>
        </is>
      </c>
      <c r="C429" t="inlineStr">
        <is>
          <t>Åtgärd i nyckelbiotop</t>
        </is>
      </c>
      <c r="D429" s="1" t="n">
        <v>45392</v>
      </c>
      <c r="E429" s="1" t="n">
        <v>46217</v>
      </c>
      <c r="F429" t="inlineStr">
        <is>
          <t>NORRBOTTENS LÄN</t>
        </is>
      </c>
      <c r="G429" t="inlineStr">
        <is>
          <t>JOKKMOKK</t>
        </is>
      </c>
      <c r="I429" t="n">
        <v>0</v>
      </c>
      <c r="J429" t="n">
        <v>0</v>
      </c>
      <c r="K429" t="n">
        <v>0</v>
      </c>
      <c r="L429" t="n">
        <v>0</v>
      </c>
      <c r="M429" t="n">
        <v>0</v>
      </c>
      <c r="N429" t="n">
        <v>0</v>
      </c>
      <c r="O429" t="n">
        <v>0</v>
      </c>
      <c r="P429" t="n">
        <v>0</v>
      </c>
      <c r="Q429" t="n">
        <v>0</v>
      </c>
      <c r="R429" t="n">
        <v>0</v>
      </c>
      <c r="S429" t="n">
        <v>0</v>
      </c>
      <c r="T429" t="n">
        <v>0</v>
      </c>
      <c r="U429" s="2" t="inlineStr"/>
    </row>
    <row r="430" ht="15" customHeight="1">
      <c r="A430" t="inlineStr">
        <is>
          <t>S 5227-2022</t>
        </is>
      </c>
      <c r="B430" t="inlineStr">
        <is>
          <t>samrådsanmälan</t>
        </is>
      </c>
      <c r="C430" t="inlineStr">
        <is>
          <t>Skogsbilväg</t>
        </is>
      </c>
      <c r="D430" s="1" t="n">
        <v>44823</v>
      </c>
      <c r="E430" s="1" t="n">
        <v>46217</v>
      </c>
      <c r="F430" t="inlineStr">
        <is>
          <t>NORRBOTTENS LÄN</t>
        </is>
      </c>
      <c r="G430" t="inlineStr">
        <is>
          <t>JOKKMOKK</t>
        </is>
      </c>
      <c r="H430" t="inlineStr">
        <is>
          <t>Övriga Aktiebolag</t>
        </is>
      </c>
      <c r="I430" t="n">
        <v>0.3</v>
      </c>
      <c r="J430" t="n">
        <v>0</v>
      </c>
      <c r="K430" t="n">
        <v>0</v>
      </c>
      <c r="L430" t="n">
        <v>0</v>
      </c>
      <c r="M430" t="n">
        <v>0</v>
      </c>
      <c r="N430" t="n">
        <v>0</v>
      </c>
      <c r="O430" t="n">
        <v>0</v>
      </c>
      <c r="P430" t="n">
        <v>0</v>
      </c>
      <c r="Q430" t="n">
        <v>0</v>
      </c>
      <c r="R430" t="n">
        <v>0</v>
      </c>
      <c r="S430" t="n">
        <v>0</v>
      </c>
      <c r="T430" t="n">
        <v>0</v>
      </c>
      <c r="U430" s="2" t="inlineStr"/>
    </row>
    <row r="431" ht="15" customHeight="1">
      <c r="A431" t="inlineStr">
        <is>
          <t>S 323-2024</t>
        </is>
      </c>
      <c r="B431" t="inlineStr">
        <is>
          <t>samrådsanmälan</t>
        </is>
      </c>
      <c r="C431" t="inlineStr">
        <is>
          <t>Skogsgödsling</t>
        </is>
      </c>
      <c r="D431" s="1" t="n">
        <v>45327</v>
      </c>
      <c r="E431" s="1" t="n">
        <v>46217</v>
      </c>
      <c r="F431" t="inlineStr">
        <is>
          <t>NORRBOTTENS LÄN</t>
        </is>
      </c>
      <c r="G431" t="inlineStr">
        <is>
          <t>JOKKMOKK</t>
        </is>
      </c>
      <c r="I431" t="n">
        <v>26.6</v>
      </c>
      <c r="J431" t="n">
        <v>0</v>
      </c>
      <c r="K431" t="n">
        <v>0</v>
      </c>
      <c r="L431" t="n">
        <v>0</v>
      </c>
      <c r="M431" t="n">
        <v>0</v>
      </c>
      <c r="N431" t="n">
        <v>0</v>
      </c>
      <c r="O431" t="n">
        <v>0</v>
      </c>
      <c r="P431" t="n">
        <v>0</v>
      </c>
      <c r="Q431" t="n">
        <v>0</v>
      </c>
      <c r="R431" t="n">
        <v>0</v>
      </c>
      <c r="S431" t="n">
        <v>0</v>
      </c>
      <c r="T431" t="n">
        <v>0</v>
      </c>
      <c r="U431" s="2" t="inlineStr"/>
    </row>
    <row r="432" ht="15" customHeight="1">
      <c r="A432" t="inlineStr">
        <is>
          <t>S 319-2024</t>
        </is>
      </c>
      <c r="B432" t="inlineStr">
        <is>
          <t>samrådsanmälan</t>
        </is>
      </c>
      <c r="C432" t="inlineStr">
        <is>
          <t>Skogsgödsling</t>
        </is>
      </c>
      <c r="D432" s="1" t="n">
        <v>45327</v>
      </c>
      <c r="E432" s="1" t="n">
        <v>46217</v>
      </c>
      <c r="F432" t="inlineStr">
        <is>
          <t>NORRBOTTENS LÄN</t>
        </is>
      </c>
      <c r="G432" t="inlineStr">
        <is>
          <t>JOKKMOKK</t>
        </is>
      </c>
      <c r="I432" t="n">
        <v>34.9</v>
      </c>
      <c r="J432" t="n">
        <v>0</v>
      </c>
      <c r="K432" t="n">
        <v>0</v>
      </c>
      <c r="L432" t="n">
        <v>0</v>
      </c>
      <c r="M432" t="n">
        <v>0</v>
      </c>
      <c r="N432" t="n">
        <v>0</v>
      </c>
      <c r="O432" t="n">
        <v>0</v>
      </c>
      <c r="P432" t="n">
        <v>0</v>
      </c>
      <c r="Q432" t="n">
        <v>0</v>
      </c>
      <c r="R432" t="n">
        <v>0</v>
      </c>
      <c r="S432" t="n">
        <v>0</v>
      </c>
      <c r="T432" t="n">
        <v>0</v>
      </c>
      <c r="U432" s="2" t="inlineStr"/>
    </row>
    <row r="433" ht="15" customHeight="1">
      <c r="A433" t="inlineStr">
        <is>
          <t>S 5257-2022</t>
        </is>
      </c>
      <c r="B433" t="inlineStr">
        <is>
          <t>samrådsanmälan</t>
        </is>
      </c>
      <c r="C433" t="inlineStr">
        <is>
          <t>Annan skogsbruksåtgärd</t>
        </is>
      </c>
      <c r="D433" s="1" t="n">
        <v>44824</v>
      </c>
      <c r="E433" s="1" t="n">
        <v>46217</v>
      </c>
      <c r="F433" t="inlineStr">
        <is>
          <t>NORRBOTTENS LÄN</t>
        </is>
      </c>
      <c r="G433" t="inlineStr">
        <is>
          <t>JOKKMOKK</t>
        </is>
      </c>
      <c r="H433" t="inlineStr">
        <is>
          <t>Övriga Aktiebolag</t>
        </is>
      </c>
      <c r="I433" t="n">
        <v>242.2</v>
      </c>
      <c r="J433" t="n">
        <v>0</v>
      </c>
      <c r="K433" t="n">
        <v>0</v>
      </c>
      <c r="L433" t="n">
        <v>0</v>
      </c>
      <c r="M433" t="n">
        <v>0</v>
      </c>
      <c r="N433" t="n">
        <v>0</v>
      </c>
      <c r="O433" t="n">
        <v>0</v>
      </c>
      <c r="P433" t="n">
        <v>0</v>
      </c>
      <c r="Q433" t="n">
        <v>0</v>
      </c>
      <c r="R433" t="n">
        <v>0</v>
      </c>
      <c r="S433" t="n">
        <v>0</v>
      </c>
      <c r="T433" t="n">
        <v>0</v>
      </c>
      <c r="U433" s="2" t="inlineStr"/>
    </row>
    <row r="434" ht="15" customHeight="1">
      <c r="A434" t="inlineStr">
        <is>
          <t>S 1163-2025</t>
        </is>
      </c>
      <c r="B434" t="inlineStr">
        <is>
          <t>samrådsanmälan</t>
        </is>
      </c>
      <c r="C434" t="inlineStr">
        <is>
          <t>Skogsgödsling</t>
        </is>
      </c>
      <c r="D434" s="1" t="n">
        <v>45756</v>
      </c>
      <c r="E434" s="1" t="n">
        <v>46217</v>
      </c>
      <c r="F434" t="inlineStr">
        <is>
          <t>NORRBOTTENS LÄN</t>
        </is>
      </c>
      <c r="G434" t="inlineStr">
        <is>
          <t>JOKKMOKK</t>
        </is>
      </c>
      <c r="I434" t="n">
        <v>18.7</v>
      </c>
      <c r="J434" t="n">
        <v>0</v>
      </c>
      <c r="K434" t="n">
        <v>0</v>
      </c>
      <c r="L434" t="n">
        <v>0</v>
      </c>
      <c r="M434" t="n">
        <v>0</v>
      </c>
      <c r="N434" t="n">
        <v>0</v>
      </c>
      <c r="O434" t="n">
        <v>0</v>
      </c>
      <c r="P434" t="n">
        <v>0</v>
      </c>
      <c r="Q434" t="n">
        <v>0</v>
      </c>
      <c r="R434" t="n">
        <v>0</v>
      </c>
      <c r="S434" t="n">
        <v>0</v>
      </c>
      <c r="T434" t="n">
        <v>0</v>
      </c>
      <c r="U434" s="2" t="inlineStr"/>
    </row>
    <row r="435" ht="15" customHeight="1">
      <c r="A435" t="inlineStr">
        <is>
          <t>S 2082-2025</t>
        </is>
      </c>
      <c r="B435" t="inlineStr">
        <is>
          <t>samrådsanmälan</t>
        </is>
      </c>
      <c r="C435" t="inlineStr">
        <is>
          <t>Annan skogsbruksåtgärd</t>
        </is>
      </c>
      <c r="D435" s="1" t="n">
        <v>45841</v>
      </c>
      <c r="E435" s="1" t="n">
        <v>46217</v>
      </c>
      <c r="F435" t="inlineStr">
        <is>
          <t>NORRBOTTENS LÄN</t>
        </is>
      </c>
      <c r="G435" t="inlineStr">
        <is>
          <t>JOKKMOKK</t>
        </is>
      </c>
      <c r="H435" t="inlineStr">
        <is>
          <t>Sveaskog</t>
        </is>
      </c>
      <c r="I435" t="n">
        <v>2.3</v>
      </c>
      <c r="J435" t="n">
        <v>0</v>
      </c>
      <c r="K435" t="n">
        <v>0</v>
      </c>
      <c r="L435" t="n">
        <v>0</v>
      </c>
      <c r="M435" t="n">
        <v>0</v>
      </c>
      <c r="N435" t="n">
        <v>0</v>
      </c>
      <c r="O435" t="n">
        <v>0</v>
      </c>
      <c r="P435" t="n">
        <v>0</v>
      </c>
      <c r="Q435" t="n">
        <v>0</v>
      </c>
      <c r="R435" t="n">
        <v>0</v>
      </c>
      <c r="S435" t="n">
        <v>0</v>
      </c>
      <c r="T435" t="n">
        <v>0</v>
      </c>
      <c r="U435" s="2" t="inlineStr"/>
    </row>
    <row r="436" ht="15" customHeight="1">
      <c r="A436" t="inlineStr">
        <is>
          <t>S 642-2026</t>
        </is>
      </c>
      <c r="B436" t="inlineStr">
        <is>
          <t>samrådsanmälan</t>
        </is>
      </c>
      <c r="C436" t="inlineStr">
        <is>
          <t>Annan skogsbruksåtgärd</t>
        </is>
      </c>
      <c r="D436" s="1" t="n">
        <v>46090</v>
      </c>
      <c r="E436" s="1" t="n">
        <v>46217</v>
      </c>
      <c r="F436" t="inlineStr">
        <is>
          <t>NORRBOTTENS LÄN</t>
        </is>
      </c>
      <c r="G436" t="inlineStr">
        <is>
          <t>JOKKMOKK</t>
        </is>
      </c>
      <c r="I436" t="n">
        <v>4</v>
      </c>
      <c r="J436" t="n">
        <v>0</v>
      </c>
      <c r="K436" t="n">
        <v>0</v>
      </c>
      <c r="L436" t="n">
        <v>0</v>
      </c>
      <c r="M436" t="n">
        <v>0</v>
      </c>
      <c r="N436" t="n">
        <v>0</v>
      </c>
      <c r="O436" t="n">
        <v>0</v>
      </c>
      <c r="P436" t="n">
        <v>0</v>
      </c>
      <c r="Q436" t="n">
        <v>0</v>
      </c>
      <c r="R436" t="n">
        <v>0</v>
      </c>
      <c r="S436" t="n">
        <v>0</v>
      </c>
      <c r="T436" t="n">
        <v>0</v>
      </c>
      <c r="U436" s="2" t="inlineStr"/>
    </row>
    <row r="437" ht="15" customHeight="1">
      <c r="A437" t="inlineStr">
        <is>
          <t>S 1313-2026</t>
        </is>
      </c>
      <c r="B437" t="inlineStr">
        <is>
          <t>samrådsanmälan</t>
        </is>
      </c>
      <c r="C437" t="inlineStr">
        <is>
          <t>Skogsgödsling</t>
        </is>
      </c>
      <c r="D437" s="1" t="n">
        <v>46148</v>
      </c>
      <c r="E437" s="1" t="n">
        <v>46217</v>
      </c>
      <c r="F437" t="inlineStr">
        <is>
          <t>NORRBOTTENS LÄN</t>
        </is>
      </c>
      <c r="G437" t="inlineStr">
        <is>
          <t>JOKKMOKK</t>
        </is>
      </c>
      <c r="I437" t="n">
        <v>28.4</v>
      </c>
      <c r="J437" t="n">
        <v>0</v>
      </c>
      <c r="K437" t="n">
        <v>0</v>
      </c>
      <c r="L437" t="n">
        <v>0</v>
      </c>
      <c r="M437" t="n">
        <v>0</v>
      </c>
      <c r="N437" t="n">
        <v>0</v>
      </c>
      <c r="O437" t="n">
        <v>0</v>
      </c>
      <c r="P437" t="n">
        <v>0</v>
      </c>
      <c r="Q437" t="n">
        <v>0</v>
      </c>
      <c r="R437" t="n">
        <v>0</v>
      </c>
      <c r="S437" t="n">
        <v>0</v>
      </c>
      <c r="T437" t="n">
        <v>0</v>
      </c>
      <c r="U437" s="2" t="inlineStr"/>
    </row>
    <row r="438" ht="15" customHeight="1">
      <c r="A438" t="inlineStr">
        <is>
          <t>S 1266-2026</t>
        </is>
      </c>
      <c r="B438" t="inlineStr">
        <is>
          <t>samrådsanmälan</t>
        </is>
      </c>
      <c r="C438" t="inlineStr">
        <is>
          <t>Skogsgödsling</t>
        </is>
      </c>
      <c r="D438" s="1" t="n">
        <v>46147</v>
      </c>
      <c r="E438" s="1" t="n">
        <v>46217</v>
      </c>
      <c r="F438" t="inlineStr">
        <is>
          <t>NORRBOTTENS LÄN</t>
        </is>
      </c>
      <c r="G438" t="inlineStr">
        <is>
          <t>JOKKMOKK</t>
        </is>
      </c>
      <c r="I438" t="n">
        <v>7.6</v>
      </c>
      <c r="J438" t="n">
        <v>0</v>
      </c>
      <c r="K438" t="n">
        <v>0</v>
      </c>
      <c r="L438" t="n">
        <v>0</v>
      </c>
      <c r="M438" t="n">
        <v>0</v>
      </c>
      <c r="N438" t="n">
        <v>0</v>
      </c>
      <c r="O438" t="n">
        <v>0</v>
      </c>
      <c r="P438" t="n">
        <v>0</v>
      </c>
      <c r="Q438" t="n">
        <v>0</v>
      </c>
      <c r="R438" t="n">
        <v>0</v>
      </c>
      <c r="S438" t="n">
        <v>0</v>
      </c>
      <c r="T438" t="n">
        <v>0</v>
      </c>
      <c r="U438" s="2" t="inlineStr"/>
    </row>
    <row r="439" ht="15" customHeight="1">
      <c r="A439" t="inlineStr">
        <is>
          <t>S 1282-2026</t>
        </is>
      </c>
      <c r="B439" t="inlineStr">
        <is>
          <t>samrådsanmälan</t>
        </is>
      </c>
      <c r="C439" t="inlineStr">
        <is>
          <t>Skogsgödsling</t>
        </is>
      </c>
      <c r="D439" s="1" t="n">
        <v>46147</v>
      </c>
      <c r="E439" s="1" t="n">
        <v>46217</v>
      </c>
      <c r="F439" t="inlineStr">
        <is>
          <t>NORRBOTTENS LÄN</t>
        </is>
      </c>
      <c r="G439" t="inlineStr">
        <is>
          <t>JOKKMOKK</t>
        </is>
      </c>
      <c r="I439" t="n">
        <v>24.5</v>
      </c>
      <c r="J439" t="n">
        <v>0</v>
      </c>
      <c r="K439" t="n">
        <v>0</v>
      </c>
      <c r="L439" t="n">
        <v>0</v>
      </c>
      <c r="M439" t="n">
        <v>0</v>
      </c>
      <c r="N439" t="n">
        <v>0</v>
      </c>
      <c r="O439" t="n">
        <v>0</v>
      </c>
      <c r="P439" t="n">
        <v>0</v>
      </c>
      <c r="Q439" t="n">
        <v>0</v>
      </c>
      <c r="R439" t="n">
        <v>0</v>
      </c>
      <c r="S439" t="n">
        <v>0</v>
      </c>
      <c r="T439" t="n">
        <v>0</v>
      </c>
      <c r="U439" s="2" t="inlineStr"/>
    </row>
    <row r="440" ht="15" customHeight="1">
      <c r="A440" t="inlineStr">
        <is>
          <t>S 1281-2026</t>
        </is>
      </c>
      <c r="B440" t="inlineStr">
        <is>
          <t>samrådsanmälan</t>
        </is>
      </c>
      <c r="C440" t="inlineStr">
        <is>
          <t>Skogsgödsling</t>
        </is>
      </c>
      <c r="D440" s="1" t="n">
        <v>46147</v>
      </c>
      <c r="E440" s="1" t="n">
        <v>46217</v>
      </c>
      <c r="F440" t="inlineStr">
        <is>
          <t>NORRBOTTENS LÄN</t>
        </is>
      </c>
      <c r="G440" t="inlineStr">
        <is>
          <t>JOKKMOKK</t>
        </is>
      </c>
      <c r="I440" t="n">
        <v>4.2</v>
      </c>
      <c r="J440" t="n">
        <v>0</v>
      </c>
      <c r="K440" t="n">
        <v>0</v>
      </c>
      <c r="L440" t="n">
        <v>0</v>
      </c>
      <c r="M440" t="n">
        <v>0</v>
      </c>
      <c r="N440" t="n">
        <v>0</v>
      </c>
      <c r="O440" t="n">
        <v>0</v>
      </c>
      <c r="P440" t="n">
        <v>0</v>
      </c>
      <c r="Q440" t="n">
        <v>0</v>
      </c>
      <c r="R440" t="n">
        <v>0</v>
      </c>
      <c r="S440" t="n">
        <v>0</v>
      </c>
      <c r="T440" t="n">
        <v>0</v>
      </c>
      <c r="U440" s="2" t="inlineStr"/>
    </row>
    <row r="441">
      <c r="A441" t="inlineStr">
        <is>
          <t>S 1291-2026</t>
        </is>
      </c>
      <c r="B441" t="inlineStr">
        <is>
          <t>samrådsanmälan</t>
        </is>
      </c>
      <c r="C441" t="inlineStr">
        <is>
          <t>Skogsgödsling</t>
        </is>
      </c>
      <c r="D441" s="1" t="n">
        <v>46148</v>
      </c>
      <c r="E441" s="1" t="n">
        <v>46217</v>
      </c>
      <c r="F441" t="inlineStr">
        <is>
          <t>NORRBOTTENS LÄN</t>
        </is>
      </c>
      <c r="G441" t="inlineStr">
        <is>
          <t>JOKKMOKK</t>
        </is>
      </c>
      <c r="I441" t="n">
        <v>6.7</v>
      </c>
      <c r="J441" t="n">
        <v>0</v>
      </c>
      <c r="K441" t="n">
        <v>0</v>
      </c>
      <c r="L441" t="n">
        <v>0</v>
      </c>
      <c r="M441" t="n">
        <v>0</v>
      </c>
      <c r="N441" t="n">
        <v>0</v>
      </c>
      <c r="O441" t="n">
        <v>0</v>
      </c>
      <c r="P441" t="n">
        <v>0</v>
      </c>
      <c r="Q441" t="n">
        <v>0</v>
      </c>
      <c r="R441" t="n">
        <v>0</v>
      </c>
      <c r="S441" t="n">
        <v>0</v>
      </c>
      <c r="T441" t="n">
        <v>0</v>
      </c>
      <c r="U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2026-07-14T09:00:15Z</dcterms:created>
  <dcterms:modified xmlns:dcterms="http://purl.org/dc/terms/" xmlns:xsi="http://www.w3.org/2001/XMLSchema-instance" xsi:type="dcterms:W3CDTF">2026-07-14T09:00:16Z</dcterms:modified>
</cp:coreProperties>
</file>