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46037</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46037</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46037</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46037</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46037</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46037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46037</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46037</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46037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46037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46037</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46037</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46037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46037</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46037</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46037</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46037</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22747-2025</t>
        </is>
      </c>
      <c r="B40" s="1" t="n">
        <v>45789.60505787037</v>
      </c>
      <c r="C40" s="1" t="n">
        <v>46037</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46037</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63039-2025</t>
        </is>
      </c>
      <c r="B42" s="1" t="n">
        <v>46009</v>
      </c>
      <c r="C42" s="1" t="n">
        <v>46037</v>
      </c>
      <c r="D42" t="inlineStr">
        <is>
          <t>NORRBOTTENS LÄN</t>
        </is>
      </c>
      <c r="E42" t="inlineStr">
        <is>
          <t>JOKKMOKK</t>
        </is>
      </c>
      <c r="F42" t="inlineStr">
        <is>
          <t>SCA</t>
        </is>
      </c>
      <c r="G42" t="n">
        <v>3.7</v>
      </c>
      <c r="H42" t="n">
        <v>2</v>
      </c>
      <c r="I42" t="n">
        <v>0</v>
      </c>
      <c r="J42" t="n">
        <v>3</v>
      </c>
      <c r="K42" t="n">
        <v>0</v>
      </c>
      <c r="L42" t="n">
        <v>0</v>
      </c>
      <c r="M42" t="n">
        <v>0</v>
      </c>
      <c r="N42" t="n">
        <v>0</v>
      </c>
      <c r="O42" t="n">
        <v>3</v>
      </c>
      <c r="P42" t="n">
        <v>0</v>
      </c>
      <c r="Q42" t="n">
        <v>3</v>
      </c>
      <c r="R42" s="2" t="inlineStr">
        <is>
          <t>Lappmes
Talltita
Ullticka</t>
        </is>
      </c>
      <c r="S42">
        <f>HYPERLINK("https://klasma.github.io/Logging_2510/artfynd/A 63039-2025 artfynd.xlsx", "A 63039-2025")</f>
        <v/>
      </c>
      <c r="T42">
        <f>HYPERLINK("https://klasma.github.io/Logging_2510/kartor/A 63039-2025 karta.png", "A 63039-2025")</f>
        <v/>
      </c>
      <c r="V42">
        <f>HYPERLINK("https://klasma.github.io/Logging_2510/klagomål/A 63039-2025 FSC-klagomål.docx", "A 63039-2025")</f>
        <v/>
      </c>
      <c r="W42">
        <f>HYPERLINK("https://klasma.github.io/Logging_2510/klagomålsmail/A 63039-2025 FSC-klagomål mail.docx", "A 63039-2025")</f>
        <v/>
      </c>
      <c r="X42">
        <f>HYPERLINK("https://klasma.github.io/Logging_2510/tillsyn/A 63039-2025 tillsynsbegäran.docx", "A 63039-2025")</f>
        <v/>
      </c>
      <c r="Y42">
        <f>HYPERLINK("https://klasma.github.io/Logging_2510/tillsynsmail/A 63039-2025 tillsynsbegäran mail.docx", "A 63039-2025")</f>
        <v/>
      </c>
      <c r="Z42">
        <f>HYPERLINK("https://klasma.github.io/Logging_2510/fåglar/A 63039-2025 prioriterade fågelarter.docx", "A 63039-2025")</f>
        <v/>
      </c>
    </row>
    <row r="43" ht="15" customHeight="1">
      <c r="A43" t="inlineStr">
        <is>
          <t>A 63444-2025</t>
        </is>
      </c>
      <c r="B43" s="1" t="n">
        <v>46013.39665509259</v>
      </c>
      <c r="C43" s="1" t="n">
        <v>46037</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33994-2023</t>
        </is>
      </c>
      <c r="B44" s="1" t="n">
        <v>45134</v>
      </c>
      <c r="C44" s="1" t="n">
        <v>46037</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72477-2021</t>
        </is>
      </c>
      <c r="B45" s="1" t="n">
        <v>44545</v>
      </c>
      <c r="C45" s="1" t="n">
        <v>46037</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46037</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33139-2023</t>
        </is>
      </c>
      <c r="B47" s="1" t="n">
        <v>45114</v>
      </c>
      <c r="C47" s="1" t="n">
        <v>46037</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6435-2025</t>
        </is>
      </c>
      <c r="B48" s="1" t="n">
        <v>45699</v>
      </c>
      <c r="C48" s="1" t="n">
        <v>46037</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24408-2022</t>
        </is>
      </c>
      <c r="B49" s="1" t="n">
        <v>44726</v>
      </c>
      <c r="C49" s="1" t="n">
        <v>46037</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46037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46037</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46037</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50237-2022</t>
        </is>
      </c>
      <c r="B53" s="1" t="n">
        <v>44865</v>
      </c>
      <c r="C53" s="1" t="n">
        <v>46037</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57700-2025</t>
        </is>
      </c>
      <c r="B54" s="1" t="n">
        <v>45981.46185185185</v>
      </c>
      <c r="C54" s="1" t="n">
        <v>46037</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46037</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32982-2023</t>
        </is>
      </c>
      <c r="B56" s="1" t="n">
        <v>45113</v>
      </c>
      <c r="C56" s="1" t="n">
        <v>46037</v>
      </c>
      <c r="D56" t="inlineStr">
        <is>
          <t>NORRBOTTENS LÄN</t>
        </is>
      </c>
      <c r="E56" t="inlineStr">
        <is>
          <t>JOKKMOKK</t>
        </is>
      </c>
      <c r="F56" t="inlineStr">
        <is>
          <t>Övriga statliga verk och myndigheter</t>
        </is>
      </c>
      <c r="G56" t="n">
        <v>9.199999999999999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59787-2025</t>
        </is>
      </c>
      <c r="B57" s="1" t="n">
        <v>45992.61405092593</v>
      </c>
      <c r="C57" s="1" t="n">
        <v>46037</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15827-2025</t>
        </is>
      </c>
      <c r="B58" s="1" t="n">
        <v>45748</v>
      </c>
      <c r="C58" s="1" t="n">
        <v>46037</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46037</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46037</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46037</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39850-2025</t>
        </is>
      </c>
      <c r="B62" s="1" t="n">
        <v>45891.58591435185</v>
      </c>
      <c r="C62" s="1" t="n">
        <v>46037</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46037</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29859-2025</t>
        </is>
      </c>
      <c r="B64" s="1" t="n">
        <v>45826.34621527778</v>
      </c>
      <c r="C64" s="1" t="n">
        <v>46037</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46037</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46037</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46037</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43023-2024</t>
        </is>
      </c>
      <c r="B68" s="1" t="n">
        <v>45567</v>
      </c>
      <c r="C68" s="1" t="n">
        <v>46037</v>
      </c>
      <c r="D68" t="inlineStr">
        <is>
          <t>NORRBOTTENS LÄN</t>
        </is>
      </c>
      <c r="E68" t="inlineStr">
        <is>
          <t>JOKKMOKK</t>
        </is>
      </c>
      <c r="F68" t="inlineStr">
        <is>
          <t>Sveaskog</t>
        </is>
      </c>
      <c r="G68" t="n">
        <v>11.1</v>
      </c>
      <c r="H68" t="n">
        <v>0</v>
      </c>
      <c r="I68" t="n">
        <v>1</v>
      </c>
      <c r="J68" t="n">
        <v>0</v>
      </c>
      <c r="K68" t="n">
        <v>0</v>
      </c>
      <c r="L68" t="n">
        <v>0</v>
      </c>
      <c r="M68" t="n">
        <v>0</v>
      </c>
      <c r="N68" t="n">
        <v>0</v>
      </c>
      <c r="O68" t="n">
        <v>0</v>
      </c>
      <c r="P68" t="n">
        <v>0</v>
      </c>
      <c r="Q68" t="n">
        <v>1</v>
      </c>
      <c r="R68" s="2" t="inlineStr">
        <is>
          <t>Skarp dropptaggsvamp</t>
        </is>
      </c>
      <c r="S68">
        <f>HYPERLINK("https://klasma.github.io/Logging_2510/artfynd/A 43023-2024 artfynd.xlsx", "A 43023-2024")</f>
        <v/>
      </c>
      <c r="T68">
        <f>HYPERLINK("https://klasma.github.io/Logging_2510/kartor/A 43023-2024 karta.png", "A 43023-2024")</f>
        <v/>
      </c>
      <c r="V68">
        <f>HYPERLINK("https://klasma.github.io/Logging_2510/klagomål/A 43023-2024 FSC-klagomål.docx", "A 43023-2024")</f>
        <v/>
      </c>
      <c r="W68">
        <f>HYPERLINK("https://klasma.github.io/Logging_2510/klagomålsmail/A 43023-2024 FSC-klagomål mail.docx", "A 43023-2024")</f>
        <v/>
      </c>
      <c r="X68">
        <f>HYPERLINK("https://klasma.github.io/Logging_2510/tillsyn/A 43023-2024 tillsynsbegäran.docx", "A 43023-2024")</f>
        <v/>
      </c>
      <c r="Y68">
        <f>HYPERLINK("https://klasma.github.io/Logging_2510/tillsynsmail/A 43023-2024 tillsynsbegäran mail.docx", "A 43023-2024")</f>
        <v/>
      </c>
    </row>
    <row r="69" ht="15" customHeight="1">
      <c r="A69" t="inlineStr">
        <is>
          <t>A 43039-2024</t>
        </is>
      </c>
      <c r="B69" s="1" t="n">
        <v>45567</v>
      </c>
      <c r="C69" s="1" t="n">
        <v>46037</v>
      </c>
      <c r="D69" t="inlineStr">
        <is>
          <t>NORRBOTTENS LÄN</t>
        </is>
      </c>
      <c r="E69" t="inlineStr">
        <is>
          <t>JOKKMOKK</t>
        </is>
      </c>
      <c r="F69" t="inlineStr">
        <is>
          <t>Sveaskog</t>
        </is>
      </c>
      <c r="G69" t="n">
        <v>8.199999999999999</v>
      </c>
      <c r="H69" t="n">
        <v>1</v>
      </c>
      <c r="I69" t="n">
        <v>0</v>
      </c>
      <c r="J69" t="n">
        <v>0</v>
      </c>
      <c r="K69" t="n">
        <v>1</v>
      </c>
      <c r="L69" t="n">
        <v>0</v>
      </c>
      <c r="M69" t="n">
        <v>0</v>
      </c>
      <c r="N69" t="n">
        <v>0</v>
      </c>
      <c r="O69" t="n">
        <v>1</v>
      </c>
      <c r="P69" t="n">
        <v>1</v>
      </c>
      <c r="Q69" t="n">
        <v>1</v>
      </c>
      <c r="R69" s="2" t="inlineStr">
        <is>
          <t>Doftticka</t>
        </is>
      </c>
      <c r="S69">
        <f>HYPERLINK("https://klasma.github.io/Logging_2510/artfynd/A 43039-2024 artfynd.xlsx", "A 43039-2024")</f>
        <v/>
      </c>
      <c r="T69">
        <f>HYPERLINK("https://klasma.github.io/Logging_2510/kartor/A 43039-2024 karta.png", "A 43039-2024")</f>
        <v/>
      </c>
      <c r="V69">
        <f>HYPERLINK("https://klasma.github.io/Logging_2510/klagomål/A 43039-2024 FSC-klagomål.docx", "A 43039-2024")</f>
        <v/>
      </c>
      <c r="W69">
        <f>HYPERLINK("https://klasma.github.io/Logging_2510/klagomålsmail/A 43039-2024 FSC-klagomål mail.docx", "A 43039-2024")</f>
        <v/>
      </c>
      <c r="X69">
        <f>HYPERLINK("https://klasma.github.io/Logging_2510/tillsyn/A 43039-2024 tillsynsbegäran.docx", "A 43039-2024")</f>
        <v/>
      </c>
      <c r="Y69">
        <f>HYPERLINK("https://klasma.github.io/Logging_2510/tillsynsmail/A 43039-2024 tillsynsbegäran mail.docx", "A 43039-2024")</f>
        <v/>
      </c>
    </row>
    <row r="70" ht="15" customHeight="1">
      <c r="A70" t="inlineStr">
        <is>
          <t>A 32669-2025</t>
        </is>
      </c>
      <c r="B70" s="1" t="n">
        <v>45838.69793981482</v>
      </c>
      <c r="C70" s="1" t="n">
        <v>46037</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46037</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50121-2024</t>
        </is>
      </c>
      <c r="B72" s="1" t="n">
        <v>45600.42096064815</v>
      </c>
      <c r="C72" s="1" t="n">
        <v>46037</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50391-2025</t>
        </is>
      </c>
      <c r="B73" s="1" t="n">
        <v>45944.61743055555</v>
      </c>
      <c r="C73" s="1" t="n">
        <v>46037</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52260-2024</t>
        </is>
      </c>
      <c r="B74" s="1" t="n">
        <v>45608</v>
      </c>
      <c r="C74" s="1" t="n">
        <v>46037</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46037</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46037</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37252-2025</t>
        </is>
      </c>
      <c r="B77" s="1" t="n">
        <v>45876.4228125</v>
      </c>
      <c r="C77" s="1" t="n">
        <v>46037</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53035-2025</t>
        </is>
      </c>
      <c r="B78" s="1" t="n">
        <v>45958.34751157407</v>
      </c>
      <c r="C78" s="1" t="n">
        <v>46037</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2031-2025</t>
        </is>
      </c>
      <c r="B79" s="1" t="n">
        <v>45672</v>
      </c>
      <c r="C79" s="1" t="n">
        <v>46037</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56324-2025</t>
        </is>
      </c>
      <c r="B80" s="1" t="n">
        <v>45974.63607638889</v>
      </c>
      <c r="C80" s="1" t="n">
        <v>46037</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388-2026</t>
        </is>
      </c>
      <c r="B81" s="1" t="n">
        <v>46027.86788194445</v>
      </c>
      <c r="C81" s="1" t="n">
        <v>46037</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40466-2023</t>
        </is>
      </c>
      <c r="B82" s="1" t="n">
        <v>45170</v>
      </c>
      <c r="C82" s="1" t="n">
        <v>46037</v>
      </c>
      <c r="D82" t="inlineStr">
        <is>
          <t>NORRBOTTENS LÄN</t>
        </is>
      </c>
      <c r="E82" t="inlineStr">
        <is>
          <t>JOKKMOKK</t>
        </is>
      </c>
      <c r="F82" t="inlineStr">
        <is>
          <t>Sveaskog</t>
        </is>
      </c>
      <c r="G82" t="n">
        <v>1.5</v>
      </c>
      <c r="H82" t="n">
        <v>0</v>
      </c>
      <c r="I82" t="n">
        <v>0</v>
      </c>
      <c r="J82" t="n">
        <v>1</v>
      </c>
      <c r="K82" t="n">
        <v>0</v>
      </c>
      <c r="L82" t="n">
        <v>0</v>
      </c>
      <c r="M82" t="n">
        <v>0</v>
      </c>
      <c r="N82" t="n">
        <v>0</v>
      </c>
      <c r="O82" t="n">
        <v>1</v>
      </c>
      <c r="P82" t="n">
        <v>0</v>
      </c>
      <c r="Q82" t="n">
        <v>1</v>
      </c>
      <c r="R82" s="2" t="inlineStr">
        <is>
          <t>Motaggsvamp</t>
        </is>
      </c>
      <c r="S82">
        <f>HYPERLINK("https://klasma.github.io/Logging_2510/artfynd/A 40466-2023 artfynd.xlsx", "A 40466-2023")</f>
        <v/>
      </c>
      <c r="T82">
        <f>HYPERLINK("https://klasma.github.io/Logging_2510/kartor/A 40466-2023 karta.png", "A 40466-2023")</f>
        <v/>
      </c>
      <c r="V82">
        <f>HYPERLINK("https://klasma.github.io/Logging_2510/klagomål/A 40466-2023 FSC-klagomål.docx", "A 40466-2023")</f>
        <v/>
      </c>
      <c r="W82">
        <f>HYPERLINK("https://klasma.github.io/Logging_2510/klagomålsmail/A 40466-2023 FSC-klagomål mail.docx", "A 40466-2023")</f>
        <v/>
      </c>
      <c r="X82">
        <f>HYPERLINK("https://klasma.github.io/Logging_2510/tillsyn/A 40466-2023 tillsynsbegäran.docx", "A 40466-2023")</f>
        <v/>
      </c>
      <c r="Y82">
        <f>HYPERLINK("https://klasma.github.io/Logging_2510/tillsynsmail/A 40466-2023 tillsynsbegäran mail.docx", "A 40466-2023")</f>
        <v/>
      </c>
    </row>
    <row r="83" ht="15" customHeight="1">
      <c r="A83" t="inlineStr">
        <is>
          <t>A 44147-2024</t>
        </is>
      </c>
      <c r="B83" s="1" t="n">
        <v>45572.67306712963</v>
      </c>
      <c r="C83" s="1" t="n">
        <v>46037</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38039-2021</t>
        </is>
      </c>
      <c r="B84" s="1" t="n">
        <v>44404</v>
      </c>
      <c r="C84" s="1" t="n">
        <v>46037</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46037</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46037</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46037</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46037</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46037</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46037</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46037</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46037</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46037</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46037</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46037</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46037</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46037</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46037</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46037</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46037</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46037</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46037</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46037</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46037</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46037</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46037</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46037</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46037</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46037</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46037</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46037</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46037</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46037</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46037</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46037</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46037</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46037</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46037</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46037</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46037</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46037</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46037</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46037</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46037</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46037</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46037</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46037</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46037</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46037</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46037</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46037</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46037</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46037</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46037</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46037</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46037</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46037</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46037</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23317-2025</t>
        </is>
      </c>
      <c r="B139" s="1" t="n">
        <v>45791.61278935185</v>
      </c>
      <c r="C139" s="1" t="n">
        <v>46037</v>
      </c>
      <c r="D139" t="inlineStr">
        <is>
          <t>NORRBOTTENS LÄN</t>
        </is>
      </c>
      <c r="E139" t="inlineStr">
        <is>
          <t>JOKKMOKK</t>
        </is>
      </c>
      <c r="F139" t="inlineStr">
        <is>
          <t>Sveaskog</t>
        </is>
      </c>
      <c r="G139" t="n">
        <v>22.4</v>
      </c>
      <c r="H139" t="n">
        <v>0</v>
      </c>
      <c r="I139" t="n">
        <v>0</v>
      </c>
      <c r="J139" t="n">
        <v>0</v>
      </c>
      <c r="K139" t="n">
        <v>0</v>
      </c>
      <c r="L139" t="n">
        <v>0</v>
      </c>
      <c r="M139" t="n">
        <v>0</v>
      </c>
      <c r="N139" t="n">
        <v>0</v>
      </c>
      <c r="O139" t="n">
        <v>0</v>
      </c>
      <c r="P139" t="n">
        <v>0</v>
      </c>
      <c r="Q139" t="n">
        <v>0</v>
      </c>
      <c r="R139" s="2" t="inlineStr"/>
    </row>
    <row r="140" ht="15" customHeight="1">
      <c r="A140" t="inlineStr">
        <is>
          <t>A 50568-2022</t>
        </is>
      </c>
      <c r="B140" s="1" t="n">
        <v>44866</v>
      </c>
      <c r="C140" s="1" t="n">
        <v>46037</v>
      </c>
      <c r="D140" t="inlineStr">
        <is>
          <t>NORRBOTTENS LÄN</t>
        </is>
      </c>
      <c r="E140" t="inlineStr">
        <is>
          <t>JOKKMOKK</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44646-2021</t>
        </is>
      </c>
      <c r="B141" s="1" t="n">
        <v>44437</v>
      </c>
      <c r="C141" s="1" t="n">
        <v>46037</v>
      </c>
      <c r="D141" t="inlineStr">
        <is>
          <t>NORRBOTTENS LÄN</t>
        </is>
      </c>
      <c r="E141" t="inlineStr">
        <is>
          <t>JOKKMOKK</t>
        </is>
      </c>
      <c r="G141" t="n">
        <v>10</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46037</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7273-2021</t>
        </is>
      </c>
      <c r="B143" s="1" t="n">
        <v>44238</v>
      </c>
      <c r="C143" s="1" t="n">
        <v>46037</v>
      </c>
      <c r="D143" t="inlineStr">
        <is>
          <t>NORRBOTTENS LÄN</t>
        </is>
      </c>
      <c r="E143" t="inlineStr">
        <is>
          <t>JOKKMOKK</t>
        </is>
      </c>
      <c r="F143" t="inlineStr">
        <is>
          <t>Övriga statliga verk och myndigheter</t>
        </is>
      </c>
      <c r="G143" t="n">
        <v>19.8</v>
      </c>
      <c r="H143" t="n">
        <v>0</v>
      </c>
      <c r="I143" t="n">
        <v>0</v>
      </c>
      <c r="J143" t="n">
        <v>0</v>
      </c>
      <c r="K143" t="n">
        <v>0</v>
      </c>
      <c r="L143" t="n">
        <v>0</v>
      </c>
      <c r="M143" t="n">
        <v>0</v>
      </c>
      <c r="N143" t="n">
        <v>0</v>
      </c>
      <c r="O143" t="n">
        <v>0</v>
      </c>
      <c r="P143" t="n">
        <v>0</v>
      </c>
      <c r="Q143" t="n">
        <v>0</v>
      </c>
      <c r="R143" s="2" t="inlineStr"/>
    </row>
    <row r="144" ht="15" customHeight="1">
      <c r="A144" t="inlineStr">
        <is>
          <t>A 38579-2025</t>
        </is>
      </c>
      <c r="B144" s="1" t="n">
        <v>45884.46925925926</v>
      </c>
      <c r="C144" s="1" t="n">
        <v>46037</v>
      </c>
      <c r="D144" t="inlineStr">
        <is>
          <t>NORRBOTTENS LÄN</t>
        </is>
      </c>
      <c r="E144" t="inlineStr">
        <is>
          <t>JOKKMOKK</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38223-2025</t>
        </is>
      </c>
      <c r="B145" s="1" t="n">
        <v>45883</v>
      </c>
      <c r="C145" s="1" t="n">
        <v>46037</v>
      </c>
      <c r="D145" t="inlineStr">
        <is>
          <t>NORRBOTTENS LÄN</t>
        </is>
      </c>
      <c r="E145" t="inlineStr">
        <is>
          <t>JOKKMOKK</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27657-2024</t>
        </is>
      </c>
      <c r="B146" s="1" t="n">
        <v>45474.95196759259</v>
      </c>
      <c r="C146" s="1" t="n">
        <v>46037</v>
      </c>
      <c r="D146" t="inlineStr">
        <is>
          <t>NORRBOTTENS LÄN</t>
        </is>
      </c>
      <c r="E146" t="inlineStr">
        <is>
          <t>JOKKMOKK</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27658-2024</t>
        </is>
      </c>
      <c r="B147" s="1" t="n">
        <v>45474.95246527778</v>
      </c>
      <c r="C147" s="1" t="n">
        <v>46037</v>
      </c>
      <c r="D147" t="inlineStr">
        <is>
          <t>NORRBOTTENS LÄN</t>
        </is>
      </c>
      <c r="E147" t="inlineStr">
        <is>
          <t>JOKKMOKK</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27653-2024</t>
        </is>
      </c>
      <c r="B148" s="1" t="n">
        <v>45474.95037037037</v>
      </c>
      <c r="C148" s="1" t="n">
        <v>46037</v>
      </c>
      <c r="D148" t="inlineStr">
        <is>
          <t>NORRBOTTENS LÄN</t>
        </is>
      </c>
      <c r="E148" t="inlineStr">
        <is>
          <t>JOKKMOKK</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27654-2024</t>
        </is>
      </c>
      <c r="B149" s="1" t="n">
        <v>45474</v>
      </c>
      <c r="C149" s="1" t="n">
        <v>46037</v>
      </c>
      <c r="D149" t="inlineStr">
        <is>
          <t>NORRBOTTENS LÄN</t>
        </is>
      </c>
      <c r="E149" t="inlineStr">
        <is>
          <t>JOKKMOKK</t>
        </is>
      </c>
      <c r="F149" t="inlineStr">
        <is>
          <t>SCA</t>
        </is>
      </c>
      <c r="G149" t="n">
        <v>2.7</v>
      </c>
      <c r="H149" t="n">
        <v>0</v>
      </c>
      <c r="I149" t="n">
        <v>0</v>
      </c>
      <c r="J149" t="n">
        <v>0</v>
      </c>
      <c r="K149" t="n">
        <v>0</v>
      </c>
      <c r="L149" t="n">
        <v>0</v>
      </c>
      <c r="M149" t="n">
        <v>0</v>
      </c>
      <c r="N149" t="n">
        <v>0</v>
      </c>
      <c r="O149" t="n">
        <v>0</v>
      </c>
      <c r="P149" t="n">
        <v>0</v>
      </c>
      <c r="Q149" t="n">
        <v>0</v>
      </c>
      <c r="R149" s="2" t="inlineStr"/>
    </row>
    <row r="150" ht="15" customHeight="1">
      <c r="A150" t="inlineStr">
        <is>
          <t>A 27656-2024</t>
        </is>
      </c>
      <c r="B150" s="1" t="n">
        <v>45474</v>
      </c>
      <c r="C150" s="1" t="n">
        <v>46037</v>
      </c>
      <c r="D150" t="inlineStr">
        <is>
          <t>NORRBOTTENS LÄN</t>
        </is>
      </c>
      <c r="E150" t="inlineStr">
        <is>
          <t>JOKKMOKK</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38228-2025</t>
        </is>
      </c>
      <c r="B151" s="1" t="n">
        <v>45883.34554398148</v>
      </c>
      <c r="C151" s="1" t="n">
        <v>46037</v>
      </c>
      <c r="D151" t="inlineStr">
        <is>
          <t>NORRBOTTENS LÄN</t>
        </is>
      </c>
      <c r="E151" t="inlineStr">
        <is>
          <t>JOKKMOKK</t>
        </is>
      </c>
      <c r="F151" t="inlineStr">
        <is>
          <t>SCA</t>
        </is>
      </c>
      <c r="G151" t="n">
        <v>14.5</v>
      </c>
      <c r="H151" t="n">
        <v>0</v>
      </c>
      <c r="I151" t="n">
        <v>0</v>
      </c>
      <c r="J151" t="n">
        <v>0</v>
      </c>
      <c r="K151" t="n">
        <v>0</v>
      </c>
      <c r="L151" t="n">
        <v>0</v>
      </c>
      <c r="M151" t="n">
        <v>0</v>
      </c>
      <c r="N151" t="n">
        <v>0</v>
      </c>
      <c r="O151" t="n">
        <v>0</v>
      </c>
      <c r="P151" t="n">
        <v>0</v>
      </c>
      <c r="Q151" t="n">
        <v>0</v>
      </c>
      <c r="R151" s="2" t="inlineStr"/>
    </row>
    <row r="152" ht="15" customHeight="1">
      <c r="A152" t="inlineStr">
        <is>
          <t>A 28036-2024</t>
        </is>
      </c>
      <c r="B152" s="1" t="n">
        <v>45476.49958333333</v>
      </c>
      <c r="C152" s="1" t="n">
        <v>46037</v>
      </c>
      <c r="D152" t="inlineStr">
        <is>
          <t>NORRBOTTENS LÄN</t>
        </is>
      </c>
      <c r="E152" t="inlineStr">
        <is>
          <t>JOKKMOKK</t>
        </is>
      </c>
      <c r="G152" t="n">
        <v>7.4</v>
      </c>
      <c r="H152" t="n">
        <v>0</v>
      </c>
      <c r="I152" t="n">
        <v>0</v>
      </c>
      <c r="J152" t="n">
        <v>0</v>
      </c>
      <c r="K152" t="n">
        <v>0</v>
      </c>
      <c r="L152" t="n">
        <v>0</v>
      </c>
      <c r="M152" t="n">
        <v>0</v>
      </c>
      <c r="N152" t="n">
        <v>0</v>
      </c>
      <c r="O152" t="n">
        <v>0</v>
      </c>
      <c r="P152" t="n">
        <v>0</v>
      </c>
      <c r="Q152" t="n">
        <v>0</v>
      </c>
      <c r="R152" s="2" t="inlineStr"/>
    </row>
    <row r="153" ht="15" customHeight="1">
      <c r="A153" t="inlineStr">
        <is>
          <t>A 60215-2023</t>
        </is>
      </c>
      <c r="B153" s="1" t="n">
        <v>45258.60766203704</v>
      </c>
      <c r="C153" s="1" t="n">
        <v>46037</v>
      </c>
      <c r="D153" t="inlineStr">
        <is>
          <t>NORRBOTTENS LÄN</t>
        </is>
      </c>
      <c r="E153" t="inlineStr">
        <is>
          <t>JOKKMOKK</t>
        </is>
      </c>
      <c r="F153" t="inlineStr">
        <is>
          <t>Allmännings- och besparingsskogar</t>
        </is>
      </c>
      <c r="G153" t="n">
        <v>7.8</v>
      </c>
      <c r="H153" t="n">
        <v>0</v>
      </c>
      <c r="I153" t="n">
        <v>0</v>
      </c>
      <c r="J153" t="n">
        <v>0</v>
      </c>
      <c r="K153" t="n">
        <v>0</v>
      </c>
      <c r="L153" t="n">
        <v>0</v>
      </c>
      <c r="M153" t="n">
        <v>0</v>
      </c>
      <c r="N153" t="n">
        <v>0</v>
      </c>
      <c r="O153" t="n">
        <v>0</v>
      </c>
      <c r="P153" t="n">
        <v>0</v>
      </c>
      <c r="Q153" t="n">
        <v>0</v>
      </c>
      <c r="R153" s="2" t="inlineStr"/>
    </row>
    <row r="154" ht="15" customHeight="1">
      <c r="A154" t="inlineStr">
        <is>
          <t>A 26969-2024</t>
        </is>
      </c>
      <c r="B154" s="1" t="n">
        <v>45471.27252314815</v>
      </c>
      <c r="C154" s="1" t="n">
        <v>46037</v>
      </c>
      <c r="D154" t="inlineStr">
        <is>
          <t>NORRBOTTENS LÄN</t>
        </is>
      </c>
      <c r="E154" t="inlineStr">
        <is>
          <t>JOKKMOKK</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24746-2025</t>
        </is>
      </c>
      <c r="B155" s="1" t="n">
        <v>45799.34662037037</v>
      </c>
      <c r="C155" s="1" t="n">
        <v>46037</v>
      </c>
      <c r="D155" t="inlineStr">
        <is>
          <t>NORRBOTTENS LÄN</t>
        </is>
      </c>
      <c r="E155" t="inlineStr">
        <is>
          <t>JOKKMOKK</t>
        </is>
      </c>
      <c r="F155" t="inlineStr">
        <is>
          <t>SCA</t>
        </is>
      </c>
      <c r="G155" t="n">
        <v>6.1</v>
      </c>
      <c r="H155" t="n">
        <v>0</v>
      </c>
      <c r="I155" t="n">
        <v>0</v>
      </c>
      <c r="J155" t="n">
        <v>0</v>
      </c>
      <c r="K155" t="n">
        <v>0</v>
      </c>
      <c r="L155" t="n">
        <v>0</v>
      </c>
      <c r="M155" t="n">
        <v>0</v>
      </c>
      <c r="N155" t="n">
        <v>0</v>
      </c>
      <c r="O155" t="n">
        <v>0</v>
      </c>
      <c r="P155" t="n">
        <v>0</v>
      </c>
      <c r="Q155" t="n">
        <v>0</v>
      </c>
      <c r="R155" s="2" t="inlineStr"/>
    </row>
    <row r="156" ht="15" customHeight="1">
      <c r="A156" t="inlineStr">
        <is>
          <t>A 25715-2024</t>
        </is>
      </c>
      <c r="B156" s="1" t="n">
        <v>45463</v>
      </c>
      <c r="C156" s="1" t="n">
        <v>46037</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24740-2025</t>
        </is>
      </c>
      <c r="B157" s="1" t="n">
        <v>45799.34543981482</v>
      </c>
      <c r="C157" s="1" t="n">
        <v>46037</v>
      </c>
      <c r="D157" t="inlineStr">
        <is>
          <t>NORRBOTTENS LÄN</t>
        </is>
      </c>
      <c r="E157" t="inlineStr">
        <is>
          <t>JOKKMOKK</t>
        </is>
      </c>
      <c r="F157" t="inlineStr">
        <is>
          <t>SCA</t>
        </is>
      </c>
      <c r="G157" t="n">
        <v>5.9</v>
      </c>
      <c r="H157" t="n">
        <v>0</v>
      </c>
      <c r="I157" t="n">
        <v>0</v>
      </c>
      <c r="J157" t="n">
        <v>0</v>
      </c>
      <c r="K157" t="n">
        <v>0</v>
      </c>
      <c r="L157" t="n">
        <v>0</v>
      </c>
      <c r="M157" t="n">
        <v>0</v>
      </c>
      <c r="N157" t="n">
        <v>0</v>
      </c>
      <c r="O157" t="n">
        <v>0</v>
      </c>
      <c r="P157" t="n">
        <v>0</v>
      </c>
      <c r="Q157" t="n">
        <v>0</v>
      </c>
      <c r="R157" s="2" t="inlineStr"/>
    </row>
    <row r="158" ht="15" customHeight="1">
      <c r="A158" t="inlineStr">
        <is>
          <t>A 24743-2025</t>
        </is>
      </c>
      <c r="B158" s="1" t="n">
        <v>45799.34598379629</v>
      </c>
      <c r="C158" s="1" t="n">
        <v>46037</v>
      </c>
      <c r="D158" t="inlineStr">
        <is>
          <t>NORRBOTTENS LÄN</t>
        </is>
      </c>
      <c r="E158" t="inlineStr">
        <is>
          <t>JOKKMOKK</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34609-2024</t>
        </is>
      </c>
      <c r="B159" s="1" t="n">
        <v>45526</v>
      </c>
      <c r="C159" s="1" t="n">
        <v>46037</v>
      </c>
      <c r="D159" t="inlineStr">
        <is>
          <t>NORRBOTTENS LÄN</t>
        </is>
      </c>
      <c r="E159" t="inlineStr">
        <is>
          <t>JOKKMOKK</t>
        </is>
      </c>
      <c r="G159" t="n">
        <v>27</v>
      </c>
      <c r="H159" t="n">
        <v>0</v>
      </c>
      <c r="I159" t="n">
        <v>0</v>
      </c>
      <c r="J159" t="n">
        <v>0</v>
      </c>
      <c r="K159" t="n">
        <v>0</v>
      </c>
      <c r="L159" t="n">
        <v>0</v>
      </c>
      <c r="M159" t="n">
        <v>0</v>
      </c>
      <c r="N159" t="n">
        <v>0</v>
      </c>
      <c r="O159" t="n">
        <v>0</v>
      </c>
      <c r="P159" t="n">
        <v>0</v>
      </c>
      <c r="Q159" t="n">
        <v>0</v>
      </c>
      <c r="R159" s="2" t="inlineStr"/>
    </row>
    <row r="160" ht="15" customHeight="1">
      <c r="A160" t="inlineStr">
        <is>
          <t>A 60418-2023</t>
        </is>
      </c>
      <c r="B160" s="1" t="n">
        <v>45259.49666666667</v>
      </c>
      <c r="C160" s="1" t="n">
        <v>46037</v>
      </c>
      <c r="D160" t="inlineStr">
        <is>
          <t>NORRBOTTENS LÄN</t>
        </is>
      </c>
      <c r="E160" t="inlineStr">
        <is>
          <t>JOKKMOKK</t>
        </is>
      </c>
      <c r="F160" t="inlineStr">
        <is>
          <t>Allmännings- och besparingsskogar</t>
        </is>
      </c>
      <c r="G160" t="n">
        <v>12.7</v>
      </c>
      <c r="H160" t="n">
        <v>0</v>
      </c>
      <c r="I160" t="n">
        <v>0</v>
      </c>
      <c r="J160" t="n">
        <v>0</v>
      </c>
      <c r="K160" t="n">
        <v>0</v>
      </c>
      <c r="L160" t="n">
        <v>0</v>
      </c>
      <c r="M160" t="n">
        <v>0</v>
      </c>
      <c r="N160" t="n">
        <v>0</v>
      </c>
      <c r="O160" t="n">
        <v>0</v>
      </c>
      <c r="P160" t="n">
        <v>0</v>
      </c>
      <c r="Q160" t="n">
        <v>0</v>
      </c>
      <c r="R160" s="2" t="inlineStr"/>
    </row>
    <row r="161" ht="15" customHeight="1">
      <c r="A161" t="inlineStr">
        <is>
          <t>A 6777-2023</t>
        </is>
      </c>
      <c r="B161" s="1" t="n">
        <v>44966</v>
      </c>
      <c r="C161" s="1" t="n">
        <v>46037</v>
      </c>
      <c r="D161" t="inlineStr">
        <is>
          <t>NORRBOTTENS LÄN</t>
        </is>
      </c>
      <c r="E161" t="inlineStr">
        <is>
          <t>JOKKMOKK</t>
        </is>
      </c>
      <c r="G161" t="n">
        <v>2.2</v>
      </c>
      <c r="H161" t="n">
        <v>0</v>
      </c>
      <c r="I161" t="n">
        <v>0</v>
      </c>
      <c r="J161" t="n">
        <v>0</v>
      </c>
      <c r="K161" t="n">
        <v>0</v>
      </c>
      <c r="L161" t="n">
        <v>0</v>
      </c>
      <c r="M161" t="n">
        <v>0</v>
      </c>
      <c r="N161" t="n">
        <v>0</v>
      </c>
      <c r="O161" t="n">
        <v>0</v>
      </c>
      <c r="P161" t="n">
        <v>0</v>
      </c>
      <c r="Q161" t="n">
        <v>0</v>
      </c>
      <c r="R161" s="2" t="inlineStr"/>
    </row>
    <row r="162" ht="15" customHeight="1">
      <c r="A162" t="inlineStr">
        <is>
          <t>A 60164-2023</t>
        </is>
      </c>
      <c r="B162" s="1" t="n">
        <v>45258</v>
      </c>
      <c r="C162" s="1" t="n">
        <v>46037</v>
      </c>
      <c r="D162" t="inlineStr">
        <is>
          <t>NORRBOTTENS LÄN</t>
        </is>
      </c>
      <c r="E162" t="inlineStr">
        <is>
          <t>JOKKMOKK</t>
        </is>
      </c>
      <c r="F162" t="inlineStr">
        <is>
          <t>Allmännings- och besparingsskogar</t>
        </is>
      </c>
      <c r="G162" t="n">
        <v>14.3</v>
      </c>
      <c r="H162" t="n">
        <v>0</v>
      </c>
      <c r="I162" t="n">
        <v>0</v>
      </c>
      <c r="J162" t="n">
        <v>0</v>
      </c>
      <c r="K162" t="n">
        <v>0</v>
      </c>
      <c r="L162" t="n">
        <v>0</v>
      </c>
      <c r="M162" t="n">
        <v>0</v>
      </c>
      <c r="N162" t="n">
        <v>0</v>
      </c>
      <c r="O162" t="n">
        <v>0</v>
      </c>
      <c r="P162" t="n">
        <v>0</v>
      </c>
      <c r="Q162" t="n">
        <v>0</v>
      </c>
      <c r="R162" s="2" t="inlineStr"/>
    </row>
    <row r="163" ht="15" customHeight="1">
      <c r="A163" t="inlineStr">
        <is>
          <t>A 49562-2024</t>
        </is>
      </c>
      <c r="B163" s="1" t="n">
        <v>45596</v>
      </c>
      <c r="C163" s="1" t="n">
        <v>46037</v>
      </c>
      <c r="D163" t="inlineStr">
        <is>
          <t>NORRBOTTENS LÄN</t>
        </is>
      </c>
      <c r="E163" t="inlineStr">
        <is>
          <t>JOKKMOKK</t>
        </is>
      </c>
      <c r="F163" t="inlineStr">
        <is>
          <t>Allmännings- och besparingsskogar</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49953-2024</t>
        </is>
      </c>
      <c r="B164" s="1" t="n">
        <v>45597</v>
      </c>
      <c r="C164" s="1" t="n">
        <v>46037</v>
      </c>
      <c r="D164" t="inlineStr">
        <is>
          <t>NORRBOTTENS LÄN</t>
        </is>
      </c>
      <c r="E164" t="inlineStr">
        <is>
          <t>JOKKMOKK</t>
        </is>
      </c>
      <c r="F164" t="inlineStr">
        <is>
          <t>Allmännings- och besparingsskogar</t>
        </is>
      </c>
      <c r="G164" t="n">
        <v>9.4</v>
      </c>
      <c r="H164" t="n">
        <v>0</v>
      </c>
      <c r="I164" t="n">
        <v>0</v>
      </c>
      <c r="J164" t="n">
        <v>0</v>
      </c>
      <c r="K164" t="n">
        <v>0</v>
      </c>
      <c r="L164" t="n">
        <v>0</v>
      </c>
      <c r="M164" t="n">
        <v>0</v>
      </c>
      <c r="N164" t="n">
        <v>0</v>
      </c>
      <c r="O164" t="n">
        <v>0</v>
      </c>
      <c r="P164" t="n">
        <v>0</v>
      </c>
      <c r="Q164" t="n">
        <v>0</v>
      </c>
      <c r="R164" s="2" t="inlineStr"/>
    </row>
    <row r="165" ht="15" customHeight="1">
      <c r="A165" t="inlineStr">
        <is>
          <t>A 37828-2024</t>
        </is>
      </c>
      <c r="B165" s="1" t="n">
        <v>45544</v>
      </c>
      <c r="C165" s="1" t="n">
        <v>46037</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52130-2024</t>
        </is>
      </c>
      <c r="B166" s="1" t="n">
        <v>45608</v>
      </c>
      <c r="C166" s="1" t="n">
        <v>46037</v>
      </c>
      <c r="D166" t="inlineStr">
        <is>
          <t>NORRBOTTENS LÄN</t>
        </is>
      </c>
      <c r="E166" t="inlineStr">
        <is>
          <t>JOKKMOKK</t>
        </is>
      </c>
      <c r="G166" t="n">
        <v>84</v>
      </c>
      <c r="H166" t="n">
        <v>0</v>
      </c>
      <c r="I166" t="n">
        <v>0</v>
      </c>
      <c r="J166" t="n">
        <v>0</v>
      </c>
      <c r="K166" t="n">
        <v>0</v>
      </c>
      <c r="L166" t="n">
        <v>0</v>
      </c>
      <c r="M166" t="n">
        <v>0</v>
      </c>
      <c r="N166" t="n">
        <v>0</v>
      </c>
      <c r="O166" t="n">
        <v>0</v>
      </c>
      <c r="P166" t="n">
        <v>0</v>
      </c>
      <c r="Q166" t="n">
        <v>0</v>
      </c>
      <c r="R166" s="2" t="inlineStr"/>
    </row>
    <row r="167" ht="15" customHeight="1">
      <c r="A167" t="inlineStr">
        <is>
          <t>A 18602-2024</t>
        </is>
      </c>
      <c r="B167" s="1" t="n">
        <v>45425</v>
      </c>
      <c r="C167" s="1" t="n">
        <v>46037</v>
      </c>
      <c r="D167" t="inlineStr">
        <is>
          <t>NORRBOTTENS LÄN</t>
        </is>
      </c>
      <c r="E167" t="inlineStr">
        <is>
          <t>JOKKMOKK</t>
        </is>
      </c>
      <c r="G167" t="n">
        <v>4.6</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46037</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55635-2024</t>
        </is>
      </c>
      <c r="B169" s="1" t="n">
        <v>45622</v>
      </c>
      <c r="C169" s="1" t="n">
        <v>46037</v>
      </c>
      <c r="D169" t="inlineStr">
        <is>
          <t>NORRBOTTENS LÄN</t>
        </is>
      </c>
      <c r="E169" t="inlineStr">
        <is>
          <t>JOKKMOKK</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35675-2024</t>
        </is>
      </c>
      <c r="B170" s="1" t="n">
        <v>45532</v>
      </c>
      <c r="C170" s="1" t="n">
        <v>46037</v>
      </c>
      <c r="D170" t="inlineStr">
        <is>
          <t>NORRBOTTENS LÄN</t>
        </is>
      </c>
      <c r="E170" t="inlineStr">
        <is>
          <t>JOKKMOKK</t>
        </is>
      </c>
      <c r="G170" t="n">
        <v>1.4</v>
      </c>
      <c r="H170" t="n">
        <v>0</v>
      </c>
      <c r="I170" t="n">
        <v>0</v>
      </c>
      <c r="J170" t="n">
        <v>0</v>
      </c>
      <c r="K170" t="n">
        <v>0</v>
      </c>
      <c r="L170" t="n">
        <v>0</v>
      </c>
      <c r="M170" t="n">
        <v>0</v>
      </c>
      <c r="N170" t="n">
        <v>0</v>
      </c>
      <c r="O170" t="n">
        <v>0</v>
      </c>
      <c r="P170" t="n">
        <v>0</v>
      </c>
      <c r="Q170" t="n">
        <v>0</v>
      </c>
      <c r="R170" s="2" t="inlineStr"/>
    </row>
    <row r="171" ht="15" customHeight="1">
      <c r="A171" t="inlineStr">
        <is>
          <t>A 31535-2024</t>
        </is>
      </c>
      <c r="B171" s="1" t="n">
        <v>45505</v>
      </c>
      <c r="C171" s="1" t="n">
        <v>46037</v>
      </c>
      <c r="D171" t="inlineStr">
        <is>
          <t>NORRBOTTENS LÄN</t>
        </is>
      </c>
      <c r="E171" t="inlineStr">
        <is>
          <t>JOKKMOKK</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51336-2024</t>
        </is>
      </c>
      <c r="B172" s="1" t="n">
        <v>45604.34443287037</v>
      </c>
      <c r="C172" s="1" t="n">
        <v>46037</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48645-2025</t>
        </is>
      </c>
      <c r="B173" s="1" t="n">
        <v>45935</v>
      </c>
      <c r="C173" s="1" t="n">
        <v>46037</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9349-2023</t>
        </is>
      </c>
      <c r="B174" s="1" t="n">
        <v>44980</v>
      </c>
      <c r="C174" s="1" t="n">
        <v>46037</v>
      </c>
      <c r="D174" t="inlineStr">
        <is>
          <t>NORRBOTTENS LÄN</t>
        </is>
      </c>
      <c r="E174" t="inlineStr">
        <is>
          <t>JOKKMOKK</t>
        </is>
      </c>
      <c r="F174" t="inlineStr">
        <is>
          <t>SCA</t>
        </is>
      </c>
      <c r="G174" t="n">
        <v>5.2</v>
      </c>
      <c r="H174" t="n">
        <v>0</v>
      </c>
      <c r="I174" t="n">
        <v>0</v>
      </c>
      <c r="J174" t="n">
        <v>0</v>
      </c>
      <c r="K174" t="n">
        <v>0</v>
      </c>
      <c r="L174" t="n">
        <v>0</v>
      </c>
      <c r="M174" t="n">
        <v>0</v>
      </c>
      <c r="N174" t="n">
        <v>0</v>
      </c>
      <c r="O174" t="n">
        <v>0</v>
      </c>
      <c r="P174" t="n">
        <v>0</v>
      </c>
      <c r="Q174" t="n">
        <v>0</v>
      </c>
      <c r="R174" s="2" t="inlineStr"/>
    </row>
    <row r="175" ht="15" customHeight="1">
      <c r="A175" t="inlineStr">
        <is>
          <t>A 9351-2023</t>
        </is>
      </c>
      <c r="B175" s="1" t="n">
        <v>44980</v>
      </c>
      <c r="C175" s="1" t="n">
        <v>46037</v>
      </c>
      <c r="D175" t="inlineStr">
        <is>
          <t>NORRBOTTENS LÄN</t>
        </is>
      </c>
      <c r="E175" t="inlineStr">
        <is>
          <t>JOKKMOKK</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56412-2021</t>
        </is>
      </c>
      <c r="B176" s="1" t="n">
        <v>44477</v>
      </c>
      <c r="C176" s="1" t="n">
        <v>46037</v>
      </c>
      <c r="D176" t="inlineStr">
        <is>
          <t>NORRBOTTENS LÄN</t>
        </is>
      </c>
      <c r="E176" t="inlineStr">
        <is>
          <t>JOKKMOKK</t>
        </is>
      </c>
      <c r="G176" t="n">
        <v>2.5</v>
      </c>
      <c r="H176" t="n">
        <v>0</v>
      </c>
      <c r="I176" t="n">
        <v>0</v>
      </c>
      <c r="J176" t="n">
        <v>0</v>
      </c>
      <c r="K176" t="n">
        <v>0</v>
      </c>
      <c r="L176" t="n">
        <v>0</v>
      </c>
      <c r="M176" t="n">
        <v>0</v>
      </c>
      <c r="N176" t="n">
        <v>0</v>
      </c>
      <c r="O176" t="n">
        <v>0</v>
      </c>
      <c r="P176" t="n">
        <v>0</v>
      </c>
      <c r="Q176" t="n">
        <v>0</v>
      </c>
      <c r="R176" s="2" t="inlineStr"/>
    </row>
    <row r="177" ht="15" customHeight="1">
      <c r="A177" t="inlineStr">
        <is>
          <t>A 40756-2025</t>
        </is>
      </c>
      <c r="B177" s="1" t="n">
        <v>45897.38686342593</v>
      </c>
      <c r="C177" s="1" t="n">
        <v>46037</v>
      </c>
      <c r="D177" t="inlineStr">
        <is>
          <t>NORRBOTTENS LÄN</t>
        </is>
      </c>
      <c r="E177" t="inlineStr">
        <is>
          <t>JOKKMOKK</t>
        </is>
      </c>
      <c r="G177" t="n">
        <v>24.7</v>
      </c>
      <c r="H177" t="n">
        <v>0</v>
      </c>
      <c r="I177" t="n">
        <v>0</v>
      </c>
      <c r="J177" t="n">
        <v>0</v>
      </c>
      <c r="K177" t="n">
        <v>0</v>
      </c>
      <c r="L177" t="n">
        <v>0</v>
      </c>
      <c r="M177" t="n">
        <v>0</v>
      </c>
      <c r="N177" t="n">
        <v>0</v>
      </c>
      <c r="O177" t="n">
        <v>0</v>
      </c>
      <c r="P177" t="n">
        <v>0</v>
      </c>
      <c r="Q177" t="n">
        <v>0</v>
      </c>
      <c r="R177" s="2" t="inlineStr"/>
    </row>
    <row r="178" ht="15" customHeight="1">
      <c r="A178" t="inlineStr">
        <is>
          <t>A 40779-2025</t>
        </is>
      </c>
      <c r="B178" s="1" t="n">
        <v>45897</v>
      </c>
      <c r="C178" s="1" t="n">
        <v>46037</v>
      </c>
      <c r="D178" t="inlineStr">
        <is>
          <t>NORRBOTTENS LÄN</t>
        </is>
      </c>
      <c r="E178" t="inlineStr">
        <is>
          <t>JOKKMOKK</t>
        </is>
      </c>
      <c r="F178" t="inlineStr">
        <is>
          <t>Sveaskog</t>
        </is>
      </c>
      <c r="G178" t="n">
        <v>53.8</v>
      </c>
      <c r="H178" t="n">
        <v>0</v>
      </c>
      <c r="I178" t="n">
        <v>0</v>
      </c>
      <c r="J178" t="n">
        <v>0</v>
      </c>
      <c r="K178" t="n">
        <v>0</v>
      </c>
      <c r="L178" t="n">
        <v>0</v>
      </c>
      <c r="M178" t="n">
        <v>0</v>
      </c>
      <c r="N178" t="n">
        <v>0</v>
      </c>
      <c r="O178" t="n">
        <v>0</v>
      </c>
      <c r="P178" t="n">
        <v>0</v>
      </c>
      <c r="Q178" t="n">
        <v>0</v>
      </c>
      <c r="R178" s="2" t="inlineStr"/>
    </row>
    <row r="179" ht="15" customHeight="1">
      <c r="A179" t="inlineStr">
        <is>
          <t>A 45512-2022</t>
        </is>
      </c>
      <c r="B179" s="1" t="n">
        <v>44841</v>
      </c>
      <c r="C179" s="1" t="n">
        <v>46037</v>
      </c>
      <c r="D179" t="inlineStr">
        <is>
          <t>NORRBOTTENS LÄN</t>
        </is>
      </c>
      <c r="E179" t="inlineStr">
        <is>
          <t>JOKKMOKK</t>
        </is>
      </c>
      <c r="F179" t="inlineStr">
        <is>
          <t>Övriga Aktiebolag</t>
        </is>
      </c>
      <c r="G179" t="n">
        <v>0.6</v>
      </c>
      <c r="H179" t="n">
        <v>0</v>
      </c>
      <c r="I179" t="n">
        <v>0</v>
      </c>
      <c r="J179" t="n">
        <v>0</v>
      </c>
      <c r="K179" t="n">
        <v>0</v>
      </c>
      <c r="L179" t="n">
        <v>0</v>
      </c>
      <c r="M179" t="n">
        <v>0</v>
      </c>
      <c r="N179" t="n">
        <v>0</v>
      </c>
      <c r="O179" t="n">
        <v>0</v>
      </c>
      <c r="P179" t="n">
        <v>0</v>
      </c>
      <c r="Q179" t="n">
        <v>0</v>
      </c>
      <c r="R179" s="2" t="inlineStr"/>
    </row>
    <row r="180" ht="15" customHeight="1">
      <c r="A180" t="inlineStr">
        <is>
          <t>A 40808-2025</t>
        </is>
      </c>
      <c r="B180" s="1" t="n">
        <v>45897.46922453704</v>
      </c>
      <c r="C180" s="1" t="n">
        <v>46037</v>
      </c>
      <c r="D180" t="inlineStr">
        <is>
          <t>NORRBOTTENS LÄN</t>
        </is>
      </c>
      <c r="E180" t="inlineStr">
        <is>
          <t>JOKKMOKK</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27685-2025</t>
        </is>
      </c>
      <c r="B181" s="1" t="n">
        <v>45813.65023148148</v>
      </c>
      <c r="C181" s="1" t="n">
        <v>46037</v>
      </c>
      <c r="D181" t="inlineStr">
        <is>
          <t>NORRBOTTENS LÄN</t>
        </is>
      </c>
      <c r="E181" t="inlineStr">
        <is>
          <t>JOKKMOKK</t>
        </is>
      </c>
      <c r="G181" t="n">
        <v>2</v>
      </c>
      <c r="H181" t="n">
        <v>0</v>
      </c>
      <c r="I181" t="n">
        <v>0</v>
      </c>
      <c r="J181" t="n">
        <v>0</v>
      </c>
      <c r="K181" t="n">
        <v>0</v>
      </c>
      <c r="L181" t="n">
        <v>0</v>
      </c>
      <c r="M181" t="n">
        <v>0</v>
      </c>
      <c r="N181" t="n">
        <v>0</v>
      </c>
      <c r="O181" t="n">
        <v>0</v>
      </c>
      <c r="P181" t="n">
        <v>0</v>
      </c>
      <c r="Q181" t="n">
        <v>0</v>
      </c>
      <c r="R181" s="2" t="inlineStr"/>
    </row>
    <row r="182" ht="15" customHeight="1">
      <c r="A182" t="inlineStr">
        <is>
          <t>A 41403-2025</t>
        </is>
      </c>
      <c r="B182" s="1" t="n">
        <v>45901.344375</v>
      </c>
      <c r="C182" s="1" t="n">
        <v>46037</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9878-2023</t>
        </is>
      </c>
      <c r="B183" s="1" t="n">
        <v>44984</v>
      </c>
      <c r="C183" s="1" t="n">
        <v>46037</v>
      </c>
      <c r="D183" t="inlineStr">
        <is>
          <t>NORRBOTTENS LÄN</t>
        </is>
      </c>
      <c r="E183" t="inlineStr">
        <is>
          <t>JOKKMOKK</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42322-2025</t>
        </is>
      </c>
      <c r="B184" s="1" t="n">
        <v>45904</v>
      </c>
      <c r="C184" s="1" t="n">
        <v>46037</v>
      </c>
      <c r="D184" t="inlineStr">
        <is>
          <t>NORRBOTTENS LÄN</t>
        </is>
      </c>
      <c r="E184" t="inlineStr">
        <is>
          <t>JOKKMOKK</t>
        </is>
      </c>
      <c r="G184" t="n">
        <v>3.8</v>
      </c>
      <c r="H184" t="n">
        <v>0</v>
      </c>
      <c r="I184" t="n">
        <v>0</v>
      </c>
      <c r="J184" t="n">
        <v>0</v>
      </c>
      <c r="K184" t="n">
        <v>0</v>
      </c>
      <c r="L184" t="n">
        <v>0</v>
      </c>
      <c r="M184" t="n">
        <v>0</v>
      </c>
      <c r="N184" t="n">
        <v>0</v>
      </c>
      <c r="O184" t="n">
        <v>0</v>
      </c>
      <c r="P184" t="n">
        <v>0</v>
      </c>
      <c r="Q184" t="n">
        <v>0</v>
      </c>
      <c r="R184" s="2" t="inlineStr"/>
    </row>
    <row r="185" ht="15" customHeight="1">
      <c r="A185" t="inlineStr">
        <is>
          <t>A 42126-2025</t>
        </is>
      </c>
      <c r="B185" s="1" t="n">
        <v>45904.34486111111</v>
      </c>
      <c r="C185" s="1" t="n">
        <v>46037</v>
      </c>
      <c r="D185" t="inlineStr">
        <is>
          <t>NORRBOTTENS LÄN</t>
        </is>
      </c>
      <c r="E185" t="inlineStr">
        <is>
          <t>JOKKMOKK</t>
        </is>
      </c>
      <c r="F185" t="inlineStr">
        <is>
          <t>SCA</t>
        </is>
      </c>
      <c r="G185" t="n">
        <v>4.9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46037</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23023-2023</t>
        </is>
      </c>
      <c r="B187" s="1" t="n">
        <v>45073</v>
      </c>
      <c r="C187" s="1" t="n">
        <v>46037</v>
      </c>
      <c r="D187" t="inlineStr">
        <is>
          <t>NORRBOTTENS LÄN</t>
        </is>
      </c>
      <c r="E187" t="inlineStr">
        <is>
          <t>JOKKMOKK</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42575-2025</t>
        </is>
      </c>
      <c r="B188" s="1" t="n">
        <v>45905.61263888889</v>
      </c>
      <c r="C188" s="1" t="n">
        <v>46037</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42664-2025</t>
        </is>
      </c>
      <c r="B189" s="1" t="n">
        <v>45907</v>
      </c>
      <c r="C189" s="1" t="n">
        <v>46037</v>
      </c>
      <c r="D189" t="inlineStr">
        <is>
          <t>NORRBOTTENS LÄN</t>
        </is>
      </c>
      <c r="E189" t="inlineStr">
        <is>
          <t>JOKKMOKK</t>
        </is>
      </c>
      <c r="G189" t="n">
        <v>1.9</v>
      </c>
      <c r="H189" t="n">
        <v>0</v>
      </c>
      <c r="I189" t="n">
        <v>0</v>
      </c>
      <c r="J189" t="n">
        <v>0</v>
      </c>
      <c r="K189" t="n">
        <v>0</v>
      </c>
      <c r="L189" t="n">
        <v>0</v>
      </c>
      <c r="M189" t="n">
        <v>0</v>
      </c>
      <c r="N189" t="n">
        <v>0</v>
      </c>
      <c r="O189" t="n">
        <v>0</v>
      </c>
      <c r="P189" t="n">
        <v>0</v>
      </c>
      <c r="Q189" t="n">
        <v>0</v>
      </c>
      <c r="R189" s="2" t="inlineStr"/>
    </row>
    <row r="190" ht="15" customHeight="1">
      <c r="A190" t="inlineStr">
        <is>
          <t>A 30399-2024</t>
        </is>
      </c>
      <c r="B190" s="1" t="n">
        <v>45491</v>
      </c>
      <c r="C190" s="1" t="n">
        <v>46037</v>
      </c>
      <c r="D190" t="inlineStr">
        <is>
          <t>NORRBOTTENS LÄN</t>
        </is>
      </c>
      <c r="E190" t="inlineStr">
        <is>
          <t>JOKKMOKK</t>
        </is>
      </c>
      <c r="G190" t="n">
        <v>4.6</v>
      </c>
      <c r="H190" t="n">
        <v>0</v>
      </c>
      <c r="I190" t="n">
        <v>0</v>
      </c>
      <c r="J190" t="n">
        <v>0</v>
      </c>
      <c r="K190" t="n">
        <v>0</v>
      </c>
      <c r="L190" t="n">
        <v>0</v>
      </c>
      <c r="M190" t="n">
        <v>0</v>
      </c>
      <c r="N190" t="n">
        <v>0</v>
      </c>
      <c r="O190" t="n">
        <v>0</v>
      </c>
      <c r="P190" t="n">
        <v>0</v>
      </c>
      <c r="Q190" t="n">
        <v>0</v>
      </c>
      <c r="R190" s="2" t="inlineStr"/>
    </row>
    <row r="191" ht="15" customHeight="1">
      <c r="A191" t="inlineStr">
        <is>
          <t>A 28591-2025</t>
        </is>
      </c>
      <c r="B191" s="1" t="n">
        <v>45819.59027777778</v>
      </c>
      <c r="C191" s="1" t="n">
        <v>46037</v>
      </c>
      <c r="D191" t="inlineStr">
        <is>
          <t>NORRBOTTENS LÄN</t>
        </is>
      </c>
      <c r="E191" t="inlineStr">
        <is>
          <t>JOKKMOKK</t>
        </is>
      </c>
      <c r="F191" t="inlineStr">
        <is>
          <t>Sveaskog</t>
        </is>
      </c>
      <c r="G191" t="n">
        <v>11.9</v>
      </c>
      <c r="H191" t="n">
        <v>0</v>
      </c>
      <c r="I191" t="n">
        <v>0</v>
      </c>
      <c r="J191" t="n">
        <v>0</v>
      </c>
      <c r="K191" t="n">
        <v>0</v>
      </c>
      <c r="L191" t="n">
        <v>0</v>
      </c>
      <c r="M191" t="n">
        <v>0</v>
      </c>
      <c r="N191" t="n">
        <v>0</v>
      </c>
      <c r="O191" t="n">
        <v>0</v>
      </c>
      <c r="P191" t="n">
        <v>0</v>
      </c>
      <c r="Q191" t="n">
        <v>0</v>
      </c>
      <c r="R191" s="2" t="inlineStr"/>
    </row>
    <row r="192" ht="15" customHeight="1">
      <c r="A192" t="inlineStr">
        <is>
          <t>A 28639-2025</t>
        </is>
      </c>
      <c r="B192" s="1" t="n">
        <v>45819.63649305556</v>
      </c>
      <c r="C192" s="1" t="n">
        <v>46037</v>
      </c>
      <c r="D192" t="inlineStr">
        <is>
          <t>NORRBOTTENS LÄN</t>
        </is>
      </c>
      <c r="E192" t="inlineStr">
        <is>
          <t>JOKKMOKK</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28601-2025</t>
        </is>
      </c>
      <c r="B193" s="1" t="n">
        <v>45819.59802083333</v>
      </c>
      <c r="C193" s="1" t="n">
        <v>46037</v>
      </c>
      <c r="D193" t="inlineStr">
        <is>
          <t>NORRBOTTENS LÄN</t>
        </is>
      </c>
      <c r="E193" t="inlineStr">
        <is>
          <t>JOKKMOKK</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61640-2024</t>
        </is>
      </c>
      <c r="B194" s="1" t="n">
        <v>45646.68362268519</v>
      </c>
      <c r="C194" s="1" t="n">
        <v>46037</v>
      </c>
      <c r="D194" t="inlineStr">
        <is>
          <t>NORRBOTTENS LÄN</t>
        </is>
      </c>
      <c r="E194" t="inlineStr">
        <is>
          <t>JOKKMOKK</t>
        </is>
      </c>
      <c r="G194" t="n">
        <v>10.6</v>
      </c>
      <c r="H194" t="n">
        <v>0</v>
      </c>
      <c r="I194" t="n">
        <v>0</v>
      </c>
      <c r="J194" t="n">
        <v>0</v>
      </c>
      <c r="K194" t="n">
        <v>0</v>
      </c>
      <c r="L194" t="n">
        <v>0</v>
      </c>
      <c r="M194" t="n">
        <v>0</v>
      </c>
      <c r="N194" t="n">
        <v>0</v>
      </c>
      <c r="O194" t="n">
        <v>0</v>
      </c>
      <c r="P194" t="n">
        <v>0</v>
      </c>
      <c r="Q194" t="n">
        <v>0</v>
      </c>
      <c r="R194" s="2" t="inlineStr"/>
    </row>
    <row r="195" ht="15" customHeight="1">
      <c r="A195" t="inlineStr">
        <is>
          <t>A 61641-2024</t>
        </is>
      </c>
      <c r="B195" s="1" t="n">
        <v>45646</v>
      </c>
      <c r="C195" s="1" t="n">
        <v>46037</v>
      </c>
      <c r="D195" t="inlineStr">
        <is>
          <t>NORRBOTTENS LÄN</t>
        </is>
      </c>
      <c r="E195" t="inlineStr">
        <is>
          <t>JOKKMOKK</t>
        </is>
      </c>
      <c r="G195" t="n">
        <v>3.2</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46037</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29446-2025</t>
        </is>
      </c>
      <c r="B197" s="1" t="n">
        <v>45824</v>
      </c>
      <c r="C197" s="1" t="n">
        <v>46037</v>
      </c>
      <c r="D197" t="inlineStr">
        <is>
          <t>NORRBOTTENS LÄN</t>
        </is>
      </c>
      <c r="E197" t="inlineStr">
        <is>
          <t>JOKKMOKK</t>
        </is>
      </c>
      <c r="G197" t="n">
        <v>68.5</v>
      </c>
      <c r="H197" t="n">
        <v>0</v>
      </c>
      <c r="I197" t="n">
        <v>0</v>
      </c>
      <c r="J197" t="n">
        <v>0</v>
      </c>
      <c r="K197" t="n">
        <v>0</v>
      </c>
      <c r="L197" t="n">
        <v>0</v>
      </c>
      <c r="M197" t="n">
        <v>0</v>
      </c>
      <c r="N197" t="n">
        <v>0</v>
      </c>
      <c r="O197" t="n">
        <v>0</v>
      </c>
      <c r="P197" t="n">
        <v>0</v>
      </c>
      <c r="Q197" t="n">
        <v>0</v>
      </c>
      <c r="R197" s="2" t="inlineStr"/>
    </row>
    <row r="198" ht="15" customHeight="1">
      <c r="A198" t="inlineStr">
        <is>
          <t>A 42944-2025</t>
        </is>
      </c>
      <c r="B198" s="1" t="n">
        <v>45909.34434027778</v>
      </c>
      <c r="C198" s="1" t="n">
        <v>46037</v>
      </c>
      <c r="D198" t="inlineStr">
        <is>
          <t>NORRBOTTENS LÄN</t>
        </is>
      </c>
      <c r="E198" t="inlineStr">
        <is>
          <t>JOKKMOKK</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29333-2025</t>
        </is>
      </c>
      <c r="B199" s="1" t="n">
        <v>45824</v>
      </c>
      <c r="C199" s="1" t="n">
        <v>46037</v>
      </c>
      <c r="D199" t="inlineStr">
        <is>
          <t>NORRBOTTENS LÄN</t>
        </is>
      </c>
      <c r="E199" t="inlineStr">
        <is>
          <t>JOKKMOKK</t>
        </is>
      </c>
      <c r="G199" t="n">
        <v>17.3</v>
      </c>
      <c r="H199" t="n">
        <v>0</v>
      </c>
      <c r="I199" t="n">
        <v>0</v>
      </c>
      <c r="J199" t="n">
        <v>0</v>
      </c>
      <c r="K199" t="n">
        <v>0</v>
      </c>
      <c r="L199" t="n">
        <v>0</v>
      </c>
      <c r="M199" t="n">
        <v>0</v>
      </c>
      <c r="N199" t="n">
        <v>0</v>
      </c>
      <c r="O199" t="n">
        <v>0</v>
      </c>
      <c r="P199" t="n">
        <v>0</v>
      </c>
      <c r="Q199" t="n">
        <v>0</v>
      </c>
      <c r="R199" s="2" t="inlineStr"/>
    </row>
    <row r="200" ht="15" customHeight="1">
      <c r="A200" t="inlineStr">
        <is>
          <t>A 29418-2025</t>
        </is>
      </c>
      <c r="B200" s="1" t="n">
        <v>45824.63607638889</v>
      </c>
      <c r="C200" s="1" t="n">
        <v>46037</v>
      </c>
      <c r="D200" t="inlineStr">
        <is>
          <t>NORRBOTTENS LÄN</t>
        </is>
      </c>
      <c r="E200" t="inlineStr">
        <is>
          <t>JOKKMOKK</t>
        </is>
      </c>
      <c r="G200" t="n">
        <v>17.8</v>
      </c>
      <c r="H200" t="n">
        <v>0</v>
      </c>
      <c r="I200" t="n">
        <v>0</v>
      </c>
      <c r="J200" t="n">
        <v>0</v>
      </c>
      <c r="K200" t="n">
        <v>0</v>
      </c>
      <c r="L200" t="n">
        <v>0</v>
      </c>
      <c r="M200" t="n">
        <v>0</v>
      </c>
      <c r="N200" t="n">
        <v>0</v>
      </c>
      <c r="O200" t="n">
        <v>0</v>
      </c>
      <c r="P200" t="n">
        <v>0</v>
      </c>
      <c r="Q200" t="n">
        <v>0</v>
      </c>
      <c r="R200" s="2" t="inlineStr"/>
    </row>
    <row r="201" ht="15" customHeight="1">
      <c r="A201" t="inlineStr">
        <is>
          <t>A 40658-2024</t>
        </is>
      </c>
      <c r="B201" s="1" t="n">
        <v>45558</v>
      </c>
      <c r="C201" s="1" t="n">
        <v>46037</v>
      </c>
      <c r="D201" t="inlineStr">
        <is>
          <t>NORRBOTTENS LÄN</t>
        </is>
      </c>
      <c r="E201" t="inlineStr">
        <is>
          <t>JOKKMOKK</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43658-2025</t>
        </is>
      </c>
      <c r="B202" s="1" t="n">
        <v>45912.34276620371</v>
      </c>
      <c r="C202" s="1" t="n">
        <v>46037</v>
      </c>
      <c r="D202" t="inlineStr">
        <is>
          <t>NORRBOTTENS LÄN</t>
        </is>
      </c>
      <c r="E202" t="inlineStr">
        <is>
          <t>JOKKMOKK</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34598-2024</t>
        </is>
      </c>
      <c r="B203" s="1" t="n">
        <v>45526.39714120371</v>
      </c>
      <c r="C203" s="1" t="n">
        <v>46037</v>
      </c>
      <c r="D203" t="inlineStr">
        <is>
          <t>NORRBOTTENS LÄN</t>
        </is>
      </c>
      <c r="E203" t="inlineStr">
        <is>
          <t>JOKKMOKK</t>
        </is>
      </c>
      <c r="G203" t="n">
        <v>2.5</v>
      </c>
      <c r="H203" t="n">
        <v>0</v>
      </c>
      <c r="I203" t="n">
        <v>0</v>
      </c>
      <c r="J203" t="n">
        <v>0</v>
      </c>
      <c r="K203" t="n">
        <v>0</v>
      </c>
      <c r="L203" t="n">
        <v>0</v>
      </c>
      <c r="M203" t="n">
        <v>0</v>
      </c>
      <c r="N203" t="n">
        <v>0</v>
      </c>
      <c r="O203" t="n">
        <v>0</v>
      </c>
      <c r="P203" t="n">
        <v>0</v>
      </c>
      <c r="Q203" t="n">
        <v>0</v>
      </c>
      <c r="R203" s="2" t="inlineStr"/>
    </row>
    <row r="204" ht="15" customHeight="1">
      <c r="A204" t="inlineStr">
        <is>
          <t>A 52240-2025</t>
        </is>
      </c>
      <c r="B204" s="1" t="n">
        <v>45953.46320601852</v>
      </c>
      <c r="C204" s="1" t="n">
        <v>46037</v>
      </c>
      <c r="D204" t="inlineStr">
        <is>
          <t>NORRBOTTENS LÄN</t>
        </is>
      </c>
      <c r="E204" t="inlineStr">
        <is>
          <t>JOKKMOKK</t>
        </is>
      </c>
      <c r="F204" t="inlineStr">
        <is>
          <t>Övriga statliga verk och myndigheter</t>
        </is>
      </c>
      <c r="G204" t="n">
        <v>17.6</v>
      </c>
      <c r="H204" t="n">
        <v>0</v>
      </c>
      <c r="I204" t="n">
        <v>0</v>
      </c>
      <c r="J204" t="n">
        <v>0</v>
      </c>
      <c r="K204" t="n">
        <v>0</v>
      </c>
      <c r="L204" t="n">
        <v>0</v>
      </c>
      <c r="M204" t="n">
        <v>0</v>
      </c>
      <c r="N204" t="n">
        <v>0</v>
      </c>
      <c r="O204" t="n">
        <v>0</v>
      </c>
      <c r="P204" t="n">
        <v>0</v>
      </c>
      <c r="Q204" t="n">
        <v>0</v>
      </c>
      <c r="R204" s="2" t="inlineStr"/>
    </row>
    <row r="205" ht="15" customHeight="1">
      <c r="A205" t="inlineStr">
        <is>
          <t>A 29853-2025</t>
        </is>
      </c>
      <c r="B205" s="1" t="n">
        <v>45826.34438657408</v>
      </c>
      <c r="C205" s="1" t="n">
        <v>46037</v>
      </c>
      <c r="D205" t="inlineStr">
        <is>
          <t>NORRBOTTENS LÄN</t>
        </is>
      </c>
      <c r="E205" t="inlineStr">
        <is>
          <t>JOKKMOKK</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29857-2025</t>
        </is>
      </c>
      <c r="B206" s="1" t="n">
        <v>45826.3453125</v>
      </c>
      <c r="C206" s="1" t="n">
        <v>46037</v>
      </c>
      <c r="D206" t="inlineStr">
        <is>
          <t>NORRBOTTENS LÄN</t>
        </is>
      </c>
      <c r="E206" t="inlineStr">
        <is>
          <t>JOKKMOKK</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43803-2025</t>
        </is>
      </c>
      <c r="B207" s="1" t="n">
        <v>45912</v>
      </c>
      <c r="C207" s="1" t="n">
        <v>46037</v>
      </c>
      <c r="D207" t="inlineStr">
        <is>
          <t>NORRBOTTENS LÄN</t>
        </is>
      </c>
      <c r="E207" t="inlineStr">
        <is>
          <t>JOKKMOKK</t>
        </is>
      </c>
      <c r="F207" t="inlineStr">
        <is>
          <t>SCA</t>
        </is>
      </c>
      <c r="G207" t="n">
        <v>6.2</v>
      </c>
      <c r="H207" t="n">
        <v>0</v>
      </c>
      <c r="I207" t="n">
        <v>0</v>
      </c>
      <c r="J207" t="n">
        <v>0</v>
      </c>
      <c r="K207" t="n">
        <v>0</v>
      </c>
      <c r="L207" t="n">
        <v>0</v>
      </c>
      <c r="M207" t="n">
        <v>0</v>
      </c>
      <c r="N207" t="n">
        <v>0</v>
      </c>
      <c r="O207" t="n">
        <v>0</v>
      </c>
      <c r="P207" t="n">
        <v>0</v>
      </c>
      <c r="Q207" t="n">
        <v>0</v>
      </c>
      <c r="R207" s="2" t="inlineStr"/>
    </row>
    <row r="208" ht="15" customHeight="1">
      <c r="A208" t="inlineStr">
        <is>
          <t>A 43997-2025</t>
        </is>
      </c>
      <c r="B208" s="1" t="n">
        <v>45915.44868055556</v>
      </c>
      <c r="C208" s="1" t="n">
        <v>46037</v>
      </c>
      <c r="D208" t="inlineStr">
        <is>
          <t>NORRBOTTENS LÄN</t>
        </is>
      </c>
      <c r="E208" t="inlineStr">
        <is>
          <t>JOKKMOKK</t>
        </is>
      </c>
      <c r="G208" t="n">
        <v>4.5</v>
      </c>
      <c r="H208" t="n">
        <v>0</v>
      </c>
      <c r="I208" t="n">
        <v>0</v>
      </c>
      <c r="J208" t="n">
        <v>0</v>
      </c>
      <c r="K208" t="n">
        <v>0</v>
      </c>
      <c r="L208" t="n">
        <v>0</v>
      </c>
      <c r="M208" t="n">
        <v>0</v>
      </c>
      <c r="N208" t="n">
        <v>0</v>
      </c>
      <c r="O208" t="n">
        <v>0</v>
      </c>
      <c r="P208" t="n">
        <v>0</v>
      </c>
      <c r="Q208" t="n">
        <v>0</v>
      </c>
      <c r="R208" s="2" t="inlineStr"/>
    </row>
    <row r="209" ht="15" customHeight="1">
      <c r="A209" t="inlineStr">
        <is>
          <t>A 425-2025</t>
        </is>
      </c>
      <c r="B209" s="1" t="n">
        <v>45664.34549768519</v>
      </c>
      <c r="C209" s="1" t="n">
        <v>46037</v>
      </c>
      <c r="D209" t="inlineStr">
        <is>
          <t>NORRBOTTENS LÄN</t>
        </is>
      </c>
      <c r="E209" t="inlineStr">
        <is>
          <t>JOKKMOKK</t>
        </is>
      </c>
      <c r="F209" t="inlineStr">
        <is>
          <t>Övriga statliga verk och myndigheter</t>
        </is>
      </c>
      <c r="G209" t="n">
        <v>36.5</v>
      </c>
      <c r="H209" t="n">
        <v>0</v>
      </c>
      <c r="I209" t="n">
        <v>0</v>
      </c>
      <c r="J209" t="n">
        <v>0</v>
      </c>
      <c r="K209" t="n">
        <v>0</v>
      </c>
      <c r="L209" t="n">
        <v>0</v>
      </c>
      <c r="M209" t="n">
        <v>0</v>
      </c>
      <c r="N209" t="n">
        <v>0</v>
      </c>
      <c r="O209" t="n">
        <v>0</v>
      </c>
      <c r="P209" t="n">
        <v>0</v>
      </c>
      <c r="Q209" t="n">
        <v>0</v>
      </c>
      <c r="R209" s="2" t="inlineStr"/>
    </row>
    <row r="210" ht="15" customHeight="1">
      <c r="A210" t="inlineStr">
        <is>
          <t>A 457-2025</t>
        </is>
      </c>
      <c r="B210" s="1" t="n">
        <v>45664</v>
      </c>
      <c r="C210" s="1" t="n">
        <v>46037</v>
      </c>
      <c r="D210" t="inlineStr">
        <is>
          <t>NORRBOTTENS LÄN</t>
        </is>
      </c>
      <c r="E210" t="inlineStr">
        <is>
          <t>JOKKMOKK</t>
        </is>
      </c>
      <c r="F210" t="inlineStr">
        <is>
          <t>Övriga statliga verk och myndigheter</t>
        </is>
      </c>
      <c r="G210" t="n">
        <v>8</v>
      </c>
      <c r="H210" t="n">
        <v>0</v>
      </c>
      <c r="I210" t="n">
        <v>0</v>
      </c>
      <c r="J210" t="n">
        <v>0</v>
      </c>
      <c r="K210" t="n">
        <v>0</v>
      </c>
      <c r="L210" t="n">
        <v>0</v>
      </c>
      <c r="M210" t="n">
        <v>0</v>
      </c>
      <c r="N210" t="n">
        <v>0</v>
      </c>
      <c r="O210" t="n">
        <v>0</v>
      </c>
      <c r="P210" t="n">
        <v>0</v>
      </c>
      <c r="Q210" t="n">
        <v>0</v>
      </c>
      <c r="R210" s="2" t="inlineStr"/>
    </row>
    <row r="211" ht="15" customHeight="1">
      <c r="A211" t="inlineStr">
        <is>
          <t>A 29856-2025</t>
        </is>
      </c>
      <c r="B211" s="1" t="n">
        <v>45826.345</v>
      </c>
      <c r="C211" s="1" t="n">
        <v>46037</v>
      </c>
      <c r="D211" t="inlineStr">
        <is>
          <t>NORRBOTTENS LÄN</t>
        </is>
      </c>
      <c r="E211" t="inlineStr">
        <is>
          <t>JOKKMOKK</t>
        </is>
      </c>
      <c r="F211" t="inlineStr">
        <is>
          <t>SCA</t>
        </is>
      </c>
      <c r="G211" t="n">
        <v>7.1</v>
      </c>
      <c r="H211" t="n">
        <v>0</v>
      </c>
      <c r="I211" t="n">
        <v>0</v>
      </c>
      <c r="J211" t="n">
        <v>0</v>
      </c>
      <c r="K211" t="n">
        <v>0</v>
      </c>
      <c r="L211" t="n">
        <v>0</v>
      </c>
      <c r="M211" t="n">
        <v>0</v>
      </c>
      <c r="N211" t="n">
        <v>0</v>
      </c>
      <c r="O211" t="n">
        <v>0</v>
      </c>
      <c r="P211" t="n">
        <v>0</v>
      </c>
      <c r="Q211" t="n">
        <v>0</v>
      </c>
      <c r="R211" s="2" t="inlineStr"/>
    </row>
    <row r="212" ht="15" customHeight="1">
      <c r="A212" t="inlineStr">
        <is>
          <t>A 458-2025</t>
        </is>
      </c>
      <c r="B212" s="1" t="n">
        <v>45664</v>
      </c>
      <c r="C212" s="1" t="n">
        <v>46037</v>
      </c>
      <c r="D212" t="inlineStr">
        <is>
          <t>NORRBOTTENS LÄN</t>
        </is>
      </c>
      <c r="E212" t="inlineStr">
        <is>
          <t>JOKKMOKK</t>
        </is>
      </c>
      <c r="F212" t="inlineStr">
        <is>
          <t>Övriga statliga verk och myndigheter</t>
        </is>
      </c>
      <c r="G212" t="n">
        <v>10.3</v>
      </c>
      <c r="H212" t="n">
        <v>0</v>
      </c>
      <c r="I212" t="n">
        <v>0</v>
      </c>
      <c r="J212" t="n">
        <v>0</v>
      </c>
      <c r="K212" t="n">
        <v>0</v>
      </c>
      <c r="L212" t="n">
        <v>0</v>
      </c>
      <c r="M212" t="n">
        <v>0</v>
      </c>
      <c r="N212" t="n">
        <v>0</v>
      </c>
      <c r="O212" t="n">
        <v>0</v>
      </c>
      <c r="P212" t="n">
        <v>0</v>
      </c>
      <c r="Q212" t="n">
        <v>0</v>
      </c>
      <c r="R212" s="2" t="inlineStr"/>
    </row>
    <row r="213" ht="15" customHeight="1">
      <c r="A213" t="inlineStr">
        <is>
          <t>A 29858-2025</t>
        </is>
      </c>
      <c r="B213" s="1" t="n">
        <v>45826.34565972222</v>
      </c>
      <c r="C213" s="1" t="n">
        <v>46037</v>
      </c>
      <c r="D213" t="inlineStr">
        <is>
          <t>NORRBOTTENS LÄN</t>
        </is>
      </c>
      <c r="E213" t="inlineStr">
        <is>
          <t>JOKKMOKK</t>
        </is>
      </c>
      <c r="F213" t="inlineStr">
        <is>
          <t>SCA</t>
        </is>
      </c>
      <c r="G213" t="n">
        <v>2.9</v>
      </c>
      <c r="H213" t="n">
        <v>0</v>
      </c>
      <c r="I213" t="n">
        <v>0</v>
      </c>
      <c r="J213" t="n">
        <v>0</v>
      </c>
      <c r="K213" t="n">
        <v>0</v>
      </c>
      <c r="L213" t="n">
        <v>0</v>
      </c>
      <c r="M213" t="n">
        <v>0</v>
      </c>
      <c r="N213" t="n">
        <v>0</v>
      </c>
      <c r="O213" t="n">
        <v>0</v>
      </c>
      <c r="P213" t="n">
        <v>0</v>
      </c>
      <c r="Q213" t="n">
        <v>0</v>
      </c>
      <c r="R213" s="2" t="inlineStr"/>
    </row>
    <row r="214" ht="15" customHeight="1">
      <c r="A214" t="inlineStr">
        <is>
          <t>A 30401-2024</t>
        </is>
      </c>
      <c r="B214" s="1" t="n">
        <v>45491</v>
      </c>
      <c r="C214" s="1" t="n">
        <v>46037</v>
      </c>
      <c r="D214" t="inlineStr">
        <is>
          <t>NORRBOTTENS LÄN</t>
        </is>
      </c>
      <c r="E214" t="inlineStr">
        <is>
          <t>JOKKMOKK</t>
        </is>
      </c>
      <c r="G214" t="n">
        <v>1</v>
      </c>
      <c r="H214" t="n">
        <v>0</v>
      </c>
      <c r="I214" t="n">
        <v>0</v>
      </c>
      <c r="J214" t="n">
        <v>0</v>
      </c>
      <c r="K214" t="n">
        <v>0</v>
      </c>
      <c r="L214" t="n">
        <v>0</v>
      </c>
      <c r="M214" t="n">
        <v>0</v>
      </c>
      <c r="N214" t="n">
        <v>0</v>
      </c>
      <c r="O214" t="n">
        <v>0</v>
      </c>
      <c r="P214" t="n">
        <v>0</v>
      </c>
      <c r="Q214" t="n">
        <v>0</v>
      </c>
      <c r="R214" s="2" t="inlineStr"/>
    </row>
    <row r="215" ht="15" customHeight="1">
      <c r="A215" t="inlineStr">
        <is>
          <t>A 30189-2025</t>
        </is>
      </c>
      <c r="B215" s="1" t="n">
        <v>45827.34756944444</v>
      </c>
      <c r="C215" s="1" t="n">
        <v>46037</v>
      </c>
      <c r="D215" t="inlineStr">
        <is>
          <t>NORRBOTTENS LÄN</t>
        </is>
      </c>
      <c r="E215" t="inlineStr">
        <is>
          <t>JOKKMOKK</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30178-2025</t>
        </is>
      </c>
      <c r="B216" s="1" t="n">
        <v>45827.34571759259</v>
      </c>
      <c r="C216" s="1" t="n">
        <v>46037</v>
      </c>
      <c r="D216" t="inlineStr">
        <is>
          <t>NORRBOTTENS LÄN</t>
        </is>
      </c>
      <c r="E216" t="inlineStr">
        <is>
          <t>JOKKMOKK</t>
        </is>
      </c>
      <c r="F216" t="inlineStr">
        <is>
          <t>SCA</t>
        </is>
      </c>
      <c r="G216" t="n">
        <v>4.5</v>
      </c>
      <c r="H216" t="n">
        <v>0</v>
      </c>
      <c r="I216" t="n">
        <v>0</v>
      </c>
      <c r="J216" t="n">
        <v>0</v>
      </c>
      <c r="K216" t="n">
        <v>0</v>
      </c>
      <c r="L216" t="n">
        <v>0</v>
      </c>
      <c r="M216" t="n">
        <v>0</v>
      </c>
      <c r="N216" t="n">
        <v>0</v>
      </c>
      <c r="O216" t="n">
        <v>0</v>
      </c>
      <c r="P216" t="n">
        <v>0</v>
      </c>
      <c r="Q216" t="n">
        <v>0</v>
      </c>
      <c r="R216" s="2" t="inlineStr"/>
    </row>
    <row r="217" ht="15" customHeight="1">
      <c r="A217" t="inlineStr">
        <is>
          <t>A 30181-2025</t>
        </is>
      </c>
      <c r="B217" s="1" t="n">
        <v>45827.34607638889</v>
      </c>
      <c r="C217" s="1" t="n">
        <v>46037</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30182-2025</t>
        </is>
      </c>
      <c r="B218" s="1" t="n">
        <v>45827.34640046296</v>
      </c>
      <c r="C218" s="1" t="n">
        <v>46037</v>
      </c>
      <c r="D218" t="inlineStr">
        <is>
          <t>NORRBOTTENS LÄN</t>
        </is>
      </c>
      <c r="E218" t="inlineStr">
        <is>
          <t>JOKKMOKK</t>
        </is>
      </c>
      <c r="F218" t="inlineStr">
        <is>
          <t>SCA</t>
        </is>
      </c>
      <c r="G218" t="n">
        <v>9.9</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46037</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30184-2025</t>
        </is>
      </c>
      <c r="B220" s="1" t="n">
        <v>45827.34695601852</v>
      </c>
      <c r="C220" s="1" t="n">
        <v>46037</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30177-2025</t>
        </is>
      </c>
      <c r="B221" s="1" t="n">
        <v>45827.34537037037</v>
      </c>
      <c r="C221" s="1" t="n">
        <v>46037</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30185-2025</t>
        </is>
      </c>
      <c r="B222" s="1" t="n">
        <v>45827.34717592593</v>
      </c>
      <c r="C222" s="1" t="n">
        <v>46037</v>
      </c>
      <c r="D222" t="inlineStr">
        <is>
          <t>NORRBOTTENS LÄN</t>
        </is>
      </c>
      <c r="E222" t="inlineStr">
        <is>
          <t>JOKKMOKK</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46037</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46037</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46037</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44145-2024</t>
        </is>
      </c>
      <c r="B226" s="1" t="n">
        <v>45572.66908564815</v>
      </c>
      <c r="C226" s="1" t="n">
        <v>46037</v>
      </c>
      <c r="D226" t="inlineStr">
        <is>
          <t>NORRBOTTENS LÄN</t>
        </is>
      </c>
      <c r="E226" t="inlineStr">
        <is>
          <t>JOKKMOKK</t>
        </is>
      </c>
      <c r="F226" t="inlineStr">
        <is>
          <t>Sveaskog</t>
        </is>
      </c>
      <c r="G226" t="n">
        <v>4.7</v>
      </c>
      <c r="H226" t="n">
        <v>0</v>
      </c>
      <c r="I226" t="n">
        <v>0</v>
      </c>
      <c r="J226" t="n">
        <v>0</v>
      </c>
      <c r="K226" t="n">
        <v>0</v>
      </c>
      <c r="L226" t="n">
        <v>0</v>
      </c>
      <c r="M226" t="n">
        <v>0</v>
      </c>
      <c r="N226" t="n">
        <v>0</v>
      </c>
      <c r="O226" t="n">
        <v>0</v>
      </c>
      <c r="P226" t="n">
        <v>0</v>
      </c>
      <c r="Q226" t="n">
        <v>0</v>
      </c>
      <c r="R226" s="2" t="inlineStr"/>
    </row>
    <row r="227" ht="15" customHeight="1">
      <c r="A227" t="inlineStr">
        <is>
          <t>A 45065-2025</t>
        </is>
      </c>
      <c r="B227" s="1" t="n">
        <v>45919.34540509259</v>
      </c>
      <c r="C227" s="1" t="n">
        <v>46037</v>
      </c>
      <c r="D227" t="inlineStr">
        <is>
          <t>NORRBOTTENS LÄN</t>
        </is>
      </c>
      <c r="E227" t="inlineStr">
        <is>
          <t>JOKKMOKK</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16847-2023</t>
        </is>
      </c>
      <c r="B228" s="1" t="n">
        <v>45028</v>
      </c>
      <c r="C228" s="1" t="n">
        <v>46037</v>
      </c>
      <c r="D228" t="inlineStr">
        <is>
          <t>NORRBOTTENS LÄN</t>
        </is>
      </c>
      <c r="E228" t="inlineStr">
        <is>
          <t>JOKKMOKK</t>
        </is>
      </c>
      <c r="G228" t="n">
        <v>7.3</v>
      </c>
      <c r="H228" t="n">
        <v>0</v>
      </c>
      <c r="I228" t="n">
        <v>0</v>
      </c>
      <c r="J228" t="n">
        <v>0</v>
      </c>
      <c r="K228" t="n">
        <v>0</v>
      </c>
      <c r="L228" t="n">
        <v>0</v>
      </c>
      <c r="M228" t="n">
        <v>0</v>
      </c>
      <c r="N228" t="n">
        <v>0</v>
      </c>
      <c r="O228" t="n">
        <v>0</v>
      </c>
      <c r="P228" t="n">
        <v>0</v>
      </c>
      <c r="Q228" t="n">
        <v>0</v>
      </c>
      <c r="R228" s="2" t="inlineStr"/>
    </row>
    <row r="229" ht="15" customHeight="1">
      <c r="A229" t="inlineStr">
        <is>
          <t>A 45064-2025</t>
        </is>
      </c>
      <c r="B229" s="1" t="n">
        <v>45919.34533564815</v>
      </c>
      <c r="C229" s="1" t="n">
        <v>46037</v>
      </c>
      <c r="D229" t="inlineStr">
        <is>
          <t>NORRBOTTENS LÄN</t>
        </is>
      </c>
      <c r="E229" t="inlineStr">
        <is>
          <t>JOKKMOKK</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45709-2025</t>
        </is>
      </c>
      <c r="B230" s="1" t="n">
        <v>45923</v>
      </c>
      <c r="C230" s="1" t="n">
        <v>46037</v>
      </c>
      <c r="D230" t="inlineStr">
        <is>
          <t>NORRBOTTENS LÄN</t>
        </is>
      </c>
      <c r="E230" t="inlineStr">
        <is>
          <t>JOKKMOKK</t>
        </is>
      </c>
      <c r="G230" t="n">
        <v>11.7</v>
      </c>
      <c r="H230" t="n">
        <v>0</v>
      </c>
      <c r="I230" t="n">
        <v>0</v>
      </c>
      <c r="J230" t="n">
        <v>0</v>
      </c>
      <c r="K230" t="n">
        <v>0</v>
      </c>
      <c r="L230" t="n">
        <v>0</v>
      </c>
      <c r="M230" t="n">
        <v>0</v>
      </c>
      <c r="N230" t="n">
        <v>0</v>
      </c>
      <c r="O230" t="n">
        <v>0</v>
      </c>
      <c r="P230" t="n">
        <v>0</v>
      </c>
      <c r="Q230" t="n">
        <v>0</v>
      </c>
      <c r="R230" s="2" t="inlineStr"/>
    </row>
    <row r="231" ht="15" customHeight="1">
      <c r="A231" t="inlineStr">
        <is>
          <t>A 33740-2025</t>
        </is>
      </c>
      <c r="B231" s="1" t="n">
        <v>45842.34456018519</v>
      </c>
      <c r="C231" s="1" t="n">
        <v>46037</v>
      </c>
      <c r="D231" t="inlineStr">
        <is>
          <t>NORRBOTTENS LÄN</t>
        </is>
      </c>
      <c r="E231" t="inlineStr">
        <is>
          <t>JOKKMOKK</t>
        </is>
      </c>
      <c r="F231" t="inlineStr">
        <is>
          <t>SCA</t>
        </is>
      </c>
      <c r="G231" t="n">
        <v>23.3</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46037</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46458-2025</t>
        </is>
      </c>
      <c r="B233" s="1" t="n">
        <v>45925.66335648148</v>
      </c>
      <c r="C233" s="1" t="n">
        <v>46037</v>
      </c>
      <c r="D233" t="inlineStr">
        <is>
          <t>NORRBOTTENS LÄN</t>
        </is>
      </c>
      <c r="E233" t="inlineStr">
        <is>
          <t>JOKKMOKK</t>
        </is>
      </c>
      <c r="G233" t="n">
        <v>0.9</v>
      </c>
      <c r="H233" t="n">
        <v>0</v>
      </c>
      <c r="I233" t="n">
        <v>0</v>
      </c>
      <c r="J233" t="n">
        <v>0</v>
      </c>
      <c r="K233" t="n">
        <v>0</v>
      </c>
      <c r="L233" t="n">
        <v>0</v>
      </c>
      <c r="M233" t="n">
        <v>0</v>
      </c>
      <c r="N233" t="n">
        <v>0</v>
      </c>
      <c r="O233" t="n">
        <v>0</v>
      </c>
      <c r="P233" t="n">
        <v>0</v>
      </c>
      <c r="Q233" t="n">
        <v>0</v>
      </c>
      <c r="R233" s="2" t="inlineStr"/>
    </row>
    <row r="234" ht="15" customHeight="1">
      <c r="A234" t="inlineStr">
        <is>
          <t>A 9859-2023</t>
        </is>
      </c>
      <c r="B234" s="1" t="n">
        <v>44984.93940972222</v>
      </c>
      <c r="C234" s="1" t="n">
        <v>46037</v>
      </c>
      <c r="D234" t="inlineStr">
        <is>
          <t>NORRBOTTENS LÄN</t>
        </is>
      </c>
      <c r="E234" t="inlineStr">
        <is>
          <t>JOKKMOKK</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9864-2023</t>
        </is>
      </c>
      <c r="B235" s="1" t="n">
        <v>44984</v>
      </c>
      <c r="C235" s="1" t="n">
        <v>46037</v>
      </c>
      <c r="D235" t="inlineStr">
        <is>
          <t>NORRBOTTENS LÄN</t>
        </is>
      </c>
      <c r="E235" t="inlineStr">
        <is>
          <t>JOKKMOKK</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46465-2025</t>
        </is>
      </c>
      <c r="B236" s="1" t="n">
        <v>45925.67710648148</v>
      </c>
      <c r="C236" s="1" t="n">
        <v>46037</v>
      </c>
      <c r="D236" t="inlineStr">
        <is>
          <t>NORRBOTTENS LÄN</t>
        </is>
      </c>
      <c r="E236" t="inlineStr">
        <is>
          <t>JOKKMOKK</t>
        </is>
      </c>
      <c r="G236" t="n">
        <v>3.6</v>
      </c>
      <c r="H236" t="n">
        <v>0</v>
      </c>
      <c r="I236" t="n">
        <v>0</v>
      </c>
      <c r="J236" t="n">
        <v>0</v>
      </c>
      <c r="K236" t="n">
        <v>0</v>
      </c>
      <c r="L236" t="n">
        <v>0</v>
      </c>
      <c r="M236" t="n">
        <v>0</v>
      </c>
      <c r="N236" t="n">
        <v>0</v>
      </c>
      <c r="O236" t="n">
        <v>0</v>
      </c>
      <c r="P236" t="n">
        <v>0</v>
      </c>
      <c r="Q236" t="n">
        <v>0</v>
      </c>
      <c r="R236" s="2" t="inlineStr"/>
    </row>
    <row r="237" ht="15" customHeight="1">
      <c r="A237" t="inlineStr">
        <is>
          <t>A 49477-2024</t>
        </is>
      </c>
      <c r="B237" s="1" t="n">
        <v>45596.34576388889</v>
      </c>
      <c r="C237" s="1" t="n">
        <v>46037</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9874-2023</t>
        </is>
      </c>
      <c r="B238" s="1" t="n">
        <v>44984.94069444444</v>
      </c>
      <c r="C238" s="1" t="n">
        <v>46037</v>
      </c>
      <c r="D238" t="inlineStr">
        <is>
          <t>NORRBOTTENS LÄN</t>
        </is>
      </c>
      <c r="E238" t="inlineStr">
        <is>
          <t>JOKKMOKK</t>
        </is>
      </c>
      <c r="G238" t="n">
        <v>1.7</v>
      </c>
      <c r="H238" t="n">
        <v>0</v>
      </c>
      <c r="I238" t="n">
        <v>0</v>
      </c>
      <c r="J238" t="n">
        <v>0</v>
      </c>
      <c r="K238" t="n">
        <v>0</v>
      </c>
      <c r="L238" t="n">
        <v>0</v>
      </c>
      <c r="M238" t="n">
        <v>0</v>
      </c>
      <c r="N238" t="n">
        <v>0</v>
      </c>
      <c r="O238" t="n">
        <v>0</v>
      </c>
      <c r="P238" t="n">
        <v>0</v>
      </c>
      <c r="Q238" t="n">
        <v>0</v>
      </c>
      <c r="R238" s="2" t="inlineStr"/>
    </row>
    <row r="239" ht="15" customHeight="1">
      <c r="A239" t="inlineStr">
        <is>
          <t>A 9875-2023</t>
        </is>
      </c>
      <c r="B239" s="1" t="n">
        <v>44984.94076388889</v>
      </c>
      <c r="C239" s="1" t="n">
        <v>46037</v>
      </c>
      <c r="D239" t="inlineStr">
        <is>
          <t>NORRBOTTENS LÄN</t>
        </is>
      </c>
      <c r="E239" t="inlineStr">
        <is>
          <t>JOKKMOKK</t>
        </is>
      </c>
      <c r="G239" t="n">
        <v>0.6</v>
      </c>
      <c r="H239" t="n">
        <v>0</v>
      </c>
      <c r="I239" t="n">
        <v>0</v>
      </c>
      <c r="J239" t="n">
        <v>0</v>
      </c>
      <c r="K239" t="n">
        <v>0</v>
      </c>
      <c r="L239" t="n">
        <v>0</v>
      </c>
      <c r="M239" t="n">
        <v>0</v>
      </c>
      <c r="N239" t="n">
        <v>0</v>
      </c>
      <c r="O239" t="n">
        <v>0</v>
      </c>
      <c r="P239" t="n">
        <v>0</v>
      </c>
      <c r="Q239" t="n">
        <v>0</v>
      </c>
      <c r="R239" s="2" t="inlineStr"/>
    </row>
    <row r="240" ht="15" customHeight="1">
      <c r="A240" t="inlineStr">
        <is>
          <t>A 34639-2024</t>
        </is>
      </c>
      <c r="B240" s="1" t="n">
        <v>45526.47293981481</v>
      </c>
      <c r="C240" s="1" t="n">
        <v>46037</v>
      </c>
      <c r="D240" t="inlineStr">
        <is>
          <t>NORRBOTTENS LÄN</t>
        </is>
      </c>
      <c r="E240" t="inlineStr">
        <is>
          <t>JOKKMOKK</t>
        </is>
      </c>
      <c r="G240" t="n">
        <v>7.7</v>
      </c>
      <c r="H240" t="n">
        <v>0</v>
      </c>
      <c r="I240" t="n">
        <v>0</v>
      </c>
      <c r="J240" t="n">
        <v>0</v>
      </c>
      <c r="K240" t="n">
        <v>0</v>
      </c>
      <c r="L240" t="n">
        <v>0</v>
      </c>
      <c r="M240" t="n">
        <v>0</v>
      </c>
      <c r="N240" t="n">
        <v>0</v>
      </c>
      <c r="O240" t="n">
        <v>0</v>
      </c>
      <c r="P240" t="n">
        <v>0</v>
      </c>
      <c r="Q240" t="n">
        <v>0</v>
      </c>
      <c r="R240" s="2" t="inlineStr"/>
    </row>
    <row r="241" ht="15" customHeight="1">
      <c r="A241" t="inlineStr">
        <is>
          <t>A 47157-2024</t>
        </is>
      </c>
      <c r="B241" s="1" t="n">
        <v>45586</v>
      </c>
      <c r="C241" s="1" t="n">
        <v>46037</v>
      </c>
      <c r="D241" t="inlineStr">
        <is>
          <t>NORRBOTTENS LÄN</t>
        </is>
      </c>
      <c r="E241" t="inlineStr">
        <is>
          <t>JOKKMOKK</t>
        </is>
      </c>
      <c r="G241" t="n">
        <v>0.6</v>
      </c>
      <c r="H241" t="n">
        <v>0</v>
      </c>
      <c r="I241" t="n">
        <v>0</v>
      </c>
      <c r="J241" t="n">
        <v>0</v>
      </c>
      <c r="K241" t="n">
        <v>0</v>
      </c>
      <c r="L241" t="n">
        <v>0</v>
      </c>
      <c r="M241" t="n">
        <v>0</v>
      </c>
      <c r="N241" t="n">
        <v>0</v>
      </c>
      <c r="O241" t="n">
        <v>0</v>
      </c>
      <c r="P241" t="n">
        <v>0</v>
      </c>
      <c r="Q241" t="n">
        <v>0</v>
      </c>
      <c r="R241" s="2" t="inlineStr"/>
    </row>
    <row r="242" ht="15" customHeight="1">
      <c r="A242" t="inlineStr">
        <is>
          <t>A 46460-2025</t>
        </is>
      </c>
      <c r="B242" s="1" t="n">
        <v>45925.66606481482</v>
      </c>
      <c r="C242" s="1" t="n">
        <v>46037</v>
      </c>
      <c r="D242" t="inlineStr">
        <is>
          <t>NORRBOTTENS LÄN</t>
        </is>
      </c>
      <c r="E242" t="inlineStr">
        <is>
          <t>JOKKMOKK</t>
        </is>
      </c>
      <c r="G242" t="n">
        <v>1.2</v>
      </c>
      <c r="H242" t="n">
        <v>0</v>
      </c>
      <c r="I242" t="n">
        <v>0</v>
      </c>
      <c r="J242" t="n">
        <v>0</v>
      </c>
      <c r="K242" t="n">
        <v>0</v>
      </c>
      <c r="L242" t="n">
        <v>0</v>
      </c>
      <c r="M242" t="n">
        <v>0</v>
      </c>
      <c r="N242" t="n">
        <v>0</v>
      </c>
      <c r="O242" t="n">
        <v>0</v>
      </c>
      <c r="P242" t="n">
        <v>0</v>
      </c>
      <c r="Q242" t="n">
        <v>0</v>
      </c>
      <c r="R242" s="2" t="inlineStr"/>
    </row>
    <row r="243" ht="15" customHeight="1">
      <c r="A243" t="inlineStr">
        <is>
          <t>A 46837-2025</t>
        </is>
      </c>
      <c r="B243" s="1" t="n">
        <v>45928.34450231482</v>
      </c>
      <c r="C243" s="1" t="n">
        <v>46037</v>
      </c>
      <c r="D243" t="inlineStr">
        <is>
          <t>NORRBOTTENS LÄN</t>
        </is>
      </c>
      <c r="E243" t="inlineStr">
        <is>
          <t>JOKKMOKK</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47472-2025</t>
        </is>
      </c>
      <c r="B244" s="1" t="n">
        <v>45930.67752314815</v>
      </c>
      <c r="C244" s="1" t="n">
        <v>46037</v>
      </c>
      <c r="D244" t="inlineStr">
        <is>
          <t>NORRBOTTENS LÄN</t>
        </is>
      </c>
      <c r="E244" t="inlineStr">
        <is>
          <t>JOKKMOKK</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38928-2025</t>
        </is>
      </c>
      <c r="B245" s="1" t="n">
        <v>45887</v>
      </c>
      <c r="C245" s="1" t="n">
        <v>46037</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32670-2025</t>
        </is>
      </c>
      <c r="B246" s="1" t="n">
        <v>45838.70071759259</v>
      </c>
      <c r="C246" s="1" t="n">
        <v>46037</v>
      </c>
      <c r="D246" t="inlineStr">
        <is>
          <t>NORRBOTTENS LÄN</t>
        </is>
      </c>
      <c r="E246" t="inlineStr">
        <is>
          <t>JOKKMOKK</t>
        </is>
      </c>
      <c r="F246" t="inlineStr">
        <is>
          <t>Sveaskog</t>
        </is>
      </c>
      <c r="G246" t="n">
        <v>6.8</v>
      </c>
      <c r="H246" t="n">
        <v>0</v>
      </c>
      <c r="I246" t="n">
        <v>0</v>
      </c>
      <c r="J246" t="n">
        <v>0</v>
      </c>
      <c r="K246" t="n">
        <v>0</v>
      </c>
      <c r="L246" t="n">
        <v>0</v>
      </c>
      <c r="M246" t="n">
        <v>0</v>
      </c>
      <c r="N246" t="n">
        <v>0</v>
      </c>
      <c r="O246" t="n">
        <v>0</v>
      </c>
      <c r="P246" t="n">
        <v>0</v>
      </c>
      <c r="Q246" t="n">
        <v>0</v>
      </c>
      <c r="R246" s="2" t="inlineStr"/>
    </row>
    <row r="247" ht="15" customHeight="1">
      <c r="A247" t="inlineStr">
        <is>
          <t>A 33551-2025</t>
        </is>
      </c>
      <c r="B247" s="1" t="n">
        <v>45841.57357638889</v>
      </c>
      <c r="C247" s="1" t="n">
        <v>46037</v>
      </c>
      <c r="D247" t="inlineStr">
        <is>
          <t>NORRBOTTENS LÄN</t>
        </is>
      </c>
      <c r="E247" t="inlineStr">
        <is>
          <t>JOKKMOKK</t>
        </is>
      </c>
      <c r="F247" t="inlineStr">
        <is>
          <t>SCA</t>
        </is>
      </c>
      <c r="G247" t="n">
        <v>7.9</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46037</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33523-2025</t>
        </is>
      </c>
      <c r="B249" s="1" t="n">
        <v>45841.54601851852</v>
      </c>
      <c r="C249" s="1" t="n">
        <v>46037</v>
      </c>
      <c r="D249" t="inlineStr">
        <is>
          <t>NORRBOTTENS LÄN</t>
        </is>
      </c>
      <c r="E249" t="inlineStr">
        <is>
          <t>JOKKMOKK</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47530-2025</t>
        </is>
      </c>
      <c r="B250" s="1" t="n">
        <v>45931</v>
      </c>
      <c r="C250" s="1" t="n">
        <v>46037</v>
      </c>
      <c r="D250" t="inlineStr">
        <is>
          <t>NORRBOTTENS LÄN</t>
        </is>
      </c>
      <c r="E250" t="inlineStr">
        <is>
          <t>JOKKMOKK</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33515-2025</t>
        </is>
      </c>
      <c r="B251" s="1" t="n">
        <v>45841.53164351852</v>
      </c>
      <c r="C251" s="1" t="n">
        <v>46037</v>
      </c>
      <c r="D251" t="inlineStr">
        <is>
          <t>NORRBOTTENS LÄN</t>
        </is>
      </c>
      <c r="E251" t="inlineStr">
        <is>
          <t>JOKKMOKK</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42095-2025</t>
        </is>
      </c>
      <c r="B252" s="1" t="n">
        <v>45903</v>
      </c>
      <c r="C252" s="1" t="n">
        <v>46037</v>
      </c>
      <c r="D252" t="inlineStr">
        <is>
          <t>NORRBOTTENS LÄN</t>
        </is>
      </c>
      <c r="E252" t="inlineStr">
        <is>
          <t>JOKKMOKK</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33554-2025</t>
        </is>
      </c>
      <c r="B253" s="1" t="n">
        <v>45841.57400462963</v>
      </c>
      <c r="C253" s="1" t="n">
        <v>46037</v>
      </c>
      <c r="D253" t="inlineStr">
        <is>
          <t>NORRBOTTENS LÄN</t>
        </is>
      </c>
      <c r="E253" t="inlineStr">
        <is>
          <t>JOKKMOKK</t>
        </is>
      </c>
      <c r="F253" t="inlineStr">
        <is>
          <t>SCA</t>
        </is>
      </c>
      <c r="G253" t="n">
        <v>11.4</v>
      </c>
      <c r="H253" t="n">
        <v>0</v>
      </c>
      <c r="I253" t="n">
        <v>0</v>
      </c>
      <c r="J253" t="n">
        <v>0</v>
      </c>
      <c r="K253" t="n">
        <v>0</v>
      </c>
      <c r="L253" t="n">
        <v>0</v>
      </c>
      <c r="M253" t="n">
        <v>0</v>
      </c>
      <c r="N253" t="n">
        <v>0</v>
      </c>
      <c r="O253" t="n">
        <v>0</v>
      </c>
      <c r="P253" t="n">
        <v>0</v>
      </c>
      <c r="Q253" t="n">
        <v>0</v>
      </c>
      <c r="R253" s="2" t="inlineStr"/>
    </row>
    <row r="254" ht="15" customHeight="1">
      <c r="A254" t="inlineStr">
        <is>
          <t>A 33741-2025</t>
        </is>
      </c>
      <c r="B254" s="1" t="n">
        <v>45842.3446875</v>
      </c>
      <c r="C254" s="1" t="n">
        <v>46037</v>
      </c>
      <c r="D254" t="inlineStr">
        <is>
          <t>NORRBOTTENS LÄN</t>
        </is>
      </c>
      <c r="E254" t="inlineStr">
        <is>
          <t>JOKKMOKK</t>
        </is>
      </c>
      <c r="F254" t="inlineStr">
        <is>
          <t>SCA</t>
        </is>
      </c>
      <c r="G254" t="n">
        <v>5.1</v>
      </c>
      <c r="H254" t="n">
        <v>0</v>
      </c>
      <c r="I254" t="n">
        <v>0</v>
      </c>
      <c r="J254" t="n">
        <v>0</v>
      </c>
      <c r="K254" t="n">
        <v>0</v>
      </c>
      <c r="L254" t="n">
        <v>0</v>
      </c>
      <c r="M254" t="n">
        <v>0</v>
      </c>
      <c r="N254" t="n">
        <v>0</v>
      </c>
      <c r="O254" t="n">
        <v>0</v>
      </c>
      <c r="P254" t="n">
        <v>0</v>
      </c>
      <c r="Q254" t="n">
        <v>0</v>
      </c>
      <c r="R254" s="2" t="inlineStr"/>
    </row>
    <row r="255" ht="15" customHeight="1">
      <c r="A255" t="inlineStr">
        <is>
          <t>A 47529-2025</t>
        </is>
      </c>
      <c r="B255" s="1" t="n">
        <v>45931</v>
      </c>
      <c r="C255" s="1" t="n">
        <v>46037</v>
      </c>
      <c r="D255" t="inlineStr">
        <is>
          <t>NORRBOTTENS LÄN</t>
        </is>
      </c>
      <c r="E255" t="inlineStr">
        <is>
          <t>JOKKMOKK</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46037</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48166-2025</t>
        </is>
      </c>
      <c r="B257" s="1" t="n">
        <v>45933</v>
      </c>
      <c r="C257" s="1" t="n">
        <v>46037</v>
      </c>
      <c r="D257" t="inlineStr">
        <is>
          <t>NORRBOTTENS LÄN</t>
        </is>
      </c>
      <c r="E257" t="inlineStr">
        <is>
          <t>JOKKMOKK</t>
        </is>
      </c>
      <c r="G257" t="n">
        <v>41.8</v>
      </c>
      <c r="H257" t="n">
        <v>0</v>
      </c>
      <c r="I257" t="n">
        <v>0</v>
      </c>
      <c r="J257" t="n">
        <v>0</v>
      </c>
      <c r="K257" t="n">
        <v>0</v>
      </c>
      <c r="L257" t="n">
        <v>0</v>
      </c>
      <c r="M257" t="n">
        <v>0</v>
      </c>
      <c r="N257" t="n">
        <v>0</v>
      </c>
      <c r="O257" t="n">
        <v>0</v>
      </c>
      <c r="P257" t="n">
        <v>0</v>
      </c>
      <c r="Q257" t="n">
        <v>0</v>
      </c>
      <c r="R257" s="2" t="inlineStr"/>
    </row>
    <row r="258" ht="15" customHeight="1">
      <c r="A258" t="inlineStr">
        <is>
          <t>A 48167-2025</t>
        </is>
      </c>
      <c r="B258" s="1" t="n">
        <v>45933</v>
      </c>
      <c r="C258" s="1" t="n">
        <v>46037</v>
      </c>
      <c r="D258" t="inlineStr">
        <is>
          <t>NORRBOTTENS LÄN</t>
        </is>
      </c>
      <c r="E258" t="inlineStr">
        <is>
          <t>JOKKMOKK</t>
        </is>
      </c>
      <c r="G258" t="n">
        <v>3.4</v>
      </c>
      <c r="H258" t="n">
        <v>0</v>
      </c>
      <c r="I258" t="n">
        <v>0</v>
      </c>
      <c r="J258" t="n">
        <v>0</v>
      </c>
      <c r="K258" t="n">
        <v>0</v>
      </c>
      <c r="L258" t="n">
        <v>0</v>
      </c>
      <c r="M258" t="n">
        <v>0</v>
      </c>
      <c r="N258" t="n">
        <v>0</v>
      </c>
      <c r="O258" t="n">
        <v>0</v>
      </c>
      <c r="P258" t="n">
        <v>0</v>
      </c>
      <c r="Q258" t="n">
        <v>0</v>
      </c>
      <c r="R258" s="2" t="inlineStr"/>
    </row>
    <row r="259" ht="15" customHeight="1">
      <c r="A259" t="inlineStr">
        <is>
          <t>A 48141-2025</t>
        </is>
      </c>
      <c r="B259" s="1" t="n">
        <v>45933</v>
      </c>
      <c r="C259" s="1" t="n">
        <v>46037</v>
      </c>
      <c r="D259" t="inlineStr">
        <is>
          <t>NORRBOTTENS LÄN</t>
        </is>
      </c>
      <c r="E259" t="inlineStr">
        <is>
          <t>JOKKMOKK</t>
        </is>
      </c>
      <c r="G259" t="n">
        <v>17.7</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46037</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46037</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46037</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35040-2025</t>
        </is>
      </c>
      <c r="B263" s="1" t="n">
        <v>45852.34420138889</v>
      </c>
      <c r="C263" s="1" t="n">
        <v>46037</v>
      </c>
      <c r="D263" t="inlineStr">
        <is>
          <t>NORRBOTTENS LÄN</t>
        </is>
      </c>
      <c r="E263" t="inlineStr">
        <is>
          <t>JOKKMOKK</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48946-2025</t>
        </is>
      </c>
      <c r="B264" s="1" t="n">
        <v>45937.53831018518</v>
      </c>
      <c r="C264" s="1" t="n">
        <v>46037</v>
      </c>
      <c r="D264" t="inlineStr">
        <is>
          <t>NORRBOTTENS LÄN</t>
        </is>
      </c>
      <c r="E264" t="inlineStr">
        <is>
          <t>JOKKMOKK</t>
        </is>
      </c>
      <c r="G264" t="n">
        <v>57.3</v>
      </c>
      <c r="H264" t="n">
        <v>0</v>
      </c>
      <c r="I264" t="n">
        <v>0</v>
      </c>
      <c r="J264" t="n">
        <v>0</v>
      </c>
      <c r="K264" t="n">
        <v>0</v>
      </c>
      <c r="L264" t="n">
        <v>0</v>
      </c>
      <c r="M264" t="n">
        <v>0</v>
      </c>
      <c r="N264" t="n">
        <v>0</v>
      </c>
      <c r="O264" t="n">
        <v>0</v>
      </c>
      <c r="P264" t="n">
        <v>0</v>
      </c>
      <c r="Q264" t="n">
        <v>0</v>
      </c>
      <c r="R264" s="2" t="inlineStr"/>
    </row>
    <row r="265" ht="15" customHeight="1">
      <c r="A265" t="inlineStr">
        <is>
          <t>A 35511-2025</t>
        </is>
      </c>
      <c r="B265" s="1" t="n">
        <v>45856.36497685185</v>
      </c>
      <c r="C265" s="1" t="n">
        <v>46037</v>
      </c>
      <c r="D265" t="inlineStr">
        <is>
          <t>NORRBOTTENS LÄN</t>
        </is>
      </c>
      <c r="E265" t="inlineStr">
        <is>
          <t>JOKKMOKK</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43886-2025</t>
        </is>
      </c>
      <c r="B266" s="1" t="n">
        <v>45912</v>
      </c>
      <c r="C266" s="1" t="n">
        <v>46037</v>
      </c>
      <c r="D266" t="inlineStr">
        <is>
          <t>NORRBOTTENS LÄN</t>
        </is>
      </c>
      <c r="E266" t="inlineStr">
        <is>
          <t>JOKKMOKK</t>
        </is>
      </c>
      <c r="G266" t="n">
        <v>38.1</v>
      </c>
      <c r="H266" t="n">
        <v>0</v>
      </c>
      <c r="I266" t="n">
        <v>0</v>
      </c>
      <c r="J266" t="n">
        <v>0</v>
      </c>
      <c r="K266" t="n">
        <v>0</v>
      </c>
      <c r="L266" t="n">
        <v>0</v>
      </c>
      <c r="M266" t="n">
        <v>0</v>
      </c>
      <c r="N266" t="n">
        <v>0</v>
      </c>
      <c r="O266" t="n">
        <v>0</v>
      </c>
      <c r="P266" t="n">
        <v>0</v>
      </c>
      <c r="Q266" t="n">
        <v>0</v>
      </c>
      <c r="R266" s="2" t="inlineStr"/>
    </row>
    <row r="267" ht="15" customHeight="1">
      <c r="A267" t="inlineStr">
        <is>
          <t>A 50436-2024</t>
        </is>
      </c>
      <c r="B267" s="1" t="n">
        <v>45601.4096875</v>
      </c>
      <c r="C267" s="1" t="n">
        <v>46037</v>
      </c>
      <c r="D267" t="inlineStr">
        <is>
          <t>NORRBOTTENS LÄN</t>
        </is>
      </c>
      <c r="E267" t="inlineStr">
        <is>
          <t>JOKKMOKK</t>
        </is>
      </c>
      <c r="F267" t="inlineStr">
        <is>
          <t>Allmännings- och besparingsskogar</t>
        </is>
      </c>
      <c r="G267" t="n">
        <v>6.5</v>
      </c>
      <c r="H267" t="n">
        <v>0</v>
      </c>
      <c r="I267" t="n">
        <v>0</v>
      </c>
      <c r="J267" t="n">
        <v>0</v>
      </c>
      <c r="K267" t="n">
        <v>0</v>
      </c>
      <c r="L267" t="n">
        <v>0</v>
      </c>
      <c r="M267" t="n">
        <v>0</v>
      </c>
      <c r="N267" t="n">
        <v>0</v>
      </c>
      <c r="O267" t="n">
        <v>0</v>
      </c>
      <c r="P267" t="n">
        <v>0</v>
      </c>
      <c r="Q267" t="n">
        <v>0</v>
      </c>
      <c r="R267" s="2" t="inlineStr"/>
    </row>
    <row r="268" ht="15" customHeight="1">
      <c r="A268" t="inlineStr">
        <is>
          <t>A 49896-2025</t>
        </is>
      </c>
      <c r="B268" s="1" t="n">
        <v>45940.58270833334</v>
      </c>
      <c r="C268" s="1" t="n">
        <v>46037</v>
      </c>
      <c r="D268" t="inlineStr">
        <is>
          <t>NORRBOTTENS LÄN</t>
        </is>
      </c>
      <c r="E268" t="inlineStr">
        <is>
          <t>JOKKMOKK</t>
        </is>
      </c>
      <c r="F268" t="inlineStr">
        <is>
          <t>Sveaskog</t>
        </is>
      </c>
      <c r="G268" t="n">
        <v>7.6</v>
      </c>
      <c r="H268" t="n">
        <v>0</v>
      </c>
      <c r="I268" t="n">
        <v>0</v>
      </c>
      <c r="J268" t="n">
        <v>0</v>
      </c>
      <c r="K268" t="n">
        <v>0</v>
      </c>
      <c r="L268" t="n">
        <v>0</v>
      </c>
      <c r="M268" t="n">
        <v>0</v>
      </c>
      <c r="N268" t="n">
        <v>0</v>
      </c>
      <c r="O268" t="n">
        <v>0</v>
      </c>
      <c r="P268" t="n">
        <v>0</v>
      </c>
      <c r="Q268" t="n">
        <v>0</v>
      </c>
      <c r="R268" s="2" t="inlineStr"/>
    </row>
    <row r="269" ht="15" customHeight="1">
      <c r="A269" t="inlineStr">
        <is>
          <t>A 49477-2025</t>
        </is>
      </c>
      <c r="B269" s="1" t="n">
        <v>45939.34547453704</v>
      </c>
      <c r="C269" s="1" t="n">
        <v>46037</v>
      </c>
      <c r="D269" t="inlineStr">
        <is>
          <t>NORRBOTTENS LÄN</t>
        </is>
      </c>
      <c r="E269" t="inlineStr">
        <is>
          <t>JOKKMOKK</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49475-2025</t>
        </is>
      </c>
      <c r="B270" s="1" t="n">
        <v>45939.34488425926</v>
      </c>
      <c r="C270" s="1" t="n">
        <v>46037</v>
      </c>
      <c r="D270" t="inlineStr">
        <is>
          <t>NORRBOTTENS LÄN</t>
        </is>
      </c>
      <c r="E270" t="inlineStr">
        <is>
          <t>JOKKMOKK</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35749-2025</t>
        </is>
      </c>
      <c r="B271" s="1" t="n">
        <v>45860</v>
      </c>
      <c r="C271" s="1" t="n">
        <v>46037</v>
      </c>
      <c r="D271" t="inlineStr">
        <is>
          <t>NORRBOTTENS LÄN</t>
        </is>
      </c>
      <c r="E271" t="inlineStr">
        <is>
          <t>JOKKMOKK</t>
        </is>
      </c>
      <c r="G271" t="n">
        <v>4.2</v>
      </c>
      <c r="H271" t="n">
        <v>0</v>
      </c>
      <c r="I271" t="n">
        <v>0</v>
      </c>
      <c r="J271" t="n">
        <v>0</v>
      </c>
      <c r="K271" t="n">
        <v>0</v>
      </c>
      <c r="L271" t="n">
        <v>0</v>
      </c>
      <c r="M271" t="n">
        <v>0</v>
      </c>
      <c r="N271" t="n">
        <v>0</v>
      </c>
      <c r="O271" t="n">
        <v>0</v>
      </c>
      <c r="P271" t="n">
        <v>0</v>
      </c>
      <c r="Q271" t="n">
        <v>0</v>
      </c>
      <c r="R271" s="2" t="inlineStr"/>
    </row>
    <row r="272" ht="15" customHeight="1">
      <c r="A272" t="inlineStr">
        <is>
          <t>A 49856-2025</t>
        </is>
      </c>
      <c r="B272" s="1" t="n">
        <v>45940.50591435185</v>
      </c>
      <c r="C272" s="1" t="n">
        <v>46037</v>
      </c>
      <c r="D272" t="inlineStr">
        <is>
          <t>NORRBOTTENS LÄN</t>
        </is>
      </c>
      <c r="E272" t="inlineStr">
        <is>
          <t>JOKKMOKK</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50397-2025</t>
        </is>
      </c>
      <c r="B273" s="1" t="n">
        <v>45944.62211805556</v>
      </c>
      <c r="C273" s="1" t="n">
        <v>46037</v>
      </c>
      <c r="D273" t="inlineStr">
        <is>
          <t>NORRBOTTENS LÄN</t>
        </is>
      </c>
      <c r="E273" t="inlineStr">
        <is>
          <t>JOKKMOKK</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50185-2025</t>
        </is>
      </c>
      <c r="B274" s="1" t="n">
        <v>45943.62515046296</v>
      </c>
      <c r="C274" s="1" t="n">
        <v>46037</v>
      </c>
      <c r="D274" t="inlineStr">
        <is>
          <t>NORRBOTTENS LÄN</t>
        </is>
      </c>
      <c r="E274" t="inlineStr">
        <is>
          <t>JOKKMOKK</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35805-2025</t>
        </is>
      </c>
      <c r="B275" s="1" t="n">
        <v>45861.4019212963</v>
      </c>
      <c r="C275" s="1" t="n">
        <v>46037</v>
      </c>
      <c r="D275" t="inlineStr">
        <is>
          <t>NORRBOTTENS LÄN</t>
        </is>
      </c>
      <c r="E275" t="inlineStr">
        <is>
          <t>JOKKMOKK</t>
        </is>
      </c>
      <c r="G275" t="n">
        <v>7</v>
      </c>
      <c r="H275" t="n">
        <v>0</v>
      </c>
      <c r="I275" t="n">
        <v>0</v>
      </c>
      <c r="J275" t="n">
        <v>0</v>
      </c>
      <c r="K275" t="n">
        <v>0</v>
      </c>
      <c r="L275" t="n">
        <v>0</v>
      </c>
      <c r="M275" t="n">
        <v>0</v>
      </c>
      <c r="N275" t="n">
        <v>0</v>
      </c>
      <c r="O275" t="n">
        <v>0</v>
      </c>
      <c r="P275" t="n">
        <v>0</v>
      </c>
      <c r="Q275" t="n">
        <v>0</v>
      </c>
      <c r="R275" s="2" t="inlineStr"/>
    </row>
    <row r="276" ht="15" customHeight="1">
      <c r="A276" t="inlineStr">
        <is>
          <t>A 49976-2025</t>
        </is>
      </c>
      <c r="B276" s="1" t="n">
        <v>45942.61506944444</v>
      </c>
      <c r="C276" s="1" t="n">
        <v>46037</v>
      </c>
      <c r="D276" t="inlineStr">
        <is>
          <t>NORRBOTTENS LÄN</t>
        </is>
      </c>
      <c r="E276" t="inlineStr">
        <is>
          <t>JOKKMOKK</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28090-2023</t>
        </is>
      </c>
      <c r="B277" s="1" t="n">
        <v>45099</v>
      </c>
      <c r="C277" s="1" t="n">
        <v>46037</v>
      </c>
      <c r="D277" t="inlineStr">
        <is>
          <t>NORRBOTTENS LÄN</t>
        </is>
      </c>
      <c r="E277" t="inlineStr">
        <is>
          <t>JOKKMOKK</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49978-2025</t>
        </is>
      </c>
      <c r="B278" s="1" t="n">
        <v>45942.61520833334</v>
      </c>
      <c r="C278" s="1" t="n">
        <v>46037</v>
      </c>
      <c r="D278" t="inlineStr">
        <is>
          <t>NORRBOTTENS LÄN</t>
        </is>
      </c>
      <c r="E278" t="inlineStr">
        <is>
          <t>JOKKMOKK</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26552-2025</t>
        </is>
      </c>
      <c r="B279" s="1" t="n">
        <v>45807</v>
      </c>
      <c r="C279" s="1" t="n">
        <v>46037</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36325-2025</t>
        </is>
      </c>
      <c r="B280" s="1" t="n">
        <v>45868.40723379629</v>
      </c>
      <c r="C280" s="1" t="n">
        <v>46037</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36357-2025</t>
        </is>
      </c>
      <c r="B281" s="1" t="n">
        <v>45868.5107175926</v>
      </c>
      <c r="C281" s="1" t="n">
        <v>46037</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50731-2025</t>
        </is>
      </c>
      <c r="B282" s="1" t="n">
        <v>45946.36513888889</v>
      </c>
      <c r="C282" s="1" t="n">
        <v>46037</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50732-2025</t>
        </is>
      </c>
      <c r="B283" s="1" t="n">
        <v>45946.36519675926</v>
      </c>
      <c r="C283" s="1" t="n">
        <v>46037</v>
      </c>
      <c r="D283" t="inlineStr">
        <is>
          <t>NORRBOTTENS LÄN</t>
        </is>
      </c>
      <c r="E283" t="inlineStr">
        <is>
          <t>JOKKMOKK</t>
        </is>
      </c>
      <c r="F283" t="inlineStr">
        <is>
          <t>SCA</t>
        </is>
      </c>
      <c r="G283" t="n">
        <v>45.9</v>
      </c>
      <c r="H283" t="n">
        <v>0</v>
      </c>
      <c r="I283" t="n">
        <v>0</v>
      </c>
      <c r="J283" t="n">
        <v>0</v>
      </c>
      <c r="K283" t="n">
        <v>0</v>
      </c>
      <c r="L283" t="n">
        <v>0</v>
      </c>
      <c r="M283" t="n">
        <v>0</v>
      </c>
      <c r="N283" t="n">
        <v>0</v>
      </c>
      <c r="O283" t="n">
        <v>0</v>
      </c>
      <c r="P283" t="n">
        <v>0</v>
      </c>
      <c r="Q283" t="n">
        <v>0</v>
      </c>
      <c r="R283" s="2" t="inlineStr"/>
    </row>
    <row r="284" ht="15" customHeight="1">
      <c r="A284" t="inlineStr">
        <is>
          <t>A 42481-2024</t>
        </is>
      </c>
      <c r="B284" s="1" t="n">
        <v>45565.49210648148</v>
      </c>
      <c r="C284" s="1" t="n">
        <v>46037</v>
      </c>
      <c r="D284" t="inlineStr">
        <is>
          <t>NORRBOTTENS LÄN</t>
        </is>
      </c>
      <c r="E284" t="inlineStr">
        <is>
          <t>JOKKMOKK</t>
        </is>
      </c>
      <c r="F284" t="inlineStr">
        <is>
          <t>SCA</t>
        </is>
      </c>
      <c r="G284" t="n">
        <v>25.2</v>
      </c>
      <c r="H284" t="n">
        <v>0</v>
      </c>
      <c r="I284" t="n">
        <v>0</v>
      </c>
      <c r="J284" t="n">
        <v>0</v>
      </c>
      <c r="K284" t="n">
        <v>0</v>
      </c>
      <c r="L284" t="n">
        <v>0</v>
      </c>
      <c r="M284" t="n">
        <v>0</v>
      </c>
      <c r="N284" t="n">
        <v>0</v>
      </c>
      <c r="O284" t="n">
        <v>0</v>
      </c>
      <c r="P284" t="n">
        <v>0</v>
      </c>
      <c r="Q284" t="n">
        <v>0</v>
      </c>
      <c r="R284" s="2" t="inlineStr"/>
    </row>
    <row r="285" ht="15" customHeight="1">
      <c r="A285" t="inlineStr">
        <is>
          <t>A 50717-2025</t>
        </is>
      </c>
      <c r="B285" s="1" t="n">
        <v>45946.34598379629</v>
      </c>
      <c r="C285" s="1" t="n">
        <v>46037</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50723-2025</t>
        </is>
      </c>
      <c r="B286" s="1" t="n">
        <v>45946.34690972222</v>
      </c>
      <c r="C286" s="1" t="n">
        <v>46037</v>
      </c>
      <c r="D286" t="inlineStr">
        <is>
          <t>NORRBOTTENS LÄN</t>
        </is>
      </c>
      <c r="E286" t="inlineStr">
        <is>
          <t>JOKKMOKK</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53232-2024</t>
        </is>
      </c>
      <c r="B287" s="1" t="n">
        <v>45613.67967592592</v>
      </c>
      <c r="C287" s="1" t="n">
        <v>46037</v>
      </c>
      <c r="D287" t="inlineStr">
        <is>
          <t>NORRBOTTENS LÄN</t>
        </is>
      </c>
      <c r="E287" t="inlineStr">
        <is>
          <t>JOKKMOKK</t>
        </is>
      </c>
      <c r="G287" t="n">
        <v>1.9</v>
      </c>
      <c r="H287" t="n">
        <v>0</v>
      </c>
      <c r="I287" t="n">
        <v>0</v>
      </c>
      <c r="J287" t="n">
        <v>0</v>
      </c>
      <c r="K287" t="n">
        <v>0</v>
      </c>
      <c r="L287" t="n">
        <v>0</v>
      </c>
      <c r="M287" t="n">
        <v>0</v>
      </c>
      <c r="N287" t="n">
        <v>0</v>
      </c>
      <c r="O287" t="n">
        <v>0</v>
      </c>
      <c r="P287" t="n">
        <v>0</v>
      </c>
      <c r="Q287" t="n">
        <v>0</v>
      </c>
      <c r="R287" s="2" t="inlineStr"/>
    </row>
    <row r="288" ht="15" customHeight="1">
      <c r="A288" t="inlineStr">
        <is>
          <t>A 36168-2025</t>
        </is>
      </c>
      <c r="B288" s="1" t="n">
        <v>45867.38582175926</v>
      </c>
      <c r="C288" s="1" t="n">
        <v>46037</v>
      </c>
      <c r="D288" t="inlineStr">
        <is>
          <t>NORRBOTTENS LÄN</t>
        </is>
      </c>
      <c r="E288" t="inlineStr">
        <is>
          <t>JOKKMOKK</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50628-2024</t>
        </is>
      </c>
      <c r="B289" s="1" t="n">
        <v>45601.66423611111</v>
      </c>
      <c r="C289" s="1" t="n">
        <v>46037</v>
      </c>
      <c r="D289" t="inlineStr">
        <is>
          <t>NORRBOTTENS LÄN</t>
        </is>
      </c>
      <c r="E289" t="inlineStr">
        <is>
          <t>JOKKMOKK</t>
        </is>
      </c>
      <c r="F289" t="inlineStr">
        <is>
          <t>Allmännings- och besparingsskogar</t>
        </is>
      </c>
      <c r="G289" t="n">
        <v>2.4</v>
      </c>
      <c r="H289" t="n">
        <v>0</v>
      </c>
      <c r="I289" t="n">
        <v>0</v>
      </c>
      <c r="J289" t="n">
        <v>0</v>
      </c>
      <c r="K289" t="n">
        <v>0</v>
      </c>
      <c r="L289" t="n">
        <v>0</v>
      </c>
      <c r="M289" t="n">
        <v>0</v>
      </c>
      <c r="N289" t="n">
        <v>0</v>
      </c>
      <c r="O289" t="n">
        <v>0</v>
      </c>
      <c r="P289" t="n">
        <v>0</v>
      </c>
      <c r="Q289" t="n">
        <v>0</v>
      </c>
      <c r="R289" s="2" t="inlineStr"/>
    </row>
    <row r="290" ht="15" customHeight="1">
      <c r="A290" t="inlineStr">
        <is>
          <t>A 51499-2025</t>
        </is>
      </c>
      <c r="B290" s="1" t="n">
        <v>45950.63737268518</v>
      </c>
      <c r="C290" s="1" t="n">
        <v>46037</v>
      </c>
      <c r="D290" t="inlineStr">
        <is>
          <t>NORRBOTTENS LÄN</t>
        </is>
      </c>
      <c r="E290" t="inlineStr">
        <is>
          <t>JOKKMOKK</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45950.63739583334</v>
      </c>
      <c r="C291" s="1" t="n">
        <v>46037</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453-2025</t>
        </is>
      </c>
      <c r="B292" s="1" t="n">
        <v>45664.4005787037</v>
      </c>
      <c r="C292" s="1" t="n">
        <v>46037</v>
      </c>
      <c r="D292" t="inlineStr">
        <is>
          <t>NORRBOTTENS LÄN</t>
        </is>
      </c>
      <c r="E292" t="inlineStr">
        <is>
          <t>JOKKMOKK</t>
        </is>
      </c>
      <c r="F292" t="inlineStr">
        <is>
          <t>Övriga statliga verk och myndigheter</t>
        </is>
      </c>
      <c r="G292" t="n">
        <v>5</v>
      </c>
      <c r="H292" t="n">
        <v>0</v>
      </c>
      <c r="I292" t="n">
        <v>0</v>
      </c>
      <c r="J292" t="n">
        <v>0</v>
      </c>
      <c r="K292" t="n">
        <v>0</v>
      </c>
      <c r="L292" t="n">
        <v>0</v>
      </c>
      <c r="M292" t="n">
        <v>0</v>
      </c>
      <c r="N292" t="n">
        <v>0</v>
      </c>
      <c r="O292" t="n">
        <v>0</v>
      </c>
      <c r="P292" t="n">
        <v>0</v>
      </c>
      <c r="Q292" t="n">
        <v>0</v>
      </c>
      <c r="R292" s="2" t="inlineStr"/>
    </row>
    <row r="293" ht="15" customHeight="1">
      <c r="A293" t="inlineStr">
        <is>
          <t>A 50986-2025</t>
        </is>
      </c>
      <c r="B293" s="1" t="n">
        <v>45947.3453125</v>
      </c>
      <c r="C293" s="1" t="n">
        <v>46037</v>
      </c>
      <c r="D293" t="inlineStr">
        <is>
          <t>NORRBOTTENS LÄN</t>
        </is>
      </c>
      <c r="E293" t="inlineStr">
        <is>
          <t>JOKKMOKK</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56523-2021</t>
        </is>
      </c>
      <c r="B294" s="1" t="n">
        <v>44477</v>
      </c>
      <c r="C294" s="1" t="n">
        <v>46037</v>
      </c>
      <c r="D294" t="inlineStr">
        <is>
          <t>NORRBOTTENS LÄN</t>
        </is>
      </c>
      <c r="E294" t="inlineStr">
        <is>
          <t>JOKKMOKK</t>
        </is>
      </c>
      <c r="G294" t="n">
        <v>6.6</v>
      </c>
      <c r="H294" t="n">
        <v>0</v>
      </c>
      <c r="I294" t="n">
        <v>0</v>
      </c>
      <c r="J294" t="n">
        <v>0</v>
      </c>
      <c r="K294" t="n">
        <v>0</v>
      </c>
      <c r="L294" t="n">
        <v>0</v>
      </c>
      <c r="M294" t="n">
        <v>0</v>
      </c>
      <c r="N294" t="n">
        <v>0</v>
      </c>
      <c r="O294" t="n">
        <v>0</v>
      </c>
      <c r="P294" t="n">
        <v>0</v>
      </c>
      <c r="Q294" t="n">
        <v>0</v>
      </c>
      <c r="R294" s="2" t="inlineStr"/>
    </row>
    <row r="295" ht="15" customHeight="1">
      <c r="A295" t="inlineStr">
        <is>
          <t>A 51707-2025</t>
        </is>
      </c>
      <c r="B295" s="1" t="n">
        <v>45951</v>
      </c>
      <c r="C295" s="1" t="n">
        <v>46037</v>
      </c>
      <c r="D295" t="inlineStr">
        <is>
          <t>NORRBOTTENS LÄN</t>
        </is>
      </c>
      <c r="E295" t="inlineStr">
        <is>
          <t>JOKKMOKK</t>
        </is>
      </c>
      <c r="F295" t="inlineStr">
        <is>
          <t>Övriga statliga verk och myndigheter</t>
        </is>
      </c>
      <c r="G295" t="n">
        <v>7.2</v>
      </c>
      <c r="H295" t="n">
        <v>0</v>
      </c>
      <c r="I295" t="n">
        <v>0</v>
      </c>
      <c r="J295" t="n">
        <v>0</v>
      </c>
      <c r="K295" t="n">
        <v>0</v>
      </c>
      <c r="L295" t="n">
        <v>0</v>
      </c>
      <c r="M295" t="n">
        <v>0</v>
      </c>
      <c r="N295" t="n">
        <v>0</v>
      </c>
      <c r="O295" t="n">
        <v>0</v>
      </c>
      <c r="P295" t="n">
        <v>0</v>
      </c>
      <c r="Q295" t="n">
        <v>0</v>
      </c>
      <c r="R295" s="2" t="inlineStr"/>
    </row>
    <row r="296" ht="15" customHeight="1">
      <c r="A296" t="inlineStr">
        <is>
          <t>A 51717-2025</t>
        </is>
      </c>
      <c r="B296" s="1" t="n">
        <v>45951.57743055555</v>
      </c>
      <c r="C296" s="1" t="n">
        <v>46037</v>
      </c>
      <c r="D296" t="inlineStr">
        <is>
          <t>NORRBOTTENS LÄN</t>
        </is>
      </c>
      <c r="E296" t="inlineStr">
        <is>
          <t>JOKKMOKK</t>
        </is>
      </c>
      <c r="F296" t="inlineStr">
        <is>
          <t>Övriga statliga verk och myndigheter</t>
        </is>
      </c>
      <c r="G296" t="n">
        <v>3.4</v>
      </c>
      <c r="H296" t="n">
        <v>0</v>
      </c>
      <c r="I296" t="n">
        <v>0</v>
      </c>
      <c r="J296" t="n">
        <v>0</v>
      </c>
      <c r="K296" t="n">
        <v>0</v>
      </c>
      <c r="L296" t="n">
        <v>0</v>
      </c>
      <c r="M296" t="n">
        <v>0</v>
      </c>
      <c r="N296" t="n">
        <v>0</v>
      </c>
      <c r="O296" t="n">
        <v>0</v>
      </c>
      <c r="P296" t="n">
        <v>0</v>
      </c>
      <c r="Q296" t="n">
        <v>0</v>
      </c>
      <c r="R296" s="2" t="inlineStr"/>
    </row>
    <row r="297" ht="15" customHeight="1">
      <c r="A297" t="inlineStr">
        <is>
          <t>A 51718-2025</t>
        </is>
      </c>
      <c r="B297" s="1" t="n">
        <v>45951.57791666667</v>
      </c>
      <c r="C297" s="1" t="n">
        <v>46037</v>
      </c>
      <c r="D297" t="inlineStr">
        <is>
          <t>NORRBOTTENS LÄN</t>
        </is>
      </c>
      <c r="E297" t="inlineStr">
        <is>
          <t>JOKKMOKK</t>
        </is>
      </c>
      <c r="F297" t="inlineStr">
        <is>
          <t>Övriga statliga verk och myndigheter</t>
        </is>
      </c>
      <c r="G297" t="n">
        <v>31.9</v>
      </c>
      <c r="H297" t="n">
        <v>0</v>
      </c>
      <c r="I297" t="n">
        <v>0</v>
      </c>
      <c r="J297" t="n">
        <v>0</v>
      </c>
      <c r="K297" t="n">
        <v>0</v>
      </c>
      <c r="L297" t="n">
        <v>0</v>
      </c>
      <c r="M297" t="n">
        <v>0</v>
      </c>
      <c r="N297" t="n">
        <v>0</v>
      </c>
      <c r="O297" t="n">
        <v>0</v>
      </c>
      <c r="P297" t="n">
        <v>0</v>
      </c>
      <c r="Q297" t="n">
        <v>0</v>
      </c>
      <c r="R297" s="2" t="inlineStr"/>
    </row>
    <row r="298" ht="15" customHeight="1">
      <c r="A298" t="inlineStr">
        <is>
          <t>A 30511-2023</t>
        </is>
      </c>
      <c r="B298" s="1" t="n">
        <v>45111</v>
      </c>
      <c r="C298" s="1" t="n">
        <v>46037</v>
      </c>
      <c r="D298" t="inlineStr">
        <is>
          <t>NORRBOTTENS LÄN</t>
        </is>
      </c>
      <c r="E298" t="inlineStr">
        <is>
          <t>JOKKMOKK</t>
        </is>
      </c>
      <c r="G298" t="n">
        <v>0.9</v>
      </c>
      <c r="H298" t="n">
        <v>0</v>
      </c>
      <c r="I298" t="n">
        <v>0</v>
      </c>
      <c r="J298" t="n">
        <v>0</v>
      </c>
      <c r="K298" t="n">
        <v>0</v>
      </c>
      <c r="L298" t="n">
        <v>0</v>
      </c>
      <c r="M298" t="n">
        <v>0</v>
      </c>
      <c r="N298" t="n">
        <v>0</v>
      </c>
      <c r="O298" t="n">
        <v>0</v>
      </c>
      <c r="P298" t="n">
        <v>0</v>
      </c>
      <c r="Q298" t="n">
        <v>0</v>
      </c>
      <c r="R298" s="2" t="inlineStr"/>
    </row>
    <row r="299" ht="15" customHeight="1">
      <c r="A299" t="inlineStr">
        <is>
          <t>A 52112-2025</t>
        </is>
      </c>
      <c r="B299" s="1" t="n">
        <v>45952.69846064815</v>
      </c>
      <c r="C299" s="1" t="n">
        <v>46037</v>
      </c>
      <c r="D299" t="inlineStr">
        <is>
          <t>NORRBOTTENS LÄN</t>
        </is>
      </c>
      <c r="E299" t="inlineStr">
        <is>
          <t>JOKKMOKK</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51576-2025</t>
        </is>
      </c>
      <c r="B300" s="1" t="n">
        <v>45951.34469907408</v>
      </c>
      <c r="C300" s="1" t="n">
        <v>46037</v>
      </c>
      <c r="D300" t="inlineStr">
        <is>
          <t>NORRBOTTENS LÄN</t>
        </is>
      </c>
      <c r="E300" t="inlineStr">
        <is>
          <t>JOKKMOKK</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51577-2025</t>
        </is>
      </c>
      <c r="B301" s="1" t="n">
        <v>45951</v>
      </c>
      <c r="C301" s="1" t="n">
        <v>46037</v>
      </c>
      <c r="D301" t="inlineStr">
        <is>
          <t>NORRBOTTENS LÄN</t>
        </is>
      </c>
      <c r="E301" t="inlineStr">
        <is>
          <t>JOKKMOKK</t>
        </is>
      </c>
      <c r="F301" t="inlineStr">
        <is>
          <t>SCA</t>
        </is>
      </c>
      <c r="G301" t="n">
        <v>4.3</v>
      </c>
      <c r="H301" t="n">
        <v>0</v>
      </c>
      <c r="I301" t="n">
        <v>0</v>
      </c>
      <c r="J301" t="n">
        <v>0</v>
      </c>
      <c r="K301" t="n">
        <v>0</v>
      </c>
      <c r="L301" t="n">
        <v>0</v>
      </c>
      <c r="M301" t="n">
        <v>0</v>
      </c>
      <c r="N301" t="n">
        <v>0</v>
      </c>
      <c r="O301" t="n">
        <v>0</v>
      </c>
      <c r="P301" t="n">
        <v>0</v>
      </c>
      <c r="Q301" t="n">
        <v>0</v>
      </c>
      <c r="R301" s="2" t="inlineStr"/>
    </row>
    <row r="302" ht="15" customHeight="1">
      <c r="A302" t="inlineStr">
        <is>
          <t>A 51721-2025</t>
        </is>
      </c>
      <c r="B302" s="1" t="n">
        <v>45951.58004629629</v>
      </c>
      <c r="C302" s="1" t="n">
        <v>46037</v>
      </c>
      <c r="D302" t="inlineStr">
        <is>
          <t>NORRBOTTENS LÄN</t>
        </is>
      </c>
      <c r="E302" t="inlineStr">
        <is>
          <t>JOKKMOKK</t>
        </is>
      </c>
      <c r="F302" t="inlineStr">
        <is>
          <t>Övriga statliga verk och myndigheter</t>
        </is>
      </c>
      <c r="G302" t="n">
        <v>16.3</v>
      </c>
      <c r="H302" t="n">
        <v>0</v>
      </c>
      <c r="I302" t="n">
        <v>0</v>
      </c>
      <c r="J302" t="n">
        <v>0</v>
      </c>
      <c r="K302" t="n">
        <v>0</v>
      </c>
      <c r="L302" t="n">
        <v>0</v>
      </c>
      <c r="M302" t="n">
        <v>0</v>
      </c>
      <c r="N302" t="n">
        <v>0</v>
      </c>
      <c r="O302" t="n">
        <v>0</v>
      </c>
      <c r="P302" t="n">
        <v>0</v>
      </c>
      <c r="Q302" t="n">
        <v>0</v>
      </c>
      <c r="R302" s="2" t="inlineStr"/>
    </row>
    <row r="303" ht="15" customHeight="1">
      <c r="A303" t="inlineStr">
        <is>
          <t>A 51699-2025</t>
        </is>
      </c>
      <c r="B303" s="1" t="n">
        <v>45951.55253472222</v>
      </c>
      <c r="C303" s="1" t="n">
        <v>46037</v>
      </c>
      <c r="D303" t="inlineStr">
        <is>
          <t>NORRBOTTENS LÄN</t>
        </is>
      </c>
      <c r="E303" t="inlineStr">
        <is>
          <t>JOKKMOKK</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9852-2023</t>
        </is>
      </c>
      <c r="B304" s="1" t="n">
        <v>44984</v>
      </c>
      <c r="C304" s="1" t="n">
        <v>46037</v>
      </c>
      <c r="D304" t="inlineStr">
        <is>
          <t>NORRBOTTENS LÄN</t>
        </is>
      </c>
      <c r="E304" t="inlineStr">
        <is>
          <t>JOKKMOKK</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51679-2025</t>
        </is>
      </c>
      <c r="B305" s="1" t="n">
        <v>45951.51141203703</v>
      </c>
      <c r="C305" s="1" t="n">
        <v>46037</v>
      </c>
      <c r="D305" t="inlineStr">
        <is>
          <t>NORRBOTTENS LÄN</t>
        </is>
      </c>
      <c r="E305" t="inlineStr">
        <is>
          <t>JOKKMOKK</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51700-2025</t>
        </is>
      </c>
      <c r="B306" s="1" t="n">
        <v>45951.55287037037</v>
      </c>
      <c r="C306" s="1" t="n">
        <v>46037</v>
      </c>
      <c r="D306" t="inlineStr">
        <is>
          <t>NORRBOTTENS LÄN</t>
        </is>
      </c>
      <c r="E306" t="inlineStr">
        <is>
          <t>JOKKMOKK</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51715-2025</t>
        </is>
      </c>
      <c r="B307" s="1" t="n">
        <v>45951.57585648148</v>
      </c>
      <c r="C307" s="1" t="n">
        <v>46037</v>
      </c>
      <c r="D307" t="inlineStr">
        <is>
          <t>NORRBOTTENS LÄN</t>
        </is>
      </c>
      <c r="E307" t="inlineStr">
        <is>
          <t>JOKKMOKK</t>
        </is>
      </c>
      <c r="F307" t="inlineStr">
        <is>
          <t>Övriga statliga verk och myndigheter</t>
        </is>
      </c>
      <c r="G307" t="n">
        <v>4.1</v>
      </c>
      <c r="H307" t="n">
        <v>0</v>
      </c>
      <c r="I307" t="n">
        <v>0</v>
      </c>
      <c r="J307" t="n">
        <v>0</v>
      </c>
      <c r="K307" t="n">
        <v>0</v>
      </c>
      <c r="L307" t="n">
        <v>0</v>
      </c>
      <c r="M307" t="n">
        <v>0</v>
      </c>
      <c r="N307" t="n">
        <v>0</v>
      </c>
      <c r="O307" t="n">
        <v>0</v>
      </c>
      <c r="P307" t="n">
        <v>0</v>
      </c>
      <c r="Q307" t="n">
        <v>0</v>
      </c>
      <c r="R307" s="2" t="inlineStr"/>
    </row>
    <row r="308" ht="15" customHeight="1">
      <c r="A308" t="inlineStr">
        <is>
          <t>A 52733-2024</t>
        </is>
      </c>
      <c r="B308" s="1" t="n">
        <v>45610</v>
      </c>
      <c r="C308" s="1" t="n">
        <v>46037</v>
      </c>
      <c r="D308" t="inlineStr">
        <is>
          <t>NORRBOTTENS LÄN</t>
        </is>
      </c>
      <c r="E308" t="inlineStr">
        <is>
          <t>JOKKMOKK</t>
        </is>
      </c>
      <c r="F308" t="inlineStr">
        <is>
          <t>Allmännings- och besparingsskogar</t>
        </is>
      </c>
      <c r="G308" t="n">
        <v>6.1</v>
      </c>
      <c r="H308" t="n">
        <v>0</v>
      </c>
      <c r="I308" t="n">
        <v>0</v>
      </c>
      <c r="J308" t="n">
        <v>0</v>
      </c>
      <c r="K308" t="n">
        <v>0</v>
      </c>
      <c r="L308" t="n">
        <v>0</v>
      </c>
      <c r="M308" t="n">
        <v>0</v>
      </c>
      <c r="N308" t="n">
        <v>0</v>
      </c>
      <c r="O308" t="n">
        <v>0</v>
      </c>
      <c r="P308" t="n">
        <v>0</v>
      </c>
      <c r="Q308" t="n">
        <v>0</v>
      </c>
      <c r="R308" s="2" t="inlineStr"/>
    </row>
    <row r="309" ht="15" customHeight="1">
      <c r="A309" t="inlineStr">
        <is>
          <t>A 52855-2024</t>
        </is>
      </c>
      <c r="B309" s="1" t="n">
        <v>45610</v>
      </c>
      <c r="C309" s="1" t="n">
        <v>46037</v>
      </c>
      <c r="D309" t="inlineStr">
        <is>
          <t>NORRBOTTENS LÄN</t>
        </is>
      </c>
      <c r="E309" t="inlineStr">
        <is>
          <t>JOKKMOKK</t>
        </is>
      </c>
      <c r="F309" t="inlineStr">
        <is>
          <t>Allmännings- och besparingsskogar</t>
        </is>
      </c>
      <c r="G309" t="n">
        <v>2.4</v>
      </c>
      <c r="H309" t="n">
        <v>0</v>
      </c>
      <c r="I309" t="n">
        <v>0</v>
      </c>
      <c r="J309" t="n">
        <v>0</v>
      </c>
      <c r="K309" t="n">
        <v>0</v>
      </c>
      <c r="L309" t="n">
        <v>0</v>
      </c>
      <c r="M309" t="n">
        <v>0</v>
      </c>
      <c r="N309" t="n">
        <v>0</v>
      </c>
      <c r="O309" t="n">
        <v>0</v>
      </c>
      <c r="P309" t="n">
        <v>0</v>
      </c>
      <c r="Q309" t="n">
        <v>0</v>
      </c>
      <c r="R309" s="2" t="inlineStr"/>
    </row>
    <row r="310" ht="15" customHeight="1">
      <c r="A310" t="inlineStr">
        <is>
          <t>A 37120-2025</t>
        </is>
      </c>
      <c r="B310" s="1" t="n">
        <v>45875.51827546296</v>
      </c>
      <c r="C310" s="1" t="n">
        <v>46037</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52278-2025</t>
        </is>
      </c>
      <c r="B311" s="1" t="n">
        <v>45953.56256944445</v>
      </c>
      <c r="C311" s="1" t="n">
        <v>46037</v>
      </c>
      <c r="D311" t="inlineStr">
        <is>
          <t>NORRBOTTENS LÄN</t>
        </is>
      </c>
      <c r="E311" t="inlineStr">
        <is>
          <t>JOKKMOKK</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50496-2024</t>
        </is>
      </c>
      <c r="B312" s="1" t="n">
        <v>45601.51266203704</v>
      </c>
      <c r="C312" s="1" t="n">
        <v>46037</v>
      </c>
      <c r="D312" t="inlineStr">
        <is>
          <t>NORRBOTTENS LÄN</t>
        </is>
      </c>
      <c r="E312" t="inlineStr">
        <is>
          <t>JOKKMOKK</t>
        </is>
      </c>
      <c r="F312" t="inlineStr">
        <is>
          <t>Allmännings- och besparingsskogar</t>
        </is>
      </c>
      <c r="G312" t="n">
        <v>2.1</v>
      </c>
      <c r="H312" t="n">
        <v>0</v>
      </c>
      <c r="I312" t="n">
        <v>0</v>
      </c>
      <c r="J312" t="n">
        <v>0</v>
      </c>
      <c r="K312" t="n">
        <v>0</v>
      </c>
      <c r="L312" t="n">
        <v>0</v>
      </c>
      <c r="M312" t="n">
        <v>0</v>
      </c>
      <c r="N312" t="n">
        <v>0</v>
      </c>
      <c r="O312" t="n">
        <v>0</v>
      </c>
      <c r="P312" t="n">
        <v>0</v>
      </c>
      <c r="Q312" t="n">
        <v>0</v>
      </c>
      <c r="R312" s="2" t="inlineStr"/>
    </row>
    <row r="313" ht="15" customHeight="1">
      <c r="A313" t="inlineStr">
        <is>
          <t>A 52294-2025</t>
        </is>
      </c>
      <c r="B313" s="1" t="n">
        <v>45953.59979166667</v>
      </c>
      <c r="C313" s="1" t="n">
        <v>46037</v>
      </c>
      <c r="D313" t="inlineStr">
        <is>
          <t>NORRBOTTENS LÄN</t>
        </is>
      </c>
      <c r="E313" t="inlineStr">
        <is>
          <t>JOKKMOKK</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52288-2025</t>
        </is>
      </c>
      <c r="B314" s="1" t="n">
        <v>45953.59483796296</v>
      </c>
      <c r="C314" s="1" t="n">
        <v>46037</v>
      </c>
      <c r="D314" t="inlineStr">
        <is>
          <t>NORRBOTTENS LÄN</t>
        </is>
      </c>
      <c r="E314" t="inlineStr">
        <is>
          <t>JOKKMOKK</t>
        </is>
      </c>
      <c r="F314" t="inlineStr">
        <is>
          <t>Övriga statliga verk och myndigheter</t>
        </is>
      </c>
      <c r="G314" t="n">
        <v>11.4</v>
      </c>
      <c r="H314" t="n">
        <v>0</v>
      </c>
      <c r="I314" t="n">
        <v>0</v>
      </c>
      <c r="J314" t="n">
        <v>0</v>
      </c>
      <c r="K314" t="n">
        <v>0</v>
      </c>
      <c r="L314" t="n">
        <v>0</v>
      </c>
      <c r="M314" t="n">
        <v>0</v>
      </c>
      <c r="N314" t="n">
        <v>0</v>
      </c>
      <c r="O314" t="n">
        <v>0</v>
      </c>
      <c r="P314" t="n">
        <v>0</v>
      </c>
      <c r="Q314" t="n">
        <v>0</v>
      </c>
      <c r="R314" s="2" t="inlineStr"/>
    </row>
    <row r="315" ht="15" customHeight="1">
      <c r="A315" t="inlineStr">
        <is>
          <t>A 52293-2025</t>
        </is>
      </c>
      <c r="B315" s="1" t="n">
        <v>45953.59943287037</v>
      </c>
      <c r="C315" s="1" t="n">
        <v>46037</v>
      </c>
      <c r="D315" t="inlineStr">
        <is>
          <t>NORRBOTTENS LÄN</t>
        </is>
      </c>
      <c r="E315" t="inlineStr">
        <is>
          <t>JOKKMOKK</t>
        </is>
      </c>
      <c r="F315" t="inlineStr">
        <is>
          <t>Övriga statliga verk och myndigheter</t>
        </is>
      </c>
      <c r="G315" t="n">
        <v>65.09999999999999</v>
      </c>
      <c r="H315" t="n">
        <v>0</v>
      </c>
      <c r="I315" t="n">
        <v>0</v>
      </c>
      <c r="J315" t="n">
        <v>0</v>
      </c>
      <c r="K315" t="n">
        <v>0</v>
      </c>
      <c r="L315" t="n">
        <v>0</v>
      </c>
      <c r="M315" t="n">
        <v>0</v>
      </c>
      <c r="N315" t="n">
        <v>0</v>
      </c>
      <c r="O315" t="n">
        <v>0</v>
      </c>
      <c r="P315" t="n">
        <v>0</v>
      </c>
      <c r="Q315" t="n">
        <v>0</v>
      </c>
      <c r="R315" s="2" t="inlineStr"/>
    </row>
    <row r="316" ht="15" customHeight="1">
      <c r="A316" t="inlineStr">
        <is>
          <t>A 61500-2024</t>
        </is>
      </c>
      <c r="B316" s="1" t="n">
        <v>45645</v>
      </c>
      <c r="C316" s="1" t="n">
        <v>46037</v>
      </c>
      <c r="D316" t="inlineStr">
        <is>
          <t>NORRBOTTENS LÄN</t>
        </is>
      </c>
      <c r="E316" t="inlineStr">
        <is>
          <t>JOKKMOKK</t>
        </is>
      </c>
      <c r="G316" t="n">
        <v>39.8</v>
      </c>
      <c r="H316" t="n">
        <v>0</v>
      </c>
      <c r="I316" t="n">
        <v>0</v>
      </c>
      <c r="J316" t="n">
        <v>0</v>
      </c>
      <c r="K316" t="n">
        <v>0</v>
      </c>
      <c r="L316" t="n">
        <v>0</v>
      </c>
      <c r="M316" t="n">
        <v>0</v>
      </c>
      <c r="N316" t="n">
        <v>0</v>
      </c>
      <c r="O316" t="n">
        <v>0</v>
      </c>
      <c r="P316" t="n">
        <v>0</v>
      </c>
      <c r="Q316" t="n">
        <v>0</v>
      </c>
      <c r="R316" s="2" t="inlineStr"/>
    </row>
    <row r="317" ht="15" customHeight="1">
      <c r="A317" t="inlineStr">
        <is>
          <t>A 60404-2025</t>
        </is>
      </c>
      <c r="B317" s="1" t="n">
        <v>45995.42780092593</v>
      </c>
      <c r="C317" s="1" t="n">
        <v>46037</v>
      </c>
      <c r="D317" t="inlineStr">
        <is>
          <t>NORRBOTTENS LÄN</t>
        </is>
      </c>
      <c r="E317" t="inlineStr">
        <is>
          <t>JOKKMOKK</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37694-2025</t>
        </is>
      </c>
      <c r="B318" s="1" t="n">
        <v>45880.57349537037</v>
      </c>
      <c r="C318" s="1" t="n">
        <v>46037</v>
      </c>
      <c r="D318" t="inlineStr">
        <is>
          <t>NORRBOTTENS LÄN</t>
        </is>
      </c>
      <c r="E318" t="inlineStr">
        <is>
          <t>JOKKMOKK</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52291-2025</t>
        </is>
      </c>
      <c r="B319" s="1" t="n">
        <v>45953.59836805556</v>
      </c>
      <c r="C319" s="1" t="n">
        <v>46037</v>
      </c>
      <c r="D319" t="inlineStr">
        <is>
          <t>NORRBOTTENS LÄN</t>
        </is>
      </c>
      <c r="E319" t="inlineStr">
        <is>
          <t>JOKKMOKK</t>
        </is>
      </c>
      <c r="F319" t="inlineStr">
        <is>
          <t>Övriga statliga verk och myndigheter</t>
        </is>
      </c>
      <c r="G319" t="n">
        <v>41.2</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46037</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37917-2025</t>
        </is>
      </c>
      <c r="B321" s="1" t="n">
        <v>45881.57443287037</v>
      </c>
      <c r="C321" s="1" t="n">
        <v>46037</v>
      </c>
      <c r="D321" t="inlineStr">
        <is>
          <t>NORRBOTTENS LÄN</t>
        </is>
      </c>
      <c r="E321" t="inlineStr">
        <is>
          <t>JOKKMOKK</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46037</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53237-2025</t>
        </is>
      </c>
      <c r="B323" s="1" t="n">
        <v>45957</v>
      </c>
      <c r="C323" s="1" t="n">
        <v>46037</v>
      </c>
      <c r="D323" t="inlineStr">
        <is>
          <t>NORRBOTTENS LÄN</t>
        </is>
      </c>
      <c r="E323" t="inlineStr">
        <is>
          <t>JOKKMOKK</t>
        </is>
      </c>
      <c r="F323" t="inlineStr">
        <is>
          <t>Övriga Aktiebolag</t>
        </is>
      </c>
      <c r="G323" t="n">
        <v>28.1</v>
      </c>
      <c r="H323" t="n">
        <v>0</v>
      </c>
      <c r="I323" t="n">
        <v>0</v>
      </c>
      <c r="J323" t="n">
        <v>0</v>
      </c>
      <c r="K323" t="n">
        <v>0</v>
      </c>
      <c r="L323" t="n">
        <v>0</v>
      </c>
      <c r="M323" t="n">
        <v>0</v>
      </c>
      <c r="N323" t="n">
        <v>0</v>
      </c>
      <c r="O323" t="n">
        <v>0</v>
      </c>
      <c r="P323" t="n">
        <v>0</v>
      </c>
      <c r="Q323" t="n">
        <v>0</v>
      </c>
      <c r="R323" s="2" t="inlineStr"/>
    </row>
    <row r="324" ht="15" customHeight="1">
      <c r="A324" t="inlineStr">
        <is>
          <t>A 61760-2024</t>
        </is>
      </c>
      <c r="B324" s="1" t="n">
        <v>45649</v>
      </c>
      <c r="C324" s="1" t="n">
        <v>46037</v>
      </c>
      <c r="D324" t="inlineStr">
        <is>
          <t>NORRBOTTENS LÄN</t>
        </is>
      </c>
      <c r="E324" t="inlineStr">
        <is>
          <t>JOKKMOKK</t>
        </is>
      </c>
      <c r="F324" t="inlineStr">
        <is>
          <t>Övriga statliga verk och myndigheter</t>
        </is>
      </c>
      <c r="G324" t="n">
        <v>19.3</v>
      </c>
      <c r="H324" t="n">
        <v>0</v>
      </c>
      <c r="I324" t="n">
        <v>0</v>
      </c>
      <c r="J324" t="n">
        <v>0</v>
      </c>
      <c r="K324" t="n">
        <v>0</v>
      </c>
      <c r="L324" t="n">
        <v>0</v>
      </c>
      <c r="M324" t="n">
        <v>0</v>
      </c>
      <c r="N324" t="n">
        <v>0</v>
      </c>
      <c r="O324" t="n">
        <v>0</v>
      </c>
      <c r="P324" t="n">
        <v>0</v>
      </c>
      <c r="Q324" t="n">
        <v>0</v>
      </c>
      <c r="R324" s="2" t="inlineStr"/>
    </row>
    <row r="325" ht="15" customHeight="1">
      <c r="A325" t="inlineStr">
        <is>
          <t>A 38595-2025</t>
        </is>
      </c>
      <c r="B325" s="1" t="n">
        <v>45884.49027777778</v>
      </c>
      <c r="C325" s="1" t="n">
        <v>46037</v>
      </c>
      <c r="D325" t="inlineStr">
        <is>
          <t>NORRBOTTENS LÄN</t>
        </is>
      </c>
      <c r="E325" t="inlineStr">
        <is>
          <t>JOKKMOKK</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46037</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53513-2025</t>
        </is>
      </c>
      <c r="B327" s="1" t="n">
        <v>45960</v>
      </c>
      <c r="C327" s="1" t="n">
        <v>46037</v>
      </c>
      <c r="D327" t="inlineStr">
        <is>
          <t>NORRBOTTENS LÄN</t>
        </is>
      </c>
      <c r="E327" t="inlineStr">
        <is>
          <t>JOKKMOKK</t>
        </is>
      </c>
      <c r="G327" t="n">
        <v>3.7</v>
      </c>
      <c r="H327" t="n">
        <v>0</v>
      </c>
      <c r="I327" t="n">
        <v>0</v>
      </c>
      <c r="J327" t="n">
        <v>0</v>
      </c>
      <c r="K327" t="n">
        <v>0</v>
      </c>
      <c r="L327" t="n">
        <v>0</v>
      </c>
      <c r="M327" t="n">
        <v>0</v>
      </c>
      <c r="N327" t="n">
        <v>0</v>
      </c>
      <c r="O327" t="n">
        <v>0</v>
      </c>
      <c r="P327" t="n">
        <v>0</v>
      </c>
      <c r="Q327" t="n">
        <v>0</v>
      </c>
      <c r="R327" s="2" t="inlineStr"/>
    </row>
    <row r="328" ht="15" customHeight="1">
      <c r="A328" t="inlineStr">
        <is>
          <t>A 32915-2023</t>
        </is>
      </c>
      <c r="B328" s="1" t="n">
        <v>45124.95214120371</v>
      </c>
      <c r="C328" s="1" t="n">
        <v>46037</v>
      </c>
      <c r="D328" t="inlineStr">
        <is>
          <t>NORRBOTTENS LÄN</t>
        </is>
      </c>
      <c r="E328" t="inlineStr">
        <is>
          <t>JOKKMOKK</t>
        </is>
      </c>
      <c r="F328" t="inlineStr">
        <is>
          <t>SCA</t>
        </is>
      </c>
      <c r="G328" t="n">
        <v>15.1</v>
      </c>
      <c r="H328" t="n">
        <v>0</v>
      </c>
      <c r="I328" t="n">
        <v>0</v>
      </c>
      <c r="J328" t="n">
        <v>0</v>
      </c>
      <c r="K328" t="n">
        <v>0</v>
      </c>
      <c r="L328" t="n">
        <v>0</v>
      </c>
      <c r="M328" t="n">
        <v>0</v>
      </c>
      <c r="N328" t="n">
        <v>0</v>
      </c>
      <c r="O328" t="n">
        <v>0</v>
      </c>
      <c r="P328" t="n">
        <v>0</v>
      </c>
      <c r="Q328" t="n">
        <v>0</v>
      </c>
      <c r="R328" s="2" t="inlineStr"/>
    </row>
    <row r="329" ht="15" customHeight="1">
      <c r="A329" t="inlineStr">
        <is>
          <t>A 38226-2025</t>
        </is>
      </c>
      <c r="B329" s="1" t="n">
        <v>45883.34521990741</v>
      </c>
      <c r="C329" s="1" t="n">
        <v>46037</v>
      </c>
      <c r="D329" t="inlineStr">
        <is>
          <t>NORRBOTTENS LÄN</t>
        </is>
      </c>
      <c r="E329" t="inlineStr">
        <is>
          <t>JOKKMOKK</t>
        </is>
      </c>
      <c r="F329" t="inlineStr">
        <is>
          <t>SCA</t>
        </is>
      </c>
      <c r="G329" t="n">
        <v>14.5</v>
      </c>
      <c r="H329" t="n">
        <v>0</v>
      </c>
      <c r="I329" t="n">
        <v>0</v>
      </c>
      <c r="J329" t="n">
        <v>0</v>
      </c>
      <c r="K329" t="n">
        <v>0</v>
      </c>
      <c r="L329" t="n">
        <v>0</v>
      </c>
      <c r="M329" t="n">
        <v>0</v>
      </c>
      <c r="N329" t="n">
        <v>0</v>
      </c>
      <c r="O329" t="n">
        <v>0</v>
      </c>
      <c r="P329" t="n">
        <v>0</v>
      </c>
      <c r="Q329" t="n">
        <v>0</v>
      </c>
      <c r="R329" s="2" t="inlineStr"/>
    </row>
    <row r="330" ht="15" customHeight="1">
      <c r="A330" t="inlineStr">
        <is>
          <t>A 10596-2025</t>
        </is>
      </c>
      <c r="B330" s="1" t="n">
        <v>45721</v>
      </c>
      <c r="C330" s="1" t="n">
        <v>46037</v>
      </c>
      <c r="D330" t="inlineStr">
        <is>
          <t>NORRBOTTENS LÄN</t>
        </is>
      </c>
      <c r="E330" t="inlineStr">
        <is>
          <t>JOKKMOKK</t>
        </is>
      </c>
      <c r="G330" t="n">
        <v>17.7</v>
      </c>
      <c r="H330" t="n">
        <v>0</v>
      </c>
      <c r="I330" t="n">
        <v>0</v>
      </c>
      <c r="J330" t="n">
        <v>0</v>
      </c>
      <c r="K330" t="n">
        <v>0</v>
      </c>
      <c r="L330" t="n">
        <v>0</v>
      </c>
      <c r="M330" t="n">
        <v>0</v>
      </c>
      <c r="N330" t="n">
        <v>0</v>
      </c>
      <c r="O330" t="n">
        <v>0</v>
      </c>
      <c r="P330" t="n">
        <v>0</v>
      </c>
      <c r="Q330" t="n">
        <v>0</v>
      </c>
      <c r="R330" s="2" t="inlineStr"/>
    </row>
    <row r="331" ht="15" customHeight="1">
      <c r="A331" t="inlineStr">
        <is>
          <t>A 30041-2024</t>
        </is>
      </c>
      <c r="B331" s="1" t="n">
        <v>45488</v>
      </c>
      <c r="C331" s="1" t="n">
        <v>46037</v>
      </c>
      <c r="D331" t="inlineStr">
        <is>
          <t>NORRBOTTENS LÄN</t>
        </is>
      </c>
      <c r="E331" t="inlineStr">
        <is>
          <t>JOKKMOKK</t>
        </is>
      </c>
      <c r="G331" t="n">
        <v>19.9</v>
      </c>
      <c r="H331" t="n">
        <v>0</v>
      </c>
      <c r="I331" t="n">
        <v>0</v>
      </c>
      <c r="J331" t="n">
        <v>0</v>
      </c>
      <c r="K331" t="n">
        <v>0</v>
      </c>
      <c r="L331" t="n">
        <v>0</v>
      </c>
      <c r="M331" t="n">
        <v>0</v>
      </c>
      <c r="N331" t="n">
        <v>0</v>
      </c>
      <c r="O331" t="n">
        <v>0</v>
      </c>
      <c r="P331" t="n">
        <v>0</v>
      </c>
      <c r="Q331" t="n">
        <v>0</v>
      </c>
      <c r="R331" s="2" t="inlineStr"/>
    </row>
    <row r="332" ht="15" customHeight="1">
      <c r="A332" t="inlineStr">
        <is>
          <t>A 54270-2025</t>
        </is>
      </c>
      <c r="B332" s="1" t="n">
        <v>45964.67798611111</v>
      </c>
      <c r="C332" s="1" t="n">
        <v>46037</v>
      </c>
      <c r="D332" t="inlineStr">
        <is>
          <t>NORRBOTTENS LÄN</t>
        </is>
      </c>
      <c r="E332" t="inlineStr">
        <is>
          <t>JOKKMOKK</t>
        </is>
      </c>
      <c r="F332" t="inlineStr">
        <is>
          <t>Allmännings- och besparingsskogar</t>
        </is>
      </c>
      <c r="G332" t="n">
        <v>5.3</v>
      </c>
      <c r="H332" t="n">
        <v>0</v>
      </c>
      <c r="I332" t="n">
        <v>0</v>
      </c>
      <c r="J332" t="n">
        <v>0</v>
      </c>
      <c r="K332" t="n">
        <v>0</v>
      </c>
      <c r="L332" t="n">
        <v>0</v>
      </c>
      <c r="M332" t="n">
        <v>0</v>
      </c>
      <c r="N332" t="n">
        <v>0</v>
      </c>
      <c r="O332" t="n">
        <v>0</v>
      </c>
      <c r="P332" t="n">
        <v>0</v>
      </c>
      <c r="Q332" t="n">
        <v>0</v>
      </c>
      <c r="R332" s="2" t="inlineStr"/>
    </row>
    <row r="333" ht="15" customHeight="1">
      <c r="A333" t="inlineStr">
        <is>
          <t>A 62093-2025</t>
        </is>
      </c>
      <c r="B333" s="1" t="n">
        <v>46006.38633101852</v>
      </c>
      <c r="C333" s="1" t="n">
        <v>46037</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16864-2023</t>
        </is>
      </c>
      <c r="B334" s="1" t="n">
        <v>45028</v>
      </c>
      <c r="C334" s="1" t="n">
        <v>46037</v>
      </c>
      <c r="D334" t="inlineStr">
        <is>
          <t>NORRBOTTENS LÄN</t>
        </is>
      </c>
      <c r="E334" t="inlineStr">
        <is>
          <t>JOKKMOKK</t>
        </is>
      </c>
      <c r="G334" t="n">
        <v>4</v>
      </c>
      <c r="H334" t="n">
        <v>0</v>
      </c>
      <c r="I334" t="n">
        <v>0</v>
      </c>
      <c r="J334" t="n">
        <v>0</v>
      </c>
      <c r="K334" t="n">
        <v>0</v>
      </c>
      <c r="L334" t="n">
        <v>0</v>
      </c>
      <c r="M334" t="n">
        <v>0</v>
      </c>
      <c r="N334" t="n">
        <v>0</v>
      </c>
      <c r="O334" t="n">
        <v>0</v>
      </c>
      <c r="P334" t="n">
        <v>0</v>
      </c>
      <c r="Q334" t="n">
        <v>0</v>
      </c>
      <c r="R334" s="2" t="inlineStr"/>
    </row>
    <row r="335" ht="15" customHeight="1">
      <c r="A335" t="inlineStr">
        <is>
          <t>A 54546-2025</t>
        </is>
      </c>
      <c r="B335" s="1" t="n">
        <v>45965.65212962963</v>
      </c>
      <c r="C335" s="1" t="n">
        <v>46037</v>
      </c>
      <c r="D335" t="inlineStr">
        <is>
          <t>NORRBOTTENS LÄN</t>
        </is>
      </c>
      <c r="E335" t="inlineStr">
        <is>
          <t>JOKKMOKK</t>
        </is>
      </c>
      <c r="F335" t="inlineStr">
        <is>
          <t>Allmännings- och besparingsskogar</t>
        </is>
      </c>
      <c r="G335" t="n">
        <v>5.4</v>
      </c>
      <c r="H335" t="n">
        <v>0</v>
      </c>
      <c r="I335" t="n">
        <v>0</v>
      </c>
      <c r="J335" t="n">
        <v>0</v>
      </c>
      <c r="K335" t="n">
        <v>0</v>
      </c>
      <c r="L335" t="n">
        <v>0</v>
      </c>
      <c r="M335" t="n">
        <v>0</v>
      </c>
      <c r="N335" t="n">
        <v>0</v>
      </c>
      <c r="O335" t="n">
        <v>0</v>
      </c>
      <c r="P335" t="n">
        <v>0</v>
      </c>
      <c r="Q335" t="n">
        <v>0</v>
      </c>
      <c r="R335" s="2" t="inlineStr"/>
    </row>
    <row r="336" ht="15" customHeight="1">
      <c r="A336" t="inlineStr">
        <is>
          <t>A 45468-2022</t>
        </is>
      </c>
      <c r="B336" s="1" t="n">
        <v>44841</v>
      </c>
      <c r="C336" s="1" t="n">
        <v>46037</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54585-2025</t>
        </is>
      </c>
      <c r="B337" s="1" t="n">
        <v>45965.72071759259</v>
      </c>
      <c r="C337" s="1" t="n">
        <v>46037</v>
      </c>
      <c r="D337" t="inlineStr">
        <is>
          <t>NORRBOTTENS LÄN</t>
        </is>
      </c>
      <c r="E337" t="inlineStr">
        <is>
          <t>JOKKMOKK</t>
        </is>
      </c>
      <c r="F337" t="inlineStr">
        <is>
          <t>Allmännings- och besparingsskogar</t>
        </is>
      </c>
      <c r="G337" t="n">
        <v>10.2</v>
      </c>
      <c r="H337" t="n">
        <v>0</v>
      </c>
      <c r="I337" t="n">
        <v>0</v>
      </c>
      <c r="J337" t="n">
        <v>0</v>
      </c>
      <c r="K337" t="n">
        <v>0</v>
      </c>
      <c r="L337" t="n">
        <v>0</v>
      </c>
      <c r="M337" t="n">
        <v>0</v>
      </c>
      <c r="N337" t="n">
        <v>0</v>
      </c>
      <c r="O337" t="n">
        <v>0</v>
      </c>
      <c r="P337" t="n">
        <v>0</v>
      </c>
      <c r="Q337" t="n">
        <v>0</v>
      </c>
      <c r="R337" s="2" t="inlineStr"/>
    </row>
    <row r="338" ht="15" customHeight="1">
      <c r="A338" t="inlineStr">
        <is>
          <t>A 36607-2021</t>
        </is>
      </c>
      <c r="B338" s="1" t="n">
        <v>44391</v>
      </c>
      <c r="C338" s="1" t="n">
        <v>46037</v>
      </c>
      <c r="D338" t="inlineStr">
        <is>
          <t>NORRBOTTENS LÄN</t>
        </is>
      </c>
      <c r="E338" t="inlineStr">
        <is>
          <t>JOKKMOKK</t>
        </is>
      </c>
      <c r="F338" t="inlineStr">
        <is>
          <t>Allmännings- och besparingsskogar</t>
        </is>
      </c>
      <c r="G338" t="n">
        <v>9.5</v>
      </c>
      <c r="H338" t="n">
        <v>0</v>
      </c>
      <c r="I338" t="n">
        <v>0</v>
      </c>
      <c r="J338" t="n">
        <v>0</v>
      </c>
      <c r="K338" t="n">
        <v>0</v>
      </c>
      <c r="L338" t="n">
        <v>0</v>
      </c>
      <c r="M338" t="n">
        <v>0</v>
      </c>
      <c r="N338" t="n">
        <v>0</v>
      </c>
      <c r="O338" t="n">
        <v>0</v>
      </c>
      <c r="P338" t="n">
        <v>0</v>
      </c>
      <c r="Q338" t="n">
        <v>0</v>
      </c>
      <c r="R338" s="2" t="inlineStr"/>
    </row>
    <row r="339" ht="15" customHeight="1">
      <c r="A339" t="inlineStr">
        <is>
          <t>A 55195-2025</t>
        </is>
      </c>
      <c r="B339" s="1" t="n">
        <v>45968.5525</v>
      </c>
      <c r="C339" s="1" t="n">
        <v>46037</v>
      </c>
      <c r="D339" t="inlineStr">
        <is>
          <t>NORRBOTTENS LÄN</t>
        </is>
      </c>
      <c r="E339" t="inlineStr">
        <is>
          <t>JOKKMOKK</t>
        </is>
      </c>
      <c r="G339" t="n">
        <v>5.3</v>
      </c>
      <c r="H339" t="n">
        <v>0</v>
      </c>
      <c r="I339" t="n">
        <v>0</v>
      </c>
      <c r="J339" t="n">
        <v>0</v>
      </c>
      <c r="K339" t="n">
        <v>0</v>
      </c>
      <c r="L339" t="n">
        <v>0</v>
      </c>
      <c r="M339" t="n">
        <v>0</v>
      </c>
      <c r="N339" t="n">
        <v>0</v>
      </c>
      <c r="O339" t="n">
        <v>0</v>
      </c>
      <c r="P339" t="n">
        <v>0</v>
      </c>
      <c r="Q339" t="n">
        <v>0</v>
      </c>
      <c r="R339" s="2" t="inlineStr"/>
    </row>
    <row r="340" ht="15" customHeight="1">
      <c r="A340" t="inlineStr">
        <is>
          <t>A 63040-2025</t>
        </is>
      </c>
      <c r="B340" s="1" t="n">
        <v>46009</v>
      </c>
      <c r="C340" s="1" t="n">
        <v>46037</v>
      </c>
      <c r="D340" t="inlineStr">
        <is>
          <t>NORRBOTTENS LÄN</t>
        </is>
      </c>
      <c r="E340" t="inlineStr">
        <is>
          <t>JOKKMOKK</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63142-2025</t>
        </is>
      </c>
      <c r="B341" s="1" t="n">
        <v>46010</v>
      </c>
      <c r="C341" s="1" t="n">
        <v>46037</v>
      </c>
      <c r="D341" t="inlineStr">
        <is>
          <t>NORRBOTTENS LÄN</t>
        </is>
      </c>
      <c r="E341" t="inlineStr">
        <is>
          <t>JOKKMOKK</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63041-2025</t>
        </is>
      </c>
      <c r="B342" s="1" t="n">
        <v>46009</v>
      </c>
      <c r="C342" s="1" t="n">
        <v>46037</v>
      </c>
      <c r="D342" t="inlineStr">
        <is>
          <t>NORRBOTTENS LÄN</t>
        </is>
      </c>
      <c r="E342" t="inlineStr">
        <is>
          <t>JOKKMOKK</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46037</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30291-2023</t>
        </is>
      </c>
      <c r="B344" s="1" t="n">
        <v>45110.92523148148</v>
      </c>
      <c r="C344" s="1" t="n">
        <v>46037</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55015-2025</t>
        </is>
      </c>
      <c r="B345" s="1" t="n">
        <v>45967</v>
      </c>
      <c r="C345" s="1" t="n">
        <v>46037</v>
      </c>
      <c r="D345" t="inlineStr">
        <is>
          <t>NORRBOTTENS LÄN</t>
        </is>
      </c>
      <c r="E345" t="inlineStr">
        <is>
          <t>JOKKMOKK</t>
        </is>
      </c>
      <c r="G345" t="n">
        <v>14.9</v>
      </c>
      <c r="H345" t="n">
        <v>0</v>
      </c>
      <c r="I345" t="n">
        <v>0</v>
      </c>
      <c r="J345" t="n">
        <v>0</v>
      </c>
      <c r="K345" t="n">
        <v>0</v>
      </c>
      <c r="L345" t="n">
        <v>0</v>
      </c>
      <c r="M345" t="n">
        <v>0</v>
      </c>
      <c r="N345" t="n">
        <v>0</v>
      </c>
      <c r="O345" t="n">
        <v>0</v>
      </c>
      <c r="P345" t="n">
        <v>0</v>
      </c>
      <c r="Q345" t="n">
        <v>0</v>
      </c>
      <c r="R345" s="2" t="inlineStr"/>
    </row>
    <row r="346" ht="15" customHeight="1">
      <c r="A346" t="inlineStr">
        <is>
          <t>A 63206-2025</t>
        </is>
      </c>
      <c r="B346" s="1" t="n">
        <v>46010</v>
      </c>
      <c r="C346" s="1" t="n">
        <v>46037</v>
      </c>
      <c r="D346" t="inlineStr">
        <is>
          <t>NORRBOTTENS LÄN</t>
        </is>
      </c>
      <c r="E346" t="inlineStr">
        <is>
          <t>JOKKMOKK</t>
        </is>
      </c>
      <c r="G346" t="n">
        <v>1.1</v>
      </c>
      <c r="H346" t="n">
        <v>0</v>
      </c>
      <c r="I346" t="n">
        <v>0</v>
      </c>
      <c r="J346" t="n">
        <v>0</v>
      </c>
      <c r="K346" t="n">
        <v>0</v>
      </c>
      <c r="L346" t="n">
        <v>0</v>
      </c>
      <c r="M346" t="n">
        <v>0</v>
      </c>
      <c r="N346" t="n">
        <v>0</v>
      </c>
      <c r="O346" t="n">
        <v>0</v>
      </c>
      <c r="P346" t="n">
        <v>0</v>
      </c>
      <c r="Q346" t="n">
        <v>0</v>
      </c>
      <c r="R346" s="2" t="inlineStr"/>
    </row>
    <row r="347" ht="15" customHeight="1">
      <c r="A347" t="inlineStr">
        <is>
          <t>A 55673-2025</t>
        </is>
      </c>
      <c r="B347" s="1" t="n">
        <v>45972.40754629629</v>
      </c>
      <c r="C347" s="1" t="n">
        <v>46037</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55577-2025</t>
        </is>
      </c>
      <c r="B348" s="1" t="n">
        <v>45971.6684837963</v>
      </c>
      <c r="C348" s="1" t="n">
        <v>46037</v>
      </c>
      <c r="D348" t="inlineStr">
        <is>
          <t>NORRBOTTENS LÄN</t>
        </is>
      </c>
      <c r="E348" t="inlineStr">
        <is>
          <t>JOKKMOKK</t>
        </is>
      </c>
      <c r="F348" t="inlineStr">
        <is>
          <t>Allmännings- och besparingsskogar</t>
        </is>
      </c>
      <c r="G348" t="n">
        <v>7.8</v>
      </c>
      <c r="H348" t="n">
        <v>0</v>
      </c>
      <c r="I348" t="n">
        <v>0</v>
      </c>
      <c r="J348" t="n">
        <v>0</v>
      </c>
      <c r="K348" t="n">
        <v>0</v>
      </c>
      <c r="L348" t="n">
        <v>0</v>
      </c>
      <c r="M348" t="n">
        <v>0</v>
      </c>
      <c r="N348" t="n">
        <v>0</v>
      </c>
      <c r="O348" t="n">
        <v>0</v>
      </c>
      <c r="P348" t="n">
        <v>0</v>
      </c>
      <c r="Q348" t="n">
        <v>0</v>
      </c>
      <c r="R348" s="2" t="inlineStr"/>
    </row>
    <row r="349" ht="15" customHeight="1">
      <c r="A349" t="inlineStr">
        <is>
          <t>A 56286-2025</t>
        </is>
      </c>
      <c r="B349" s="1" t="n">
        <v>45974.59608796296</v>
      </c>
      <c r="C349" s="1" t="n">
        <v>46037</v>
      </c>
      <c r="D349" t="inlineStr">
        <is>
          <t>NORRBOTTENS LÄN</t>
        </is>
      </c>
      <c r="E349" t="inlineStr">
        <is>
          <t>JOKKMOKK</t>
        </is>
      </c>
      <c r="F349" t="inlineStr">
        <is>
          <t>Sveaskog</t>
        </is>
      </c>
      <c r="G349" t="n">
        <v>22.8</v>
      </c>
      <c r="H349" t="n">
        <v>0</v>
      </c>
      <c r="I349" t="n">
        <v>0</v>
      </c>
      <c r="J349" t="n">
        <v>0</v>
      </c>
      <c r="K349" t="n">
        <v>0</v>
      </c>
      <c r="L349" t="n">
        <v>0</v>
      </c>
      <c r="M349" t="n">
        <v>0</v>
      </c>
      <c r="N349" t="n">
        <v>0</v>
      </c>
      <c r="O349" t="n">
        <v>0</v>
      </c>
      <c r="P349" t="n">
        <v>0</v>
      </c>
      <c r="Q349" t="n">
        <v>0</v>
      </c>
      <c r="R349" s="2" t="inlineStr"/>
    </row>
    <row r="350" ht="15" customHeight="1">
      <c r="A350" t="inlineStr">
        <is>
          <t>A 56012-2025</t>
        </is>
      </c>
      <c r="B350" s="1" t="n">
        <v>45973.58731481482</v>
      </c>
      <c r="C350" s="1" t="n">
        <v>46037</v>
      </c>
      <c r="D350" t="inlineStr">
        <is>
          <t>NORRBOTTENS LÄN</t>
        </is>
      </c>
      <c r="E350" t="inlineStr">
        <is>
          <t>JOKKMOKK</t>
        </is>
      </c>
      <c r="F350" t="inlineStr">
        <is>
          <t>Naturvårdsverket</t>
        </is>
      </c>
      <c r="G350" t="n">
        <v>1.5</v>
      </c>
      <c r="H350" t="n">
        <v>0</v>
      </c>
      <c r="I350" t="n">
        <v>0</v>
      </c>
      <c r="J350" t="n">
        <v>0</v>
      </c>
      <c r="K350" t="n">
        <v>0</v>
      </c>
      <c r="L350" t="n">
        <v>0</v>
      </c>
      <c r="M350" t="n">
        <v>0</v>
      </c>
      <c r="N350" t="n">
        <v>0</v>
      </c>
      <c r="O350" t="n">
        <v>0</v>
      </c>
      <c r="P350" t="n">
        <v>0</v>
      </c>
      <c r="Q350" t="n">
        <v>0</v>
      </c>
      <c r="R350" s="2" t="inlineStr"/>
    </row>
    <row r="351" ht="15" customHeight="1">
      <c r="A351" t="inlineStr">
        <is>
          <t>A 56387-2025</t>
        </is>
      </c>
      <c r="B351" s="1" t="n">
        <v>45974.72184027778</v>
      </c>
      <c r="C351" s="1" t="n">
        <v>46037</v>
      </c>
      <c r="D351" t="inlineStr">
        <is>
          <t>NORRBOTTENS LÄN</t>
        </is>
      </c>
      <c r="E351" t="inlineStr">
        <is>
          <t>JOKKMOKK</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56343-2025</t>
        </is>
      </c>
      <c r="B352" s="1" t="n">
        <v>45974.64890046296</v>
      </c>
      <c r="C352" s="1" t="n">
        <v>46037</v>
      </c>
      <c r="D352" t="inlineStr">
        <is>
          <t>NORRBOTTENS LÄN</t>
        </is>
      </c>
      <c r="E352" t="inlineStr">
        <is>
          <t>JOKKMOKK</t>
        </is>
      </c>
      <c r="F352" t="inlineStr">
        <is>
          <t>Övriga statliga verk och myndigheter</t>
        </is>
      </c>
      <c r="G352" t="n">
        <v>14.8</v>
      </c>
      <c r="H352" t="n">
        <v>0</v>
      </c>
      <c r="I352" t="n">
        <v>0</v>
      </c>
      <c r="J352" t="n">
        <v>0</v>
      </c>
      <c r="K352" t="n">
        <v>0</v>
      </c>
      <c r="L352" t="n">
        <v>0</v>
      </c>
      <c r="M352" t="n">
        <v>0</v>
      </c>
      <c r="N352" t="n">
        <v>0</v>
      </c>
      <c r="O352" t="n">
        <v>0</v>
      </c>
      <c r="P352" t="n">
        <v>0</v>
      </c>
      <c r="Q352" t="n">
        <v>0</v>
      </c>
      <c r="R352" s="2" t="inlineStr"/>
    </row>
    <row r="353" ht="15" customHeight="1">
      <c r="A353" t="inlineStr">
        <is>
          <t>A 56372-2025</t>
        </is>
      </c>
      <c r="B353" s="1" t="n">
        <v>45974.68207175926</v>
      </c>
      <c r="C353" s="1" t="n">
        <v>46037</v>
      </c>
      <c r="D353" t="inlineStr">
        <is>
          <t>NORRBOTTENS LÄN</t>
        </is>
      </c>
      <c r="E353" t="inlineStr">
        <is>
          <t>JOKKMOKK</t>
        </is>
      </c>
      <c r="F353" t="inlineStr">
        <is>
          <t>Sveaskog</t>
        </is>
      </c>
      <c r="G353" t="n">
        <v>26.4</v>
      </c>
      <c r="H353" t="n">
        <v>0</v>
      </c>
      <c r="I353" t="n">
        <v>0</v>
      </c>
      <c r="J353" t="n">
        <v>0</v>
      </c>
      <c r="K353" t="n">
        <v>0</v>
      </c>
      <c r="L353" t="n">
        <v>0</v>
      </c>
      <c r="M353" t="n">
        <v>0</v>
      </c>
      <c r="N353" t="n">
        <v>0</v>
      </c>
      <c r="O353" t="n">
        <v>0</v>
      </c>
      <c r="P353" t="n">
        <v>0</v>
      </c>
      <c r="Q353" t="n">
        <v>0</v>
      </c>
      <c r="R353" s="2" t="inlineStr"/>
    </row>
    <row r="354" ht="15" customHeight="1">
      <c r="A354" t="inlineStr">
        <is>
          <t>A 27651-2024</t>
        </is>
      </c>
      <c r="B354" s="1" t="n">
        <v>45474</v>
      </c>
      <c r="C354" s="1" t="n">
        <v>46037</v>
      </c>
      <c r="D354" t="inlineStr">
        <is>
          <t>NORRBOTTENS LÄN</t>
        </is>
      </c>
      <c r="E354" t="inlineStr">
        <is>
          <t>JOKKMOKK</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56317-2025</t>
        </is>
      </c>
      <c r="B355" s="1" t="n">
        <v>45974.63099537037</v>
      </c>
      <c r="C355" s="1" t="n">
        <v>46037</v>
      </c>
      <c r="D355" t="inlineStr">
        <is>
          <t>NORRBOTTENS LÄN</t>
        </is>
      </c>
      <c r="E355" t="inlineStr">
        <is>
          <t>JOKKMOKK</t>
        </is>
      </c>
      <c r="F355" t="inlineStr">
        <is>
          <t>Övriga statliga verk och myndigheter</t>
        </is>
      </c>
      <c r="G355" t="n">
        <v>14.5</v>
      </c>
      <c r="H355" t="n">
        <v>0</v>
      </c>
      <c r="I355" t="n">
        <v>0</v>
      </c>
      <c r="J355" t="n">
        <v>0</v>
      </c>
      <c r="K355" t="n">
        <v>0</v>
      </c>
      <c r="L355" t="n">
        <v>0</v>
      </c>
      <c r="M355" t="n">
        <v>0</v>
      </c>
      <c r="N355" t="n">
        <v>0</v>
      </c>
      <c r="O355" t="n">
        <v>0</v>
      </c>
      <c r="P355" t="n">
        <v>0</v>
      </c>
      <c r="Q355" t="n">
        <v>0</v>
      </c>
      <c r="R355" s="2" t="inlineStr"/>
    </row>
    <row r="356" ht="15" customHeight="1">
      <c r="A356" t="inlineStr">
        <is>
          <t>A 55990-2025</t>
        </is>
      </c>
      <c r="B356" s="1" t="n">
        <v>45973.55615740741</v>
      </c>
      <c r="C356" s="1" t="n">
        <v>46037</v>
      </c>
      <c r="D356" t="inlineStr">
        <is>
          <t>NORRBOTTENS LÄN</t>
        </is>
      </c>
      <c r="E356" t="inlineStr">
        <is>
          <t>JOKKMOKK</t>
        </is>
      </c>
      <c r="F356" t="inlineStr">
        <is>
          <t>Naturvårdsverket</t>
        </is>
      </c>
      <c r="G356" t="n">
        <v>6.2</v>
      </c>
      <c r="H356" t="n">
        <v>0</v>
      </c>
      <c r="I356" t="n">
        <v>0</v>
      </c>
      <c r="J356" t="n">
        <v>0</v>
      </c>
      <c r="K356" t="n">
        <v>0</v>
      </c>
      <c r="L356" t="n">
        <v>0</v>
      </c>
      <c r="M356" t="n">
        <v>0</v>
      </c>
      <c r="N356" t="n">
        <v>0</v>
      </c>
      <c r="O356" t="n">
        <v>0</v>
      </c>
      <c r="P356" t="n">
        <v>0</v>
      </c>
      <c r="Q356" t="n">
        <v>0</v>
      </c>
      <c r="R356" s="2" t="inlineStr"/>
    </row>
    <row r="357" ht="15" customHeight="1">
      <c r="A357" t="inlineStr">
        <is>
          <t>A 56323-2025</t>
        </is>
      </c>
      <c r="B357" s="1" t="n">
        <v>45974.63583333333</v>
      </c>
      <c r="C357" s="1" t="n">
        <v>46037</v>
      </c>
      <c r="D357" t="inlineStr">
        <is>
          <t>NORRBOTTENS LÄN</t>
        </is>
      </c>
      <c r="E357" t="inlineStr">
        <is>
          <t>JOKKMOKK</t>
        </is>
      </c>
      <c r="F357" t="inlineStr">
        <is>
          <t>Övriga statliga verk och myndigheter</t>
        </is>
      </c>
      <c r="G357" t="n">
        <v>5.5</v>
      </c>
      <c r="H357" t="n">
        <v>0</v>
      </c>
      <c r="I357" t="n">
        <v>0</v>
      </c>
      <c r="J357" t="n">
        <v>0</v>
      </c>
      <c r="K357" t="n">
        <v>0</v>
      </c>
      <c r="L357" t="n">
        <v>0</v>
      </c>
      <c r="M357" t="n">
        <v>0</v>
      </c>
      <c r="N357" t="n">
        <v>0</v>
      </c>
      <c r="O357" t="n">
        <v>0</v>
      </c>
      <c r="P357" t="n">
        <v>0</v>
      </c>
      <c r="Q357" t="n">
        <v>0</v>
      </c>
      <c r="R357" s="2" t="inlineStr"/>
    </row>
    <row r="358" ht="15" customHeight="1">
      <c r="A358" t="inlineStr">
        <is>
          <t>A 56321-2025</t>
        </is>
      </c>
      <c r="B358" s="1" t="n">
        <v>45974.63530092593</v>
      </c>
      <c r="C358" s="1" t="n">
        <v>46037</v>
      </c>
      <c r="D358" t="inlineStr">
        <is>
          <t>NORRBOTTENS LÄN</t>
        </is>
      </c>
      <c r="E358" t="inlineStr">
        <is>
          <t>JOKKMOKK</t>
        </is>
      </c>
      <c r="F358" t="inlineStr">
        <is>
          <t>Övriga statliga verk och myndigheter</t>
        </is>
      </c>
      <c r="G358" t="n">
        <v>14.6</v>
      </c>
      <c r="H358" t="n">
        <v>0</v>
      </c>
      <c r="I358" t="n">
        <v>0</v>
      </c>
      <c r="J358" t="n">
        <v>0</v>
      </c>
      <c r="K358" t="n">
        <v>0</v>
      </c>
      <c r="L358" t="n">
        <v>0</v>
      </c>
      <c r="M358" t="n">
        <v>0</v>
      </c>
      <c r="N358" t="n">
        <v>0</v>
      </c>
      <c r="O358" t="n">
        <v>0</v>
      </c>
      <c r="P358" t="n">
        <v>0</v>
      </c>
      <c r="Q358" t="n">
        <v>0</v>
      </c>
      <c r="R358" s="2" t="inlineStr"/>
    </row>
    <row r="359" ht="15" customHeight="1">
      <c r="A359" t="inlineStr">
        <is>
          <t>A 56322-2025</t>
        </is>
      </c>
      <c r="B359" s="1" t="n">
        <v>45974.63550925926</v>
      </c>
      <c r="C359" s="1" t="n">
        <v>46037</v>
      </c>
      <c r="D359" t="inlineStr">
        <is>
          <t>NORRBOTTENS LÄN</t>
        </is>
      </c>
      <c r="E359" t="inlineStr">
        <is>
          <t>JOKKMOKK</t>
        </is>
      </c>
      <c r="F359" t="inlineStr">
        <is>
          <t>Övriga statliga verk och myndigheter</t>
        </is>
      </c>
      <c r="G359" t="n">
        <v>6.2</v>
      </c>
      <c r="H359" t="n">
        <v>0</v>
      </c>
      <c r="I359" t="n">
        <v>0</v>
      </c>
      <c r="J359" t="n">
        <v>0</v>
      </c>
      <c r="K359" t="n">
        <v>0</v>
      </c>
      <c r="L359" t="n">
        <v>0</v>
      </c>
      <c r="M359" t="n">
        <v>0</v>
      </c>
      <c r="N359" t="n">
        <v>0</v>
      </c>
      <c r="O359" t="n">
        <v>0</v>
      </c>
      <c r="P359" t="n">
        <v>0</v>
      </c>
      <c r="Q359" t="n">
        <v>0</v>
      </c>
      <c r="R359" s="2" t="inlineStr"/>
    </row>
    <row r="360" ht="15" customHeight="1">
      <c r="A360" t="inlineStr">
        <is>
          <t>A 56192-2025</t>
        </is>
      </c>
      <c r="B360" s="1" t="n">
        <v>45974.44472222222</v>
      </c>
      <c r="C360" s="1" t="n">
        <v>46037</v>
      </c>
      <c r="D360" t="inlineStr">
        <is>
          <t>NORRBOTTENS LÄN</t>
        </is>
      </c>
      <c r="E360" t="inlineStr">
        <is>
          <t>JOKKMOKK</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56193-2025</t>
        </is>
      </c>
      <c r="B361" s="1" t="n">
        <v>45974.44701388889</v>
      </c>
      <c r="C361" s="1" t="n">
        <v>46037</v>
      </c>
      <c r="D361" t="inlineStr">
        <is>
          <t>NORRBOTTENS LÄN</t>
        </is>
      </c>
      <c r="E361" t="inlineStr">
        <is>
          <t>JOKKMOKK</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56445-2025</t>
        </is>
      </c>
      <c r="B362" s="1" t="n">
        <v>45975.34825231481</v>
      </c>
      <c r="C362" s="1" t="n">
        <v>46037</v>
      </c>
      <c r="D362" t="inlineStr">
        <is>
          <t>NORRBOTTENS LÄN</t>
        </is>
      </c>
      <c r="E362" t="inlineStr">
        <is>
          <t>JOKKMOKK</t>
        </is>
      </c>
      <c r="G362" t="n">
        <v>35.7</v>
      </c>
      <c r="H362" t="n">
        <v>0</v>
      </c>
      <c r="I362" t="n">
        <v>0</v>
      </c>
      <c r="J362" t="n">
        <v>0</v>
      </c>
      <c r="K362" t="n">
        <v>0</v>
      </c>
      <c r="L362" t="n">
        <v>0</v>
      </c>
      <c r="M362" t="n">
        <v>0</v>
      </c>
      <c r="N362" t="n">
        <v>0</v>
      </c>
      <c r="O362" t="n">
        <v>0</v>
      </c>
      <c r="P362" t="n">
        <v>0</v>
      </c>
      <c r="Q362" t="n">
        <v>0</v>
      </c>
      <c r="R362" s="2" t="inlineStr"/>
    </row>
    <row r="363" ht="15" customHeight="1">
      <c r="A363" t="inlineStr">
        <is>
          <t>A 32915-2024</t>
        </is>
      </c>
      <c r="B363" s="1" t="n">
        <v>45516</v>
      </c>
      <c r="C363" s="1" t="n">
        <v>46037</v>
      </c>
      <c r="D363" t="inlineStr">
        <is>
          <t>NORRBOTTENS LÄN</t>
        </is>
      </c>
      <c r="E363" t="inlineStr">
        <is>
          <t>JOKKMOKK</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56507-2025</t>
        </is>
      </c>
      <c r="B364" s="1" t="n">
        <v>45975</v>
      </c>
      <c r="C364" s="1" t="n">
        <v>46037</v>
      </c>
      <c r="D364" t="inlineStr">
        <is>
          <t>NORRBOTTENS LÄN</t>
        </is>
      </c>
      <c r="E364" t="inlineStr">
        <is>
          <t>JOKKMOKK</t>
        </is>
      </c>
      <c r="F364" t="inlineStr">
        <is>
          <t>Allmännings- och besparingsskogar</t>
        </is>
      </c>
      <c r="G364" t="n">
        <v>20</v>
      </c>
      <c r="H364" t="n">
        <v>0</v>
      </c>
      <c r="I364" t="n">
        <v>0</v>
      </c>
      <c r="J364" t="n">
        <v>0</v>
      </c>
      <c r="K364" t="n">
        <v>0</v>
      </c>
      <c r="L364" t="n">
        <v>0</v>
      </c>
      <c r="M364" t="n">
        <v>0</v>
      </c>
      <c r="N364" t="n">
        <v>0</v>
      </c>
      <c r="O364" t="n">
        <v>0</v>
      </c>
      <c r="P364" t="n">
        <v>0</v>
      </c>
      <c r="Q364" t="n">
        <v>0</v>
      </c>
      <c r="R364" s="2" t="inlineStr"/>
    </row>
    <row r="365" ht="15" customHeight="1">
      <c r="A365" t="inlineStr">
        <is>
          <t>A 13864-2025</t>
        </is>
      </c>
      <c r="B365" s="1" t="n">
        <v>45737</v>
      </c>
      <c r="C365" s="1" t="n">
        <v>46037</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57167-2025</t>
        </is>
      </c>
      <c r="B366" s="1" t="n">
        <v>45979.54135416666</v>
      </c>
      <c r="C366" s="1" t="n">
        <v>46037</v>
      </c>
      <c r="D366" t="inlineStr">
        <is>
          <t>NORRBOTTENS LÄN</t>
        </is>
      </c>
      <c r="E366" t="inlineStr">
        <is>
          <t>JOKKMOKK</t>
        </is>
      </c>
      <c r="F366" t="inlineStr">
        <is>
          <t>Allmännings- och besparingsskogar</t>
        </is>
      </c>
      <c r="G366" t="n">
        <v>12.8</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46037</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64016-2025</t>
        </is>
      </c>
      <c r="B368" s="1" t="n">
        <v>46021.44820601852</v>
      </c>
      <c r="C368" s="1" t="n">
        <v>46037</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58133-2025</t>
        </is>
      </c>
      <c r="B369" s="1" t="n">
        <v>45982.61763888889</v>
      </c>
      <c r="C369" s="1" t="n">
        <v>46037</v>
      </c>
      <c r="D369" t="inlineStr">
        <is>
          <t>NORRBOTTENS LÄN</t>
        </is>
      </c>
      <c r="E369" t="inlineStr">
        <is>
          <t>JOKKMOKK</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16336-2023</t>
        </is>
      </c>
      <c r="B370" s="1" t="n">
        <v>45022</v>
      </c>
      <c r="C370" s="1" t="n">
        <v>46037</v>
      </c>
      <c r="D370" t="inlineStr">
        <is>
          <t>NORRBOTTENS LÄN</t>
        </is>
      </c>
      <c r="E370" t="inlineStr">
        <is>
          <t>JOKKMOKK</t>
        </is>
      </c>
      <c r="F370" t="inlineStr">
        <is>
          <t>Övriga statliga verk och myndigheter</t>
        </is>
      </c>
      <c r="G370" t="n">
        <v>130.2</v>
      </c>
      <c r="H370" t="n">
        <v>0</v>
      </c>
      <c r="I370" t="n">
        <v>0</v>
      </c>
      <c r="J370" t="n">
        <v>0</v>
      </c>
      <c r="K370" t="n">
        <v>0</v>
      </c>
      <c r="L370" t="n">
        <v>0</v>
      </c>
      <c r="M370" t="n">
        <v>0</v>
      </c>
      <c r="N370" t="n">
        <v>0</v>
      </c>
      <c r="O370" t="n">
        <v>0</v>
      </c>
      <c r="P370" t="n">
        <v>0</v>
      </c>
      <c r="Q370" t="n">
        <v>0</v>
      </c>
      <c r="R370" s="2" t="inlineStr"/>
    </row>
    <row r="371" ht="15" customHeight="1">
      <c r="A371" t="inlineStr">
        <is>
          <t>A 63024-2025</t>
        </is>
      </c>
      <c r="B371" s="1" t="n">
        <v>46009</v>
      </c>
      <c r="C371" s="1" t="n">
        <v>46037</v>
      </c>
      <c r="D371" t="inlineStr">
        <is>
          <t>NORRBOTTENS LÄN</t>
        </is>
      </c>
      <c r="E371" t="inlineStr">
        <is>
          <t>JOKKMOKK</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58609-2025</t>
        </is>
      </c>
      <c r="B372" s="1" t="n">
        <v>45986</v>
      </c>
      <c r="C372" s="1" t="n">
        <v>46037</v>
      </c>
      <c r="D372" t="inlineStr">
        <is>
          <t>NORRBOTTENS LÄN</t>
        </is>
      </c>
      <c r="E372" t="inlineStr">
        <is>
          <t>JOKKMOKK</t>
        </is>
      </c>
      <c r="G372" t="n">
        <v>6.5</v>
      </c>
      <c r="H372" t="n">
        <v>0</v>
      </c>
      <c r="I372" t="n">
        <v>0</v>
      </c>
      <c r="J372" t="n">
        <v>0</v>
      </c>
      <c r="K372" t="n">
        <v>0</v>
      </c>
      <c r="L372" t="n">
        <v>0</v>
      </c>
      <c r="M372" t="n">
        <v>0</v>
      </c>
      <c r="N372" t="n">
        <v>0</v>
      </c>
      <c r="O372" t="n">
        <v>0</v>
      </c>
      <c r="P372" t="n">
        <v>0</v>
      </c>
      <c r="Q372" t="n">
        <v>0</v>
      </c>
      <c r="R372" s="2" t="inlineStr"/>
    </row>
    <row r="373" ht="15" customHeight="1">
      <c r="A373" t="inlineStr">
        <is>
          <t>A 58404-2025</t>
        </is>
      </c>
      <c r="B373" s="1" t="n">
        <v>45985.56795138889</v>
      </c>
      <c r="C373" s="1" t="n">
        <v>46037</v>
      </c>
      <c r="D373" t="inlineStr">
        <is>
          <t>NORRBOTTENS LÄN</t>
        </is>
      </c>
      <c r="E373" t="inlineStr">
        <is>
          <t>JOKKMOKK</t>
        </is>
      </c>
      <c r="F373" t="inlineStr">
        <is>
          <t>Övriga statliga verk och myndigheter</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58418-2025</t>
        </is>
      </c>
      <c r="B374" s="1" t="n">
        <v>45985.58361111111</v>
      </c>
      <c r="C374" s="1" t="n">
        <v>46037</v>
      </c>
      <c r="D374" t="inlineStr">
        <is>
          <t>NORRBOTTENS LÄN</t>
        </is>
      </c>
      <c r="E374" t="inlineStr">
        <is>
          <t>JOKKMOKK</t>
        </is>
      </c>
      <c r="F374" t="inlineStr">
        <is>
          <t>Övriga statliga verk och myndigheter</t>
        </is>
      </c>
      <c r="G374" t="n">
        <v>18.1</v>
      </c>
      <c r="H374" t="n">
        <v>0</v>
      </c>
      <c r="I374" t="n">
        <v>0</v>
      </c>
      <c r="J374" t="n">
        <v>0</v>
      </c>
      <c r="K374" t="n">
        <v>0</v>
      </c>
      <c r="L374" t="n">
        <v>0</v>
      </c>
      <c r="M374" t="n">
        <v>0</v>
      </c>
      <c r="N374" t="n">
        <v>0</v>
      </c>
      <c r="O374" t="n">
        <v>0</v>
      </c>
      <c r="P374" t="n">
        <v>0</v>
      </c>
      <c r="Q374" t="n">
        <v>0</v>
      </c>
      <c r="R374" s="2" t="inlineStr"/>
    </row>
    <row r="375" ht="15" customHeight="1">
      <c r="A375" t="inlineStr">
        <is>
          <t>A 58419-2025</t>
        </is>
      </c>
      <c r="B375" s="1" t="n">
        <v>45985.58466435185</v>
      </c>
      <c r="C375" s="1" t="n">
        <v>46037</v>
      </c>
      <c r="D375" t="inlineStr">
        <is>
          <t>NORRBOTTENS LÄN</t>
        </is>
      </c>
      <c r="E375" t="inlineStr">
        <is>
          <t>JOKKMOKK</t>
        </is>
      </c>
      <c r="F375" t="inlineStr">
        <is>
          <t>Övriga statliga verk och myndigheter</t>
        </is>
      </c>
      <c r="G375" t="n">
        <v>3.5</v>
      </c>
      <c r="H375" t="n">
        <v>0</v>
      </c>
      <c r="I375" t="n">
        <v>0</v>
      </c>
      <c r="J375" t="n">
        <v>0</v>
      </c>
      <c r="K375" t="n">
        <v>0</v>
      </c>
      <c r="L375" t="n">
        <v>0</v>
      </c>
      <c r="M375" t="n">
        <v>0</v>
      </c>
      <c r="N375" t="n">
        <v>0</v>
      </c>
      <c r="O375" t="n">
        <v>0</v>
      </c>
      <c r="P375" t="n">
        <v>0</v>
      </c>
      <c r="Q375" t="n">
        <v>0</v>
      </c>
      <c r="R375" s="2" t="inlineStr"/>
    </row>
    <row r="376" ht="15" customHeight="1">
      <c r="A376" t="inlineStr">
        <is>
          <t>A 60408-2025</t>
        </is>
      </c>
      <c r="B376" s="1" t="n">
        <v>45995</v>
      </c>
      <c r="C376" s="1" t="n">
        <v>46037</v>
      </c>
      <c r="D376" t="inlineStr">
        <is>
          <t>NORRBOTTENS LÄN</t>
        </is>
      </c>
      <c r="E376" t="inlineStr">
        <is>
          <t>JOKKMOKK</t>
        </is>
      </c>
      <c r="F376" t="inlineStr">
        <is>
          <t>Övriga statliga verk och myndigheter</t>
        </is>
      </c>
      <c r="G376" t="n">
        <v>9.6</v>
      </c>
      <c r="H376" t="n">
        <v>0</v>
      </c>
      <c r="I376" t="n">
        <v>0</v>
      </c>
      <c r="J376" t="n">
        <v>0</v>
      </c>
      <c r="K376" t="n">
        <v>0</v>
      </c>
      <c r="L376" t="n">
        <v>0</v>
      </c>
      <c r="M376" t="n">
        <v>0</v>
      </c>
      <c r="N376" t="n">
        <v>0</v>
      </c>
      <c r="O376" t="n">
        <v>0</v>
      </c>
      <c r="P376" t="n">
        <v>0</v>
      </c>
      <c r="Q376" t="n">
        <v>0</v>
      </c>
      <c r="R376" s="2" t="inlineStr"/>
    </row>
    <row r="377" ht="15" customHeight="1">
      <c r="A377" t="inlineStr">
        <is>
          <t>A 848-2026</t>
        </is>
      </c>
      <c r="B377" s="1" t="n">
        <v>46030.38719907407</v>
      </c>
      <c r="C377" s="1" t="n">
        <v>46037</v>
      </c>
      <c r="D377" t="inlineStr">
        <is>
          <t>NORRBOTTENS LÄN</t>
        </is>
      </c>
      <c r="E377" t="inlineStr">
        <is>
          <t>JOKKMOKK</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61761-2024</t>
        </is>
      </c>
      <c r="B378" s="1" t="n">
        <v>45649</v>
      </c>
      <c r="C378" s="1" t="n">
        <v>46037</v>
      </c>
      <c r="D378" t="inlineStr">
        <is>
          <t>NORRBOTTENS LÄN</t>
        </is>
      </c>
      <c r="E378" t="inlineStr">
        <is>
          <t>JOKKMOKK</t>
        </is>
      </c>
      <c r="F378" t="inlineStr">
        <is>
          <t>Övriga statliga verk och myndigheter</t>
        </is>
      </c>
      <c r="G378" t="n">
        <v>3.7</v>
      </c>
      <c r="H378" t="n">
        <v>0</v>
      </c>
      <c r="I378" t="n">
        <v>0</v>
      </c>
      <c r="J378" t="n">
        <v>0</v>
      </c>
      <c r="K378" t="n">
        <v>0</v>
      </c>
      <c r="L378" t="n">
        <v>0</v>
      </c>
      <c r="M378" t="n">
        <v>0</v>
      </c>
      <c r="N378" t="n">
        <v>0</v>
      </c>
      <c r="O378" t="n">
        <v>0</v>
      </c>
      <c r="P378" t="n">
        <v>0</v>
      </c>
      <c r="Q378" t="n">
        <v>0</v>
      </c>
      <c r="R378" s="2" t="inlineStr"/>
    </row>
    <row r="379" ht="15" customHeight="1">
      <c r="A379" t="inlineStr">
        <is>
          <t>A 56073-2025</t>
        </is>
      </c>
      <c r="B379" s="1" t="n">
        <v>45973</v>
      </c>
      <c r="C379" s="1" t="n">
        <v>46037</v>
      </c>
      <c r="D379" t="inlineStr">
        <is>
          <t>NORRBOTTENS LÄN</t>
        </is>
      </c>
      <c r="E379" t="inlineStr">
        <is>
          <t>JOKKMOKK</t>
        </is>
      </c>
      <c r="F379" t="inlineStr">
        <is>
          <t>Naturvårdsverket</t>
        </is>
      </c>
      <c r="G379" t="n">
        <v>8.1</v>
      </c>
      <c r="H379" t="n">
        <v>0</v>
      </c>
      <c r="I379" t="n">
        <v>0</v>
      </c>
      <c r="J379" t="n">
        <v>0</v>
      </c>
      <c r="K379" t="n">
        <v>0</v>
      </c>
      <c r="L379" t="n">
        <v>0</v>
      </c>
      <c r="M379" t="n">
        <v>0</v>
      </c>
      <c r="N379" t="n">
        <v>0</v>
      </c>
      <c r="O379" t="n">
        <v>0</v>
      </c>
      <c r="P379" t="n">
        <v>0</v>
      </c>
      <c r="Q379" t="n">
        <v>0</v>
      </c>
      <c r="R379" s="2" t="inlineStr"/>
    </row>
    <row r="380" ht="15" customHeight="1">
      <c r="A380" t="inlineStr">
        <is>
          <t>A 14869-2025</t>
        </is>
      </c>
      <c r="B380" s="1" t="n">
        <v>45743</v>
      </c>
      <c r="C380" s="1" t="n">
        <v>46037</v>
      </c>
      <c r="D380" t="inlineStr">
        <is>
          <t>NORRBOTTENS LÄN</t>
        </is>
      </c>
      <c r="E380" t="inlineStr">
        <is>
          <t>JOKKMOKK</t>
        </is>
      </c>
      <c r="G380" t="n">
        <v>4.9</v>
      </c>
      <c r="H380" t="n">
        <v>0</v>
      </c>
      <c r="I380" t="n">
        <v>0</v>
      </c>
      <c r="J380" t="n">
        <v>0</v>
      </c>
      <c r="K380" t="n">
        <v>0</v>
      </c>
      <c r="L380" t="n">
        <v>0</v>
      </c>
      <c r="M380" t="n">
        <v>0</v>
      </c>
      <c r="N380" t="n">
        <v>0</v>
      </c>
      <c r="O380" t="n">
        <v>0</v>
      </c>
      <c r="P380" t="n">
        <v>0</v>
      </c>
      <c r="Q380" t="n">
        <v>0</v>
      </c>
      <c r="R380" s="2" t="inlineStr"/>
    </row>
    <row r="381" ht="15" customHeight="1">
      <c r="A381" t="inlineStr">
        <is>
          <t>A 59074-2025</t>
        </is>
      </c>
      <c r="B381" s="1" t="n">
        <v>45988.42763888889</v>
      </c>
      <c r="C381" s="1" t="n">
        <v>46037</v>
      </c>
      <c r="D381" t="inlineStr">
        <is>
          <t>NORRBOTTENS LÄN</t>
        </is>
      </c>
      <c r="E381" t="inlineStr">
        <is>
          <t>JOKKMOKK</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60028-2025</t>
        </is>
      </c>
      <c r="B382" s="1" t="n">
        <v>45993</v>
      </c>
      <c r="C382" s="1" t="n">
        <v>46037</v>
      </c>
      <c r="D382" t="inlineStr">
        <is>
          <t>NORRBOTTENS LÄN</t>
        </is>
      </c>
      <c r="E382" t="inlineStr">
        <is>
          <t>JOKKMOKK</t>
        </is>
      </c>
      <c r="F382" t="inlineStr">
        <is>
          <t>Övriga statliga verk och myndigheter</t>
        </is>
      </c>
      <c r="G382" t="n">
        <v>15.8</v>
      </c>
      <c r="H382" t="n">
        <v>0</v>
      </c>
      <c r="I382" t="n">
        <v>0</v>
      </c>
      <c r="J382" t="n">
        <v>0</v>
      </c>
      <c r="K382" t="n">
        <v>0</v>
      </c>
      <c r="L382" t="n">
        <v>0</v>
      </c>
      <c r="M382" t="n">
        <v>0</v>
      </c>
      <c r="N382" t="n">
        <v>0</v>
      </c>
      <c r="O382" t="n">
        <v>0</v>
      </c>
      <c r="P382" t="n">
        <v>0</v>
      </c>
      <c r="Q382" t="n">
        <v>0</v>
      </c>
      <c r="R382" s="2" t="inlineStr"/>
    </row>
    <row r="383" ht="15" customHeight="1">
      <c r="A383" t="inlineStr">
        <is>
          <t>A 60161-2025</t>
        </is>
      </c>
      <c r="B383" s="1" t="n">
        <v>45994</v>
      </c>
      <c r="C383" s="1" t="n">
        <v>46037</v>
      </c>
      <c r="D383" t="inlineStr">
        <is>
          <t>NORRBOTTENS LÄN</t>
        </is>
      </c>
      <c r="E383" t="inlineStr">
        <is>
          <t>JOKKMOKK</t>
        </is>
      </c>
      <c r="F383" t="inlineStr">
        <is>
          <t>Övriga statliga verk och myndigheter</t>
        </is>
      </c>
      <c r="G383" t="n">
        <v>4.1</v>
      </c>
      <c r="H383" t="n">
        <v>0</v>
      </c>
      <c r="I383" t="n">
        <v>0</v>
      </c>
      <c r="J383" t="n">
        <v>0</v>
      </c>
      <c r="K383" t="n">
        <v>0</v>
      </c>
      <c r="L383" t="n">
        <v>0</v>
      </c>
      <c r="M383" t="n">
        <v>0</v>
      </c>
      <c r="N383" t="n">
        <v>0</v>
      </c>
      <c r="O383" t="n">
        <v>0</v>
      </c>
      <c r="P383" t="n">
        <v>0</v>
      </c>
      <c r="Q383" t="n">
        <v>0</v>
      </c>
      <c r="R383" s="2" t="inlineStr"/>
    </row>
    <row r="384" ht="15" customHeight="1">
      <c r="A384" t="inlineStr">
        <is>
          <t>A 59150-2025</t>
        </is>
      </c>
      <c r="B384" s="1" t="n">
        <v>45988.53171296296</v>
      </c>
      <c r="C384" s="1" t="n">
        <v>46037</v>
      </c>
      <c r="D384" t="inlineStr">
        <is>
          <t>NORRBOTTENS LÄN</t>
        </is>
      </c>
      <c r="E384" t="inlineStr">
        <is>
          <t>JOKKMOKK</t>
        </is>
      </c>
      <c r="F384" t="inlineStr">
        <is>
          <t>SCA</t>
        </is>
      </c>
      <c r="G384" t="n">
        <v>16.6</v>
      </c>
      <c r="H384" t="n">
        <v>0</v>
      </c>
      <c r="I384" t="n">
        <v>0</v>
      </c>
      <c r="J384" t="n">
        <v>0</v>
      </c>
      <c r="K384" t="n">
        <v>0</v>
      </c>
      <c r="L384" t="n">
        <v>0</v>
      </c>
      <c r="M384" t="n">
        <v>0</v>
      </c>
      <c r="N384" t="n">
        <v>0</v>
      </c>
      <c r="O384" t="n">
        <v>0</v>
      </c>
      <c r="P384" t="n">
        <v>0</v>
      </c>
      <c r="Q384" t="n">
        <v>0</v>
      </c>
      <c r="R384" s="2" t="inlineStr"/>
    </row>
    <row r="385" ht="15" customHeight="1">
      <c r="A385" t="inlineStr">
        <is>
          <t>A 10630-2025</t>
        </is>
      </c>
      <c r="B385" s="1" t="n">
        <v>45721</v>
      </c>
      <c r="C385" s="1" t="n">
        <v>46037</v>
      </c>
      <c r="D385" t="inlineStr">
        <is>
          <t>NORRBOTTENS LÄN</t>
        </is>
      </c>
      <c r="E385" t="inlineStr">
        <is>
          <t>JOKKMOKK</t>
        </is>
      </c>
      <c r="G385" t="n">
        <v>1.7</v>
      </c>
      <c r="H385" t="n">
        <v>0</v>
      </c>
      <c r="I385" t="n">
        <v>0</v>
      </c>
      <c r="J385" t="n">
        <v>0</v>
      </c>
      <c r="K385" t="n">
        <v>0</v>
      </c>
      <c r="L385" t="n">
        <v>0</v>
      </c>
      <c r="M385" t="n">
        <v>0</v>
      </c>
      <c r="N385" t="n">
        <v>0</v>
      </c>
      <c r="O385" t="n">
        <v>0</v>
      </c>
      <c r="P385" t="n">
        <v>0</v>
      </c>
      <c r="Q385" t="n">
        <v>0</v>
      </c>
      <c r="R385" s="2" t="inlineStr"/>
    </row>
    <row r="386" ht="15" customHeight="1">
      <c r="A386" t="inlineStr">
        <is>
          <t>A 921-2026</t>
        </is>
      </c>
      <c r="B386" s="1" t="n">
        <v>46030.49018518518</v>
      </c>
      <c r="C386" s="1" t="n">
        <v>46037</v>
      </c>
      <c r="D386" t="inlineStr">
        <is>
          <t>NORRBOTTENS LÄN</t>
        </is>
      </c>
      <c r="E386" t="inlineStr">
        <is>
          <t>JOKKMOKK</t>
        </is>
      </c>
      <c r="F386" t="inlineStr">
        <is>
          <t>SCA</t>
        </is>
      </c>
      <c r="G386" t="n">
        <v>9.1</v>
      </c>
      <c r="H386" t="n">
        <v>0</v>
      </c>
      <c r="I386" t="n">
        <v>0</v>
      </c>
      <c r="J386" t="n">
        <v>0</v>
      </c>
      <c r="K386" t="n">
        <v>0</v>
      </c>
      <c r="L386" t="n">
        <v>0</v>
      </c>
      <c r="M386" t="n">
        <v>0</v>
      </c>
      <c r="N386" t="n">
        <v>0</v>
      </c>
      <c r="O386" t="n">
        <v>0</v>
      </c>
      <c r="P386" t="n">
        <v>0</v>
      </c>
      <c r="Q386" t="n">
        <v>0</v>
      </c>
      <c r="R386" s="2" t="inlineStr"/>
    </row>
    <row r="387" ht="15" customHeight="1">
      <c r="A387" t="inlineStr">
        <is>
          <t>A 27650-2024</t>
        </is>
      </c>
      <c r="B387" s="1" t="n">
        <v>45474.94802083333</v>
      </c>
      <c r="C387" s="1" t="n">
        <v>46037</v>
      </c>
      <c r="D387" t="inlineStr">
        <is>
          <t>NORRBOTTENS LÄN</t>
        </is>
      </c>
      <c r="E387" t="inlineStr">
        <is>
          <t>JOKKMOKK</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59666-2025</t>
        </is>
      </c>
      <c r="B388" s="1" t="n">
        <v>45992.45447916666</v>
      </c>
      <c r="C388" s="1" t="n">
        <v>46037</v>
      </c>
      <c r="D388" t="inlineStr">
        <is>
          <t>NORRBOTTENS LÄN</t>
        </is>
      </c>
      <c r="E388" t="inlineStr">
        <is>
          <t>JOKKMOKK</t>
        </is>
      </c>
      <c r="F388" t="inlineStr">
        <is>
          <t>Allmännings- och besparingsskogar</t>
        </is>
      </c>
      <c r="G388" t="n">
        <v>12.2</v>
      </c>
      <c r="H388" t="n">
        <v>0</v>
      </c>
      <c r="I388" t="n">
        <v>0</v>
      </c>
      <c r="J388" t="n">
        <v>0</v>
      </c>
      <c r="K388" t="n">
        <v>0</v>
      </c>
      <c r="L388" t="n">
        <v>0</v>
      </c>
      <c r="M388" t="n">
        <v>0</v>
      </c>
      <c r="N388" t="n">
        <v>0</v>
      </c>
      <c r="O388" t="n">
        <v>0</v>
      </c>
      <c r="P388" t="n">
        <v>0</v>
      </c>
      <c r="Q388" t="n">
        <v>0</v>
      </c>
      <c r="R388" s="2" t="inlineStr"/>
    </row>
    <row r="389" ht="15" customHeight="1">
      <c r="A389" t="inlineStr">
        <is>
          <t>A 37827-2024</t>
        </is>
      </c>
      <c r="B389" s="1" t="n">
        <v>45544</v>
      </c>
      <c r="C389" s="1" t="n">
        <v>46037</v>
      </c>
      <c r="D389" t="inlineStr">
        <is>
          <t>NORRBOTTENS LÄN</t>
        </is>
      </c>
      <c r="E389" t="inlineStr">
        <is>
          <t>JOKKMOKK</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60308-2025</t>
        </is>
      </c>
      <c r="B390" s="1" t="n">
        <v>45994.68775462963</v>
      </c>
      <c r="C390" s="1" t="n">
        <v>46037</v>
      </c>
      <c r="D390" t="inlineStr">
        <is>
          <t>NORRBOTTENS LÄN</t>
        </is>
      </c>
      <c r="E390" t="inlineStr">
        <is>
          <t>JOKKMOKK</t>
        </is>
      </c>
      <c r="F390" t="inlineStr">
        <is>
          <t>Allmännings- och besparingsskogar</t>
        </is>
      </c>
      <c r="G390" t="n">
        <v>6.5</v>
      </c>
      <c r="H390" t="n">
        <v>0</v>
      </c>
      <c r="I390" t="n">
        <v>0</v>
      </c>
      <c r="J390" t="n">
        <v>0</v>
      </c>
      <c r="K390" t="n">
        <v>0</v>
      </c>
      <c r="L390" t="n">
        <v>0</v>
      </c>
      <c r="M390" t="n">
        <v>0</v>
      </c>
      <c r="N390" t="n">
        <v>0</v>
      </c>
      <c r="O390" t="n">
        <v>0</v>
      </c>
      <c r="P390" t="n">
        <v>0</v>
      </c>
      <c r="Q390" t="n">
        <v>0</v>
      </c>
      <c r="R390" s="2" t="inlineStr"/>
    </row>
    <row r="391" ht="15" customHeight="1">
      <c r="A391" t="inlineStr">
        <is>
          <t>A 63182-2025</t>
        </is>
      </c>
      <c r="B391" s="1" t="n">
        <v>46010</v>
      </c>
      <c r="C391" s="1" t="n">
        <v>46037</v>
      </c>
      <c r="D391" t="inlineStr">
        <is>
          <t>NORRBOTTENS LÄN</t>
        </is>
      </c>
      <c r="E391" t="inlineStr">
        <is>
          <t>JOKKMOKK</t>
        </is>
      </c>
      <c r="G391" t="n">
        <v>6.9</v>
      </c>
      <c r="H391" t="n">
        <v>0</v>
      </c>
      <c r="I391" t="n">
        <v>0</v>
      </c>
      <c r="J391" t="n">
        <v>0</v>
      </c>
      <c r="K391" t="n">
        <v>0</v>
      </c>
      <c r="L391" t="n">
        <v>0</v>
      </c>
      <c r="M391" t="n">
        <v>0</v>
      </c>
      <c r="N391" t="n">
        <v>0</v>
      </c>
      <c r="O391" t="n">
        <v>0</v>
      </c>
      <c r="P391" t="n">
        <v>0</v>
      </c>
      <c r="Q391" t="n">
        <v>0</v>
      </c>
      <c r="R391" s="2" t="inlineStr"/>
    </row>
    <row r="392" ht="15" customHeight="1">
      <c r="A392" t="inlineStr">
        <is>
          <t>A 60155-2025</t>
        </is>
      </c>
      <c r="B392" s="1" t="n">
        <v>45994.42386574074</v>
      </c>
      <c r="C392" s="1" t="n">
        <v>46037</v>
      </c>
      <c r="D392" t="inlineStr">
        <is>
          <t>NORRBOTTENS LÄN</t>
        </is>
      </c>
      <c r="E392" t="inlineStr">
        <is>
          <t>JOKKMOKK</t>
        </is>
      </c>
      <c r="F392" t="inlineStr">
        <is>
          <t>Övriga statliga verk och myndigheter</t>
        </is>
      </c>
      <c r="G392" t="n">
        <v>2.7</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46037</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44151-2024</t>
        </is>
      </c>
      <c r="B394" s="1" t="n">
        <v>45572.67773148148</v>
      </c>
      <c r="C394" s="1" t="n">
        <v>46037</v>
      </c>
      <c r="D394" t="inlineStr">
        <is>
          <t>NORRBOTTENS LÄN</t>
        </is>
      </c>
      <c r="E394" t="inlineStr">
        <is>
          <t>JOKKMOKK</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52280-2021</t>
        </is>
      </c>
      <c r="B395" s="1" t="n">
        <v>44462</v>
      </c>
      <c r="C395" s="1" t="n">
        <v>46037</v>
      </c>
      <c r="D395" t="inlineStr">
        <is>
          <t>NORRBOTTENS LÄN</t>
        </is>
      </c>
      <c r="E395" t="inlineStr">
        <is>
          <t>JOKKMOKK</t>
        </is>
      </c>
      <c r="F395" t="inlineStr">
        <is>
          <t>Övriga statliga verk och myndigheter</t>
        </is>
      </c>
      <c r="G395" t="n">
        <v>25.9</v>
      </c>
      <c r="H395" t="n">
        <v>0</v>
      </c>
      <c r="I395" t="n">
        <v>0</v>
      </c>
      <c r="J395" t="n">
        <v>0</v>
      </c>
      <c r="K395" t="n">
        <v>0</v>
      </c>
      <c r="L395" t="n">
        <v>0</v>
      </c>
      <c r="M395" t="n">
        <v>0</v>
      </c>
      <c r="N395" t="n">
        <v>0</v>
      </c>
      <c r="O395" t="n">
        <v>0</v>
      </c>
      <c r="P395" t="n">
        <v>0</v>
      </c>
      <c r="Q395" t="n">
        <v>0</v>
      </c>
      <c r="R395" s="2" t="inlineStr"/>
    </row>
    <row r="396" ht="15" customHeight="1">
      <c r="A396" t="inlineStr">
        <is>
          <t>A 59984-2025</t>
        </is>
      </c>
      <c r="B396" s="1" t="n">
        <v>45993.54810185185</v>
      </c>
      <c r="C396" s="1" t="n">
        <v>46037</v>
      </c>
      <c r="D396" t="inlineStr">
        <is>
          <t>NORRBOTTENS LÄN</t>
        </is>
      </c>
      <c r="E396" t="inlineStr">
        <is>
          <t>JOKKMOKK</t>
        </is>
      </c>
      <c r="F396" t="inlineStr">
        <is>
          <t>Allmännings- och besparingsskogar</t>
        </is>
      </c>
      <c r="G396" t="n">
        <v>4.4</v>
      </c>
      <c r="H396" t="n">
        <v>0</v>
      </c>
      <c r="I396" t="n">
        <v>0</v>
      </c>
      <c r="J396" t="n">
        <v>0</v>
      </c>
      <c r="K396" t="n">
        <v>0</v>
      </c>
      <c r="L396" t="n">
        <v>0</v>
      </c>
      <c r="M396" t="n">
        <v>0</v>
      </c>
      <c r="N396" t="n">
        <v>0</v>
      </c>
      <c r="O396" t="n">
        <v>0</v>
      </c>
      <c r="P396" t="n">
        <v>0</v>
      </c>
      <c r="Q396" t="n">
        <v>0</v>
      </c>
      <c r="R396" s="2" t="inlineStr"/>
    </row>
    <row r="397" ht="15" customHeight="1">
      <c r="A397" t="inlineStr">
        <is>
          <t>A 63190-2025</t>
        </is>
      </c>
      <c r="B397" s="1" t="n">
        <v>46010</v>
      </c>
      <c r="C397" s="1" t="n">
        <v>46037</v>
      </c>
      <c r="D397" t="inlineStr">
        <is>
          <t>NORRBOTTENS LÄN</t>
        </is>
      </c>
      <c r="E397" t="inlineStr">
        <is>
          <t>JOKKMOKK</t>
        </is>
      </c>
      <c r="G397" t="n">
        <v>11.4</v>
      </c>
      <c r="H397" t="n">
        <v>0</v>
      </c>
      <c r="I397" t="n">
        <v>0</v>
      </c>
      <c r="J397" t="n">
        <v>0</v>
      </c>
      <c r="K397" t="n">
        <v>0</v>
      </c>
      <c r="L397" t="n">
        <v>0</v>
      </c>
      <c r="M397" t="n">
        <v>0</v>
      </c>
      <c r="N397" t="n">
        <v>0</v>
      </c>
      <c r="O397" t="n">
        <v>0</v>
      </c>
      <c r="P397" t="n">
        <v>0</v>
      </c>
      <c r="Q397" t="n">
        <v>0</v>
      </c>
      <c r="R397" s="2" t="inlineStr"/>
    </row>
    <row r="398" ht="15" customHeight="1">
      <c r="A398" t="inlineStr">
        <is>
          <t>A 63181-2025</t>
        </is>
      </c>
      <c r="B398" s="1" t="n">
        <v>46010</v>
      </c>
      <c r="C398" s="1" t="n">
        <v>46037</v>
      </c>
      <c r="D398" t="inlineStr">
        <is>
          <t>NORRBOTTENS LÄN</t>
        </is>
      </c>
      <c r="E398" t="inlineStr">
        <is>
          <t>JOKKMOKK</t>
        </is>
      </c>
      <c r="G398" t="n">
        <v>42.7</v>
      </c>
      <c r="H398" t="n">
        <v>0</v>
      </c>
      <c r="I398" t="n">
        <v>0</v>
      </c>
      <c r="J398" t="n">
        <v>0</v>
      </c>
      <c r="K398" t="n">
        <v>0</v>
      </c>
      <c r="L398" t="n">
        <v>0</v>
      </c>
      <c r="M398" t="n">
        <v>0</v>
      </c>
      <c r="N398" t="n">
        <v>0</v>
      </c>
      <c r="O398" t="n">
        <v>0</v>
      </c>
      <c r="P398" t="n">
        <v>0</v>
      </c>
      <c r="Q398" t="n">
        <v>0</v>
      </c>
      <c r="R398" s="2" t="inlineStr"/>
    </row>
    <row r="399" ht="15" customHeight="1">
      <c r="A399" t="inlineStr">
        <is>
          <t>A 43997-2024</t>
        </is>
      </c>
      <c r="B399" s="1" t="n">
        <v>45572.54165509259</v>
      </c>
      <c r="C399" s="1" t="n">
        <v>46037</v>
      </c>
      <c r="D399" t="inlineStr">
        <is>
          <t>NORRBOTTENS LÄN</t>
        </is>
      </c>
      <c r="E399" t="inlineStr">
        <is>
          <t>JOKKMOKK</t>
        </is>
      </c>
      <c r="F399" t="inlineStr">
        <is>
          <t>Sveaskog</t>
        </is>
      </c>
      <c r="G399" t="n">
        <v>17.4</v>
      </c>
      <c r="H399" t="n">
        <v>0</v>
      </c>
      <c r="I399" t="n">
        <v>0</v>
      </c>
      <c r="J399" t="n">
        <v>0</v>
      </c>
      <c r="K399" t="n">
        <v>0</v>
      </c>
      <c r="L399" t="n">
        <v>0</v>
      </c>
      <c r="M399" t="n">
        <v>0</v>
      </c>
      <c r="N399" t="n">
        <v>0</v>
      </c>
      <c r="O399" t="n">
        <v>0</v>
      </c>
      <c r="P399" t="n">
        <v>0</v>
      </c>
      <c r="Q399" t="n">
        <v>0</v>
      </c>
      <c r="R399" s="2" t="inlineStr"/>
    </row>
    <row r="400" ht="15" customHeight="1">
      <c r="A400" t="inlineStr">
        <is>
          <t>A 59849-2021</t>
        </is>
      </c>
      <c r="B400" s="1" t="n">
        <v>44493</v>
      </c>
      <c r="C400" s="1" t="n">
        <v>46037</v>
      </c>
      <c r="D400" t="inlineStr">
        <is>
          <t>NORRBOTTENS LÄN</t>
        </is>
      </c>
      <c r="E400" t="inlineStr">
        <is>
          <t>JOKKMOKK</t>
        </is>
      </c>
      <c r="F400" t="inlineStr">
        <is>
          <t>Övriga Aktiebolag</t>
        </is>
      </c>
      <c r="G400" t="n">
        <v>11.7</v>
      </c>
      <c r="H400" t="n">
        <v>0</v>
      </c>
      <c r="I400" t="n">
        <v>0</v>
      </c>
      <c r="J400" t="n">
        <v>0</v>
      </c>
      <c r="K400" t="n">
        <v>0</v>
      </c>
      <c r="L400" t="n">
        <v>0</v>
      </c>
      <c r="M400" t="n">
        <v>0</v>
      </c>
      <c r="N400" t="n">
        <v>0</v>
      </c>
      <c r="O400" t="n">
        <v>0</v>
      </c>
      <c r="P400" t="n">
        <v>0</v>
      </c>
      <c r="Q400" t="n">
        <v>0</v>
      </c>
      <c r="R400" s="2" t="inlineStr"/>
    </row>
    <row r="401" ht="15" customHeight="1">
      <c r="A401" t="inlineStr">
        <is>
          <t>A 44150-2024</t>
        </is>
      </c>
      <c r="B401" s="1" t="n">
        <v>45572.67520833333</v>
      </c>
      <c r="C401" s="1" t="n">
        <v>46037</v>
      </c>
      <c r="D401" t="inlineStr">
        <is>
          <t>NORRBOTTENS LÄN</t>
        </is>
      </c>
      <c r="E401" t="inlineStr">
        <is>
          <t>JOKKMOKK</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60193-2023</t>
        </is>
      </c>
      <c r="B402" s="1" t="n">
        <v>45258</v>
      </c>
      <c r="C402" s="1" t="n">
        <v>46037</v>
      </c>
      <c r="D402" t="inlineStr">
        <is>
          <t>NORRBOTTENS LÄN</t>
        </is>
      </c>
      <c r="E402" t="inlineStr">
        <is>
          <t>JOKKMOKK</t>
        </is>
      </c>
      <c r="F402" t="inlineStr">
        <is>
          <t>Allmännings- och besparingsskogar</t>
        </is>
      </c>
      <c r="G402" t="n">
        <v>11.1</v>
      </c>
      <c r="H402" t="n">
        <v>0</v>
      </c>
      <c r="I402" t="n">
        <v>0</v>
      </c>
      <c r="J402" t="n">
        <v>0</v>
      </c>
      <c r="K402" t="n">
        <v>0</v>
      </c>
      <c r="L402" t="n">
        <v>0</v>
      </c>
      <c r="M402" t="n">
        <v>0</v>
      </c>
      <c r="N402" t="n">
        <v>0</v>
      </c>
      <c r="O402" t="n">
        <v>0</v>
      </c>
      <c r="P402" t="n">
        <v>0</v>
      </c>
      <c r="Q402" t="n">
        <v>0</v>
      </c>
      <c r="R402" s="2" t="inlineStr"/>
    </row>
    <row r="403" ht="15" customHeight="1">
      <c r="A403" t="inlineStr">
        <is>
          <t>A 32900-2023</t>
        </is>
      </c>
      <c r="B403" s="1" t="n">
        <v>45124</v>
      </c>
      <c r="C403" s="1" t="n">
        <v>46037</v>
      </c>
      <c r="D403" t="inlineStr">
        <is>
          <t>NORRBOTTENS LÄN</t>
        </is>
      </c>
      <c r="E403" t="inlineStr">
        <is>
          <t>JOKKMOKK</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51269-2024</t>
        </is>
      </c>
      <c r="B404" s="1" t="n">
        <v>45603.71284722222</v>
      </c>
      <c r="C404" s="1" t="n">
        <v>46037</v>
      </c>
      <c r="D404" t="inlineStr">
        <is>
          <t>NORRBOTTENS LÄN</t>
        </is>
      </c>
      <c r="E404" t="inlineStr">
        <is>
          <t>JOKKMOKK</t>
        </is>
      </c>
      <c r="F404" t="inlineStr">
        <is>
          <t>Allmännings- och besparingsskogar</t>
        </is>
      </c>
      <c r="G404" t="n">
        <v>4.4</v>
      </c>
      <c r="H404" t="n">
        <v>0</v>
      </c>
      <c r="I404" t="n">
        <v>0</v>
      </c>
      <c r="J404" t="n">
        <v>0</v>
      </c>
      <c r="K404" t="n">
        <v>0</v>
      </c>
      <c r="L404" t="n">
        <v>0</v>
      </c>
      <c r="M404" t="n">
        <v>0</v>
      </c>
      <c r="N404" t="n">
        <v>0</v>
      </c>
      <c r="O404" t="n">
        <v>0</v>
      </c>
      <c r="P404" t="n">
        <v>0</v>
      </c>
      <c r="Q404" t="n">
        <v>0</v>
      </c>
      <c r="R404" s="2" t="inlineStr"/>
    </row>
    <row r="405" ht="15" customHeight="1">
      <c r="A405" t="inlineStr">
        <is>
          <t>A 52812-2024</t>
        </is>
      </c>
      <c r="B405" s="1" t="n">
        <v>45610.58070601852</v>
      </c>
      <c r="C405" s="1" t="n">
        <v>46037</v>
      </c>
      <c r="D405" t="inlineStr">
        <is>
          <t>NORRBOTTENS LÄN</t>
        </is>
      </c>
      <c r="E405" t="inlineStr">
        <is>
          <t>JOKKMOKK</t>
        </is>
      </c>
      <c r="G405" t="n">
        <v>84</v>
      </c>
      <c r="H405" t="n">
        <v>0</v>
      </c>
      <c r="I405" t="n">
        <v>0</v>
      </c>
      <c r="J405" t="n">
        <v>0</v>
      </c>
      <c r="K405" t="n">
        <v>0</v>
      </c>
      <c r="L405" t="n">
        <v>0</v>
      </c>
      <c r="M405" t="n">
        <v>0</v>
      </c>
      <c r="N405" t="n">
        <v>0</v>
      </c>
      <c r="O405" t="n">
        <v>0</v>
      </c>
      <c r="P405" t="n">
        <v>0</v>
      </c>
      <c r="Q405" t="n">
        <v>0</v>
      </c>
      <c r="R405" s="2" t="inlineStr"/>
    </row>
    <row r="406" ht="15" customHeight="1">
      <c r="A406" t="inlineStr">
        <is>
          <t>A 71369-2021</t>
        </is>
      </c>
      <c r="B406" s="1" t="n">
        <v>44539.94476851852</v>
      </c>
      <c r="C406" s="1" t="n">
        <v>46037</v>
      </c>
      <c r="D406" t="inlineStr">
        <is>
          <t>NORRBOTTENS LÄN</t>
        </is>
      </c>
      <c r="E406" t="inlineStr">
        <is>
          <t>JOKKMOKK</t>
        </is>
      </c>
      <c r="F406" t="inlineStr">
        <is>
          <t>SCA</t>
        </is>
      </c>
      <c r="G406" t="n">
        <v>15.7</v>
      </c>
      <c r="H406" t="n">
        <v>0</v>
      </c>
      <c r="I406" t="n">
        <v>0</v>
      </c>
      <c r="J406" t="n">
        <v>0</v>
      </c>
      <c r="K406" t="n">
        <v>0</v>
      </c>
      <c r="L406" t="n">
        <v>0</v>
      </c>
      <c r="M406" t="n">
        <v>0</v>
      </c>
      <c r="N406" t="n">
        <v>0</v>
      </c>
      <c r="O406" t="n">
        <v>0</v>
      </c>
      <c r="P406" t="n">
        <v>0</v>
      </c>
      <c r="Q406" t="n">
        <v>0</v>
      </c>
      <c r="R406" s="2" t="inlineStr"/>
    </row>
    <row r="407" ht="15" customHeight="1">
      <c r="A407" t="inlineStr">
        <is>
          <t>A 59793-2024</t>
        </is>
      </c>
      <c r="B407" s="1" t="n">
        <v>45639.58967592593</v>
      </c>
      <c r="C407" s="1" t="n">
        <v>46037</v>
      </c>
      <c r="D407" t="inlineStr">
        <is>
          <t>NORRBOTTENS LÄN</t>
        </is>
      </c>
      <c r="E407" t="inlineStr">
        <is>
          <t>JOKKMOKK</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39684-2023</t>
        </is>
      </c>
      <c r="B408" s="1" t="n">
        <v>45166</v>
      </c>
      <c r="C408" s="1" t="n">
        <v>46037</v>
      </c>
      <c r="D408" t="inlineStr">
        <is>
          <t>NORRBOTTENS LÄN</t>
        </is>
      </c>
      <c r="E408" t="inlineStr">
        <is>
          <t>JOKKMOKK</t>
        </is>
      </c>
      <c r="G408" t="n">
        <v>6.8</v>
      </c>
      <c r="H408" t="n">
        <v>0</v>
      </c>
      <c r="I408" t="n">
        <v>0</v>
      </c>
      <c r="J408" t="n">
        <v>0</v>
      </c>
      <c r="K408" t="n">
        <v>0</v>
      </c>
      <c r="L408" t="n">
        <v>0</v>
      </c>
      <c r="M408" t="n">
        <v>0</v>
      </c>
      <c r="N408" t="n">
        <v>0</v>
      </c>
      <c r="O408" t="n">
        <v>0</v>
      </c>
      <c r="P408" t="n">
        <v>0</v>
      </c>
      <c r="Q408" t="n">
        <v>0</v>
      </c>
      <c r="R408" s="2" t="inlineStr"/>
    </row>
    <row r="409" ht="15" customHeight="1">
      <c r="A409" t="inlineStr">
        <is>
          <t>A 9860-2023</t>
        </is>
      </c>
      <c r="B409" s="1" t="n">
        <v>44984</v>
      </c>
      <c r="C409" s="1" t="n">
        <v>46037</v>
      </c>
      <c r="D409" t="inlineStr">
        <is>
          <t>NORRBOTTENS LÄN</t>
        </is>
      </c>
      <c r="E409" t="inlineStr">
        <is>
          <t>JOKKMOKK</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9863-2023</t>
        </is>
      </c>
      <c r="B410" s="1" t="n">
        <v>44984</v>
      </c>
      <c r="C410" s="1" t="n">
        <v>46037</v>
      </c>
      <c r="D410" t="inlineStr">
        <is>
          <t>NORRBOTTENS LÄN</t>
        </is>
      </c>
      <c r="E410" t="inlineStr">
        <is>
          <t>JOKKMOKK</t>
        </is>
      </c>
      <c r="F410" t="inlineStr">
        <is>
          <t>SCA</t>
        </is>
      </c>
      <c r="G410" t="n">
        <v>14.4</v>
      </c>
      <c r="H410" t="n">
        <v>0</v>
      </c>
      <c r="I410" t="n">
        <v>0</v>
      </c>
      <c r="J410" t="n">
        <v>0</v>
      </c>
      <c r="K410" t="n">
        <v>0</v>
      </c>
      <c r="L410" t="n">
        <v>0</v>
      </c>
      <c r="M410" t="n">
        <v>0</v>
      </c>
      <c r="N410" t="n">
        <v>0</v>
      </c>
      <c r="O410" t="n">
        <v>0</v>
      </c>
      <c r="P410" t="n">
        <v>0</v>
      </c>
      <c r="Q410" t="n">
        <v>0</v>
      </c>
      <c r="R410" s="2" t="inlineStr"/>
    </row>
    <row r="411" ht="15" customHeight="1">
      <c r="A411" t="inlineStr">
        <is>
          <t>A 9872-2023</t>
        </is>
      </c>
      <c r="B411" s="1" t="n">
        <v>44984</v>
      </c>
      <c r="C411" s="1" t="n">
        <v>46037</v>
      </c>
      <c r="D411" t="inlineStr">
        <is>
          <t>NORRBOTTENS LÄN</t>
        </is>
      </c>
      <c r="E411" t="inlineStr">
        <is>
          <t>JOKKMOKK</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9873-2023</t>
        </is>
      </c>
      <c r="B412" s="1" t="n">
        <v>44984</v>
      </c>
      <c r="C412" s="1" t="n">
        <v>46037</v>
      </c>
      <c r="D412" t="inlineStr">
        <is>
          <t>NORRBOTTENS LÄN</t>
        </is>
      </c>
      <c r="E412" t="inlineStr">
        <is>
          <t>JOKKMOKK</t>
        </is>
      </c>
      <c r="G412" t="n">
        <v>1.6</v>
      </c>
      <c r="H412" t="n">
        <v>0</v>
      </c>
      <c r="I412" t="n">
        <v>0</v>
      </c>
      <c r="J412" t="n">
        <v>0</v>
      </c>
      <c r="K412" t="n">
        <v>0</v>
      </c>
      <c r="L412" t="n">
        <v>0</v>
      </c>
      <c r="M412" t="n">
        <v>0</v>
      </c>
      <c r="N412" t="n">
        <v>0</v>
      </c>
      <c r="O412" t="n">
        <v>0</v>
      </c>
      <c r="P412" t="n">
        <v>0</v>
      </c>
      <c r="Q412" t="n">
        <v>0</v>
      </c>
      <c r="R412" s="2" t="inlineStr"/>
    </row>
    <row r="413" ht="15" customHeight="1">
      <c r="A413" t="inlineStr">
        <is>
          <t>A 9877-2023</t>
        </is>
      </c>
      <c r="B413" s="1" t="n">
        <v>44984.94033564815</v>
      </c>
      <c r="C413" s="1" t="n">
        <v>46037</v>
      </c>
      <c r="D413" t="inlineStr">
        <is>
          <t>NORRBOTTENS LÄN</t>
        </is>
      </c>
      <c r="E413" t="inlineStr">
        <is>
          <t>JOKKMOKK</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17784-2025</t>
        </is>
      </c>
      <c r="B414" s="1" t="n">
        <v>45758</v>
      </c>
      <c r="C414" s="1" t="n">
        <v>46037</v>
      </c>
      <c r="D414" t="inlineStr">
        <is>
          <t>NORRBOTTENS LÄN</t>
        </is>
      </c>
      <c r="E414" t="inlineStr">
        <is>
          <t>JOKKMOKK</t>
        </is>
      </c>
      <c r="F414" t="inlineStr">
        <is>
          <t>SCA</t>
        </is>
      </c>
      <c r="G414" t="n">
        <v>11.2</v>
      </c>
      <c r="H414" t="n">
        <v>0</v>
      </c>
      <c r="I414" t="n">
        <v>0</v>
      </c>
      <c r="J414" t="n">
        <v>0</v>
      </c>
      <c r="K414" t="n">
        <v>0</v>
      </c>
      <c r="L414" t="n">
        <v>0</v>
      </c>
      <c r="M414" t="n">
        <v>0</v>
      </c>
      <c r="N414" t="n">
        <v>0</v>
      </c>
      <c r="O414" t="n">
        <v>0</v>
      </c>
      <c r="P414" t="n">
        <v>0</v>
      </c>
      <c r="Q414" t="n">
        <v>0</v>
      </c>
      <c r="R414" s="2" t="inlineStr"/>
    </row>
    <row r="415" ht="15" customHeight="1">
      <c r="A415" t="inlineStr">
        <is>
          <t>A 16018-2024</t>
        </is>
      </c>
      <c r="B415" s="1" t="n">
        <v>45405.67028935185</v>
      </c>
      <c r="C415" s="1" t="n">
        <v>46037</v>
      </c>
      <c r="D415" t="inlineStr">
        <is>
          <t>NORRBOTTENS LÄN</t>
        </is>
      </c>
      <c r="E415" t="inlineStr">
        <is>
          <t>JOKKMOKK</t>
        </is>
      </c>
      <c r="G415" t="n">
        <v>1.8</v>
      </c>
      <c r="H415" t="n">
        <v>0</v>
      </c>
      <c r="I415" t="n">
        <v>0</v>
      </c>
      <c r="J415" t="n">
        <v>0</v>
      </c>
      <c r="K415" t="n">
        <v>0</v>
      </c>
      <c r="L415" t="n">
        <v>0</v>
      </c>
      <c r="M415" t="n">
        <v>0</v>
      </c>
      <c r="N415" t="n">
        <v>0</v>
      </c>
      <c r="O415" t="n">
        <v>0</v>
      </c>
      <c r="P415" t="n">
        <v>0</v>
      </c>
      <c r="Q415" t="n">
        <v>0</v>
      </c>
      <c r="R415" s="2" t="inlineStr"/>
    </row>
    <row r="416" ht="15" customHeight="1">
      <c r="A416" t="inlineStr">
        <is>
          <t>A 32899-2023</t>
        </is>
      </c>
      <c r="B416" s="1" t="n">
        <v>45124</v>
      </c>
      <c r="C416" s="1" t="n">
        <v>46037</v>
      </c>
      <c r="D416" t="inlineStr">
        <is>
          <t>NORRBOTTENS LÄN</t>
        </is>
      </c>
      <c r="E416" t="inlineStr">
        <is>
          <t>JOKKMOKK</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3055-2025</t>
        </is>
      </c>
      <c r="B417" s="1" t="n">
        <v>45678.61530092593</v>
      </c>
      <c r="C417" s="1" t="n">
        <v>46037</v>
      </c>
      <c r="D417" t="inlineStr">
        <is>
          <t>NORRBOTTENS LÄN</t>
        </is>
      </c>
      <c r="E417" t="inlineStr">
        <is>
          <t>JOKKMOKK</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42639-2024</t>
        </is>
      </c>
      <c r="B418" s="1" t="n">
        <v>45565.91135416667</v>
      </c>
      <c r="C418" s="1" t="n">
        <v>46037</v>
      </c>
      <c r="D418" t="inlineStr">
        <is>
          <t>NORRBOTTENS LÄN</t>
        </is>
      </c>
      <c r="E418" t="inlineStr">
        <is>
          <t>JOKKMOKK</t>
        </is>
      </c>
      <c r="G418" t="n">
        <v>34.5</v>
      </c>
      <c r="H418" t="n">
        <v>0</v>
      </c>
      <c r="I418" t="n">
        <v>0</v>
      </c>
      <c r="J418" t="n">
        <v>0</v>
      </c>
      <c r="K418" t="n">
        <v>0</v>
      </c>
      <c r="L418" t="n">
        <v>0</v>
      </c>
      <c r="M418" t="n">
        <v>0</v>
      </c>
      <c r="N418" t="n">
        <v>0</v>
      </c>
      <c r="O418" t="n">
        <v>0</v>
      </c>
      <c r="P418" t="n">
        <v>0</v>
      </c>
      <c r="Q418" t="n">
        <v>0</v>
      </c>
      <c r="R418" s="2" t="inlineStr"/>
    </row>
    <row r="419" ht="15" customHeight="1">
      <c r="A419" t="inlineStr">
        <is>
          <t>A 52181-2023</t>
        </is>
      </c>
      <c r="B419" s="1" t="n">
        <v>45224</v>
      </c>
      <c r="C419" s="1" t="n">
        <v>46037</v>
      </c>
      <c r="D419" t="inlineStr">
        <is>
          <t>NORRBOTTENS LÄN</t>
        </is>
      </c>
      <c r="E419" t="inlineStr">
        <is>
          <t>JOKKMOKK</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50651-2024</t>
        </is>
      </c>
      <c r="B420" s="1" t="n">
        <v>45601.70364583333</v>
      </c>
      <c r="C420" s="1" t="n">
        <v>46037</v>
      </c>
      <c r="D420" t="inlineStr">
        <is>
          <t>NORRBOTTENS LÄN</t>
        </is>
      </c>
      <c r="E420" t="inlineStr">
        <is>
          <t>JOKKMOKK</t>
        </is>
      </c>
      <c r="F420" t="inlineStr">
        <is>
          <t>Allmännings- och besparingsskogar</t>
        </is>
      </c>
      <c r="G420" t="n">
        <v>6.1</v>
      </c>
      <c r="H420" t="n">
        <v>0</v>
      </c>
      <c r="I420" t="n">
        <v>0</v>
      </c>
      <c r="J420" t="n">
        <v>0</v>
      </c>
      <c r="K420" t="n">
        <v>0</v>
      </c>
      <c r="L420" t="n">
        <v>0</v>
      </c>
      <c r="M420" t="n">
        <v>0</v>
      </c>
      <c r="N420" t="n">
        <v>0</v>
      </c>
      <c r="O420" t="n">
        <v>0</v>
      </c>
      <c r="P420" t="n">
        <v>0</v>
      </c>
      <c r="Q420" t="n">
        <v>0</v>
      </c>
      <c r="R420" s="2" t="inlineStr"/>
    </row>
    <row r="421" ht="15" customHeight="1">
      <c r="A421" t="inlineStr">
        <is>
          <t>A 40432-2024</t>
        </is>
      </c>
      <c r="B421" s="1" t="n">
        <v>45555.47401620371</v>
      </c>
      <c r="C421" s="1" t="n">
        <v>46037</v>
      </c>
      <c r="D421" t="inlineStr">
        <is>
          <t>NORRBOTTENS LÄN</t>
        </is>
      </c>
      <c r="E421" t="inlineStr">
        <is>
          <t>JOKKMOKK</t>
        </is>
      </c>
      <c r="G421" t="n">
        <v>0.5</v>
      </c>
      <c r="H421" t="n">
        <v>0</v>
      </c>
      <c r="I421" t="n">
        <v>0</v>
      </c>
      <c r="J421" t="n">
        <v>0</v>
      </c>
      <c r="K421" t="n">
        <v>0</v>
      </c>
      <c r="L421" t="n">
        <v>0</v>
      </c>
      <c r="M421" t="n">
        <v>0</v>
      </c>
      <c r="N421" t="n">
        <v>0</v>
      </c>
      <c r="O421" t="n">
        <v>0</v>
      </c>
      <c r="P421" t="n">
        <v>0</v>
      </c>
      <c r="Q421" t="n">
        <v>0</v>
      </c>
      <c r="R421" s="2" t="inlineStr"/>
    </row>
    <row r="422" ht="15" customHeight="1">
      <c r="A422" t="inlineStr">
        <is>
          <t>A 7845-2024</t>
        </is>
      </c>
      <c r="B422" s="1" t="n">
        <v>45349</v>
      </c>
      <c r="C422" s="1" t="n">
        <v>46037</v>
      </c>
      <c r="D422" t="inlineStr">
        <is>
          <t>NORRBOTTENS LÄN</t>
        </is>
      </c>
      <c r="E422" t="inlineStr">
        <is>
          <t>JOKKMOKK</t>
        </is>
      </c>
      <c r="G422" t="n">
        <v>3</v>
      </c>
      <c r="H422" t="n">
        <v>0</v>
      </c>
      <c r="I422" t="n">
        <v>0</v>
      </c>
      <c r="J422" t="n">
        <v>0</v>
      </c>
      <c r="K422" t="n">
        <v>0</v>
      </c>
      <c r="L422" t="n">
        <v>0</v>
      </c>
      <c r="M422" t="n">
        <v>0</v>
      </c>
      <c r="N422" t="n">
        <v>0</v>
      </c>
      <c r="O422" t="n">
        <v>0</v>
      </c>
      <c r="P422" t="n">
        <v>0</v>
      </c>
      <c r="Q422" t="n">
        <v>0</v>
      </c>
      <c r="R422" s="2" t="inlineStr"/>
    </row>
    <row r="423" ht="15" customHeight="1">
      <c r="A423" t="inlineStr">
        <is>
          <t>A 11657-2024</t>
        </is>
      </c>
      <c r="B423" s="1" t="n">
        <v>45373</v>
      </c>
      <c r="C423" s="1" t="n">
        <v>46037</v>
      </c>
      <c r="D423" t="inlineStr">
        <is>
          <t>NORRBOTTENS LÄN</t>
        </is>
      </c>
      <c r="E423" t="inlineStr">
        <is>
          <t>JOKKMOKK</t>
        </is>
      </c>
      <c r="G423" t="n">
        <v>14.3</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46037</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46037</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46418-2023</t>
        </is>
      </c>
      <c r="B426" s="1" t="n">
        <v>45197</v>
      </c>
      <c r="C426" s="1" t="n">
        <v>46037</v>
      </c>
      <c r="D426" t="inlineStr">
        <is>
          <t>NORRBOTTENS LÄN</t>
        </is>
      </c>
      <c r="E426" t="inlineStr">
        <is>
          <t>JOKKMOKK</t>
        </is>
      </c>
      <c r="G426" t="n">
        <v>7.4</v>
      </c>
      <c r="H426" t="n">
        <v>0</v>
      </c>
      <c r="I426" t="n">
        <v>0</v>
      </c>
      <c r="J426" t="n">
        <v>0</v>
      </c>
      <c r="K426" t="n">
        <v>0</v>
      </c>
      <c r="L426" t="n">
        <v>0</v>
      </c>
      <c r="M426" t="n">
        <v>0</v>
      </c>
      <c r="N426" t="n">
        <v>0</v>
      </c>
      <c r="O426" t="n">
        <v>0</v>
      </c>
      <c r="P426" t="n">
        <v>0</v>
      </c>
      <c r="Q426" t="n">
        <v>0</v>
      </c>
      <c r="R426" s="2" t="inlineStr"/>
    </row>
    <row r="427" ht="15" customHeight="1">
      <c r="A427" t="inlineStr">
        <is>
          <t>A 60275-2023</t>
        </is>
      </c>
      <c r="B427" s="1" t="n">
        <v>45258.67847222222</v>
      </c>
      <c r="C427" s="1" t="n">
        <v>46037</v>
      </c>
      <c r="D427" t="inlineStr">
        <is>
          <t>NORRBOTTENS LÄN</t>
        </is>
      </c>
      <c r="E427" t="inlineStr">
        <is>
          <t>JOKKMOKK</t>
        </is>
      </c>
      <c r="G427" t="n">
        <v>3.2</v>
      </c>
      <c r="H427" t="n">
        <v>0</v>
      </c>
      <c r="I427" t="n">
        <v>0</v>
      </c>
      <c r="J427" t="n">
        <v>0</v>
      </c>
      <c r="K427" t="n">
        <v>0</v>
      </c>
      <c r="L427" t="n">
        <v>0</v>
      </c>
      <c r="M427" t="n">
        <v>0</v>
      </c>
      <c r="N427" t="n">
        <v>0</v>
      </c>
      <c r="O427" t="n">
        <v>0</v>
      </c>
      <c r="P427" t="n">
        <v>0</v>
      </c>
      <c r="Q427" t="n">
        <v>0</v>
      </c>
      <c r="R427" s="2" t="inlineStr"/>
    </row>
    <row r="428" ht="15" customHeight="1">
      <c r="A428" t="inlineStr">
        <is>
          <t>A 40771-2023</t>
        </is>
      </c>
      <c r="B428" s="1" t="n">
        <v>45170.95657407407</v>
      </c>
      <c r="C428" s="1" t="n">
        <v>46037</v>
      </c>
      <c r="D428" t="inlineStr">
        <is>
          <t>NORRBOTTENS LÄN</t>
        </is>
      </c>
      <c r="E428" t="inlineStr">
        <is>
          <t>JOKKMOKK</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47208-2022</t>
        </is>
      </c>
      <c r="B429" s="1" t="n">
        <v>44851</v>
      </c>
      <c r="C429" s="1" t="n">
        <v>46037</v>
      </c>
      <c r="D429" t="inlineStr">
        <is>
          <t>NORRBOTTENS LÄN</t>
        </is>
      </c>
      <c r="E429" t="inlineStr">
        <is>
          <t>JOKKMOKK</t>
        </is>
      </c>
      <c r="G429" t="n">
        <v>1.2</v>
      </c>
      <c r="H429" t="n">
        <v>0</v>
      </c>
      <c r="I429" t="n">
        <v>0</v>
      </c>
      <c r="J429" t="n">
        <v>0</v>
      </c>
      <c r="K429" t="n">
        <v>0</v>
      </c>
      <c r="L429" t="n">
        <v>0</v>
      </c>
      <c r="M429" t="n">
        <v>0</v>
      </c>
      <c r="N429" t="n">
        <v>0</v>
      </c>
      <c r="O429" t="n">
        <v>0</v>
      </c>
      <c r="P429" t="n">
        <v>0</v>
      </c>
      <c r="Q429" t="n">
        <v>0</v>
      </c>
      <c r="R429" s="2" t="inlineStr"/>
    </row>
    <row r="430" ht="15" customHeight="1">
      <c r="A430" t="inlineStr">
        <is>
          <t>A 1615-2024</t>
        </is>
      </c>
      <c r="B430" s="1" t="n">
        <v>45306</v>
      </c>
      <c r="C430" s="1" t="n">
        <v>46037</v>
      </c>
      <c r="D430" t="inlineStr">
        <is>
          <t>NORRBOTTENS LÄN</t>
        </is>
      </c>
      <c r="E430" t="inlineStr">
        <is>
          <t>JOKKMOKK</t>
        </is>
      </c>
      <c r="G430" t="n">
        <v>10.8</v>
      </c>
      <c r="H430" t="n">
        <v>0</v>
      </c>
      <c r="I430" t="n">
        <v>0</v>
      </c>
      <c r="J430" t="n">
        <v>0</v>
      </c>
      <c r="K430" t="n">
        <v>0</v>
      </c>
      <c r="L430" t="n">
        <v>0</v>
      </c>
      <c r="M430" t="n">
        <v>0</v>
      </c>
      <c r="N430" t="n">
        <v>0</v>
      </c>
      <c r="O430" t="n">
        <v>0</v>
      </c>
      <c r="P430" t="n">
        <v>0</v>
      </c>
      <c r="Q430" t="n">
        <v>0</v>
      </c>
      <c r="R430" s="2" t="inlineStr"/>
    </row>
    <row r="431" ht="15" customHeight="1">
      <c r="A431" t="inlineStr">
        <is>
          <t>A 59849-2023</t>
        </is>
      </c>
      <c r="B431" s="1" t="n">
        <v>45257</v>
      </c>
      <c r="C431" s="1" t="n">
        <v>46037</v>
      </c>
      <c r="D431" t="inlineStr">
        <is>
          <t>NORRBOTTENS LÄN</t>
        </is>
      </c>
      <c r="E431" t="inlineStr">
        <is>
          <t>JOKKMOKK</t>
        </is>
      </c>
      <c r="F431" t="inlineStr">
        <is>
          <t>Allmännings- och besparingsskogar</t>
        </is>
      </c>
      <c r="G431" t="n">
        <v>12.7</v>
      </c>
      <c r="H431" t="n">
        <v>0</v>
      </c>
      <c r="I431" t="n">
        <v>0</v>
      </c>
      <c r="J431" t="n">
        <v>0</v>
      </c>
      <c r="K431" t="n">
        <v>0</v>
      </c>
      <c r="L431" t="n">
        <v>0</v>
      </c>
      <c r="M431" t="n">
        <v>0</v>
      </c>
      <c r="N431" t="n">
        <v>0</v>
      </c>
      <c r="O431" t="n">
        <v>0</v>
      </c>
      <c r="P431" t="n">
        <v>0</v>
      </c>
      <c r="Q431" t="n">
        <v>0</v>
      </c>
      <c r="R431" s="2" t="inlineStr"/>
    </row>
    <row r="432" ht="15" customHeight="1">
      <c r="A432" t="inlineStr">
        <is>
          <t>A 27652-2024</t>
        </is>
      </c>
      <c r="B432" s="1" t="n">
        <v>45474.94982638889</v>
      </c>
      <c r="C432" s="1" t="n">
        <v>46037</v>
      </c>
      <c r="D432" t="inlineStr">
        <is>
          <t>NORRBOTTENS LÄN</t>
        </is>
      </c>
      <c r="E432" t="inlineStr">
        <is>
          <t>JOKKMOKK</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18493-2025</t>
        </is>
      </c>
      <c r="B433" s="1" t="n">
        <v>45763.34474537037</v>
      </c>
      <c r="C433" s="1" t="n">
        <v>46037</v>
      </c>
      <c r="D433" t="inlineStr">
        <is>
          <t>NORRBOTTENS LÄN</t>
        </is>
      </c>
      <c r="E433" t="inlineStr">
        <is>
          <t>JOKKMOKK</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2040-2025</t>
        </is>
      </c>
      <c r="B434" s="1" t="n">
        <v>45671</v>
      </c>
      <c r="C434" s="1" t="n">
        <v>46037</v>
      </c>
      <c r="D434" t="inlineStr">
        <is>
          <t>NORRBOTTENS LÄN</t>
        </is>
      </c>
      <c r="E434" t="inlineStr">
        <is>
          <t>JOKKMOKK</t>
        </is>
      </c>
      <c r="G434" t="n">
        <v>5.1</v>
      </c>
      <c r="H434" t="n">
        <v>0</v>
      </c>
      <c r="I434" t="n">
        <v>0</v>
      </c>
      <c r="J434" t="n">
        <v>0</v>
      </c>
      <c r="K434" t="n">
        <v>0</v>
      </c>
      <c r="L434" t="n">
        <v>0</v>
      </c>
      <c r="M434" t="n">
        <v>0</v>
      </c>
      <c r="N434" t="n">
        <v>0</v>
      </c>
      <c r="O434" t="n">
        <v>0</v>
      </c>
      <c r="P434" t="n">
        <v>0</v>
      </c>
      <c r="Q434" t="n">
        <v>0</v>
      </c>
      <c r="R434" s="2" t="inlineStr"/>
    </row>
    <row r="435" ht="15" customHeight="1">
      <c r="A435" t="inlineStr">
        <is>
          <t>A 18772-2023</t>
        </is>
      </c>
      <c r="B435" s="1" t="n">
        <v>45043</v>
      </c>
      <c r="C435" s="1" t="n">
        <v>46037</v>
      </c>
      <c r="D435" t="inlineStr">
        <is>
          <t>NORRBOTTENS LÄN</t>
        </is>
      </c>
      <c r="E435" t="inlineStr">
        <is>
          <t>JOKKMOKK</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9854-2023</t>
        </is>
      </c>
      <c r="B436" s="1" t="n">
        <v>44984</v>
      </c>
      <c r="C436" s="1" t="n">
        <v>46037</v>
      </c>
      <c r="D436" t="inlineStr">
        <is>
          <t>NORRBOTTENS LÄN</t>
        </is>
      </c>
      <c r="E436" t="inlineStr">
        <is>
          <t>JOKKMOKK</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56168-2022</t>
        </is>
      </c>
      <c r="B437" s="1" t="n">
        <v>44889</v>
      </c>
      <c r="C437" s="1" t="n">
        <v>46037</v>
      </c>
      <c r="D437" t="inlineStr">
        <is>
          <t>NORRBOTTENS LÄN</t>
        </is>
      </c>
      <c r="E437" t="inlineStr">
        <is>
          <t>JOKKMOKK</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9865-2023</t>
        </is>
      </c>
      <c r="B438" s="1" t="n">
        <v>44984</v>
      </c>
      <c r="C438" s="1" t="n">
        <v>46037</v>
      </c>
      <c r="D438" t="inlineStr">
        <is>
          <t>NORRBOTTENS LÄN</t>
        </is>
      </c>
      <c r="E438" t="inlineStr">
        <is>
          <t>JOKKMOKK</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36361-2024</t>
        </is>
      </c>
      <c r="B439" s="1" t="n">
        <v>45534.64626157407</v>
      </c>
      <c r="C439" s="1" t="n">
        <v>46037</v>
      </c>
      <c r="D439" t="inlineStr">
        <is>
          <t>NORRBOTTENS LÄN</t>
        </is>
      </c>
      <c r="E439" t="inlineStr">
        <is>
          <t>JOKKMOKK</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45469-2022</t>
        </is>
      </c>
      <c r="B440" s="1" t="n">
        <v>44841</v>
      </c>
      <c r="C440" s="1" t="n">
        <v>46037</v>
      </c>
      <c r="D440" t="inlineStr">
        <is>
          <t>NORRBOTTENS LÄN</t>
        </is>
      </c>
      <c r="E440" t="inlineStr">
        <is>
          <t>JOKKMOKK</t>
        </is>
      </c>
      <c r="F440" t="inlineStr">
        <is>
          <t>Övriga Aktiebolag</t>
        </is>
      </c>
      <c r="G440" t="n">
        <v>3.4</v>
      </c>
      <c r="H440" t="n">
        <v>0</v>
      </c>
      <c r="I440" t="n">
        <v>0</v>
      </c>
      <c r="J440" t="n">
        <v>0</v>
      </c>
      <c r="K440" t="n">
        <v>0</v>
      </c>
      <c r="L440" t="n">
        <v>0</v>
      </c>
      <c r="M440" t="n">
        <v>0</v>
      </c>
      <c r="N440" t="n">
        <v>0</v>
      </c>
      <c r="O440" t="n">
        <v>0</v>
      </c>
      <c r="P440" t="n">
        <v>0</v>
      </c>
      <c r="Q440" t="n">
        <v>0</v>
      </c>
      <c r="R440" s="2" t="inlineStr"/>
    </row>
    <row r="441" ht="15" customHeight="1">
      <c r="A441" t="inlineStr">
        <is>
          <t>A 32957-2024</t>
        </is>
      </c>
      <c r="B441" s="1" t="n">
        <v>45517.3762037037</v>
      </c>
      <c r="C441" s="1" t="n">
        <v>46037</v>
      </c>
      <c r="D441" t="inlineStr">
        <is>
          <t>NORRBOTTENS LÄN</t>
        </is>
      </c>
      <c r="E441" t="inlineStr">
        <is>
          <t>JOKKMOKK</t>
        </is>
      </c>
      <c r="F441" t="inlineStr">
        <is>
          <t>Sveaskog</t>
        </is>
      </c>
      <c r="G441" t="n">
        <v>5.4</v>
      </c>
      <c r="H441" t="n">
        <v>0</v>
      </c>
      <c r="I441" t="n">
        <v>0</v>
      </c>
      <c r="J441" t="n">
        <v>0</v>
      </c>
      <c r="K441" t="n">
        <v>0</v>
      </c>
      <c r="L441" t="n">
        <v>0</v>
      </c>
      <c r="M441" t="n">
        <v>0</v>
      </c>
      <c r="N441" t="n">
        <v>0</v>
      </c>
      <c r="O441" t="n">
        <v>0</v>
      </c>
      <c r="P441" t="n">
        <v>0</v>
      </c>
      <c r="Q441" t="n">
        <v>0</v>
      </c>
      <c r="R441" s="2" t="inlineStr"/>
    </row>
    <row r="442" ht="15" customHeight="1">
      <c r="A442" t="inlineStr">
        <is>
          <t>A 31902-2021</t>
        </is>
      </c>
      <c r="B442" s="1" t="n">
        <v>44370</v>
      </c>
      <c r="C442" s="1" t="n">
        <v>46037</v>
      </c>
      <c r="D442" t="inlineStr">
        <is>
          <t>NORRBOTTENS LÄN</t>
        </is>
      </c>
      <c r="E442" t="inlineStr">
        <is>
          <t>JOKKMOKK</t>
        </is>
      </c>
      <c r="G442" t="n">
        <v>20</v>
      </c>
      <c r="H442" t="n">
        <v>0</v>
      </c>
      <c r="I442" t="n">
        <v>0</v>
      </c>
      <c r="J442" t="n">
        <v>0</v>
      </c>
      <c r="K442" t="n">
        <v>0</v>
      </c>
      <c r="L442" t="n">
        <v>0</v>
      </c>
      <c r="M442" t="n">
        <v>0</v>
      </c>
      <c r="N442" t="n">
        <v>0</v>
      </c>
      <c r="O442" t="n">
        <v>0</v>
      </c>
      <c r="P442" t="n">
        <v>0</v>
      </c>
      <c r="Q442" t="n">
        <v>0</v>
      </c>
      <c r="R442" s="2" t="inlineStr"/>
    </row>
    <row r="443" ht="15" customHeight="1">
      <c r="A443" t="inlineStr">
        <is>
          <t>A 45333-2024</t>
        </is>
      </c>
      <c r="B443" s="1" t="n">
        <v>45576</v>
      </c>
      <c r="C443" s="1" t="n">
        <v>46037</v>
      </c>
      <c r="D443" t="inlineStr">
        <is>
          <t>NORRBOTTENS LÄN</t>
        </is>
      </c>
      <c r="E443" t="inlineStr">
        <is>
          <t>JOKKMOKK</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6778-2023</t>
        </is>
      </c>
      <c r="B444" s="1" t="n">
        <v>44966</v>
      </c>
      <c r="C444" s="1" t="n">
        <v>46037</v>
      </c>
      <c r="D444" t="inlineStr">
        <is>
          <t>NORRBOTTENS LÄN</t>
        </is>
      </c>
      <c r="E444" t="inlineStr">
        <is>
          <t>JOKKMOKK</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31209-2023</t>
        </is>
      </c>
      <c r="B445" s="1" t="n">
        <v>45113.95096064815</v>
      </c>
      <c r="C445" s="1" t="n">
        <v>46037</v>
      </c>
      <c r="D445" t="inlineStr">
        <is>
          <t>NORRBOTTENS LÄN</t>
        </is>
      </c>
      <c r="E445" t="inlineStr">
        <is>
          <t>JOKKMOKK</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23019-2023</t>
        </is>
      </c>
      <c r="B446" s="1" t="n">
        <v>45073</v>
      </c>
      <c r="C446" s="1" t="n">
        <v>46037</v>
      </c>
      <c r="D446" t="inlineStr">
        <is>
          <t>NORRBOTTENS LÄN</t>
        </is>
      </c>
      <c r="E446" t="inlineStr">
        <is>
          <t>JOKKMOKK</t>
        </is>
      </c>
      <c r="F446" t="inlineStr">
        <is>
          <t>SCA</t>
        </is>
      </c>
      <c r="G446" t="n">
        <v>6.3</v>
      </c>
      <c r="H446" t="n">
        <v>0</v>
      </c>
      <c r="I446" t="n">
        <v>0</v>
      </c>
      <c r="J446" t="n">
        <v>0</v>
      </c>
      <c r="K446" t="n">
        <v>0</v>
      </c>
      <c r="L446" t="n">
        <v>0</v>
      </c>
      <c r="M446" t="n">
        <v>0</v>
      </c>
      <c r="N446" t="n">
        <v>0</v>
      </c>
      <c r="O446" t="n">
        <v>0</v>
      </c>
      <c r="P446" t="n">
        <v>0</v>
      </c>
      <c r="Q446" t="n">
        <v>0</v>
      </c>
      <c r="R446" s="2" t="inlineStr"/>
    </row>
    <row r="447" ht="15" customHeight="1">
      <c r="A447" t="inlineStr">
        <is>
          <t>A 34062-2021</t>
        </is>
      </c>
      <c r="B447" s="1" t="n">
        <v>44378</v>
      </c>
      <c r="C447" s="1" t="n">
        <v>46037</v>
      </c>
      <c r="D447" t="inlineStr">
        <is>
          <t>NORRBOTTENS LÄN</t>
        </is>
      </c>
      <c r="E447" t="inlineStr">
        <is>
          <t>JOKKMOKK</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4136-2024</t>
        </is>
      </c>
      <c r="B448" s="1" t="n">
        <v>45323</v>
      </c>
      <c r="C448" s="1" t="n">
        <v>46037</v>
      </c>
      <c r="D448" t="inlineStr">
        <is>
          <t>NORRBOTTENS LÄN</t>
        </is>
      </c>
      <c r="E448" t="inlineStr">
        <is>
          <t>JOKKMOKK</t>
        </is>
      </c>
      <c r="G448" t="n">
        <v>27.3</v>
      </c>
      <c r="H448" t="n">
        <v>0</v>
      </c>
      <c r="I448" t="n">
        <v>0</v>
      </c>
      <c r="J448" t="n">
        <v>0</v>
      </c>
      <c r="K448" t="n">
        <v>0</v>
      </c>
      <c r="L448" t="n">
        <v>0</v>
      </c>
      <c r="M448" t="n">
        <v>0</v>
      </c>
      <c r="N448" t="n">
        <v>0</v>
      </c>
      <c r="O448" t="n">
        <v>0</v>
      </c>
      <c r="P448" t="n">
        <v>0</v>
      </c>
      <c r="Q448" t="n">
        <v>0</v>
      </c>
      <c r="R448" s="2" t="inlineStr"/>
    </row>
    <row r="449" ht="15" customHeight="1">
      <c r="A449" t="inlineStr">
        <is>
          <t>A 18537-2023</t>
        </is>
      </c>
      <c r="B449" s="1" t="n">
        <v>45028</v>
      </c>
      <c r="C449" s="1" t="n">
        <v>46037</v>
      </c>
      <c r="D449" t="inlineStr">
        <is>
          <t>NORRBOTTENS LÄN</t>
        </is>
      </c>
      <c r="E449" t="inlineStr">
        <is>
          <t>JOKKMOKK</t>
        </is>
      </c>
      <c r="G449" t="n">
        <v>1</v>
      </c>
      <c r="H449" t="n">
        <v>0</v>
      </c>
      <c r="I449" t="n">
        <v>0</v>
      </c>
      <c r="J449" t="n">
        <v>0</v>
      </c>
      <c r="K449" t="n">
        <v>0</v>
      </c>
      <c r="L449" t="n">
        <v>0</v>
      </c>
      <c r="M449" t="n">
        <v>0</v>
      </c>
      <c r="N449" t="n">
        <v>0</v>
      </c>
      <c r="O449" t="n">
        <v>0</v>
      </c>
      <c r="P449" t="n">
        <v>0</v>
      </c>
      <c r="Q449" t="n">
        <v>0</v>
      </c>
      <c r="R449" s="2" t="inlineStr"/>
    </row>
    <row r="450" ht="15" customHeight="1">
      <c r="A450" t="inlineStr">
        <is>
          <t>A 49474-2024</t>
        </is>
      </c>
      <c r="B450" s="1" t="n">
        <v>45596.34523148148</v>
      </c>
      <c r="C450" s="1" t="n">
        <v>46037</v>
      </c>
      <c r="D450" t="inlineStr">
        <is>
          <t>NORRBOTTENS LÄN</t>
        </is>
      </c>
      <c r="E450" t="inlineStr">
        <is>
          <t>JOKKMOKK</t>
        </is>
      </c>
      <c r="F450" t="inlineStr">
        <is>
          <t>SCA</t>
        </is>
      </c>
      <c r="G450" t="n">
        <v>5.2</v>
      </c>
      <c r="H450" t="n">
        <v>0</v>
      </c>
      <c r="I450" t="n">
        <v>0</v>
      </c>
      <c r="J450" t="n">
        <v>0</v>
      </c>
      <c r="K450" t="n">
        <v>0</v>
      </c>
      <c r="L450" t="n">
        <v>0</v>
      </c>
      <c r="M450" t="n">
        <v>0</v>
      </c>
      <c r="N450" t="n">
        <v>0</v>
      </c>
      <c r="O450" t="n">
        <v>0</v>
      </c>
      <c r="P450" t="n">
        <v>0</v>
      </c>
      <c r="Q450" t="n">
        <v>0</v>
      </c>
      <c r="R450" s="2" t="inlineStr"/>
    </row>
    <row r="451" ht="15" customHeight="1">
      <c r="A451" t="inlineStr">
        <is>
          <t>A 49679-2024</t>
        </is>
      </c>
      <c r="B451" s="1" t="n">
        <v>45596.6649537037</v>
      </c>
      <c r="C451" s="1" t="n">
        <v>46037</v>
      </c>
      <c r="D451" t="inlineStr">
        <is>
          <t>NORRBOTTENS LÄN</t>
        </is>
      </c>
      <c r="E451" t="inlineStr">
        <is>
          <t>JOKKMOKK</t>
        </is>
      </c>
      <c r="F451" t="inlineStr">
        <is>
          <t>Allmännings- och besparingsskogar</t>
        </is>
      </c>
      <c r="G451" t="n">
        <v>14.1</v>
      </c>
      <c r="H451" t="n">
        <v>0</v>
      </c>
      <c r="I451" t="n">
        <v>0</v>
      </c>
      <c r="J451" t="n">
        <v>0</v>
      </c>
      <c r="K451" t="n">
        <v>0</v>
      </c>
      <c r="L451" t="n">
        <v>0</v>
      </c>
      <c r="M451" t="n">
        <v>0</v>
      </c>
      <c r="N451" t="n">
        <v>0</v>
      </c>
      <c r="O451" t="n">
        <v>0</v>
      </c>
      <c r="P451" t="n">
        <v>0</v>
      </c>
      <c r="Q451" t="n">
        <v>0</v>
      </c>
      <c r="R451" s="2" t="inlineStr"/>
    </row>
    <row r="452" ht="15" customHeight="1">
      <c r="A452" t="inlineStr">
        <is>
          <t>A 18903-2025</t>
        </is>
      </c>
      <c r="B452" s="1" t="n">
        <v>45764.46019675926</v>
      </c>
      <c r="C452" s="1" t="n">
        <v>46037</v>
      </c>
      <c r="D452" t="inlineStr">
        <is>
          <t>NORRBOTTENS LÄN</t>
        </is>
      </c>
      <c r="E452" t="inlineStr">
        <is>
          <t>JOKKMOKK</t>
        </is>
      </c>
      <c r="G452" t="n">
        <v>9.1</v>
      </c>
      <c r="H452" t="n">
        <v>0</v>
      </c>
      <c r="I452" t="n">
        <v>0</v>
      </c>
      <c r="J452" t="n">
        <v>0</v>
      </c>
      <c r="K452" t="n">
        <v>0</v>
      </c>
      <c r="L452" t="n">
        <v>0</v>
      </c>
      <c r="M452" t="n">
        <v>0</v>
      </c>
      <c r="N452" t="n">
        <v>0</v>
      </c>
      <c r="O452" t="n">
        <v>0</v>
      </c>
      <c r="P452" t="n">
        <v>0</v>
      </c>
      <c r="Q452" t="n">
        <v>0</v>
      </c>
      <c r="R452" s="2" t="inlineStr"/>
    </row>
    <row r="453" ht="15" customHeight="1">
      <c r="A453" t="inlineStr">
        <is>
          <t>A 20593-2023</t>
        </is>
      </c>
      <c r="B453" s="1" t="n">
        <v>45057</v>
      </c>
      <c r="C453" s="1" t="n">
        <v>46037</v>
      </c>
      <c r="D453" t="inlineStr">
        <is>
          <t>NORRBOTTENS LÄN</t>
        </is>
      </c>
      <c r="E453" t="inlineStr">
        <is>
          <t>JOKKMOKK</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33014-2023</t>
        </is>
      </c>
      <c r="B454" s="1" t="n">
        <v>45113</v>
      </c>
      <c r="C454" s="1" t="n">
        <v>46037</v>
      </c>
      <c r="D454" t="inlineStr">
        <is>
          <t>NORRBOTTENS LÄN</t>
        </is>
      </c>
      <c r="E454" t="inlineStr">
        <is>
          <t>JOKKMOKK</t>
        </is>
      </c>
      <c r="F454" t="inlineStr">
        <is>
          <t>Övriga statliga verk och myndigheter</t>
        </is>
      </c>
      <c r="G454" t="n">
        <v>7.2</v>
      </c>
      <c r="H454" t="n">
        <v>0</v>
      </c>
      <c r="I454" t="n">
        <v>0</v>
      </c>
      <c r="J454" t="n">
        <v>0</v>
      </c>
      <c r="K454" t="n">
        <v>0</v>
      </c>
      <c r="L454" t="n">
        <v>0</v>
      </c>
      <c r="M454" t="n">
        <v>0</v>
      </c>
      <c r="N454" t="n">
        <v>0</v>
      </c>
      <c r="O454" t="n">
        <v>0</v>
      </c>
      <c r="P454" t="n">
        <v>0</v>
      </c>
      <c r="Q454" t="n">
        <v>0</v>
      </c>
      <c r="R454" s="2" t="inlineStr"/>
    </row>
    <row r="455" ht="15" customHeight="1">
      <c r="A455" t="inlineStr">
        <is>
          <t>A 6437-2025</t>
        </is>
      </c>
      <c r="B455" s="1" t="n">
        <v>45699</v>
      </c>
      <c r="C455" s="1" t="n">
        <v>46037</v>
      </c>
      <c r="D455" t="inlineStr">
        <is>
          <t>NORRBOTTENS LÄN</t>
        </is>
      </c>
      <c r="E455" t="inlineStr">
        <is>
          <t>JOKKMOKK</t>
        </is>
      </c>
      <c r="G455" t="n">
        <v>3.4</v>
      </c>
      <c r="H455" t="n">
        <v>0</v>
      </c>
      <c r="I455" t="n">
        <v>0</v>
      </c>
      <c r="J455" t="n">
        <v>0</v>
      </c>
      <c r="K455" t="n">
        <v>0</v>
      </c>
      <c r="L455" t="n">
        <v>0</v>
      </c>
      <c r="M455" t="n">
        <v>0</v>
      </c>
      <c r="N455" t="n">
        <v>0</v>
      </c>
      <c r="O455" t="n">
        <v>0</v>
      </c>
      <c r="P455" t="n">
        <v>0</v>
      </c>
      <c r="Q455" t="n">
        <v>0</v>
      </c>
      <c r="R455" s="2" t="inlineStr"/>
    </row>
    <row r="456" ht="15" customHeight="1">
      <c r="A456" t="inlineStr">
        <is>
          <t>A 28319-2021</t>
        </is>
      </c>
      <c r="B456" s="1" t="n">
        <v>44355</v>
      </c>
      <c r="C456" s="1" t="n">
        <v>46037</v>
      </c>
      <c r="D456" t="inlineStr">
        <is>
          <t>NORRBOTTENS LÄN</t>
        </is>
      </c>
      <c r="E456" t="inlineStr">
        <is>
          <t>JOKKMOKK</t>
        </is>
      </c>
      <c r="F456" t="inlineStr">
        <is>
          <t>Övriga statliga verk och myndigheter</t>
        </is>
      </c>
      <c r="G456" t="n">
        <v>40</v>
      </c>
      <c r="H456" t="n">
        <v>0</v>
      </c>
      <c r="I456" t="n">
        <v>0</v>
      </c>
      <c r="J456" t="n">
        <v>0</v>
      </c>
      <c r="K456" t="n">
        <v>0</v>
      </c>
      <c r="L456" t="n">
        <v>0</v>
      </c>
      <c r="M456" t="n">
        <v>0</v>
      </c>
      <c r="N456" t="n">
        <v>0</v>
      </c>
      <c r="O456" t="n">
        <v>0</v>
      </c>
      <c r="P456" t="n">
        <v>0</v>
      </c>
      <c r="Q456" t="n">
        <v>0</v>
      </c>
      <c r="R456" s="2" t="inlineStr"/>
    </row>
    <row r="457" ht="15" customHeight="1">
      <c r="A457" t="inlineStr">
        <is>
          <t>A 56199-2021</t>
        </is>
      </c>
      <c r="B457" s="1" t="n">
        <v>44477</v>
      </c>
      <c r="C457" s="1" t="n">
        <v>46037</v>
      </c>
      <c r="D457" t="inlineStr">
        <is>
          <t>NORRBOTTENS LÄN</t>
        </is>
      </c>
      <c r="E457" t="inlineStr">
        <is>
          <t>JOKKMOKK</t>
        </is>
      </c>
      <c r="G457" t="n">
        <v>1</v>
      </c>
      <c r="H457" t="n">
        <v>0</v>
      </c>
      <c r="I457" t="n">
        <v>0</v>
      </c>
      <c r="J457" t="n">
        <v>0</v>
      </c>
      <c r="K457" t="n">
        <v>0</v>
      </c>
      <c r="L457" t="n">
        <v>0</v>
      </c>
      <c r="M457" t="n">
        <v>0</v>
      </c>
      <c r="N457" t="n">
        <v>0</v>
      </c>
      <c r="O457" t="n">
        <v>0</v>
      </c>
      <c r="P457" t="n">
        <v>0</v>
      </c>
      <c r="Q457" t="n">
        <v>0</v>
      </c>
      <c r="R457" s="2" t="inlineStr"/>
    </row>
    <row r="458" ht="15" customHeight="1">
      <c r="A458" t="inlineStr">
        <is>
          <t>A 50820-2024</t>
        </is>
      </c>
      <c r="B458" s="1" t="n">
        <v>45602</v>
      </c>
      <c r="C458" s="1" t="n">
        <v>46037</v>
      </c>
      <c r="D458" t="inlineStr">
        <is>
          <t>NORRBOTTENS LÄN</t>
        </is>
      </c>
      <c r="E458" t="inlineStr">
        <is>
          <t>JOKKMOKK</t>
        </is>
      </c>
      <c r="F458" t="inlineStr">
        <is>
          <t>Allmännings- och besparingsskogar</t>
        </is>
      </c>
      <c r="G458" t="n">
        <v>4</v>
      </c>
      <c r="H458" t="n">
        <v>0</v>
      </c>
      <c r="I458" t="n">
        <v>0</v>
      </c>
      <c r="J458" t="n">
        <v>0</v>
      </c>
      <c r="K458" t="n">
        <v>0</v>
      </c>
      <c r="L458" t="n">
        <v>0</v>
      </c>
      <c r="M458" t="n">
        <v>0</v>
      </c>
      <c r="N458" t="n">
        <v>0</v>
      </c>
      <c r="O458" t="n">
        <v>0</v>
      </c>
      <c r="P458" t="n">
        <v>0</v>
      </c>
      <c r="Q458" t="n">
        <v>0</v>
      </c>
      <c r="R458" s="2" t="inlineStr"/>
    </row>
    <row r="459" ht="15" customHeight="1">
      <c r="A459" t="inlineStr">
        <is>
          <t>A 2826-2025</t>
        </is>
      </c>
      <c r="B459" s="1" t="n">
        <v>45677.61483796296</v>
      </c>
      <c r="C459" s="1" t="n">
        <v>46037</v>
      </c>
      <c r="D459" t="inlineStr">
        <is>
          <t>NORRBOTTENS LÄN</t>
        </is>
      </c>
      <c r="E459" t="inlineStr">
        <is>
          <t>JOKKMOKK</t>
        </is>
      </c>
      <c r="F459" t="inlineStr">
        <is>
          <t>Övriga statliga verk och myndigheter</t>
        </is>
      </c>
      <c r="G459" t="n">
        <v>10.5</v>
      </c>
      <c r="H459" t="n">
        <v>0</v>
      </c>
      <c r="I459" t="n">
        <v>0</v>
      </c>
      <c r="J459" t="n">
        <v>0</v>
      </c>
      <c r="K459" t="n">
        <v>0</v>
      </c>
      <c r="L459" t="n">
        <v>0</v>
      </c>
      <c r="M459" t="n">
        <v>0</v>
      </c>
      <c r="N459" t="n">
        <v>0</v>
      </c>
      <c r="O459" t="n">
        <v>0</v>
      </c>
      <c r="P459" t="n">
        <v>0</v>
      </c>
      <c r="Q459" t="n">
        <v>0</v>
      </c>
      <c r="R459" s="2" t="inlineStr"/>
    </row>
    <row r="460" ht="15" customHeight="1">
      <c r="A460" t="inlineStr">
        <is>
          <t>A 55491-2024</t>
        </is>
      </c>
      <c r="B460" s="1" t="n">
        <v>45622</v>
      </c>
      <c r="C460" s="1" t="n">
        <v>46037</v>
      </c>
      <c r="D460" t="inlineStr">
        <is>
          <t>NORRBOTTENS LÄN</t>
        </is>
      </c>
      <c r="E460" t="inlineStr">
        <is>
          <t>JOKKMOKK</t>
        </is>
      </c>
      <c r="F460" t="inlineStr">
        <is>
          <t>Allmännings- och besparingsskogar</t>
        </is>
      </c>
      <c r="G460" t="n">
        <v>25.2</v>
      </c>
      <c r="H460" t="n">
        <v>0</v>
      </c>
      <c r="I460" t="n">
        <v>0</v>
      </c>
      <c r="J460" t="n">
        <v>0</v>
      </c>
      <c r="K460" t="n">
        <v>0</v>
      </c>
      <c r="L460" t="n">
        <v>0</v>
      </c>
      <c r="M460" t="n">
        <v>0</v>
      </c>
      <c r="N460" t="n">
        <v>0</v>
      </c>
      <c r="O460" t="n">
        <v>0</v>
      </c>
      <c r="P460" t="n">
        <v>0</v>
      </c>
      <c r="Q460" t="n">
        <v>0</v>
      </c>
      <c r="R460" s="2" t="inlineStr"/>
    </row>
    <row r="461" ht="15" customHeight="1">
      <c r="A461" t="inlineStr">
        <is>
          <t>A 40106-2023</t>
        </is>
      </c>
      <c r="B461" s="1" t="n">
        <v>45168.93785879629</v>
      </c>
      <c r="C461" s="1" t="n">
        <v>46037</v>
      </c>
      <c r="D461" t="inlineStr">
        <is>
          <t>NORRBOTTENS LÄN</t>
        </is>
      </c>
      <c r="E461" t="inlineStr">
        <is>
          <t>JOKKMOKK</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23204-2024</t>
        </is>
      </c>
      <c r="B462" s="1" t="n">
        <v>45451</v>
      </c>
      <c r="C462" s="1" t="n">
        <v>46037</v>
      </c>
      <c r="D462" t="inlineStr">
        <is>
          <t>NORRBOTTENS LÄN</t>
        </is>
      </c>
      <c r="E462" t="inlineStr">
        <is>
          <t>JOKKMOKK</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52289-2024</t>
        </is>
      </c>
      <c r="B463" s="1" t="n">
        <v>45608.69555555555</v>
      </c>
      <c r="C463" s="1" t="n">
        <v>46037</v>
      </c>
      <c r="D463" t="inlineStr">
        <is>
          <t>NORRBOTTENS LÄN</t>
        </is>
      </c>
      <c r="E463" t="inlineStr">
        <is>
          <t>JOKKMOKK</t>
        </is>
      </c>
      <c r="F463" t="inlineStr">
        <is>
          <t>Allmännings- och besparingsskogar</t>
        </is>
      </c>
      <c r="G463" t="n">
        <v>11.6</v>
      </c>
      <c r="H463" t="n">
        <v>0</v>
      </c>
      <c r="I463" t="n">
        <v>0</v>
      </c>
      <c r="J463" t="n">
        <v>0</v>
      </c>
      <c r="K463" t="n">
        <v>0</v>
      </c>
      <c r="L463" t="n">
        <v>0</v>
      </c>
      <c r="M463" t="n">
        <v>0</v>
      </c>
      <c r="N463" t="n">
        <v>0</v>
      </c>
      <c r="O463" t="n">
        <v>0</v>
      </c>
      <c r="P463" t="n">
        <v>0</v>
      </c>
      <c r="Q463" t="n">
        <v>0</v>
      </c>
      <c r="R463" s="2" t="inlineStr"/>
    </row>
    <row r="464" ht="15" customHeight="1">
      <c r="A464" t="inlineStr">
        <is>
          <t>A 25720-2023</t>
        </is>
      </c>
      <c r="B464" s="1" t="n">
        <v>45090</v>
      </c>
      <c r="C464" s="1" t="n">
        <v>46037</v>
      </c>
      <c r="D464" t="inlineStr">
        <is>
          <t>NORRBOTTENS LÄN</t>
        </is>
      </c>
      <c r="E464" t="inlineStr">
        <is>
          <t>JOKKMOKK</t>
        </is>
      </c>
      <c r="G464" t="n">
        <v>2.1</v>
      </c>
      <c r="H464" t="n">
        <v>0</v>
      </c>
      <c r="I464" t="n">
        <v>0</v>
      </c>
      <c r="J464" t="n">
        <v>0</v>
      </c>
      <c r="K464" t="n">
        <v>0</v>
      </c>
      <c r="L464" t="n">
        <v>0</v>
      </c>
      <c r="M464" t="n">
        <v>0</v>
      </c>
      <c r="N464" t="n">
        <v>0</v>
      </c>
      <c r="O464" t="n">
        <v>0</v>
      </c>
      <c r="P464" t="n">
        <v>0</v>
      </c>
      <c r="Q464" t="n">
        <v>0</v>
      </c>
      <c r="R464" s="2" t="inlineStr"/>
    </row>
    <row r="465" ht="15" customHeight="1">
      <c r="A465" t="inlineStr">
        <is>
          <t>A 29212-2024</t>
        </is>
      </c>
      <c r="B465" s="1" t="n">
        <v>45482</v>
      </c>
      <c r="C465" s="1" t="n">
        <v>46037</v>
      </c>
      <c r="D465" t="inlineStr">
        <is>
          <t>NORRBOTTENS LÄN</t>
        </is>
      </c>
      <c r="E465" t="inlineStr">
        <is>
          <t>JOKKMOKK</t>
        </is>
      </c>
      <c r="G465" t="n">
        <v>8.5</v>
      </c>
      <c r="H465" t="n">
        <v>0</v>
      </c>
      <c r="I465" t="n">
        <v>0</v>
      </c>
      <c r="J465" t="n">
        <v>0</v>
      </c>
      <c r="K465" t="n">
        <v>0</v>
      </c>
      <c r="L465" t="n">
        <v>0</v>
      </c>
      <c r="M465" t="n">
        <v>0</v>
      </c>
      <c r="N465" t="n">
        <v>0</v>
      </c>
      <c r="O465" t="n">
        <v>0</v>
      </c>
      <c r="P465" t="n">
        <v>0</v>
      </c>
      <c r="Q465" t="n">
        <v>0</v>
      </c>
      <c r="R465" s="2" t="inlineStr"/>
    </row>
    <row r="466" ht="15" customHeight="1">
      <c r="A466" t="inlineStr">
        <is>
          <t>A 32853-2024</t>
        </is>
      </c>
      <c r="B466" s="1" t="n">
        <v>45516.63964120371</v>
      </c>
      <c r="C466" s="1" t="n">
        <v>46037</v>
      </c>
      <c r="D466" t="inlineStr">
        <is>
          <t>NORRBOTTENS LÄN</t>
        </is>
      </c>
      <c r="E466" t="inlineStr">
        <is>
          <t>JOKKMOKK</t>
        </is>
      </c>
      <c r="F466" t="inlineStr">
        <is>
          <t>Sveaskog</t>
        </is>
      </c>
      <c r="G466" t="n">
        <v>40.4</v>
      </c>
      <c r="H466" t="n">
        <v>0</v>
      </c>
      <c r="I466" t="n">
        <v>0</v>
      </c>
      <c r="J466" t="n">
        <v>0</v>
      </c>
      <c r="K466" t="n">
        <v>0</v>
      </c>
      <c r="L466" t="n">
        <v>0</v>
      </c>
      <c r="M466" t="n">
        <v>0</v>
      </c>
      <c r="N466" t="n">
        <v>0</v>
      </c>
      <c r="O466" t="n">
        <v>0</v>
      </c>
      <c r="P466" t="n">
        <v>0</v>
      </c>
      <c r="Q466" t="n">
        <v>0</v>
      </c>
      <c r="R466" s="2" t="inlineStr"/>
    </row>
    <row r="467" ht="15" customHeight="1">
      <c r="A467" t="inlineStr">
        <is>
          <t>A 3206-2025</t>
        </is>
      </c>
      <c r="B467" s="1" t="n">
        <v>45679</v>
      </c>
      <c r="C467" s="1" t="n">
        <v>46037</v>
      </c>
      <c r="D467" t="inlineStr">
        <is>
          <t>NORRBOTTENS LÄN</t>
        </is>
      </c>
      <c r="E467" t="inlineStr">
        <is>
          <t>JOKKMOKK</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36113-2024</t>
        </is>
      </c>
      <c r="B468" s="1" t="n">
        <v>45534.30302083334</v>
      </c>
      <c r="C468" s="1" t="n">
        <v>46037</v>
      </c>
      <c r="D468" t="inlineStr">
        <is>
          <t>NORRBOTTENS LÄN</t>
        </is>
      </c>
      <c r="E468" t="inlineStr">
        <is>
          <t>JOKKMOKK</t>
        </is>
      </c>
      <c r="F468" t="inlineStr">
        <is>
          <t>Sveaskog</t>
        </is>
      </c>
      <c r="G468" t="n">
        <v>3.2</v>
      </c>
      <c r="H468" t="n">
        <v>0</v>
      </c>
      <c r="I468" t="n">
        <v>0</v>
      </c>
      <c r="J468" t="n">
        <v>0</v>
      </c>
      <c r="K468" t="n">
        <v>0</v>
      </c>
      <c r="L468" t="n">
        <v>0</v>
      </c>
      <c r="M468" t="n">
        <v>0</v>
      </c>
      <c r="N468" t="n">
        <v>0</v>
      </c>
      <c r="O468" t="n">
        <v>0</v>
      </c>
      <c r="P468" t="n">
        <v>0</v>
      </c>
      <c r="Q468" t="n">
        <v>0</v>
      </c>
      <c r="R468" s="2" t="inlineStr"/>
    </row>
    <row r="469" ht="15" customHeight="1">
      <c r="A469" t="inlineStr">
        <is>
          <t>A 33827-2024</t>
        </is>
      </c>
      <c r="B469" s="1" t="n">
        <v>45520</v>
      </c>
      <c r="C469" s="1" t="n">
        <v>46037</v>
      </c>
      <c r="D469" t="inlineStr">
        <is>
          <t>NORRBOTTENS LÄN</t>
        </is>
      </c>
      <c r="E469" t="inlineStr">
        <is>
          <t>JOKKMOKK</t>
        </is>
      </c>
      <c r="F469" t="inlineStr">
        <is>
          <t>SCA</t>
        </is>
      </c>
      <c r="G469" t="n">
        <v>12.8</v>
      </c>
      <c r="H469" t="n">
        <v>0</v>
      </c>
      <c r="I469" t="n">
        <v>0</v>
      </c>
      <c r="J469" t="n">
        <v>0</v>
      </c>
      <c r="K469" t="n">
        <v>0</v>
      </c>
      <c r="L469" t="n">
        <v>0</v>
      </c>
      <c r="M469" t="n">
        <v>0</v>
      </c>
      <c r="N469" t="n">
        <v>0</v>
      </c>
      <c r="O469" t="n">
        <v>0</v>
      </c>
      <c r="P469" t="n">
        <v>0</v>
      </c>
      <c r="Q469" t="n">
        <v>0</v>
      </c>
      <c r="R469" s="2" t="inlineStr"/>
    </row>
    <row r="470" ht="15" customHeight="1">
      <c r="A470" t="inlineStr">
        <is>
          <t>A 20270-2025</t>
        </is>
      </c>
      <c r="B470" s="1" t="n">
        <v>45773.71444444444</v>
      </c>
      <c r="C470" s="1" t="n">
        <v>46037</v>
      </c>
      <c r="D470" t="inlineStr">
        <is>
          <t>NORRBOTTENS LÄN</t>
        </is>
      </c>
      <c r="E470" t="inlineStr">
        <is>
          <t>JOKKMOKK</t>
        </is>
      </c>
      <c r="G470" t="n">
        <v>90.09999999999999</v>
      </c>
      <c r="H470" t="n">
        <v>0</v>
      </c>
      <c r="I470" t="n">
        <v>0</v>
      </c>
      <c r="J470" t="n">
        <v>0</v>
      </c>
      <c r="K470" t="n">
        <v>0</v>
      </c>
      <c r="L470" t="n">
        <v>0</v>
      </c>
      <c r="M470" t="n">
        <v>0</v>
      </c>
      <c r="N470" t="n">
        <v>0</v>
      </c>
      <c r="O470" t="n">
        <v>0</v>
      </c>
      <c r="P470" t="n">
        <v>0</v>
      </c>
      <c r="Q470" t="n">
        <v>0</v>
      </c>
      <c r="R470" s="2" t="inlineStr"/>
    </row>
    <row r="471" ht="15" customHeight="1">
      <c r="A471" t="inlineStr">
        <is>
          <t>A 46442-2023</t>
        </is>
      </c>
      <c r="B471" s="1" t="n">
        <v>45197.59248842593</v>
      </c>
      <c r="C471" s="1" t="n">
        <v>46037</v>
      </c>
      <c r="D471" t="inlineStr">
        <is>
          <t>NORRBOTTENS LÄN</t>
        </is>
      </c>
      <c r="E471" t="inlineStr">
        <is>
          <t>JOKKMOKK</t>
        </is>
      </c>
      <c r="G471" t="n">
        <v>6.4</v>
      </c>
      <c r="H471" t="n">
        <v>0</v>
      </c>
      <c r="I471" t="n">
        <v>0</v>
      </c>
      <c r="J471" t="n">
        <v>0</v>
      </c>
      <c r="K471" t="n">
        <v>0</v>
      </c>
      <c r="L471" t="n">
        <v>0</v>
      </c>
      <c r="M471" t="n">
        <v>0</v>
      </c>
      <c r="N471" t="n">
        <v>0</v>
      </c>
      <c r="O471" t="n">
        <v>0</v>
      </c>
      <c r="P471" t="n">
        <v>0</v>
      </c>
      <c r="Q471" t="n">
        <v>0</v>
      </c>
      <c r="R471" s="2" t="inlineStr"/>
    </row>
    <row r="472" ht="15" customHeight="1">
      <c r="A472" t="inlineStr">
        <is>
          <t>A 52564-2024</t>
        </is>
      </c>
      <c r="B472" s="1" t="n">
        <v>45609</v>
      </c>
      <c r="C472" s="1" t="n">
        <v>46037</v>
      </c>
      <c r="D472" t="inlineStr">
        <is>
          <t>NORRBOTTENS LÄN</t>
        </is>
      </c>
      <c r="E472" t="inlineStr">
        <is>
          <t>JOKKMOKK</t>
        </is>
      </c>
      <c r="F472" t="inlineStr">
        <is>
          <t>Allmännings- och besparingsskogar</t>
        </is>
      </c>
      <c r="G472" t="n">
        <v>16.5</v>
      </c>
      <c r="H472" t="n">
        <v>0</v>
      </c>
      <c r="I472" t="n">
        <v>0</v>
      </c>
      <c r="J472" t="n">
        <v>0</v>
      </c>
      <c r="K472" t="n">
        <v>0</v>
      </c>
      <c r="L472" t="n">
        <v>0</v>
      </c>
      <c r="M472" t="n">
        <v>0</v>
      </c>
      <c r="N472" t="n">
        <v>0</v>
      </c>
      <c r="O472" t="n">
        <v>0</v>
      </c>
      <c r="P472" t="n">
        <v>0</v>
      </c>
      <c r="Q472" t="n">
        <v>0</v>
      </c>
      <c r="R472" s="2" t="inlineStr"/>
    </row>
    <row r="473" ht="15" customHeight="1">
      <c r="A473" t="inlineStr">
        <is>
          <t>A 45505-2022</t>
        </is>
      </c>
      <c r="B473" s="1" t="n">
        <v>44841</v>
      </c>
      <c r="C473" s="1" t="n">
        <v>46037</v>
      </c>
      <c r="D473" t="inlineStr">
        <is>
          <t>NORRBOTTENS LÄN</t>
        </is>
      </c>
      <c r="E473" t="inlineStr">
        <is>
          <t>JOKKMOKK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16972-2025</t>
        </is>
      </c>
      <c r="B474" s="1" t="n">
        <v>45755.46942129629</v>
      </c>
      <c r="C474" s="1" t="n">
        <v>46037</v>
      </c>
      <c r="D474" t="inlineStr">
        <is>
          <t>NORRBOTTENS LÄN</t>
        </is>
      </c>
      <c r="E474" t="inlineStr">
        <is>
          <t>JOKKMOKK</t>
        </is>
      </c>
      <c r="F474" t="inlineStr">
        <is>
          <t>SCA</t>
        </is>
      </c>
      <c r="G474" t="n">
        <v>4.5</v>
      </c>
      <c r="H474" t="n">
        <v>0</v>
      </c>
      <c r="I474" t="n">
        <v>0</v>
      </c>
      <c r="J474" t="n">
        <v>0</v>
      </c>
      <c r="K474" t="n">
        <v>0</v>
      </c>
      <c r="L474" t="n">
        <v>0</v>
      </c>
      <c r="M474" t="n">
        <v>0</v>
      </c>
      <c r="N474" t="n">
        <v>0</v>
      </c>
      <c r="O474" t="n">
        <v>0</v>
      </c>
      <c r="P474" t="n">
        <v>0</v>
      </c>
      <c r="Q474" t="n">
        <v>0</v>
      </c>
      <c r="R474" s="2" t="inlineStr"/>
    </row>
    <row r="475" ht="15" customHeight="1">
      <c r="A475" t="inlineStr">
        <is>
          <t>A 14815-2024</t>
        </is>
      </c>
      <c r="B475" s="1" t="n">
        <v>45397.95770833334</v>
      </c>
      <c r="C475" s="1" t="n">
        <v>46037</v>
      </c>
      <c r="D475" t="inlineStr">
        <is>
          <t>NORRBOTTENS LÄN</t>
        </is>
      </c>
      <c r="E475" t="inlineStr">
        <is>
          <t>JOKKMOKK</t>
        </is>
      </c>
      <c r="F475" t="inlineStr">
        <is>
          <t>SCA</t>
        </is>
      </c>
      <c r="G475" t="n">
        <v>54.1</v>
      </c>
      <c r="H475" t="n">
        <v>0</v>
      </c>
      <c r="I475" t="n">
        <v>0</v>
      </c>
      <c r="J475" t="n">
        <v>0</v>
      </c>
      <c r="K475" t="n">
        <v>0</v>
      </c>
      <c r="L475" t="n">
        <v>0</v>
      </c>
      <c r="M475" t="n">
        <v>0</v>
      </c>
      <c r="N475" t="n">
        <v>0</v>
      </c>
      <c r="O475" t="n">
        <v>0</v>
      </c>
      <c r="P475" t="n">
        <v>0</v>
      </c>
      <c r="Q475" t="n">
        <v>0</v>
      </c>
      <c r="R475" s="2" t="inlineStr"/>
    </row>
    <row r="476" ht="15" customHeight="1">
      <c r="A476" t="inlineStr">
        <is>
          <t>A 4661-2022</t>
        </is>
      </c>
      <c r="B476" s="1" t="n">
        <v>44589</v>
      </c>
      <c r="C476" s="1" t="n">
        <v>46037</v>
      </c>
      <c r="D476" t="inlineStr">
        <is>
          <t>NORRBOTTENS LÄN</t>
        </is>
      </c>
      <c r="E476" t="inlineStr">
        <is>
          <t>JOKKMOKK</t>
        </is>
      </c>
      <c r="G476" t="n">
        <v>39.5</v>
      </c>
      <c r="H476" t="n">
        <v>0</v>
      </c>
      <c r="I476" t="n">
        <v>0</v>
      </c>
      <c r="J476" t="n">
        <v>0</v>
      </c>
      <c r="K476" t="n">
        <v>0</v>
      </c>
      <c r="L476" t="n">
        <v>0</v>
      </c>
      <c r="M476" t="n">
        <v>0</v>
      </c>
      <c r="N476" t="n">
        <v>0</v>
      </c>
      <c r="O476" t="n">
        <v>0</v>
      </c>
      <c r="P476" t="n">
        <v>0</v>
      </c>
      <c r="Q476" t="n">
        <v>0</v>
      </c>
      <c r="R476" s="2" t="inlineStr"/>
    </row>
    <row r="477" ht="15" customHeight="1">
      <c r="A477" t="inlineStr">
        <is>
          <t>A 29213-2024</t>
        </is>
      </c>
      <c r="B477" s="1" t="n">
        <v>45482</v>
      </c>
      <c r="C477" s="1" t="n">
        <v>46037</v>
      </c>
      <c r="D477" t="inlineStr">
        <is>
          <t>NORRBOTTENS LÄN</t>
        </is>
      </c>
      <c r="E477" t="inlineStr">
        <is>
          <t>JOKKMOKK</t>
        </is>
      </c>
      <c r="G477" t="n">
        <v>55</v>
      </c>
      <c r="H477" t="n">
        <v>0</v>
      </c>
      <c r="I477" t="n">
        <v>0</v>
      </c>
      <c r="J477" t="n">
        <v>0</v>
      </c>
      <c r="K477" t="n">
        <v>0</v>
      </c>
      <c r="L477" t="n">
        <v>0</v>
      </c>
      <c r="M477" t="n">
        <v>0</v>
      </c>
      <c r="N477" t="n">
        <v>0</v>
      </c>
      <c r="O477" t="n">
        <v>0</v>
      </c>
      <c r="P477" t="n">
        <v>0</v>
      </c>
      <c r="Q477" t="n">
        <v>0</v>
      </c>
      <c r="R477" s="2" t="inlineStr"/>
    </row>
    <row r="478" ht="15" customHeight="1">
      <c r="A478" t="inlineStr">
        <is>
          <t>A 40345-2024</t>
        </is>
      </c>
      <c r="B478" s="1" t="n">
        <v>45555.344375</v>
      </c>
      <c r="C478" s="1" t="n">
        <v>46037</v>
      </c>
      <c r="D478" t="inlineStr">
        <is>
          <t>NORRBOTTENS LÄN</t>
        </is>
      </c>
      <c r="E478" t="inlineStr">
        <is>
          <t>JOKKMOKK</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60390-2023</t>
        </is>
      </c>
      <c r="B479" s="1" t="n">
        <v>45259.43483796297</v>
      </c>
      <c r="C479" s="1" t="n">
        <v>46037</v>
      </c>
      <c r="D479" t="inlineStr">
        <is>
          <t>NORRBOTTENS LÄN</t>
        </is>
      </c>
      <c r="E479" t="inlineStr">
        <is>
          <t>JOKKMOKK</t>
        </is>
      </c>
      <c r="F479" t="inlineStr">
        <is>
          <t>Sveaskog</t>
        </is>
      </c>
      <c r="G479" t="n">
        <v>10.9</v>
      </c>
      <c r="H479" t="n">
        <v>0</v>
      </c>
      <c r="I479" t="n">
        <v>0</v>
      </c>
      <c r="J479" t="n">
        <v>0</v>
      </c>
      <c r="K479" t="n">
        <v>0</v>
      </c>
      <c r="L479" t="n">
        <v>0</v>
      </c>
      <c r="M479" t="n">
        <v>0</v>
      </c>
      <c r="N479" t="n">
        <v>0</v>
      </c>
      <c r="O479" t="n">
        <v>0</v>
      </c>
      <c r="P479" t="n">
        <v>0</v>
      </c>
      <c r="Q479" t="n">
        <v>0</v>
      </c>
      <c r="R479" s="2" t="inlineStr"/>
    </row>
    <row r="480" ht="15" customHeight="1">
      <c r="A480" t="inlineStr">
        <is>
          <t>A 30313-2024</t>
        </is>
      </c>
      <c r="B480" s="1" t="n">
        <v>45490</v>
      </c>
      <c r="C480" s="1" t="n">
        <v>46037</v>
      </c>
      <c r="D480" t="inlineStr">
        <is>
          <t>NORRBOTTENS LÄN</t>
        </is>
      </c>
      <c r="E480" t="inlineStr">
        <is>
          <t>JOKKMOKK</t>
        </is>
      </c>
      <c r="G480" t="n">
        <v>3.4</v>
      </c>
      <c r="H480" t="n">
        <v>0</v>
      </c>
      <c r="I480" t="n">
        <v>0</v>
      </c>
      <c r="J480" t="n">
        <v>0</v>
      </c>
      <c r="K480" t="n">
        <v>0</v>
      </c>
      <c r="L480" t="n">
        <v>0</v>
      </c>
      <c r="M480" t="n">
        <v>0</v>
      </c>
      <c r="N480" t="n">
        <v>0</v>
      </c>
      <c r="O480" t="n">
        <v>0</v>
      </c>
      <c r="P480" t="n">
        <v>0</v>
      </c>
      <c r="Q480" t="n">
        <v>0</v>
      </c>
      <c r="R480" s="2" t="inlineStr"/>
    </row>
    <row r="481" ht="15" customHeight="1">
      <c r="A481" t="inlineStr">
        <is>
          <t>A 52882-2023</t>
        </is>
      </c>
      <c r="B481" s="1" t="n">
        <v>45222</v>
      </c>
      <c r="C481" s="1" t="n">
        <v>46037</v>
      </c>
      <c r="D481" t="inlineStr">
        <is>
          <t>NORRBOTTENS LÄN</t>
        </is>
      </c>
      <c r="E481" t="inlineStr">
        <is>
          <t>JOKKMOKK</t>
        </is>
      </c>
      <c r="G481" t="n">
        <v>56.1</v>
      </c>
      <c r="H481" t="n">
        <v>0</v>
      </c>
      <c r="I481" t="n">
        <v>0</v>
      </c>
      <c r="J481" t="n">
        <v>0</v>
      </c>
      <c r="K481" t="n">
        <v>0</v>
      </c>
      <c r="L481" t="n">
        <v>0</v>
      </c>
      <c r="M481" t="n">
        <v>0</v>
      </c>
      <c r="N481" t="n">
        <v>0</v>
      </c>
      <c r="O481" t="n">
        <v>0</v>
      </c>
      <c r="P481" t="n">
        <v>0</v>
      </c>
      <c r="Q481" t="n">
        <v>0</v>
      </c>
      <c r="R481" s="2" t="inlineStr"/>
    </row>
    <row r="482" ht="15" customHeight="1">
      <c r="A482" t="inlineStr">
        <is>
          <t>A 51261-2024</t>
        </is>
      </c>
      <c r="B482" s="1" t="n">
        <v>45603.69465277778</v>
      </c>
      <c r="C482" s="1" t="n">
        <v>46037</v>
      </c>
      <c r="D482" t="inlineStr">
        <is>
          <t>NORRBOTTENS LÄN</t>
        </is>
      </c>
      <c r="E482" t="inlineStr">
        <is>
          <t>JOKKMOKK</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row>
    <row r="483" ht="15" customHeight="1">
      <c r="A483" t="inlineStr">
        <is>
          <t>A 50258-2023</t>
        </is>
      </c>
      <c r="B483" s="1" t="n">
        <v>45216</v>
      </c>
      <c r="C483" s="1" t="n">
        <v>46037</v>
      </c>
      <c r="D483" t="inlineStr">
        <is>
          <t>NORRBOTTENS LÄN</t>
        </is>
      </c>
      <c r="E483" t="inlineStr">
        <is>
          <t>JOKKMOKK</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26962-2023</t>
        </is>
      </c>
      <c r="B484" s="1" t="n">
        <v>45093</v>
      </c>
      <c r="C484" s="1" t="n">
        <v>46037</v>
      </c>
      <c r="D484" t="inlineStr">
        <is>
          <t>NORRBOTTENS LÄN</t>
        </is>
      </c>
      <c r="E484" t="inlineStr">
        <is>
          <t>JOKKMOKK</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61762-2024</t>
        </is>
      </c>
      <c r="B485" s="1" t="n">
        <v>45649</v>
      </c>
      <c r="C485" s="1" t="n">
        <v>46037</v>
      </c>
      <c r="D485" t="inlineStr">
        <is>
          <t>NORRBOTTENS LÄN</t>
        </is>
      </c>
      <c r="E485" t="inlineStr">
        <is>
          <t>JOKKMOKK</t>
        </is>
      </c>
      <c r="F485" t="inlineStr">
        <is>
          <t>Övriga statliga verk och myndigheter</t>
        </is>
      </c>
      <c r="G485" t="n">
        <v>15.4</v>
      </c>
      <c r="H485" t="n">
        <v>0</v>
      </c>
      <c r="I485" t="n">
        <v>0</v>
      </c>
      <c r="J485" t="n">
        <v>0</v>
      </c>
      <c r="K485" t="n">
        <v>0</v>
      </c>
      <c r="L485" t="n">
        <v>0</v>
      </c>
      <c r="M485" t="n">
        <v>0</v>
      </c>
      <c r="N485" t="n">
        <v>0</v>
      </c>
      <c r="O485" t="n">
        <v>0</v>
      </c>
      <c r="P485" t="n">
        <v>0</v>
      </c>
      <c r="Q485" t="n">
        <v>0</v>
      </c>
      <c r="R485" s="2" t="inlineStr"/>
    </row>
    <row r="486" ht="15" customHeight="1">
      <c r="A486" t="inlineStr">
        <is>
          <t>A 30305-2024</t>
        </is>
      </c>
      <c r="B486" s="1" t="n">
        <v>45490</v>
      </c>
      <c r="C486" s="1" t="n">
        <v>46037</v>
      </c>
      <c r="D486" t="inlineStr">
        <is>
          <t>NORRBOTTENS LÄN</t>
        </is>
      </c>
      <c r="E486" t="inlineStr">
        <is>
          <t>JOKKMOKK</t>
        </is>
      </c>
      <c r="G486" t="n">
        <v>1.5</v>
      </c>
      <c r="H486" t="n">
        <v>0</v>
      </c>
      <c r="I486" t="n">
        <v>0</v>
      </c>
      <c r="J486" t="n">
        <v>0</v>
      </c>
      <c r="K486" t="n">
        <v>0</v>
      </c>
      <c r="L486" t="n">
        <v>0</v>
      </c>
      <c r="M486" t="n">
        <v>0</v>
      </c>
      <c r="N486" t="n">
        <v>0</v>
      </c>
      <c r="O486" t="n">
        <v>0</v>
      </c>
      <c r="P486" t="n">
        <v>0</v>
      </c>
      <c r="Q486" t="n">
        <v>0</v>
      </c>
      <c r="R486" s="2" t="inlineStr"/>
    </row>
    <row r="487" ht="15" customHeight="1">
      <c r="A487" t="inlineStr">
        <is>
          <t>A 30308-2024</t>
        </is>
      </c>
      <c r="B487" s="1" t="n">
        <v>45490</v>
      </c>
      <c r="C487" s="1" t="n">
        <v>46037</v>
      </c>
      <c r="D487" t="inlineStr">
        <is>
          <t>NORRBOTTENS LÄN</t>
        </is>
      </c>
      <c r="E487" t="inlineStr">
        <is>
          <t>JOKKMOKK</t>
        </is>
      </c>
      <c r="G487" t="n">
        <v>2.2</v>
      </c>
      <c r="H487" t="n">
        <v>0</v>
      </c>
      <c r="I487" t="n">
        <v>0</v>
      </c>
      <c r="J487" t="n">
        <v>0</v>
      </c>
      <c r="K487" t="n">
        <v>0</v>
      </c>
      <c r="L487" t="n">
        <v>0</v>
      </c>
      <c r="M487" t="n">
        <v>0</v>
      </c>
      <c r="N487" t="n">
        <v>0</v>
      </c>
      <c r="O487" t="n">
        <v>0</v>
      </c>
      <c r="P487" t="n">
        <v>0</v>
      </c>
      <c r="Q487" t="n">
        <v>0</v>
      </c>
      <c r="R487" s="2" t="inlineStr"/>
    </row>
    <row r="488" ht="15" customHeight="1">
      <c r="A488" t="inlineStr">
        <is>
          <t>A 30310-2024</t>
        </is>
      </c>
      <c r="B488" s="1" t="n">
        <v>45490</v>
      </c>
      <c r="C488" s="1" t="n">
        <v>46037</v>
      </c>
      <c r="D488" t="inlineStr">
        <is>
          <t>NORRBOTTENS LÄN</t>
        </is>
      </c>
      <c r="E488" t="inlineStr">
        <is>
          <t>JOKKMOKK</t>
        </is>
      </c>
      <c r="G488" t="n">
        <v>2.3</v>
      </c>
      <c r="H488" t="n">
        <v>0</v>
      </c>
      <c r="I488" t="n">
        <v>0</v>
      </c>
      <c r="J488" t="n">
        <v>0</v>
      </c>
      <c r="K488" t="n">
        <v>0</v>
      </c>
      <c r="L488" t="n">
        <v>0</v>
      </c>
      <c r="M488" t="n">
        <v>0</v>
      </c>
      <c r="N488" t="n">
        <v>0</v>
      </c>
      <c r="O488" t="n">
        <v>0</v>
      </c>
      <c r="P488" t="n">
        <v>0</v>
      </c>
      <c r="Q488" t="n">
        <v>0</v>
      </c>
      <c r="R488" s="2" t="inlineStr"/>
    </row>
    <row r="489" ht="15" customHeight="1">
      <c r="A489" t="inlineStr">
        <is>
          <t>A 30312-2024</t>
        </is>
      </c>
      <c r="B489" s="1" t="n">
        <v>45490</v>
      </c>
      <c r="C489" s="1" t="n">
        <v>46037</v>
      </c>
      <c r="D489" t="inlineStr">
        <is>
          <t>NORRBOTTENS LÄN</t>
        </is>
      </c>
      <c r="E489" t="inlineStr">
        <is>
          <t>JOKKMOKK</t>
        </is>
      </c>
      <c r="G489" t="n">
        <v>1.6</v>
      </c>
      <c r="H489" t="n">
        <v>0</v>
      </c>
      <c r="I489" t="n">
        <v>0</v>
      </c>
      <c r="J489" t="n">
        <v>0</v>
      </c>
      <c r="K489" t="n">
        <v>0</v>
      </c>
      <c r="L489" t="n">
        <v>0</v>
      </c>
      <c r="M489" t="n">
        <v>0</v>
      </c>
      <c r="N489" t="n">
        <v>0</v>
      </c>
      <c r="O489" t="n">
        <v>0</v>
      </c>
      <c r="P489" t="n">
        <v>0</v>
      </c>
      <c r="Q489" t="n">
        <v>0</v>
      </c>
      <c r="R489" s="2" t="inlineStr"/>
    </row>
    <row r="490" ht="15" customHeight="1">
      <c r="A490" t="inlineStr">
        <is>
          <t>A 53172-2024</t>
        </is>
      </c>
      <c r="B490" s="1" t="n">
        <v>45611.65689814815</v>
      </c>
      <c r="C490" s="1" t="n">
        <v>46037</v>
      </c>
      <c r="D490" t="inlineStr">
        <is>
          <t>NORRBOTTENS LÄN</t>
        </is>
      </c>
      <c r="E490" t="inlineStr">
        <is>
          <t>JOKKMOKK</t>
        </is>
      </c>
      <c r="F490" t="inlineStr">
        <is>
          <t>Allmännings- och besparingsskogar</t>
        </is>
      </c>
      <c r="G490" t="n">
        <v>6.5</v>
      </c>
      <c r="H490" t="n">
        <v>0</v>
      </c>
      <c r="I490" t="n">
        <v>0</v>
      </c>
      <c r="J490" t="n">
        <v>0</v>
      </c>
      <c r="K490" t="n">
        <v>0</v>
      </c>
      <c r="L490" t="n">
        <v>0</v>
      </c>
      <c r="M490" t="n">
        <v>0</v>
      </c>
      <c r="N490" t="n">
        <v>0</v>
      </c>
      <c r="O490" t="n">
        <v>0</v>
      </c>
      <c r="P490" t="n">
        <v>0</v>
      </c>
      <c r="Q490" t="n">
        <v>0</v>
      </c>
      <c r="R490" s="2" t="inlineStr"/>
    </row>
    <row r="491" ht="15" customHeight="1">
      <c r="A491" t="inlineStr">
        <is>
          <t>A 2037-2025</t>
        </is>
      </c>
      <c r="B491" s="1" t="n">
        <v>45671</v>
      </c>
      <c r="C491" s="1" t="n">
        <v>46037</v>
      </c>
      <c r="D491" t="inlineStr">
        <is>
          <t>NORRBOTTENS LÄN</t>
        </is>
      </c>
      <c r="E491" t="inlineStr">
        <is>
          <t>JOKKMOKK</t>
        </is>
      </c>
      <c r="G491" t="n">
        <v>5.4</v>
      </c>
      <c r="H491" t="n">
        <v>0</v>
      </c>
      <c r="I491" t="n">
        <v>0</v>
      </c>
      <c r="J491" t="n">
        <v>0</v>
      </c>
      <c r="K491" t="n">
        <v>0</v>
      </c>
      <c r="L491" t="n">
        <v>0</v>
      </c>
      <c r="M491" t="n">
        <v>0</v>
      </c>
      <c r="N491" t="n">
        <v>0</v>
      </c>
      <c r="O491" t="n">
        <v>0</v>
      </c>
      <c r="P491" t="n">
        <v>0</v>
      </c>
      <c r="Q491" t="n">
        <v>0</v>
      </c>
      <c r="R491" s="2" t="inlineStr"/>
    </row>
    <row r="492" ht="15" customHeight="1">
      <c r="A492" t="inlineStr">
        <is>
          <t>A 21829-2025</t>
        </is>
      </c>
      <c r="B492" s="1" t="n">
        <v>45783.96920138889</v>
      </c>
      <c r="C492" s="1" t="n">
        <v>46037</v>
      </c>
      <c r="D492" t="inlineStr">
        <is>
          <t>NORRBOTTENS LÄN</t>
        </is>
      </c>
      <c r="E492" t="inlineStr">
        <is>
          <t>JOKKMOKK</t>
        </is>
      </c>
      <c r="G492" t="n">
        <v>7.1</v>
      </c>
      <c r="H492" t="n">
        <v>0</v>
      </c>
      <c r="I492" t="n">
        <v>0</v>
      </c>
      <c r="J492" t="n">
        <v>0</v>
      </c>
      <c r="K492" t="n">
        <v>0</v>
      </c>
      <c r="L492" t="n">
        <v>0</v>
      </c>
      <c r="M492" t="n">
        <v>0</v>
      </c>
      <c r="N492" t="n">
        <v>0</v>
      </c>
      <c r="O492" t="n">
        <v>0</v>
      </c>
      <c r="P492" t="n">
        <v>0</v>
      </c>
      <c r="Q492" t="n">
        <v>0</v>
      </c>
      <c r="R492" s="2" t="inlineStr"/>
    </row>
    <row r="493" ht="15" customHeight="1">
      <c r="A493" t="inlineStr">
        <is>
          <t>A 51293-2024</t>
        </is>
      </c>
      <c r="B493" s="1" t="n">
        <v>45603.92878472222</v>
      </c>
      <c r="C493" s="1" t="n">
        <v>46037</v>
      </c>
      <c r="D493" t="inlineStr">
        <is>
          <t>NORRBOTTENS LÄN</t>
        </is>
      </c>
      <c r="E493" t="inlineStr">
        <is>
          <t>JOKKMOKK</t>
        </is>
      </c>
      <c r="G493" t="n">
        <v>2.5</v>
      </c>
      <c r="H493" t="n">
        <v>0</v>
      </c>
      <c r="I493" t="n">
        <v>0</v>
      </c>
      <c r="J493" t="n">
        <v>0</v>
      </c>
      <c r="K493" t="n">
        <v>0</v>
      </c>
      <c r="L493" t="n">
        <v>0</v>
      </c>
      <c r="M493" t="n">
        <v>0</v>
      </c>
      <c r="N493" t="n">
        <v>0</v>
      </c>
      <c r="O493" t="n">
        <v>0</v>
      </c>
      <c r="P493" t="n">
        <v>0</v>
      </c>
      <c r="Q493" t="n">
        <v>0</v>
      </c>
      <c r="R493" s="2" t="inlineStr"/>
    </row>
    <row r="494">
      <c r="A494" t="inlineStr">
        <is>
          <t>A 23203-2024</t>
        </is>
      </c>
      <c r="B494" s="1" t="n">
        <v>45451</v>
      </c>
      <c r="C494" s="1" t="n">
        <v>46037</v>
      </c>
      <c r="D494" t="inlineStr">
        <is>
          <t>NORRBOTTENS LÄN</t>
        </is>
      </c>
      <c r="E494" t="inlineStr">
        <is>
          <t>JOKKMOKK</t>
        </is>
      </c>
      <c r="F494" t="inlineStr">
        <is>
          <t>SCA</t>
        </is>
      </c>
      <c r="G494" t="n">
        <v>3.3</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2026-01-15T11:02:37Z</dcterms:created>
  <dcterms:modified xmlns:dcterms="http://purl.org/dc/terms/" xmlns:xsi="http://www.w3.org/2001/XMLSchema-instance" xsi:type="dcterms:W3CDTF">2026-01-15T11:02:37Z</dcterms:modified>
</cp:coreProperties>
</file>